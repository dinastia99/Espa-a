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udio\Downloads\"/>
    </mc:Choice>
  </mc:AlternateContent>
  <bookViews>
    <workbookView xWindow="0" yWindow="0" windowWidth="19200" windowHeight="7050" firstSheet="29" activeTab="34"/>
  </bookViews>
  <sheets>
    <sheet name="POSESION" sheetId="1" r:id="rId1"/>
    <sheet name="CONVERSIONES" sheetId="2" r:id="rId2"/>
    <sheet name="GOALS" sheetId="3" r:id="rId3"/>
    <sheet name="SCRUMS" sheetId="4" r:id="rId4"/>
    <sheet name="TRIES" sheetId="5" r:id="rId5"/>
    <sheet name="LINE" sheetId="6" r:id="rId6"/>
    <sheet name="SALIDAS" sheetId="7" r:id="rId7"/>
    <sheet name="PENALES_FK" sheetId="8" r:id="rId8"/>
    <sheet name="BREAKLINE" sheetId="9" r:id="rId9"/>
    <sheet name="PELOTA_PERDIDA" sheetId="10" r:id="rId10"/>
    <sheet name="OUT" sheetId="11" r:id="rId11"/>
    <sheet name="SECUENCIA" sheetId="12" r:id="rId12"/>
    <sheet name="RUCKS_GANADOS" sheetId="13" r:id="rId13"/>
    <sheet name="RUCKS_PERDIDO" sheetId="14" r:id="rId14"/>
    <sheet name="KICKS" sheetId="15" r:id="rId15"/>
    <sheet name="CANCHA" sheetId="16" r:id="rId16"/>
    <sheet name="TRIES_DESDE" sheetId="17" r:id="rId17"/>
    <sheet name="GOAL_ERRADOS" sheetId="18" r:id="rId18"/>
    <sheet name="KILLER_INSTINT" sheetId="19" r:id="rId19"/>
    <sheet name="MAULS" sheetId="20" r:id="rId20"/>
    <sheet name="KICKS_MALO" sheetId="21" r:id="rId21"/>
    <sheet name="TARJETAS" sheetId="22" r:id="rId22"/>
    <sheet name="PENALES_CONCEDIDOS" sheetId="23" r:id="rId23"/>
    <sheet name="SUSTITUCIONES" sheetId="24" r:id="rId24"/>
    <sheet name="HIGLIGTHS" sheetId="25" r:id="rId25"/>
    <sheet name="TACKLES" sheetId="26" r:id="rId26"/>
    <sheet name="ZONA_ATT" sheetId="27" r:id="rId27"/>
    <sheet name="ZONA_DFF" sheetId="28" r:id="rId28"/>
    <sheet name="LANZAMIENTOS" sheetId="29" r:id="rId29"/>
    <sheet name="DROPS" sheetId="30" r:id="rId30"/>
    <sheet name="PASE" sheetId="31" r:id="rId31"/>
    <sheet name="CARRIES" sheetId="32" r:id="rId32"/>
    <sheet name="MEDICO" sheetId="33" r:id="rId33"/>
    <sheet name="FIXTURE" sheetId="34" r:id="rId34"/>
    <sheet name="BDUAR_EQUIPOS" sheetId="35" r:id="rId35"/>
    <sheet name="BDUAR_INCIDENCIAS" sheetId="36" r:id="rId36"/>
  </sheets>
  <calcPr calcId="162913"/>
</workbook>
</file>

<file path=xl/calcChain.xml><?xml version="1.0" encoding="utf-8"?>
<calcChain xmlns="http://schemas.openxmlformats.org/spreadsheetml/2006/main">
  <c r="N94" i="34" l="1"/>
  <c r="N93" i="34"/>
  <c r="N92" i="34"/>
  <c r="N91" i="34"/>
  <c r="N90" i="34"/>
  <c r="N89" i="34"/>
  <c r="N88" i="34"/>
  <c r="N87" i="34"/>
  <c r="N86" i="34"/>
  <c r="N85" i="34"/>
  <c r="N84" i="34"/>
  <c r="N83" i="34"/>
  <c r="N82" i="34"/>
  <c r="N81" i="34"/>
  <c r="N80" i="34"/>
  <c r="N79" i="34"/>
  <c r="N78" i="34"/>
  <c r="N77" i="34"/>
  <c r="N76" i="34"/>
  <c r="N75" i="34"/>
  <c r="N74" i="34"/>
  <c r="N73" i="34"/>
  <c r="N72" i="34"/>
  <c r="N71" i="34"/>
  <c r="N70" i="34"/>
  <c r="N69" i="34"/>
  <c r="N68" i="34"/>
  <c r="N67" i="34"/>
  <c r="N66" i="34"/>
  <c r="N65" i="34"/>
  <c r="N64" i="34"/>
  <c r="N63" i="34"/>
  <c r="N62" i="34"/>
  <c r="N61" i="34"/>
  <c r="N60" i="34"/>
  <c r="N59" i="34"/>
  <c r="N58" i="34"/>
  <c r="N57" i="34"/>
  <c r="N56" i="34"/>
  <c r="N55" i="34"/>
  <c r="N54" i="34"/>
  <c r="N53" i="34"/>
  <c r="N52" i="34"/>
  <c r="N51" i="34"/>
  <c r="N50" i="34"/>
  <c r="N49" i="34"/>
  <c r="N48" i="34"/>
  <c r="N47" i="34"/>
  <c r="N46" i="34"/>
  <c r="N45" i="34"/>
  <c r="N44" i="34"/>
  <c r="N43" i="34"/>
  <c r="N42" i="34"/>
  <c r="N41" i="34"/>
  <c r="N40" i="34"/>
  <c r="N39" i="34"/>
  <c r="N38" i="34"/>
  <c r="N37" i="34"/>
  <c r="N36" i="34"/>
  <c r="N35" i="34"/>
  <c r="N34" i="34"/>
  <c r="N33" i="34"/>
  <c r="N32" i="34"/>
  <c r="N31" i="34"/>
  <c r="N30" i="34"/>
  <c r="N29" i="34"/>
  <c r="N28" i="34"/>
  <c r="N27" i="34"/>
  <c r="N26" i="34"/>
  <c r="N25" i="34"/>
  <c r="N24" i="34"/>
  <c r="N23" i="34"/>
  <c r="N22" i="34"/>
  <c r="N21" i="34"/>
  <c r="N20" i="34"/>
  <c r="N19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E7" i="34"/>
  <c r="E8" i="34" s="1"/>
  <c r="E9" i="34" s="1"/>
  <c r="E10" i="34" s="1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N6" i="34"/>
  <c r="E6" i="34"/>
  <c r="N5" i="34"/>
</calcChain>
</file>

<file path=xl/sharedStrings.xml><?xml version="1.0" encoding="utf-8"?>
<sst xmlns="http://schemas.openxmlformats.org/spreadsheetml/2006/main" count="83029" uniqueCount="15987">
  <si>
    <t>TORNEO</t>
  </si>
  <si>
    <t>FICHA</t>
  </si>
  <si>
    <t>MARCADOR_FINAL</t>
  </si>
  <si>
    <t>ARBITRO</t>
  </si>
  <si>
    <t>EVENTO</t>
  </si>
  <si>
    <t>TIEMPO</t>
  </si>
  <si>
    <t>INICIO</t>
  </si>
  <si>
    <t>FIN</t>
  </si>
  <si>
    <t>EQUIPO</t>
  </si>
  <si>
    <t>JUGADORES</t>
  </si>
  <si>
    <t>ZONA INICIO</t>
  </si>
  <si>
    <t>DESDE</t>
  </si>
  <si>
    <t>ZONA FIN</t>
  </si>
  <si>
    <t>TERMINA</t>
  </si>
  <si>
    <t>CANAL</t>
  </si>
  <si>
    <t>JORNADA</t>
  </si>
  <si>
    <t>FASES</t>
  </si>
  <si>
    <t>DURACION</t>
  </si>
  <si>
    <t>DURACION_NETA</t>
  </si>
  <si>
    <t>ARCHIVO_ORIGEN</t>
  </si>
  <si>
    <t>DH 2026-27</t>
  </si>
  <si>
    <t>29 - 19</t>
  </si>
  <si>
    <t> IGNACIO MUÑOZ MARTIN</t>
  </si>
  <si>
    <t>P OUR 001</t>
  </si>
  <si>
    <t>00:08:40.411000</t>
  </si>
  <si>
    <t>00:08:33.411000</t>
  </si>
  <si>
    <t>00:09:00.272000</t>
  </si>
  <si>
    <t>ALC</t>
  </si>
  <si>
    <t>AMARILLA</t>
  </si>
  <si>
    <t>RECE_KICK</t>
  </si>
  <si>
    <t>F_VERDE</t>
  </si>
  <si>
    <t>TRY</t>
  </si>
  <si>
    <t>DERECHA</t>
  </si>
  <si>
    <t>J01</t>
  </si>
  <si>
    <t>P OUR 002</t>
  </si>
  <si>
    <t>00:10:12.668000</t>
  </si>
  <si>
    <t>00:10:05.668000</t>
  </si>
  <si>
    <t>00:10:21.548000</t>
  </si>
  <si>
    <t>ROJA</t>
  </si>
  <si>
    <t>REC_KO</t>
  </si>
  <si>
    <t>F_AMARILLA</t>
  </si>
  <si>
    <t>KICK_PLAY</t>
  </si>
  <si>
    <t>P OUR 003</t>
  </si>
  <si>
    <t>00:10:42.571000</t>
  </si>
  <si>
    <t>00:10:35.571000</t>
  </si>
  <si>
    <t>00:10:56.237000</t>
  </si>
  <si>
    <t>NARANJA</t>
  </si>
  <si>
    <t>RECU_TO</t>
  </si>
  <si>
    <t>F_NARANJA</t>
  </si>
  <si>
    <t>VENTAJA</t>
  </si>
  <si>
    <t>P OUR 004</t>
  </si>
  <si>
    <t>00:11:27.506000</t>
  </si>
  <si>
    <t>00:11:20.506000</t>
  </si>
  <si>
    <t>00:11:35.678000</t>
  </si>
  <si>
    <t>SCRUM</t>
  </si>
  <si>
    <t>PELOTA_PERDIDA</t>
  </si>
  <si>
    <t>CENTRO</t>
  </si>
  <si>
    <t>P OUR 005</t>
  </si>
  <si>
    <t>00:16:14.995000</t>
  </si>
  <si>
    <t>00:16:07.995000</t>
  </si>
  <si>
    <t>00:18:29.534000</t>
  </si>
  <si>
    <t>VERDE</t>
  </si>
  <si>
    <t>LINE</t>
  </si>
  <si>
    <t>P OUR 006</t>
  </si>
  <si>
    <t>00:19:43.947000</t>
  </si>
  <si>
    <t>00:19:36.947000</t>
  </si>
  <si>
    <t>00:19:50.364000</t>
  </si>
  <si>
    <t>PENAL/FK_AF</t>
  </si>
  <si>
    <t>P OUR 007</t>
  </si>
  <si>
    <t>00:20:29.982000</t>
  </si>
  <si>
    <t>00:20:22.982000</t>
  </si>
  <si>
    <t>00:20:48.338000</t>
  </si>
  <si>
    <t>P OUR 008</t>
  </si>
  <si>
    <t>00:29:12.124000</t>
  </si>
  <si>
    <t>00:29:05.124000</t>
  </si>
  <si>
    <t>00:29:40.727000</t>
  </si>
  <si>
    <t>IZQUIERDA</t>
  </si>
  <si>
    <t>P OUR 009</t>
  </si>
  <si>
    <t>00:29:49.184000</t>
  </si>
  <si>
    <t>00:29:42.184000</t>
  </si>
  <si>
    <t>00:32:34.404000</t>
  </si>
  <si>
    <t>P OUR 010</t>
  </si>
  <si>
    <t>00:33:18.911000</t>
  </si>
  <si>
    <t>00:33:11.911000</t>
  </si>
  <si>
    <t>00:33:40.321000</t>
  </si>
  <si>
    <t>PENAL/FK</t>
  </si>
  <si>
    <t>P OUR 011</t>
  </si>
  <si>
    <t>00:35:06.932000</t>
  </si>
  <si>
    <t>00:34:59.932000</t>
  </si>
  <si>
    <t>00:35:36.376000</t>
  </si>
  <si>
    <t>KICK_TOUCH</t>
  </si>
  <si>
    <t>P OUR 012</t>
  </si>
  <si>
    <t>00:44:16.216000</t>
  </si>
  <si>
    <t>00:44:09.216000</t>
  </si>
  <si>
    <t>00:44:29.916000</t>
  </si>
  <si>
    <t>P OUR 013</t>
  </si>
  <si>
    <t>00:45:18.433000</t>
  </si>
  <si>
    <t>00:45:11.433000</t>
  </si>
  <si>
    <t>00:45:58.146000</t>
  </si>
  <si>
    <t>P OUR 014</t>
  </si>
  <si>
    <t>00:47:57.762000</t>
  </si>
  <si>
    <t>00:47:50.762000</t>
  </si>
  <si>
    <t>00:48:27.377000</t>
  </si>
  <si>
    <t>P OUR 015</t>
  </si>
  <si>
    <t>00:48:40.359000</t>
  </si>
  <si>
    <t>00:48:33.359000</t>
  </si>
  <si>
    <t>00:48:49.413000</t>
  </si>
  <si>
    <t>P OUR 016</t>
  </si>
  <si>
    <t>00:49:29.434000</t>
  </si>
  <si>
    <t>00:49:22.434000</t>
  </si>
  <si>
    <t>00:49:33.663000</t>
  </si>
  <si>
    <t>P OUR 017</t>
  </si>
  <si>
    <t>00:51:40.032000</t>
  </si>
  <si>
    <t>00:51:33.032000</t>
  </si>
  <si>
    <t>00:51:46.045000</t>
  </si>
  <si>
    <t>PENAL/FK_EC</t>
  </si>
  <si>
    <t>P OUR 018</t>
  </si>
  <si>
    <t>01:07:21.630000</t>
  </si>
  <si>
    <t>01:07:14.630000</t>
  </si>
  <si>
    <t>01:07:43.162000</t>
  </si>
  <si>
    <t>P OUR 019</t>
  </si>
  <si>
    <t>01:08:31.263000</t>
  </si>
  <si>
    <t>01:08:24.263000</t>
  </si>
  <si>
    <t>01:08:37.591000</t>
  </si>
  <si>
    <t>P OUR 020</t>
  </si>
  <si>
    <t>01:08:43.375000</t>
  </si>
  <si>
    <t>01:08:36.375000</t>
  </si>
  <si>
    <t>01:10:13.850000</t>
  </si>
  <si>
    <t>P OUR 021</t>
  </si>
  <si>
    <t>01:10:21.267000</t>
  </si>
  <si>
    <t>01:10:14.267000</t>
  </si>
  <si>
    <t>01:10:37.889000</t>
  </si>
  <si>
    <t>P OUR 022</t>
  </si>
  <si>
    <t>01:11:17.354000</t>
  </si>
  <si>
    <t>01:11:10.354000</t>
  </si>
  <si>
    <t>01:11:31.262000</t>
  </si>
  <si>
    <t>P OUR 023</t>
  </si>
  <si>
    <t>01:12:20.796000</t>
  </si>
  <si>
    <t>01:12:13.796000</t>
  </si>
  <si>
    <t>01:12:30.992000</t>
  </si>
  <si>
    <t>P OUR 024</t>
  </si>
  <si>
    <t>01:15:13.992000</t>
  </si>
  <si>
    <t>01:15:06.992000</t>
  </si>
  <si>
    <t>01:16:28.201000</t>
  </si>
  <si>
    <t>P OUR 025</t>
  </si>
  <si>
    <t>01:17:22.237000</t>
  </si>
  <si>
    <t>01:17:15.237000</t>
  </si>
  <si>
    <t>01:17:25.990000</t>
  </si>
  <si>
    <t>PUNTOS</t>
  </si>
  <si>
    <t>P OUR 026</t>
  </si>
  <si>
    <t>01:17:57.599000</t>
  </si>
  <si>
    <t>01:17:50.599000</t>
  </si>
  <si>
    <t>01:18:14.465000</t>
  </si>
  <si>
    <t>P OUR 027</t>
  </si>
  <si>
    <t>01:19:01.547000</t>
  </si>
  <si>
    <t>01:18:54.547000</t>
  </si>
  <si>
    <t>01:19:29.336000</t>
  </si>
  <si>
    <t>P OUR 028</t>
  </si>
  <si>
    <t>01:21:22.166000</t>
  </si>
  <si>
    <t>01:21:15.166000</t>
  </si>
  <si>
    <t>01:21:49.733000</t>
  </si>
  <si>
    <t>P OUR 029</t>
  </si>
  <si>
    <t>01:23:07.110000</t>
  </si>
  <si>
    <t>01:23:00.110000</t>
  </si>
  <si>
    <t>01:23:41.746000</t>
  </si>
  <si>
    <t>P OUR 030</t>
  </si>
  <si>
    <t>01:28:25.727000</t>
  </si>
  <si>
    <t>01:28:18.727000</t>
  </si>
  <si>
    <t>01:28:28.813000</t>
  </si>
  <si>
    <t>P OUR 031</t>
  </si>
  <si>
    <t>01:29:17.148000</t>
  </si>
  <si>
    <t>01:29:10.148000</t>
  </si>
  <si>
    <t>01:30:08.379000</t>
  </si>
  <si>
    <t>P OUR 032</t>
  </si>
  <si>
    <t>01:31:58.627000</t>
  </si>
  <si>
    <t>01:31:51.627000</t>
  </si>
  <si>
    <t>01:32:10.715000</t>
  </si>
  <si>
    <t>P OUR 033</t>
  </si>
  <si>
    <t>01:32:36.374000</t>
  </si>
  <si>
    <t>01:32:29.374000</t>
  </si>
  <si>
    <t>01:32:57.299000</t>
  </si>
  <si>
    <t>RECU_SET</t>
  </si>
  <si>
    <t>P OUR 034</t>
  </si>
  <si>
    <t>01:34:23.069000</t>
  </si>
  <si>
    <t>01:34:16.069000</t>
  </si>
  <si>
    <t>01:34:56.671000</t>
  </si>
  <si>
    <t>P OUR 035</t>
  </si>
  <si>
    <t>01:35:14.493000</t>
  </si>
  <si>
    <t>01:35:07.493000</t>
  </si>
  <si>
    <t>01:35:27.851000</t>
  </si>
  <si>
    <t>P OUR 036</t>
  </si>
  <si>
    <t>01:37:21.409000</t>
  </si>
  <si>
    <t>01:37:14.409000</t>
  </si>
  <si>
    <t>01:37:59.152000</t>
  </si>
  <si>
    <t>P OUR 037</t>
  </si>
  <si>
    <t>01:38:38.081000</t>
  </si>
  <si>
    <t>01:38:31.081000</t>
  </si>
  <si>
    <t>01:38:59.892000</t>
  </si>
  <si>
    <t>P OUR 038</t>
  </si>
  <si>
    <t>01:39:04.835000</t>
  </si>
  <si>
    <t>01:38:57.835000</t>
  </si>
  <si>
    <t>01:39:31.331000</t>
  </si>
  <si>
    <t>P OUR 039</t>
  </si>
  <si>
    <t>01:41:40.025000</t>
  </si>
  <si>
    <t>01:41:33.025000</t>
  </si>
  <si>
    <t>01:42:04.645000</t>
  </si>
  <si>
    <t>P OUR 040</t>
  </si>
  <si>
    <t>01:42:06.241000</t>
  </si>
  <si>
    <t>01:41:59.241000</t>
  </si>
  <si>
    <t>01:42:22.205000</t>
  </si>
  <si>
    <t>P OUR 041</t>
  </si>
  <si>
    <t>01:43:46.275000</t>
  </si>
  <si>
    <t>01:43:39.275000</t>
  </si>
  <si>
    <t>01:44:51.324000</t>
  </si>
  <si>
    <t>P OUR 042</t>
  </si>
  <si>
    <t>01:46:19.405000</t>
  </si>
  <si>
    <t>01:46:12.405000</t>
  </si>
  <si>
    <t>01:46:22.643000</t>
  </si>
  <si>
    <t>P OUR 043</t>
  </si>
  <si>
    <t>01:46:50.548000</t>
  </si>
  <si>
    <t>01:46:43.548000</t>
  </si>
  <si>
    <t>01:47:05.082000</t>
  </si>
  <si>
    <t>P OUR 044</t>
  </si>
  <si>
    <t>01:51:29.061000</t>
  </si>
  <si>
    <t>01:51:22.061000</t>
  </si>
  <si>
    <t>01:51:54.140000</t>
  </si>
  <si>
    <t>P OUR 045</t>
  </si>
  <si>
    <t>01:53:57.766000</t>
  </si>
  <si>
    <t>01:53:50.766000</t>
  </si>
  <si>
    <t>01:54:07.674000</t>
  </si>
  <si>
    <t>P OUR 046</t>
  </si>
  <si>
    <t>01:54:36.983000</t>
  </si>
  <si>
    <t>01:54:29.983000</t>
  </si>
  <si>
    <t>01:54:58.350000</t>
  </si>
  <si>
    <t>P OPP 001</t>
  </si>
  <si>
    <t>00:08:12.718000</t>
  </si>
  <si>
    <t>00:08:05.718000</t>
  </si>
  <si>
    <t>00:08:56.517000</t>
  </si>
  <si>
    <t>CIS</t>
  </si>
  <si>
    <t>P OPP 002</t>
  </si>
  <si>
    <t>00:10:17.474000</t>
  </si>
  <si>
    <t>00:10:10.474000</t>
  </si>
  <si>
    <t>00:10:41.982000</t>
  </si>
  <si>
    <t>P OPP 003</t>
  </si>
  <si>
    <t>00:11:34.541000</t>
  </si>
  <si>
    <t>00:11:27.541000</t>
  </si>
  <si>
    <t>00:12:19.546000</t>
  </si>
  <si>
    <t>P OPP 004</t>
  </si>
  <si>
    <t>00:12:54.669000</t>
  </si>
  <si>
    <t>00:12:47.669000</t>
  </si>
  <si>
    <t>00:14:11.731000</t>
  </si>
  <si>
    <t>P OPP 005</t>
  </si>
  <si>
    <t>00:15:17.827000</t>
  </si>
  <si>
    <t>00:15:10.827000</t>
  </si>
  <si>
    <t>00:15:29.613000</t>
  </si>
  <si>
    <t>P OPP 006</t>
  </si>
  <si>
    <t>00:22:47.591000</t>
  </si>
  <si>
    <t>00:22:40.591000</t>
  </si>
  <si>
    <t>00:23:29.270000</t>
  </si>
  <si>
    <t>P OPP 007</t>
  </si>
  <si>
    <t>00:24:38.449000</t>
  </si>
  <si>
    <t>00:24:31.449000</t>
  </si>
  <si>
    <t>00:25:10.286000</t>
  </si>
  <si>
    <t>P OPP 008</t>
  </si>
  <si>
    <t>00:27:12.742000</t>
  </si>
  <si>
    <t>00:27:05.742000</t>
  </si>
  <si>
    <t>00:27:25.867000</t>
  </si>
  <si>
    <t>P OPP 009</t>
  </si>
  <si>
    <t>00:28:34.894000</t>
  </si>
  <si>
    <t>00:28:27.894000</t>
  </si>
  <si>
    <t>00:29:16.537000</t>
  </si>
  <si>
    <t>P OPP 010</t>
  </si>
  <si>
    <t>00:35:45.579000</t>
  </si>
  <si>
    <t>00:35:38.579000</t>
  </si>
  <si>
    <t>00:36:03.104000</t>
  </si>
  <si>
    <t>P OPP 011</t>
  </si>
  <si>
    <t>00:36:59.295000</t>
  </si>
  <si>
    <t>00:36:52.295000</t>
  </si>
  <si>
    <t>00:38:12.825000</t>
  </si>
  <si>
    <t>P OPP 012</t>
  </si>
  <si>
    <t>00:39:05.578000</t>
  </si>
  <si>
    <t>00:38:58.578000</t>
  </si>
  <si>
    <t>00:40:14.635000</t>
  </si>
  <si>
    <t>P OPP 013</t>
  </si>
  <si>
    <t>00:42:42.661000</t>
  </si>
  <si>
    <t>00:42:35.661000</t>
  </si>
  <si>
    <t>00:43:23.859000</t>
  </si>
  <si>
    <t>RECE_KI</t>
  </si>
  <si>
    <t>P OPP 014</t>
  </si>
  <si>
    <t>00:47:12.824000</t>
  </si>
  <si>
    <t>00:47:05.824000</t>
  </si>
  <si>
    <t>00:47:24.732000</t>
  </si>
  <si>
    <t>P OPP 015</t>
  </si>
  <si>
    <t>00:48:26.232000</t>
  </si>
  <si>
    <t>00:48:19.232000</t>
  </si>
  <si>
    <t>00:48:41.676000</t>
  </si>
  <si>
    <t>P OPP 016</t>
  </si>
  <si>
    <t>00:48:46.640000</t>
  </si>
  <si>
    <t>00:48:39.640000</t>
  </si>
  <si>
    <t>00:48:51.996000</t>
  </si>
  <si>
    <t>P OPP 017</t>
  </si>
  <si>
    <t>00:49:31.386000</t>
  </si>
  <si>
    <t>00:49:24.386000</t>
  </si>
  <si>
    <t>00:49:38.999000</t>
  </si>
  <si>
    <t>P OPP 018</t>
  </si>
  <si>
    <t>00:49:43.983000</t>
  </si>
  <si>
    <t>00:49:36.983000</t>
  </si>
  <si>
    <t>00:49:56.852000</t>
  </si>
  <si>
    <t>P OPP 019</t>
  </si>
  <si>
    <t>00:52:22.008000</t>
  </si>
  <si>
    <t>00:52:15.008000</t>
  </si>
  <si>
    <t>00:53:05.495000</t>
  </si>
  <si>
    <t>P OPP 020</t>
  </si>
  <si>
    <t>01:07:40.945000</t>
  </si>
  <si>
    <t>01:07:33.945000</t>
  </si>
  <si>
    <t>01:07:47.292000</t>
  </si>
  <si>
    <t>P OPP 021</t>
  </si>
  <si>
    <t>01:08:20.058000</t>
  </si>
  <si>
    <t>01:08:13.058000</t>
  </si>
  <si>
    <t>01:08:32.026000</t>
  </si>
  <si>
    <t>P OPP 022</t>
  </si>
  <si>
    <t>01:08:36.817000</t>
  </si>
  <si>
    <t>01:08:29.817000</t>
  </si>
  <si>
    <t>01:08:44.497000</t>
  </si>
  <si>
    <t>P OPP 023</t>
  </si>
  <si>
    <t>01:10:14.677000</t>
  </si>
  <si>
    <t>01:10:07.677000</t>
  </si>
  <si>
    <t>01:10:22.538000</t>
  </si>
  <si>
    <t>P OPP 024</t>
  </si>
  <si>
    <t>01:12:11.275000</t>
  </si>
  <si>
    <t>01:12:04.275000</t>
  </si>
  <si>
    <t>01:12:22.120000</t>
  </si>
  <si>
    <t>P OPP 025</t>
  </si>
  <si>
    <t>01:12:26.998000</t>
  </si>
  <si>
    <t>01:12:19.998000</t>
  </si>
  <si>
    <t>01:12:33.310000</t>
  </si>
  <si>
    <t>P OPP 026</t>
  </si>
  <si>
    <t>01:14:17.541000</t>
  </si>
  <si>
    <t>01:14:10.541000</t>
  </si>
  <si>
    <t>01:14:25.249000</t>
  </si>
  <si>
    <t>P OPP 027</t>
  </si>
  <si>
    <t>01:18:27.505000</t>
  </si>
  <si>
    <t>01:18:20.505000</t>
  </si>
  <si>
    <t>01:18:30.971000</t>
  </si>
  <si>
    <t>P OPP 028</t>
  </si>
  <si>
    <t>01:19:25.519000</t>
  </si>
  <si>
    <t>01:19:18.519000</t>
  </si>
  <si>
    <t>01:19:40.035000</t>
  </si>
  <si>
    <t>P OPP 029</t>
  </si>
  <si>
    <t>01:22:30.852000</t>
  </si>
  <si>
    <t>01:22:23.852000</t>
  </si>
  <si>
    <t>01:23:10.582000</t>
  </si>
  <si>
    <t>P OPP 030</t>
  </si>
  <si>
    <t>01:24:44.220000</t>
  </si>
  <si>
    <t>01:24:37.220000</t>
  </si>
  <si>
    <t>01:26:09.867000</t>
  </si>
  <si>
    <t>P OPP 031</t>
  </si>
  <si>
    <t>01:29:04.367000</t>
  </si>
  <si>
    <t>01:28:57.367000</t>
  </si>
  <si>
    <t>01:29:18.357000</t>
  </si>
  <si>
    <t>P OPP 032</t>
  </si>
  <si>
    <t>01:30:48.971000</t>
  </si>
  <si>
    <t>01:30:41.971000</t>
  </si>
  <si>
    <t>01:31:13.132000</t>
  </si>
  <si>
    <t>P OPP 033</t>
  </si>
  <si>
    <t>01:32:33.230000</t>
  </si>
  <si>
    <t>01:32:26.230000</t>
  </si>
  <si>
    <t>01:32:35.694000</t>
  </si>
  <si>
    <t>P OPP 034</t>
  </si>
  <si>
    <t>01:33:39.901000</t>
  </si>
  <si>
    <t>01:33:32.901000</t>
  </si>
  <si>
    <t>01:33:52.150000</t>
  </si>
  <si>
    <t>P OPP 035</t>
  </si>
  <si>
    <t>01:34:58.379000</t>
  </si>
  <si>
    <t>01:34:51.379000</t>
  </si>
  <si>
    <t>01:35:15.173000</t>
  </si>
  <si>
    <t>P OPP 036</t>
  </si>
  <si>
    <t>01:35:30.679000</t>
  </si>
  <si>
    <t>01:35:23.679000</t>
  </si>
  <si>
    <t>01:35:35.562000</t>
  </si>
  <si>
    <t>P OPP 037</t>
  </si>
  <si>
    <t>01:37:52.152000</t>
  </si>
  <si>
    <t>01:38:08.085000</t>
  </si>
  <si>
    <t>P OPP 038</t>
  </si>
  <si>
    <t>01:38:59.100000</t>
  </si>
  <si>
    <t>01:38:52.100000</t>
  </si>
  <si>
    <t>01:39:05.662000</t>
  </si>
  <si>
    <t>P OPP 039</t>
  </si>
  <si>
    <t>01:40:39.224000</t>
  </si>
  <si>
    <t>01:40:32.224000</t>
  </si>
  <si>
    <t>01:41:08.887000</t>
  </si>
  <si>
    <t>P OPP 040</t>
  </si>
  <si>
    <t>01:41:57.645000</t>
  </si>
  <si>
    <t>01:42:05.456000</t>
  </si>
  <si>
    <t>P OPP 041</t>
  </si>
  <si>
    <t>01:46:21.476000</t>
  </si>
  <si>
    <t>01:46:14.476000</t>
  </si>
  <si>
    <t>01:46:50.244000</t>
  </si>
  <si>
    <t>P OPP 042</t>
  </si>
  <si>
    <t>01:47:01.967000</t>
  </si>
  <si>
    <t>01:46:54.967000</t>
  </si>
  <si>
    <t>01:47:42.614000</t>
  </si>
  <si>
    <t>P OPP 043</t>
  </si>
  <si>
    <t>01:49:46.641000</t>
  </si>
  <si>
    <t>01:49:39.641000</t>
  </si>
  <si>
    <t>01:50:48.658000</t>
  </si>
  <si>
    <t>P OPP 044</t>
  </si>
  <si>
    <t>01:51:56.835000</t>
  </si>
  <si>
    <t>01:51:49.835000</t>
  </si>
  <si>
    <t>01:52:36.871000</t>
  </si>
  <si>
    <t>P OPP 045</t>
  </si>
  <si>
    <t>01:52:36.066000</t>
  </si>
  <si>
    <t>01:52:29.066000</t>
  </si>
  <si>
    <t>01:53:11.962000</t>
  </si>
  <si>
    <t>P OPP 046</t>
  </si>
  <si>
    <t>01:54:08.223000</t>
  </si>
  <si>
    <t>01:54:01.223000</t>
  </si>
  <si>
    <t>01:54:09.320000</t>
  </si>
  <si>
    <t>P OPP 047</t>
  </si>
  <si>
    <t>01:54:56.633000</t>
  </si>
  <si>
    <t>01:54:49.633000</t>
  </si>
  <si>
    <t>01:55:30.490000</t>
  </si>
  <si>
    <t>P OPP 048</t>
  </si>
  <si>
    <t>01:55:49.224000</t>
  </si>
  <si>
    <t>01:55:42.224000</t>
  </si>
  <si>
    <t>01:56:02.044000</t>
  </si>
  <si>
    <t>40 - 24</t>
  </si>
  <si>
    <t>JON IBISATE ALDAY</t>
  </si>
  <si>
    <t>00:06:06.480000</t>
  </si>
  <si>
    <t>00:05:59.480000</t>
  </si>
  <si>
    <t>00:06:31.418000</t>
  </si>
  <si>
    <t>VILA</t>
  </si>
  <si>
    <t>VRAC-LA VILA 09_29_2026 2026-27 DH-20260210-0713_procesado.xlsx</t>
  </si>
  <si>
    <t>00:06:39.270000</t>
  </si>
  <si>
    <t>00:06:32.270000</t>
  </si>
  <si>
    <t>00:07:32.302000</t>
  </si>
  <si>
    <t>00:08:28.970000</t>
  </si>
  <si>
    <t>00:08:21.970000</t>
  </si>
  <si>
    <t>00:09:27.198000</t>
  </si>
  <si>
    <t>00:10:58.326000</t>
  </si>
  <si>
    <t>00:10:51.326000</t>
  </si>
  <si>
    <t>00:11:07.297000</t>
  </si>
  <si>
    <t>00:11:19.744000</t>
  </si>
  <si>
    <t>00:11:12.744000</t>
  </si>
  <si>
    <t>00:11:45.451000</t>
  </si>
  <si>
    <t>00:12:01.361000</t>
  </si>
  <si>
    <t>00:11:54.361000</t>
  </si>
  <si>
    <t>00:12:09.928000</t>
  </si>
  <si>
    <t>00:13:11.167000</t>
  </si>
  <si>
    <t>00:13:04.167000</t>
  </si>
  <si>
    <t>00:13:13.255000</t>
  </si>
  <si>
    <t>00:15:25.439000</t>
  </si>
  <si>
    <t>00:15:18.439000</t>
  </si>
  <si>
    <t>00:15:44.085000</t>
  </si>
  <si>
    <t>00:21:43.178000</t>
  </si>
  <si>
    <t>00:21:36.178000</t>
  </si>
  <si>
    <t>00:22:16.054000</t>
  </si>
  <si>
    <t>00:23:48.906000</t>
  </si>
  <si>
    <t>00:23:41.906000</t>
  </si>
  <si>
    <t>00:24:14.101000</t>
  </si>
  <si>
    <t>00:24:17.425000</t>
  </si>
  <si>
    <t>00:24:10.425000</t>
  </si>
  <si>
    <t>00:24:44.495000</t>
  </si>
  <si>
    <t>00:26:28.019000</t>
  </si>
  <si>
    <t>00:26:21.019000</t>
  </si>
  <si>
    <t>00:27:19.484000</t>
  </si>
  <si>
    <t>00:28:27.047000</t>
  </si>
  <si>
    <t>00:28:20.047000</t>
  </si>
  <si>
    <t>00:29:08.075000</t>
  </si>
  <si>
    <t>00:30:29.212000</t>
  </si>
  <si>
    <t>00:30:22.212000</t>
  </si>
  <si>
    <t>00:30:42.501000</t>
  </si>
  <si>
    <t>00:32:27.932000</t>
  </si>
  <si>
    <t>00:32:20.932000</t>
  </si>
  <si>
    <t>00:32:31.867000</t>
  </si>
  <si>
    <t>00:33:05.239000</t>
  </si>
  <si>
    <t>00:32:58.239000</t>
  </si>
  <si>
    <t>00:33:20.255000</t>
  </si>
  <si>
    <t>F_ROJA</t>
  </si>
  <si>
    <t>00:36:37.016000</t>
  </si>
  <si>
    <t>00:36:30.016000</t>
  </si>
  <si>
    <t>00:36:40.957000</t>
  </si>
  <si>
    <t>00:38:08.544000</t>
  </si>
  <si>
    <t>00:38:01.544000</t>
  </si>
  <si>
    <t>00:38:17.262000</t>
  </si>
  <si>
    <t>00:50:01.861000</t>
  </si>
  <si>
    <t>00:49:54.861000</t>
  </si>
  <si>
    <t>00:50:05.168000</t>
  </si>
  <si>
    <t>00:50:07.999000</t>
  </si>
  <si>
    <t>00:50:00.999000</t>
  </si>
  <si>
    <t>00:50:19.175000</t>
  </si>
  <si>
    <t>00:51:31.678000</t>
  </si>
  <si>
    <t>00:51:24.678000</t>
  </si>
  <si>
    <t>00:52:05.243000</t>
  </si>
  <si>
    <t>01:03:50.914000</t>
  </si>
  <si>
    <t>01:03:43.914000</t>
  </si>
  <si>
    <t>01:03:51.879000</t>
  </si>
  <si>
    <t>01:06:31.492000</t>
  </si>
  <si>
    <t>01:06:24.492000</t>
  </si>
  <si>
    <t>01:06:44.013000</t>
  </si>
  <si>
    <t>01:08:44.191000</t>
  </si>
  <si>
    <t>01:08:37.191000</t>
  </si>
  <si>
    <t>01:09:02.215000</t>
  </si>
  <si>
    <t>01:10:03.992000</t>
  </si>
  <si>
    <t>01:09:56.992000</t>
  </si>
  <si>
    <t>01:10:28.107000</t>
  </si>
  <si>
    <t>01:12:12.039000</t>
  </si>
  <si>
    <t>01:12:05.039000</t>
  </si>
  <si>
    <t>01:12:20.111000</t>
  </si>
  <si>
    <t>01:13:05.062000</t>
  </si>
  <si>
    <t>01:12:58.062000</t>
  </si>
  <si>
    <t>01:13:07.926000</t>
  </si>
  <si>
    <t>01:14:08.956000</t>
  </si>
  <si>
    <t>01:14:01.956000</t>
  </si>
  <si>
    <t>01:14:47.805000</t>
  </si>
  <si>
    <t>01:15:06.605000</t>
  </si>
  <si>
    <t>01:14:59.605000</t>
  </si>
  <si>
    <t>01:16:10.691000</t>
  </si>
  <si>
    <t>01:18:47.197000</t>
  </si>
  <si>
    <t>01:18:40.197000</t>
  </si>
  <si>
    <t>01:19:14.288000</t>
  </si>
  <si>
    <t>01:20:05.163000</t>
  </si>
  <si>
    <t>01:19:58.163000</t>
  </si>
  <si>
    <t>01:20:15.362000</t>
  </si>
  <si>
    <t>01:21:15.122000</t>
  </si>
  <si>
    <t>01:21:08.122000</t>
  </si>
  <si>
    <t>01:21:37.221000</t>
  </si>
  <si>
    <t>01:25:24.886000</t>
  </si>
  <si>
    <t>01:25:17.886000</t>
  </si>
  <si>
    <t>01:25:34.133000</t>
  </si>
  <si>
    <t>01:26:41.670000</t>
  </si>
  <si>
    <t>01:26:34.670000</t>
  </si>
  <si>
    <t>01:26:49.510000</t>
  </si>
  <si>
    <t>01:29:19.383000</t>
  </si>
  <si>
    <t>01:29:12.383000</t>
  </si>
  <si>
    <t>01:30:20.118000</t>
  </si>
  <si>
    <t>01:31:24.308000</t>
  </si>
  <si>
    <t>01:31:17.308000</t>
  </si>
  <si>
    <t>01:31:44.657000</t>
  </si>
  <si>
    <t>01:33:04.178000</t>
  </si>
  <si>
    <t>01:32:57.178000</t>
  </si>
  <si>
    <t>01:33:58.924000</t>
  </si>
  <si>
    <t>01:35:29.571000</t>
  </si>
  <si>
    <t>01:35:22.571000</t>
  </si>
  <si>
    <t>01:36:05.356000</t>
  </si>
  <si>
    <t>01:39:56.969000</t>
  </si>
  <si>
    <t>01:39:49.969000</t>
  </si>
  <si>
    <t>01:41:02.999000</t>
  </si>
  <si>
    <t>01:41:35.328000</t>
  </si>
  <si>
    <t>01:41:28.328000</t>
  </si>
  <si>
    <t>01:42:18.153000</t>
  </si>
  <si>
    <t>01:45:00.890000</t>
  </si>
  <si>
    <t>01:44:53.890000</t>
  </si>
  <si>
    <t>01:45:22.853000</t>
  </si>
  <si>
    <t>00:06:26.301000</t>
  </si>
  <si>
    <t>00:06:19.301000</t>
  </si>
  <si>
    <t>00:06:42.646000</t>
  </si>
  <si>
    <t>VRAC</t>
  </si>
  <si>
    <t>00:07:29.995000</t>
  </si>
  <si>
    <t>00:07:22.995000</t>
  </si>
  <si>
    <t>00:07:33.889000</t>
  </si>
  <si>
    <t>00:11:05.525000</t>
  </si>
  <si>
    <t>00:10:58.525000</t>
  </si>
  <si>
    <t>00:11:20.879000</t>
  </si>
  <si>
    <t>00:11:44.525000</t>
  </si>
  <si>
    <t>00:11:37.525000</t>
  </si>
  <si>
    <t>00:12:03.108000</t>
  </si>
  <si>
    <t>00:12:46.969000</t>
  </si>
  <si>
    <t>00:12:39.969000</t>
  </si>
  <si>
    <t>00:13:12.694000</t>
  </si>
  <si>
    <t>00:13:14.285000</t>
  </si>
  <si>
    <t>00:13:07.285000</t>
  </si>
  <si>
    <t>00:13:35.296000</t>
  </si>
  <si>
    <t>00:15:02.368000</t>
  </si>
  <si>
    <t>00:14:55.368000</t>
  </si>
  <si>
    <t>00:15:26.633000</t>
  </si>
  <si>
    <t>00:17:09.934000</t>
  </si>
  <si>
    <t>00:17:02.934000</t>
  </si>
  <si>
    <t>00:17:54.775000</t>
  </si>
  <si>
    <t>00:18:47.443000</t>
  </si>
  <si>
    <t>00:18:40.443000</t>
  </si>
  <si>
    <t>00:19:13.121000</t>
  </si>
  <si>
    <t>00:20:54.256000</t>
  </si>
  <si>
    <t>00:20:47.256000</t>
  </si>
  <si>
    <t>00:21:46.188000</t>
  </si>
  <si>
    <t>00:24:13.681000</t>
  </si>
  <si>
    <t>00:24:06.681000</t>
  </si>
  <si>
    <t>00:31:29.281000</t>
  </si>
  <si>
    <t>00:31:22.281000</t>
  </si>
  <si>
    <t>00:31:39.175000</t>
  </si>
  <si>
    <t>00:33:18.781000</t>
  </si>
  <si>
    <t>00:33:11.781000</t>
  </si>
  <si>
    <t>00:33:27.644000</t>
  </si>
  <si>
    <t>00:35:54.209000</t>
  </si>
  <si>
    <t>00:35:47.209000</t>
  </si>
  <si>
    <t>00:36:34.374000</t>
  </si>
  <si>
    <t>00:39:03.788000</t>
  </si>
  <si>
    <t>00:38:56.788000</t>
  </si>
  <si>
    <t>00:40:03.239000</t>
  </si>
  <si>
    <t>00:41:08.830000</t>
  </si>
  <si>
    <t>00:41:01.830000</t>
  </si>
  <si>
    <t>00:41:59.167000</t>
  </si>
  <si>
    <t>00:46:51.058000</t>
  </si>
  <si>
    <t>00:46:44.058000</t>
  </si>
  <si>
    <t>00:47:01.249000</t>
  </si>
  <si>
    <t>00:48:53.670000</t>
  </si>
  <si>
    <t>00:48:46.670000</t>
  </si>
  <si>
    <t>00:49:05.593000</t>
  </si>
  <si>
    <t>00:53:32.350000</t>
  </si>
  <si>
    <t>00:53:25.350000</t>
  </si>
  <si>
    <t>00:53:44.695000</t>
  </si>
  <si>
    <t>01:02:45.732000</t>
  </si>
  <si>
    <t>01:02:38.732000</t>
  </si>
  <si>
    <t>01:03:25.135000</t>
  </si>
  <si>
    <t>01:03:18.135000</t>
  </si>
  <si>
    <t>01:03:47.664000</t>
  </si>
  <si>
    <t>01:03:44.879000</t>
  </si>
  <si>
    <t>01:04:44.934000</t>
  </si>
  <si>
    <t>01:07:26.818000</t>
  </si>
  <si>
    <t>01:07:19.818000</t>
  </si>
  <si>
    <t>01:07:49.181000</t>
  </si>
  <si>
    <t>01:12:14.470000</t>
  </si>
  <si>
    <t>01:12:07.470000</t>
  </si>
  <si>
    <t>01:12:38.527000</t>
  </si>
  <si>
    <t>01:13:06.372000</t>
  </si>
  <si>
    <t>01:12:59.372000</t>
  </si>
  <si>
    <t>01:13:17.387000</t>
  </si>
  <si>
    <t>01:16:09.294000</t>
  </si>
  <si>
    <t>01:16:02.294000</t>
  </si>
  <si>
    <t>01:16:37.569000</t>
  </si>
  <si>
    <t>01:18:16.842000</t>
  </si>
  <si>
    <t>01:18:09.842000</t>
  </si>
  <si>
    <t>01:18:46.530000</t>
  </si>
  <si>
    <t>01:19:10.997000</t>
  </si>
  <si>
    <t>01:19:03.997000</t>
  </si>
  <si>
    <t>01:19:21.507000</t>
  </si>
  <si>
    <t>01:21:14.650000</t>
  </si>
  <si>
    <t>01:21:07.650000</t>
  </si>
  <si>
    <t>01:21:19.380000</t>
  </si>
  <si>
    <t>01:22:25.417000</t>
  </si>
  <si>
    <t>01:22:18.417000</t>
  </si>
  <si>
    <t>01:22:41.016000</t>
  </si>
  <si>
    <t>01:24:40.163000</t>
  </si>
  <si>
    <t>01:24:33.163000</t>
  </si>
  <si>
    <t>01:24:45.600000</t>
  </si>
  <si>
    <t>01:28:17.776000</t>
  </si>
  <si>
    <t>01:28:10.776000</t>
  </si>
  <si>
    <t>01:28:22.466000</t>
  </si>
  <si>
    <t>01:31:43.551000</t>
  </si>
  <si>
    <t>01:31:36.551000</t>
  </si>
  <si>
    <t>01:31:53.781000</t>
  </si>
  <si>
    <t>01:37:50.502000</t>
  </si>
  <si>
    <t>01:37:43.502000</t>
  </si>
  <si>
    <t>01:38:11.179000</t>
  </si>
  <si>
    <t>01:39:55.474000</t>
  </si>
  <si>
    <t>01:39:48.474000</t>
  </si>
  <si>
    <t>01:39:58.711000</t>
  </si>
  <si>
    <t>01:42:39.955000</t>
  </si>
  <si>
    <t>01:42:32.955000</t>
  </si>
  <si>
    <t>01:43:54.739000</t>
  </si>
  <si>
    <t>01:44:58.253000</t>
  </si>
  <si>
    <t>01:44:51.253000</t>
  </si>
  <si>
    <t>01:45:01.508000</t>
  </si>
  <si>
    <t>01:45:23.455000</t>
  </si>
  <si>
    <t>01:45:16.455000</t>
  </si>
  <si>
    <t>01:45:39.370000</t>
  </si>
  <si>
    <t>25 - 15</t>
  </si>
  <si>
    <t>JENNY LEE</t>
  </si>
  <si>
    <t>00:10:07.341000</t>
  </si>
  <si>
    <t>00:10:00.341000</t>
  </si>
  <si>
    <t>00:10:19.173000</t>
  </si>
  <si>
    <t>ORD</t>
  </si>
  <si>
    <t>00:11:42.991000</t>
  </si>
  <si>
    <t>00:11:35.991000</t>
  </si>
  <si>
    <t>00:12:10.567000</t>
  </si>
  <si>
    <t>00:13:35.633000</t>
  </si>
  <si>
    <t>00:13:28.633000</t>
  </si>
  <si>
    <t>00:13:37.391000</t>
  </si>
  <si>
    <t>00:13:48.981000</t>
  </si>
  <si>
    <t>00:13:41.981000</t>
  </si>
  <si>
    <t>00:13:58.457000</t>
  </si>
  <si>
    <t>00:14:04.764000</t>
  </si>
  <si>
    <t>00:13:57.764000</t>
  </si>
  <si>
    <t>00:14:14.779000</t>
  </si>
  <si>
    <t>00:15:04.846000</t>
  </si>
  <si>
    <t>00:14:57.846000</t>
  </si>
  <si>
    <t>00:15:12.157000</t>
  </si>
  <si>
    <t>00:17:41.644000</t>
  </si>
  <si>
    <t>00:17:34.644000</t>
  </si>
  <si>
    <t>00:17:45.997000</t>
  </si>
  <si>
    <t>00:18:37.211000</t>
  </si>
  <si>
    <t>00:18:30.211000</t>
  </si>
  <si>
    <t>00:19:05.549000</t>
  </si>
  <si>
    <t>00:19:04.243000</t>
  </si>
  <si>
    <t>00:18:57.243000</t>
  </si>
  <si>
    <t>00:19:31.452000</t>
  </si>
  <si>
    <t>00:20:10.500000</t>
  </si>
  <si>
    <t>00:20:03.500000</t>
  </si>
  <si>
    <t>00:23:39.566000</t>
  </si>
  <si>
    <t>00:23:32.566000</t>
  </si>
  <si>
    <t>00:23:43.979000</t>
  </si>
  <si>
    <t>00:24:24.427000</t>
  </si>
  <si>
    <t>00:24:17.427000</t>
  </si>
  <si>
    <t>00:24:56.521000</t>
  </si>
  <si>
    <t>00:25:41.947000</t>
  </si>
  <si>
    <t>00:25:34.947000</t>
  </si>
  <si>
    <t>00:26:09.163000</t>
  </si>
  <si>
    <t>00:28:26.032000</t>
  </si>
  <si>
    <t>00:28:19.032000</t>
  </si>
  <si>
    <t>00:29:34.408000</t>
  </si>
  <si>
    <t>00:30:34.203000</t>
  </si>
  <si>
    <t>00:30:27.203000</t>
  </si>
  <si>
    <t>00:30:35.893000</t>
  </si>
  <si>
    <t>00:31:06.077000</t>
  </si>
  <si>
    <t>00:30:59.077000</t>
  </si>
  <si>
    <t>00:32:35.175000</t>
  </si>
  <si>
    <t>00:32:28.175000</t>
  </si>
  <si>
    <t>00:32:36.913000</t>
  </si>
  <si>
    <t>00:34:14.581000</t>
  </si>
  <si>
    <t>00:34:07.581000</t>
  </si>
  <si>
    <t>00:34:31.652000</t>
  </si>
  <si>
    <t>00:38:29.206000</t>
  </si>
  <si>
    <t>00:38:22.206000</t>
  </si>
  <si>
    <t>00:38:58.395000</t>
  </si>
  <si>
    <t>00:40:48.676000</t>
  </si>
  <si>
    <t>00:40:41.676000</t>
  </si>
  <si>
    <t>00:41:40.422000</t>
  </si>
  <si>
    <t>00:47:56.949000</t>
  </si>
  <si>
    <t>00:47:49.949000</t>
  </si>
  <si>
    <t>00:48:23.252000</t>
  </si>
  <si>
    <t>REC_K22</t>
  </si>
  <si>
    <t>00:50:45.333000</t>
  </si>
  <si>
    <t>00:50:38.333000</t>
  </si>
  <si>
    <t>00:51:07.208000</t>
  </si>
  <si>
    <t>00:53:55.586000</t>
  </si>
  <si>
    <t>00:53:48.586000</t>
  </si>
  <si>
    <t>00:54:15.038000</t>
  </si>
  <si>
    <t>00:54:24.820000</t>
  </si>
  <si>
    <t>00:54:17.820000</t>
  </si>
  <si>
    <t>00:54:31.122000</t>
  </si>
  <si>
    <t>00:57:52.973000</t>
  </si>
  <si>
    <t>00:57:45.973000</t>
  </si>
  <si>
    <t>00:58:05.287000</t>
  </si>
  <si>
    <t>00:58:23.148000</t>
  </si>
  <si>
    <t>00:58:16.148000</t>
  </si>
  <si>
    <t>00:58:30.989000</t>
  </si>
  <si>
    <t>01:00:41.578000</t>
  </si>
  <si>
    <t>01:00:34.578000</t>
  </si>
  <si>
    <t>01:00:54.760000</t>
  </si>
  <si>
    <t>01:16:42.279000</t>
  </si>
  <si>
    <t>01:16:35.279000</t>
  </si>
  <si>
    <t>01:16:45.496000</t>
  </si>
  <si>
    <t>01:20:46.923000</t>
  </si>
  <si>
    <t>01:20:39.923000</t>
  </si>
  <si>
    <t>01:20:57.092000</t>
  </si>
  <si>
    <t>01:21:18.037000</t>
  </si>
  <si>
    <t>01:21:11.037000</t>
  </si>
  <si>
    <t>01:22:17.772000</t>
  </si>
  <si>
    <t>01:24:43.626000</t>
  </si>
  <si>
    <t>01:24:36.626000</t>
  </si>
  <si>
    <t>01:25:12.333000</t>
  </si>
  <si>
    <t>01:26:06.020000</t>
  </si>
  <si>
    <t>01:25:59.020000</t>
  </si>
  <si>
    <t>01:26:27.315000</t>
  </si>
  <si>
    <t>01:30:56.173000</t>
  </si>
  <si>
    <t>01:30:49.173000</t>
  </si>
  <si>
    <t>01:31:01.834000</t>
  </si>
  <si>
    <t>01:32:25.469000</t>
  </si>
  <si>
    <t>01:32:18.469000</t>
  </si>
  <si>
    <t>01:33:07.492000</t>
  </si>
  <si>
    <t>01:33:52.899000</t>
  </si>
  <si>
    <t>01:33:45.899000</t>
  </si>
  <si>
    <t>01:34:08.064000</t>
  </si>
  <si>
    <t>01:35:40.226000</t>
  </si>
  <si>
    <t>01:35:33.226000</t>
  </si>
  <si>
    <t>01:36:11.126000</t>
  </si>
  <si>
    <t>01:40:58.758000</t>
  </si>
  <si>
    <t>01:40:51.758000</t>
  </si>
  <si>
    <t>01:41:13.282000</t>
  </si>
  <si>
    <t>01:43:12.085000</t>
  </si>
  <si>
    <t>01:43:05.085000</t>
  </si>
  <si>
    <t>01:43:21.837000</t>
  </si>
  <si>
    <t>01:44:39.547000</t>
  </si>
  <si>
    <t>01:44:32.547000</t>
  </si>
  <si>
    <t>01:44:48.204000</t>
  </si>
  <si>
    <t>01:45:56.281000</t>
  </si>
  <si>
    <t>01:45:49.281000</t>
  </si>
  <si>
    <t>01:46:26.925000</t>
  </si>
  <si>
    <t>01:47:26.956000</t>
  </si>
  <si>
    <t>01:47:19.956000</t>
  </si>
  <si>
    <t>01:48:21.132000</t>
  </si>
  <si>
    <t>01:50:08.301000</t>
  </si>
  <si>
    <t>01:50:01.301000</t>
  </si>
  <si>
    <t>01:50:12.179000</t>
  </si>
  <si>
    <t>01:52:20.385000</t>
  </si>
  <si>
    <t>01:52:13.385000</t>
  </si>
  <si>
    <t>01:53:00.694000</t>
  </si>
  <si>
    <t>01:54:01.434000</t>
  </si>
  <si>
    <t>01:53:54.434000</t>
  </si>
  <si>
    <t>01:54:06.452000</t>
  </si>
  <si>
    <t>01:54:36.732000</t>
  </si>
  <si>
    <t>01:54:29.732000</t>
  </si>
  <si>
    <t>01:54:59.827000</t>
  </si>
  <si>
    <t>01:56:04.652000</t>
  </si>
  <si>
    <t>01:55:57.652000</t>
  </si>
  <si>
    <t>01:56:15.314000</t>
  </si>
  <si>
    <t>00:09:31.110000</t>
  </si>
  <si>
    <t>00:09:24.110000</t>
  </si>
  <si>
    <t>00:09:39.887000</t>
  </si>
  <si>
    <t>LIC</t>
  </si>
  <si>
    <t>00:12:09.855000</t>
  </si>
  <si>
    <t>00:12:02.855000</t>
  </si>
  <si>
    <t>00:12:52.640000</t>
  </si>
  <si>
    <t>00:13:51.202000</t>
  </si>
  <si>
    <t>00:13:55.101000</t>
  </si>
  <si>
    <t>00:13:48.101000</t>
  </si>
  <si>
    <t>00:14:07.316000</t>
  </si>
  <si>
    <t>00:14:50.746000</t>
  </si>
  <si>
    <t>00:14:43.746000</t>
  </si>
  <si>
    <t>00:15:05.374000</t>
  </si>
  <si>
    <t>00:19:03.107000</t>
  </si>
  <si>
    <t>00:18:56.107000</t>
  </si>
  <si>
    <t>00:19:05.294000</t>
  </si>
  <si>
    <t>00:19:32.102000</t>
  </si>
  <si>
    <t>00:19:25.102000</t>
  </si>
  <si>
    <t>00:20:11.196000</t>
  </si>
  <si>
    <t>00:22:02.900000</t>
  </si>
  <si>
    <t>00:21:55.900000</t>
  </si>
  <si>
    <t>00:22:12.222000</t>
  </si>
  <si>
    <t>00:25:31.867000</t>
  </si>
  <si>
    <t>00:25:24.867000</t>
  </si>
  <si>
    <t>00:25:39.941000</t>
  </si>
  <si>
    <t>00:27:00.178000</t>
  </si>
  <si>
    <t>00:26:53.178000</t>
  </si>
  <si>
    <t>00:27:37.538000</t>
  </si>
  <si>
    <t>00:31:05.006000</t>
  </si>
  <si>
    <t>00:30:58.006000</t>
  </si>
  <si>
    <t>00:32:34.260000</t>
  </si>
  <si>
    <t>00:34:10.392000</t>
  </si>
  <si>
    <t>00:34:03.392000</t>
  </si>
  <si>
    <t>00:34:18.226000</t>
  </si>
  <si>
    <t>00:34:29.070000</t>
  </si>
  <si>
    <t>00:34:22.070000</t>
  </si>
  <si>
    <t>00:35:15.859000</t>
  </si>
  <si>
    <t>00:39:37.688000</t>
  </si>
  <si>
    <t>00:39:30.688000</t>
  </si>
  <si>
    <t>00:39:59.181000</t>
  </si>
  <si>
    <t>00:49:07.825000</t>
  </si>
  <si>
    <t>00:49:00.825000</t>
  </si>
  <si>
    <t>00:49:28.326000</t>
  </si>
  <si>
    <t>00:50:03</t>
  </si>
  <si>
    <t>00:49:56</t>
  </si>
  <si>
    <t>00:50:46.233000</t>
  </si>
  <si>
    <t>REC_KI</t>
  </si>
  <si>
    <t>00:50:55.009000</t>
  </si>
  <si>
    <t>00:50:48.009000</t>
  </si>
  <si>
    <t>00:51:38.413000</t>
  </si>
  <si>
    <t>00:53:31.389000</t>
  </si>
  <si>
    <t>00:53:24.389000</t>
  </si>
  <si>
    <t>00:53:56.923000</t>
  </si>
  <si>
    <t>00:54:12.019000</t>
  </si>
  <si>
    <t>00:54:05.019000</t>
  </si>
  <si>
    <t>00:54:26.222000</t>
  </si>
  <si>
    <t>00:55:07.418000</t>
  </si>
  <si>
    <t>00:55:00.418000</t>
  </si>
  <si>
    <t>00:55:36.049000</t>
  </si>
  <si>
    <t>00:57:18.509000</t>
  </si>
  <si>
    <t>00:57:11.509000</t>
  </si>
  <si>
    <t>00:57:26.634000</t>
  </si>
  <si>
    <t>00:58:07.357000</t>
  </si>
  <si>
    <t>00:58:00.357000</t>
  </si>
  <si>
    <t>00:58:27.182000</t>
  </si>
  <si>
    <t>00:59:01.334000</t>
  </si>
  <si>
    <t>00:58:54.334000</t>
  </si>
  <si>
    <t>00:59:41.072000</t>
  </si>
  <si>
    <t>00:59:39.543000</t>
  </si>
  <si>
    <t>00:59:32.543000</t>
  </si>
  <si>
    <t>01:16:49.604000</t>
  </si>
  <si>
    <t>01:16:42.604000</t>
  </si>
  <si>
    <t>01:18:24.030000</t>
  </si>
  <si>
    <t>01:19:52.442000</t>
  </si>
  <si>
    <t>01:19:45.442000</t>
  </si>
  <si>
    <t>01:19:58.886000</t>
  </si>
  <si>
    <t>01:20:31.390000</t>
  </si>
  <si>
    <t>01:20:24.390000</t>
  </si>
  <si>
    <t>01:20:47.772000</t>
  </si>
  <si>
    <t>01:20:53.123000</t>
  </si>
  <si>
    <t>01:20:46.123000</t>
  </si>
  <si>
    <t>01:21:20.440000</t>
  </si>
  <si>
    <t>01:24:31.951000</t>
  </si>
  <si>
    <t>01:24:24.951000</t>
  </si>
  <si>
    <t>01:24:45.870000</t>
  </si>
  <si>
    <t>01:25:51.961000</t>
  </si>
  <si>
    <t>01:25:44.961000</t>
  </si>
  <si>
    <t>01:26:05.252000</t>
  </si>
  <si>
    <t>01:27:43.403000</t>
  </si>
  <si>
    <t>01:27:36.403000</t>
  </si>
  <si>
    <t>01:27:55.018000</t>
  </si>
  <si>
    <t>01:28:47.299000</t>
  </si>
  <si>
    <t>01:28:40.299000</t>
  </si>
  <si>
    <t>01:29:15.774000</t>
  </si>
  <si>
    <t>01:30:17.731000</t>
  </si>
  <si>
    <t>01:30:10.731000</t>
  </si>
  <si>
    <t>01:30:24.139000</t>
  </si>
  <si>
    <t>01:30:48.950000</t>
  </si>
  <si>
    <t>01:30:41.950000</t>
  </si>
  <si>
    <t>01:30:57.112000</t>
  </si>
  <si>
    <t>01:31:01.190000</t>
  </si>
  <si>
    <t>01:30:54.190000</t>
  </si>
  <si>
    <t>01:31:16.388000</t>
  </si>
  <si>
    <t>01:36:09.133000</t>
  </si>
  <si>
    <t>01:36:02.133000</t>
  </si>
  <si>
    <t>01:36:38.849000</t>
  </si>
  <si>
    <t>01:38:26.043000</t>
  </si>
  <si>
    <t>01:38:19.043000</t>
  </si>
  <si>
    <t>01:38:44.680000</t>
  </si>
  <si>
    <t>01:40:55.624000</t>
  </si>
  <si>
    <t>01:40:48.624000</t>
  </si>
  <si>
    <t>01:42:42.743000</t>
  </si>
  <si>
    <t>01:42:35.743000</t>
  </si>
  <si>
    <t>01:43:24.767000</t>
  </si>
  <si>
    <t>01:43:17.767000</t>
  </si>
  <si>
    <t>01:43:31.768000</t>
  </si>
  <si>
    <t>01:44:17.957000</t>
  </si>
  <si>
    <t>01:44:10.957000</t>
  </si>
  <si>
    <t>01:44:38.373000</t>
  </si>
  <si>
    <t>01:44:47.105000</t>
  </si>
  <si>
    <t>01:44:40.105000</t>
  </si>
  <si>
    <t>01:45:12.210000</t>
  </si>
  <si>
    <t>01:51:11.001000</t>
  </si>
  <si>
    <t>01:51:04.001000</t>
  </si>
  <si>
    <t>01:51:48.596000</t>
  </si>
  <si>
    <t>01:55:55.086000</t>
  </si>
  <si>
    <t>01:55:48.086000</t>
  </si>
  <si>
    <t>01:56:05.382000</t>
  </si>
  <si>
    <t>01:57:01.363000</t>
  </si>
  <si>
    <t>01:56:54.363000</t>
  </si>
  <si>
    <t>01:57:34.095000</t>
  </si>
  <si>
    <t>01:59:36.294000</t>
  </si>
  <si>
    <t>01:59:29.294000</t>
  </si>
  <si>
    <t>02:00:36.810000</t>
  </si>
  <si>
    <t>P OUR 047</t>
  </si>
  <si>
    <t>02:00:50.557000</t>
  </si>
  <si>
    <t>02:00:43.557000</t>
  </si>
  <si>
    <t>02:01:58.493000</t>
  </si>
  <si>
    <t>P OUR 048</t>
  </si>
  <si>
    <t>02:03:28.408000</t>
  </si>
  <si>
    <t>02:03:21.408000</t>
  </si>
  <si>
    <t>02:03:34.092000</t>
  </si>
  <si>
    <t>20 - 39</t>
  </si>
  <si>
    <t>JOSE LUIS MURILLO GARCIA-GIL</t>
  </si>
  <si>
    <t>00:06:14.434000</t>
  </si>
  <si>
    <t>00:06:07.434000</t>
  </si>
  <si>
    <t>00:06:35.308000</t>
  </si>
  <si>
    <t>POZ</t>
  </si>
  <si>
    <t>00:08:36.936000</t>
  </si>
  <si>
    <t>00:08:29.936000</t>
  </si>
  <si>
    <t>00:08:38.468000</t>
  </si>
  <si>
    <t>00:08:55.864000</t>
  </si>
  <si>
    <t>00:08:48.864000</t>
  </si>
  <si>
    <t>00:09:15.464000</t>
  </si>
  <si>
    <t>00:09:22.121000</t>
  </si>
  <si>
    <t>00:09:15.121000</t>
  </si>
  <si>
    <t>00:09:23.902000</t>
  </si>
  <si>
    <t>00:12:38.866000</t>
  </si>
  <si>
    <t>00:12:31.866000</t>
  </si>
  <si>
    <t>00:12:58.604000</t>
  </si>
  <si>
    <t>00:13:20.185000</t>
  </si>
  <si>
    <t>00:13:13.185000</t>
  </si>
  <si>
    <t>00:13:51.752000</t>
  </si>
  <si>
    <t>00:15:45.691000</t>
  </si>
  <si>
    <t>00:15:38.691000</t>
  </si>
  <si>
    <t>00:16:13.790000</t>
  </si>
  <si>
    <t>00:16:53.064000</t>
  </si>
  <si>
    <t>00:16:46.064000</t>
  </si>
  <si>
    <t>00:17:03.760000</t>
  </si>
  <si>
    <t>00:17:40.908000</t>
  </si>
  <si>
    <t>00:17:33.908000</t>
  </si>
  <si>
    <t>00:18:21.745000</t>
  </si>
  <si>
    <t>00:22:07.998000</t>
  </si>
  <si>
    <t>00:22:00.998000</t>
  </si>
  <si>
    <t>00:22:22.915000</t>
  </si>
  <si>
    <t>00:23:10.925000</t>
  </si>
  <si>
    <t>00:23:03.925000</t>
  </si>
  <si>
    <t>00:23:14.368000</t>
  </si>
  <si>
    <t>00:23:59.621000</t>
  </si>
  <si>
    <t>00:23:52.621000</t>
  </si>
  <si>
    <t>00:24:12.016000</t>
  </si>
  <si>
    <t>00:25:16.001000</t>
  </si>
  <si>
    <t>00:25:09.001000</t>
  </si>
  <si>
    <t>00:25:17.077000</t>
  </si>
  <si>
    <t>00:25:57.829000</t>
  </si>
  <si>
    <t>00:25:50.829000</t>
  </si>
  <si>
    <t>00:26:06.804000</t>
  </si>
  <si>
    <t>00:28:43.706000</t>
  </si>
  <si>
    <t>00:28:36.706000</t>
  </si>
  <si>
    <t>00:28:56.890000</t>
  </si>
  <si>
    <t>00:30:49.476000</t>
  </si>
  <si>
    <t>00:30:42.476000</t>
  </si>
  <si>
    <t>00:31:00.532000</t>
  </si>
  <si>
    <t>00:32:50.076000</t>
  </si>
  <si>
    <t>00:32:43.076000</t>
  </si>
  <si>
    <t>00:32:59.429000</t>
  </si>
  <si>
    <t>00:39:47.219000</t>
  </si>
  <si>
    <t>00:39:40.219000</t>
  </si>
  <si>
    <t>00:40:31.324000</t>
  </si>
  <si>
    <t>00:41:02.316000</t>
  </si>
  <si>
    <t>00:40:55.316000</t>
  </si>
  <si>
    <t>00:41:11.475000</t>
  </si>
  <si>
    <t>00:41:44.225000</t>
  </si>
  <si>
    <t>00:41:37.225000</t>
  </si>
  <si>
    <t>00:42:26.190000</t>
  </si>
  <si>
    <t>00:43:30.692000</t>
  </si>
  <si>
    <t>00:43:23.692000</t>
  </si>
  <si>
    <t>00:43:31.688000</t>
  </si>
  <si>
    <t>01:02:30.660000</t>
  </si>
  <si>
    <t>01:02:23.660000</t>
  </si>
  <si>
    <t>01:02:37.991000</t>
  </si>
  <si>
    <t>01:04:19.107000</t>
  </si>
  <si>
    <t>01:04:12.107000</t>
  </si>
  <si>
    <t>01:04:32.227000</t>
  </si>
  <si>
    <t>01:04:37.085000</t>
  </si>
  <si>
    <t>01:04:30.085000</t>
  </si>
  <si>
    <t>01:04:45.118000</t>
  </si>
  <si>
    <t>01:07:01.095000</t>
  </si>
  <si>
    <t>01:06:54.095000</t>
  </si>
  <si>
    <t>01:07:22.975000</t>
  </si>
  <si>
    <t>01:11:22.750000</t>
  </si>
  <si>
    <t>01:11:15.750000</t>
  </si>
  <si>
    <t>01:11:27.425000</t>
  </si>
  <si>
    <t>01:14:13.402000</t>
  </si>
  <si>
    <t>01:14:06.402000</t>
  </si>
  <si>
    <t>01:14:22.679000</t>
  </si>
  <si>
    <t>01:14:50.312000</t>
  </si>
  <si>
    <t>01:14:43.312000</t>
  </si>
  <si>
    <t>01:14:57.602000</t>
  </si>
  <si>
    <t>01:15:52.972000</t>
  </si>
  <si>
    <t>01:15:45.972000</t>
  </si>
  <si>
    <t>01:16:23.941000</t>
  </si>
  <si>
    <t>01:16:32.959000</t>
  </si>
  <si>
    <t>01:16:25.959000</t>
  </si>
  <si>
    <t>01:16:47.302000</t>
  </si>
  <si>
    <t>01:16:52.931000</t>
  </si>
  <si>
    <t>01:16:45.931000</t>
  </si>
  <si>
    <t>01:16:59.655000</t>
  </si>
  <si>
    <t>01:19:57.933000</t>
  </si>
  <si>
    <t>01:19:50.933000</t>
  </si>
  <si>
    <t>01:20:28.485000</t>
  </si>
  <si>
    <t>01:22:22.383000</t>
  </si>
  <si>
    <t>01:22:15.383000</t>
  </si>
  <si>
    <t>01:22:30.634000</t>
  </si>
  <si>
    <t>01:23:20.469000</t>
  </si>
  <si>
    <t>01:23:13.469000</t>
  </si>
  <si>
    <t>01:23:23.419000</t>
  </si>
  <si>
    <t>01:25:10.557000</t>
  </si>
  <si>
    <t>01:25:03.557000</t>
  </si>
  <si>
    <t>01:25:27.003000</t>
  </si>
  <si>
    <t>01:27:24.941000</t>
  </si>
  <si>
    <t>01:27:17.941000</t>
  </si>
  <si>
    <t>01:27:25.505000</t>
  </si>
  <si>
    <t>01:32:30.140000</t>
  </si>
  <si>
    <t>01:32:23.140000</t>
  </si>
  <si>
    <t>01:32:35.189000</t>
  </si>
  <si>
    <t>01:33:26.927000</t>
  </si>
  <si>
    <t>01:33:19.927000</t>
  </si>
  <si>
    <t>01:33:34.992000</t>
  </si>
  <si>
    <t>01:36:42.572000</t>
  </si>
  <si>
    <t>01:36:35.572000</t>
  </si>
  <si>
    <t>01:36:45.488000</t>
  </si>
  <si>
    <t>01:41:57.011000</t>
  </si>
  <si>
    <t>01:41:50.011000</t>
  </si>
  <si>
    <t>01:42:01.101000</t>
  </si>
  <si>
    <t>01:44:16.807000</t>
  </si>
  <si>
    <t>01:44:09.807000</t>
  </si>
  <si>
    <t>01:44:57.785000</t>
  </si>
  <si>
    <t>01:45:17.844000</t>
  </si>
  <si>
    <t>01:45:10.844000</t>
  </si>
  <si>
    <t>01:45:42.315000</t>
  </si>
  <si>
    <t>01:46:59.068000</t>
  </si>
  <si>
    <t>01:46:52.068000</t>
  </si>
  <si>
    <t>01:47:07.123000</t>
  </si>
  <si>
    <t>01:47:51.834000</t>
  </si>
  <si>
    <t>01:47:44.834000</t>
  </si>
  <si>
    <t>01:48:14.682000</t>
  </si>
  <si>
    <t>01:49:48.001000</t>
  </si>
  <si>
    <t>01:49:41.001000</t>
  </si>
  <si>
    <t>01:49:57.599000</t>
  </si>
  <si>
    <t>00:01:15.663000</t>
  </si>
  <si>
    <t>00:01:08.663000</t>
  </si>
  <si>
    <t>00:01:55.208000</t>
  </si>
  <si>
    <t>UBU</t>
  </si>
  <si>
    <t>00:02:39.631000</t>
  </si>
  <si>
    <t>00:02:32.631000</t>
  </si>
  <si>
    <t>00:02:57.651000</t>
  </si>
  <si>
    <t>00:03:39.029000</t>
  </si>
  <si>
    <t>00:03:32.029000</t>
  </si>
  <si>
    <t>00:03:53.046000</t>
  </si>
  <si>
    <t>00:05:25.224000</t>
  </si>
  <si>
    <t>00:05:18.224000</t>
  </si>
  <si>
    <t>00:05:29.550000</t>
  </si>
  <si>
    <t>00:05:25.855000</t>
  </si>
  <si>
    <t>00:05:18.855000</t>
  </si>
  <si>
    <t>00:05:32.347000</t>
  </si>
  <si>
    <t>00:07:11.308000</t>
  </si>
  <si>
    <t>00:07:04.308000</t>
  </si>
  <si>
    <t>00:07:18.301000</t>
  </si>
  <si>
    <t>00:08:12.184000</t>
  </si>
  <si>
    <t>00:08:05.184000</t>
  </si>
  <si>
    <t>00:08:37.401000</t>
  </si>
  <si>
    <t>00:08:39.629000</t>
  </si>
  <si>
    <t>00:08:32.629000</t>
  </si>
  <si>
    <t>00:08:56.608000</t>
  </si>
  <si>
    <t>00:09:13.821000</t>
  </si>
  <si>
    <t>00:09:06.821000</t>
  </si>
  <si>
    <t>00:10:11.257000</t>
  </si>
  <si>
    <t>00:10:04.257000</t>
  </si>
  <si>
    <t>00:10:16.944000</t>
  </si>
  <si>
    <t>00:11:18.158000</t>
  </si>
  <si>
    <t>00:11:11.158000</t>
  </si>
  <si>
    <t>00:11:22.590000</t>
  </si>
  <si>
    <t>00:11:52.815000</t>
  </si>
  <si>
    <t>00:11:45.815000</t>
  </si>
  <si>
    <t>00:12:01.517000</t>
  </si>
  <si>
    <t>00:14:40.178000</t>
  </si>
  <si>
    <t>00:14:33.178000</t>
  </si>
  <si>
    <t>00:14:45.475000</t>
  </si>
  <si>
    <t>00:19:59.573000</t>
  </si>
  <si>
    <t>00:19:52.573000</t>
  </si>
  <si>
    <t>00:20:08.606000</t>
  </si>
  <si>
    <t>00:23:07.368000</t>
  </si>
  <si>
    <t>00:23:18.913000</t>
  </si>
  <si>
    <t>00:25:51.838000</t>
  </si>
  <si>
    <t>00:25:44.838000</t>
  </si>
  <si>
    <t>00:25:57.398000</t>
  </si>
  <si>
    <t>00:27:06.856000</t>
  </si>
  <si>
    <t>00:26:59.856000</t>
  </si>
  <si>
    <t>00:27:10.711000</t>
  </si>
  <si>
    <t>00:28:29.885000</t>
  </si>
  <si>
    <t>00:28:22.885000</t>
  </si>
  <si>
    <t>00:28:44.202000</t>
  </si>
  <si>
    <t>00:29:44.190000</t>
  </si>
  <si>
    <t>00:29:37.190000</t>
  </si>
  <si>
    <t>00:29:56.340000</t>
  </si>
  <si>
    <t>00:30:58.744000</t>
  </si>
  <si>
    <t>00:30:51.744000</t>
  </si>
  <si>
    <t>00:31:20.618000</t>
  </si>
  <si>
    <t>00:32:52.429000</t>
  </si>
  <si>
    <t>00:33:44.501000</t>
  </si>
  <si>
    <t>00:35:28.328000</t>
  </si>
  <si>
    <t>00:35:21.328000</t>
  </si>
  <si>
    <t>00:35:54.938000</t>
  </si>
  <si>
    <t>00:36:47.234000</t>
  </si>
  <si>
    <t>00:36:40.234000</t>
  </si>
  <si>
    <t>00:37:07.837000</t>
  </si>
  <si>
    <t>00:39:00.200000</t>
  </si>
  <si>
    <t>00:38:53.200000</t>
  </si>
  <si>
    <t>00:39:19.949000</t>
  </si>
  <si>
    <t>00:41:10.977000</t>
  </si>
  <si>
    <t>00:41:03.977000</t>
  </si>
  <si>
    <t>00:41:17.951000</t>
  </si>
  <si>
    <t>01:02:14.715000</t>
  </si>
  <si>
    <t>01:02:07.715000</t>
  </si>
  <si>
    <t>01:02:31.626000</t>
  </si>
  <si>
    <t>01:02:36.861000</t>
  </si>
  <si>
    <t>01:02:29.861000</t>
  </si>
  <si>
    <t>01:02:57.994000</t>
  </si>
  <si>
    <t>01:04:28.522000</t>
  </si>
  <si>
    <t>01:04:21.522000</t>
  </si>
  <si>
    <t>01:04:38.758000</t>
  </si>
  <si>
    <t>01:04:42.480000</t>
  </si>
  <si>
    <t>01:04:35.480000</t>
  </si>
  <si>
    <t>01:04:47.745000</t>
  </si>
  <si>
    <t>01:07:21.755000</t>
  </si>
  <si>
    <t>01:07:14.755000</t>
  </si>
  <si>
    <t>01:07:35.682000</t>
  </si>
  <si>
    <t>01:08:34.707000</t>
  </si>
  <si>
    <t>01:08:27.707000</t>
  </si>
  <si>
    <t>01:09:12.034000</t>
  </si>
  <si>
    <t>01:10:13.787000</t>
  </si>
  <si>
    <t>01:10:06.787000</t>
  </si>
  <si>
    <t>01:10:20.617000</t>
  </si>
  <si>
    <t>01:10:55.636000</t>
  </si>
  <si>
    <t>01:10:48.636000</t>
  </si>
  <si>
    <t>01:11:25.600000</t>
  </si>
  <si>
    <t>01:12:11.329000</t>
  </si>
  <si>
    <t>01:12:04.329000</t>
  </si>
  <si>
    <t>01:12:43.080000</t>
  </si>
  <si>
    <t>01:14:21.825000</t>
  </si>
  <si>
    <t>01:14:14.825000</t>
  </si>
  <si>
    <t>01:14:50.152000</t>
  </si>
  <si>
    <t>01:15:44.779000</t>
  </si>
  <si>
    <t>01:15:37.779000</t>
  </si>
  <si>
    <t>01:15:52.503000</t>
  </si>
  <si>
    <t>01:16:23.052000</t>
  </si>
  <si>
    <t>01:16:16.052000</t>
  </si>
  <si>
    <t>01:16:34.502000</t>
  </si>
  <si>
    <t>01:16:45.764000</t>
  </si>
  <si>
    <t>01:16:38.764000</t>
  </si>
  <si>
    <t>01:16:55.467000</t>
  </si>
  <si>
    <t>01:23:22.487000</t>
  </si>
  <si>
    <t>01:23:15.487000</t>
  </si>
  <si>
    <t>01:23:34.920000</t>
  </si>
  <si>
    <t>01:24:32.580000</t>
  </si>
  <si>
    <t>01:24:25.580000</t>
  </si>
  <si>
    <t>01:24:37.684000</t>
  </si>
  <si>
    <t>01:25:03.462000</t>
  </si>
  <si>
    <t>01:24:56.462000</t>
  </si>
  <si>
    <t>01:25:11.807000</t>
  </si>
  <si>
    <t>01:26:21.652000</t>
  </si>
  <si>
    <t>01:26:14.652000</t>
  </si>
  <si>
    <t>01:26:31.685000</t>
  </si>
  <si>
    <t>01:27:05.354000</t>
  </si>
  <si>
    <t>01:26:58.354000</t>
  </si>
  <si>
    <t>01:27:23.654000</t>
  </si>
  <si>
    <t>01:27:16.654000</t>
  </si>
  <si>
    <t>01:28:14.841000</t>
  </si>
  <si>
    <t>01:29:14.900000</t>
  </si>
  <si>
    <t>01:29:07.900000</t>
  </si>
  <si>
    <t>01:29:20.364000</t>
  </si>
  <si>
    <t>01:30:04.376000</t>
  </si>
  <si>
    <t>01:29:57.376000</t>
  </si>
  <si>
    <t>01:30:17.348000</t>
  </si>
  <si>
    <t>01:31:53.547000</t>
  </si>
  <si>
    <t>01:31:46.547000</t>
  </si>
  <si>
    <t>01:31:58.860000</t>
  </si>
  <si>
    <t>01:33:28.951000</t>
  </si>
  <si>
    <t>01:33:21.951000</t>
  </si>
  <si>
    <t>01:33:43.105000</t>
  </si>
  <si>
    <t>P OPP 049</t>
  </si>
  <si>
    <t>01:34:53.345000</t>
  </si>
  <si>
    <t>01:34:46.345000</t>
  </si>
  <si>
    <t>01:35:15.254000</t>
  </si>
  <si>
    <t>P OPP 050</t>
  </si>
  <si>
    <t>01:37:52.871000</t>
  </si>
  <si>
    <t>01:37:45.871000</t>
  </si>
  <si>
    <t>01:38:18.361000</t>
  </si>
  <si>
    <t>P OPP 051</t>
  </si>
  <si>
    <t>01:40:31.848000</t>
  </si>
  <si>
    <t>01:40:24.848000</t>
  </si>
  <si>
    <t>01:40:57.919000</t>
  </si>
  <si>
    <t>P OPP 052</t>
  </si>
  <si>
    <t>01:42:35.798000</t>
  </si>
  <si>
    <t>01:42:28.798000</t>
  </si>
  <si>
    <t>01:43:07.314000</t>
  </si>
  <si>
    <t>P OPP 053</t>
  </si>
  <si>
    <t>01:44:58.419000</t>
  </si>
  <si>
    <t>01:44:51.419000</t>
  </si>
  <si>
    <t>01:45:20.774000</t>
  </si>
  <si>
    <t>P OPP 054</t>
  </si>
  <si>
    <t>01:49:56.753000</t>
  </si>
  <si>
    <t>01:49:49.753000</t>
  </si>
  <si>
    <t>01:50:07.899000</t>
  </si>
  <si>
    <t>30 - 22</t>
  </si>
  <si>
    <t>ALFONSO MIRAT SERVAN</t>
  </si>
  <si>
    <t>00:09:47.960000</t>
  </si>
  <si>
    <t>00:09:40.960000</t>
  </si>
  <si>
    <t>00:11:14.621000</t>
  </si>
  <si>
    <t>UES</t>
  </si>
  <si>
    <t>00:13:38.708000</t>
  </si>
  <si>
    <t>00:13:31.708000</t>
  </si>
  <si>
    <t>00:13:41.209000</t>
  </si>
  <si>
    <t>00:14:13.693000</t>
  </si>
  <si>
    <t>00:14:06.693000</t>
  </si>
  <si>
    <t>00:14:18.497000</t>
  </si>
  <si>
    <t>00:17:59.404000</t>
  </si>
  <si>
    <t>00:17:52.404000</t>
  </si>
  <si>
    <t>00:18:08.725000</t>
  </si>
  <si>
    <t>00:18:48.721000</t>
  </si>
  <si>
    <t>00:18:41.721000</t>
  </si>
  <si>
    <t>00:19:18.973000</t>
  </si>
  <si>
    <t>00:20:57.822000</t>
  </si>
  <si>
    <t>00:20:50.822000</t>
  </si>
  <si>
    <t>00:21:04.799000</t>
  </si>
  <si>
    <t>00:22:43.604000</t>
  </si>
  <si>
    <t>00:22:36.604000</t>
  </si>
  <si>
    <t>00:23:22.889000</t>
  </si>
  <si>
    <t>00:29:43.025000</t>
  </si>
  <si>
    <t>00:29:36.025000</t>
  </si>
  <si>
    <t>00:29:46.535000</t>
  </si>
  <si>
    <t>00:30:39.596000</t>
  </si>
  <si>
    <t>00:30:32.596000</t>
  </si>
  <si>
    <t>00:30:48.330000</t>
  </si>
  <si>
    <t>00:31:37.906000</t>
  </si>
  <si>
    <t>00:31:30.906000</t>
  </si>
  <si>
    <t>00:32:01.657000</t>
  </si>
  <si>
    <t>00:32:08.473000</t>
  </si>
  <si>
    <t>00:32:01.473000</t>
  </si>
  <si>
    <t>00:32:48.988000</t>
  </si>
  <si>
    <t>00:36:18.570000</t>
  </si>
  <si>
    <t>00:36:11.570000</t>
  </si>
  <si>
    <t>00:36:30.002000</t>
  </si>
  <si>
    <t>00:38:11.157000</t>
  </si>
  <si>
    <t>00:38:04.157000</t>
  </si>
  <si>
    <t>00:38:22.394000</t>
  </si>
  <si>
    <t>00:38:27.073000</t>
  </si>
  <si>
    <t>00:38:20.073000</t>
  </si>
  <si>
    <t>00:38:35.638000</t>
  </si>
  <si>
    <t>00:38:50.498000</t>
  </si>
  <si>
    <t>00:38:43.498000</t>
  </si>
  <si>
    <t>00:38:57.815000</t>
  </si>
  <si>
    <t>00:39:39.647000</t>
  </si>
  <si>
    <t>00:39:32.647000</t>
  </si>
  <si>
    <t>00:40:20.018000</t>
  </si>
  <si>
    <t>00:41:12.921000</t>
  </si>
  <si>
    <t>00:41:05.921000</t>
  </si>
  <si>
    <t>00:41:21.366000</t>
  </si>
  <si>
    <t>00:42:31.423000</t>
  </si>
  <si>
    <t>00:42:24.423000</t>
  </si>
  <si>
    <t>00:43:00.608000</t>
  </si>
  <si>
    <t>00:44:52.695000</t>
  </si>
  <si>
    <t>00:44:45.695000</t>
  </si>
  <si>
    <t>00:45:01.108000</t>
  </si>
  <si>
    <t>00:49:39.341000</t>
  </si>
  <si>
    <t>00:49:32.341000</t>
  </si>
  <si>
    <t>00:49:58.558000</t>
  </si>
  <si>
    <t>00:53:36.319000</t>
  </si>
  <si>
    <t>00:53:29.319000</t>
  </si>
  <si>
    <t>00:53:50.589000</t>
  </si>
  <si>
    <t>00:54:25.356000</t>
  </si>
  <si>
    <t>00:54:18.356000</t>
  </si>
  <si>
    <t>00:54:32.165000</t>
  </si>
  <si>
    <t>01:14:13.956000</t>
  </si>
  <si>
    <t>01:14:06.956000</t>
  </si>
  <si>
    <t>01:14:26.599000</t>
  </si>
  <si>
    <t>01:16:31.378000</t>
  </si>
  <si>
    <t>01:16:24.378000</t>
  </si>
  <si>
    <t>01:16:40.311000</t>
  </si>
  <si>
    <t>01:16:47.318000</t>
  </si>
  <si>
    <t>01:16:40.318000</t>
  </si>
  <si>
    <t>01:16:55.601000</t>
  </si>
  <si>
    <t>01:17:51.537000</t>
  </si>
  <si>
    <t>01:17:44.537000</t>
  </si>
  <si>
    <t>01:18:18.821000</t>
  </si>
  <si>
    <t>01:22:40.964000</t>
  </si>
  <si>
    <t>01:22:33.964000</t>
  </si>
  <si>
    <t>01:22:48.743000</t>
  </si>
  <si>
    <t>01:23:29.085000</t>
  </si>
  <si>
    <t>01:23:22.085000</t>
  </si>
  <si>
    <t>01:23:36.505000</t>
  </si>
  <si>
    <t>01:26:37.222000</t>
  </si>
  <si>
    <t>01:26:30.222000</t>
  </si>
  <si>
    <t>01:27:24.874000</t>
  </si>
  <si>
    <t>01:29:36.947000</t>
  </si>
  <si>
    <t>01:29:29.947000</t>
  </si>
  <si>
    <t>01:29:44.502000</t>
  </si>
  <si>
    <t>01:32:44.508000</t>
  </si>
  <si>
    <t>01:32:37.508000</t>
  </si>
  <si>
    <t>01:33:35.388000</t>
  </si>
  <si>
    <t>01:35:03.775000</t>
  </si>
  <si>
    <t>01:34:56.775000</t>
  </si>
  <si>
    <t>01:35:32.871000</t>
  </si>
  <si>
    <t>01:36:23.050000</t>
  </si>
  <si>
    <t>01:36:16.050000</t>
  </si>
  <si>
    <t>01:37:31.476000</t>
  </si>
  <si>
    <t>01:37:24.476000</t>
  </si>
  <si>
    <t>01:38:01.437000</t>
  </si>
  <si>
    <t>01:39:36.268000</t>
  </si>
  <si>
    <t>01:39:29.268000</t>
  </si>
  <si>
    <t>01:39:45.028000</t>
  </si>
  <si>
    <t>01:41:29.675000</t>
  </si>
  <si>
    <t>01:41:22.675000</t>
  </si>
  <si>
    <t>01:41:46.437000</t>
  </si>
  <si>
    <t>01:44:26.426000</t>
  </si>
  <si>
    <t>01:44:19.426000</t>
  </si>
  <si>
    <t>01:44:32.207000</t>
  </si>
  <si>
    <t>01:45:28.290000</t>
  </si>
  <si>
    <t>01:45:21.290000</t>
  </si>
  <si>
    <t>01:45:50.940000</t>
  </si>
  <si>
    <t>01:50:45.237000</t>
  </si>
  <si>
    <t>01:50:38.237000</t>
  </si>
  <si>
    <t>01:50:54.791000</t>
  </si>
  <si>
    <t>01:51:29.671000</t>
  </si>
  <si>
    <t>01:51:22.671000</t>
  </si>
  <si>
    <t>01:51:57.165000</t>
  </si>
  <si>
    <t>01:52:08.404000</t>
  </si>
  <si>
    <t>01:52:01.404000</t>
  </si>
  <si>
    <t>01:52:36.595000</t>
  </si>
  <si>
    <t>01:54:27.957000</t>
  </si>
  <si>
    <t>01:54:20.957000</t>
  </si>
  <si>
    <t>01:54:38.473000</t>
  </si>
  <si>
    <t>01:56:38.767000</t>
  </si>
  <si>
    <t>01:56:31.767000</t>
  </si>
  <si>
    <t>01:56:58.485000</t>
  </si>
  <si>
    <t>01:58:20.316000</t>
  </si>
  <si>
    <t>01:58:13.316000</t>
  </si>
  <si>
    <t>01:58:30.553000</t>
  </si>
  <si>
    <t>02:02:58.624000</t>
  </si>
  <si>
    <t>02:02:51.624000</t>
  </si>
  <si>
    <t>02:03:36.174000</t>
  </si>
  <si>
    <t>02:06:23.016000</t>
  </si>
  <si>
    <t>02:06:16.016000</t>
  </si>
  <si>
    <t>02:06:40.813000</t>
  </si>
  <si>
    <t>00:09:17.437000</t>
  </si>
  <si>
    <t>00:09:10.437000</t>
  </si>
  <si>
    <t>00:09:51.065000</t>
  </si>
  <si>
    <t>SAL</t>
  </si>
  <si>
    <t>00:12:26.886000</t>
  </si>
  <si>
    <t>00:12:19.886000</t>
  </si>
  <si>
    <t>00:12:34.933000</t>
  </si>
  <si>
    <t>00:15:36.870000</t>
  </si>
  <si>
    <t>00:16:32.461000</t>
  </si>
  <si>
    <t>00:16:25.461000</t>
  </si>
  <si>
    <t>00:16:35.168000</t>
  </si>
  <si>
    <t>00:17:11.098000</t>
  </si>
  <si>
    <t>00:17:04.098000</t>
  </si>
  <si>
    <t>00:17:17.795000</t>
  </si>
  <si>
    <t>00:18:03.558000</t>
  </si>
  <si>
    <t>00:17:56.558000</t>
  </si>
  <si>
    <t>00:18:05.700000</t>
  </si>
  <si>
    <t>00:21:05.657000</t>
  </si>
  <si>
    <t>00:20:58.657000</t>
  </si>
  <si>
    <t>00:21:52.014000</t>
  </si>
  <si>
    <t>00:23:18.791000</t>
  </si>
  <si>
    <t>00:23:11.791000</t>
  </si>
  <si>
    <t>00:23:30.113000</t>
  </si>
  <si>
    <t>00:24:09.067000</t>
  </si>
  <si>
    <t>00:24:02.067000</t>
  </si>
  <si>
    <t>00:24:30.944000</t>
  </si>
  <si>
    <t>00:25:07.972000</t>
  </si>
  <si>
    <t>00:25:00.972000</t>
  </si>
  <si>
    <t>00:25:58.085000</t>
  </si>
  <si>
    <t>00:27:04.786000</t>
  </si>
  <si>
    <t>00:26:57.786000</t>
  </si>
  <si>
    <t>00:27:08.237000</t>
  </si>
  <si>
    <t>00:28:23.112000</t>
  </si>
  <si>
    <t>00:28:16.112000</t>
  </si>
  <si>
    <t>00:28:53.524000</t>
  </si>
  <si>
    <t>00:31:59.194000</t>
  </si>
  <si>
    <t>00:31:52.194000</t>
  </si>
  <si>
    <t>00:33:15.882000</t>
  </si>
  <si>
    <t>00:33:08.882000</t>
  </si>
  <si>
    <t>00:33:26.406000</t>
  </si>
  <si>
    <t>00:37:09.730000</t>
  </si>
  <si>
    <t>00:37:02.730000</t>
  </si>
  <si>
    <t>00:37:14.777000</t>
  </si>
  <si>
    <t>00:38:18.494000</t>
  </si>
  <si>
    <t>00:38:11.494000</t>
  </si>
  <si>
    <t>00:38:27.786000</t>
  </si>
  <si>
    <t>00:38:32.217000</t>
  </si>
  <si>
    <t>00:38:25.217000</t>
  </si>
  <si>
    <t>00:38:52.831000</t>
  </si>
  <si>
    <t>00:39:33.713000</t>
  </si>
  <si>
    <t>00:39:26.713000</t>
  </si>
  <si>
    <t>00:39:38.123000</t>
  </si>
  <si>
    <t>00:40:16.663000</t>
  </si>
  <si>
    <t>00:40:09.663000</t>
  </si>
  <si>
    <t>00:40:23.292000</t>
  </si>
  <si>
    <t>00:46:31.402000</t>
  </si>
  <si>
    <t>00:46:24.402000</t>
  </si>
  <si>
    <t>00:47:03.023000</t>
  </si>
  <si>
    <t>00:48:13.143000</t>
  </si>
  <si>
    <t>00:48:06.143000</t>
  </si>
  <si>
    <t>00:48:16.872000</t>
  </si>
  <si>
    <t>00:48:48.742000</t>
  </si>
  <si>
    <t>00:48:41.742000</t>
  </si>
  <si>
    <t>00:48:58.734000</t>
  </si>
  <si>
    <t>00:53:43.589000</t>
  </si>
  <si>
    <t>00:53:53.938000</t>
  </si>
  <si>
    <t>00:55:16.931000</t>
  </si>
  <si>
    <t>00:55:09.931000</t>
  </si>
  <si>
    <t>00:56:01.802000</t>
  </si>
  <si>
    <t>00:59:24.652000</t>
  </si>
  <si>
    <t>00:59:17.652000</t>
  </si>
  <si>
    <t>00:59:27.978000</t>
  </si>
  <si>
    <t>01:16:33.311000</t>
  </si>
  <si>
    <t>01:16:51.037000</t>
  </si>
  <si>
    <t>01:17:33.177000</t>
  </si>
  <si>
    <t>01:17:26.177000</t>
  </si>
  <si>
    <t>01:17:56.592000</t>
  </si>
  <si>
    <t>01:19:06.328000</t>
  </si>
  <si>
    <t>01:18:59.328000</t>
  </si>
  <si>
    <t>01:19:16.549000</t>
  </si>
  <si>
    <t>01:20:05.358000</t>
  </si>
  <si>
    <t>01:19:58.358000</t>
  </si>
  <si>
    <t>01:20:13.607000</t>
  </si>
  <si>
    <t>01:21:54.538000</t>
  </si>
  <si>
    <t>01:21:47.538000</t>
  </si>
  <si>
    <t>01:22:15.969000</t>
  </si>
  <si>
    <t>01:23:16.978000</t>
  </si>
  <si>
    <t>01:23:09.978000</t>
  </si>
  <si>
    <t>01:23:26.393000</t>
  </si>
  <si>
    <t>01:23:34.606000</t>
  </si>
  <si>
    <t>01:23:27.606000</t>
  </si>
  <si>
    <t>01:24:11.552000</t>
  </si>
  <si>
    <t>01:30:16.178000</t>
  </si>
  <si>
    <t>01:30:09.178000</t>
  </si>
  <si>
    <t>01:30:21.272000</t>
  </si>
  <si>
    <t>01:33:28.388000</t>
  </si>
  <si>
    <t>01:33:40.318000</t>
  </si>
  <si>
    <t>01:38:24.382000</t>
  </si>
  <si>
    <t>01:38:17.382000</t>
  </si>
  <si>
    <t>01:39:38.039000</t>
  </si>
  <si>
    <t>01:40:34.861000</t>
  </si>
  <si>
    <t>01:40:27.861000</t>
  </si>
  <si>
    <t>01:41:03.487000</t>
  </si>
  <si>
    <t>01:41:47.931000</t>
  </si>
  <si>
    <t>01:41:40.931000</t>
  </si>
  <si>
    <t>01:41:55.399000</t>
  </si>
  <si>
    <t>01:44:14.632000</t>
  </si>
  <si>
    <t>01:44:07.632000</t>
  </si>
  <si>
    <t>01:44:28.856000</t>
  </si>
  <si>
    <t>01:44:27.374000</t>
  </si>
  <si>
    <t>01:44:20.374000</t>
  </si>
  <si>
    <t>01:44:40.679000</t>
  </si>
  <si>
    <t>01:45:18.858000</t>
  </si>
  <si>
    <t>01:45:11.858000</t>
  </si>
  <si>
    <t>01:45:43.940000</t>
  </si>
  <si>
    <t>01:48:04.942000</t>
  </si>
  <si>
    <t>01:48:50.186000</t>
  </si>
  <si>
    <t>01:48:43.186000</t>
  </si>
  <si>
    <t>01:49:52.004000</t>
  </si>
  <si>
    <t>01:50:47.791000</t>
  </si>
  <si>
    <t>01:51:31.333000</t>
  </si>
  <si>
    <t>01:51:54.274000</t>
  </si>
  <si>
    <t>01:51:47.274000</t>
  </si>
  <si>
    <t>01:52:05.616000</t>
  </si>
  <si>
    <t>01:56:54.767000</t>
  </si>
  <si>
    <t>01:56:47.767000</t>
  </si>
  <si>
    <t>01:58:18.496000</t>
  </si>
  <si>
    <t>01:59:04.195000</t>
  </si>
  <si>
    <t>01:58:57.195000</t>
  </si>
  <si>
    <t>01:59:38.752000</t>
  </si>
  <si>
    <t>02:01:24.484000</t>
  </si>
  <si>
    <t>02:01:17.484000</t>
  </si>
  <si>
    <t>02:01:37.242000</t>
  </si>
  <si>
    <t>02:04:44.811000</t>
  </si>
  <si>
    <t>02:04:37.811000</t>
  </si>
  <si>
    <t>02:05:34.379000</t>
  </si>
  <si>
    <t>RESULTADO</t>
  </si>
  <si>
    <t>FIELDXFROM</t>
  </si>
  <si>
    <t>FIELDYFROM</t>
  </si>
  <si>
    <t>FIELDXTO</t>
  </si>
  <si>
    <t>FIELDYTO</t>
  </si>
  <si>
    <t>CONV OUR 001</t>
  </si>
  <si>
    <t>00:09:49.029000</t>
  </si>
  <si>
    <t>00:09:42.029000</t>
  </si>
  <si>
    <t>00:09:54.029000</t>
  </si>
  <si>
    <t xml:space="preserve">10-Player 10 </t>
  </si>
  <si>
    <t>CONV OUR 002</t>
  </si>
  <si>
    <t>00:34:40.888000</t>
  </si>
  <si>
    <t>00:34:33.888000</t>
  </si>
  <si>
    <t>00:34:45.888000</t>
  </si>
  <si>
    <t>CONV OUR 003</t>
  </si>
  <si>
    <t>01:45:51.640000</t>
  </si>
  <si>
    <t>01:45:44.640000</t>
  </si>
  <si>
    <t>01:45:56.640000</t>
  </si>
  <si>
    <t xml:space="preserve">23-Player 23 </t>
  </si>
  <si>
    <t>CONV OPP 001</t>
  </si>
  <si>
    <t>00:14:47.199000</t>
  </si>
  <si>
    <t>00:14:40.199000</t>
  </si>
  <si>
    <t>00:14:57.199000</t>
  </si>
  <si>
    <t>00:14:14.944000</t>
  </si>
  <si>
    <t>00:14:07.944000</t>
  </si>
  <si>
    <t>00:14:19.944000</t>
  </si>
  <si>
    <t>00:20:10.170000</t>
  </si>
  <si>
    <t>00:20:03.170000</t>
  </si>
  <si>
    <t>00:20:15.170000</t>
  </si>
  <si>
    <t>00:34:24.442000</t>
  </si>
  <si>
    <t>00:34:17.442000</t>
  </si>
  <si>
    <t>00:34:29.442000</t>
  </si>
  <si>
    <t>CONV OUR 004</t>
  </si>
  <si>
    <t>01:17:25.907000</t>
  </si>
  <si>
    <t>01:17:18.907000</t>
  </si>
  <si>
    <t>01:17:30.907000</t>
  </si>
  <si>
    <t>CONV OUR 005</t>
  </si>
  <si>
    <t>01:39:20.613000</t>
  </si>
  <si>
    <t>01:39:13.613000</t>
  </si>
  <si>
    <t>01:39:25.613000</t>
  </si>
  <si>
    <t xml:space="preserve">22-Player 22 </t>
  </si>
  <si>
    <t>00:10:28.380000</t>
  </si>
  <si>
    <t>00:10:21.380000</t>
  </si>
  <si>
    <t>00:10:38.380000</t>
  </si>
  <si>
    <t>CONV OPP 002</t>
  </si>
  <si>
    <t>00:23:11.196000</t>
  </si>
  <si>
    <t>00:23:04.196000</t>
  </si>
  <si>
    <t>00:23:21.196000</t>
  </si>
  <si>
    <t>CONV OPP 003</t>
  </si>
  <si>
    <t>01:34:50.305000</t>
  </si>
  <si>
    <t>01:34:43.305000</t>
  </si>
  <si>
    <t>01:35:00.305000</t>
  </si>
  <si>
    <t>00:52:39.086000</t>
  </si>
  <si>
    <t>00:52:32.086000</t>
  </si>
  <si>
    <t>00:52:44.086000</t>
  </si>
  <si>
    <t>00:56:32.142000</t>
  </si>
  <si>
    <t>00:56:25.142000</t>
  </si>
  <si>
    <t>00:56:37.142000</t>
  </si>
  <si>
    <t>00:11:16.859000</t>
  </si>
  <si>
    <t>00:11:09.859000</t>
  </si>
  <si>
    <t>00:11:26.859000</t>
  </si>
  <si>
    <t>00:19:25.803000</t>
  </si>
  <si>
    <t>00:19:18.803000</t>
  </si>
  <si>
    <t>00:19:30.803000</t>
  </si>
  <si>
    <t>01:21:41.487000</t>
  </si>
  <si>
    <t>01:21:34.487000</t>
  </si>
  <si>
    <t>01:21:46.487000</t>
  </si>
  <si>
    <t>00:05:01.664000</t>
  </si>
  <si>
    <t>00:04:54.664000</t>
  </si>
  <si>
    <t>00:05:11.664000</t>
  </si>
  <si>
    <t>00:38:27.635000</t>
  </si>
  <si>
    <t>00:38:20.635000</t>
  </si>
  <si>
    <t>00:38:37.635000</t>
  </si>
  <si>
    <t>01:31:15.093000</t>
  </si>
  <si>
    <t>01:31:08.093000</t>
  </si>
  <si>
    <t>01:31:25.093000</t>
  </si>
  <si>
    <t>00:20:21.635000</t>
  </si>
  <si>
    <t>00:20:14.635000</t>
  </si>
  <si>
    <t>00:20:26.635000</t>
  </si>
  <si>
    <t xml:space="preserve">9-Player 9 </t>
  </si>
  <si>
    <t>01:29:20.017000</t>
  </si>
  <si>
    <t>01:29:13.017000</t>
  </si>
  <si>
    <t>01:29:25.017000</t>
  </si>
  <si>
    <t>HALFFIELDXFROM</t>
  </si>
  <si>
    <t>HALFFIELDYFROM</t>
  </si>
  <si>
    <t>HALFFIELDXTO</t>
  </si>
  <si>
    <t>HALFFIELDYTO</t>
  </si>
  <si>
    <t>GOAL OUR 001</t>
  </si>
  <si>
    <t>01:17:25.741000</t>
  </si>
  <si>
    <t>01:17:18.741000</t>
  </si>
  <si>
    <t>01:17:30.741000</t>
  </si>
  <si>
    <t>GOAL OPP 001</t>
  </si>
  <si>
    <t>00:32:27.832000</t>
  </si>
  <si>
    <t>00:32:20.832000</t>
  </si>
  <si>
    <t>00:32:37.832000</t>
  </si>
  <si>
    <t>01:19:57.163000</t>
  </si>
  <si>
    <t>01:19:50.163000</t>
  </si>
  <si>
    <t>01:20:02.163000</t>
  </si>
  <si>
    <t>GOAL OUR 002</t>
  </si>
  <si>
    <t>02:03:33.044000</t>
  </si>
  <si>
    <t>02:03:26.044000</t>
  </si>
  <si>
    <t>02:03:38.044000</t>
  </si>
  <si>
    <t>00:30:44.203000</t>
  </si>
  <si>
    <t>00:25:21.001000</t>
  </si>
  <si>
    <t>00:43:30.214000</t>
  </si>
  <si>
    <t>00:43:23.214000</t>
  </si>
  <si>
    <t>00:43:35.214000</t>
  </si>
  <si>
    <t>00:11:21.161000</t>
  </si>
  <si>
    <t>00:11:14.161000</t>
  </si>
  <si>
    <t>00:11:31.161000</t>
  </si>
  <si>
    <t>GOAL OPP 002</t>
  </si>
  <si>
    <t>00:27:10.287000</t>
  </si>
  <si>
    <t>00:27:03.287000</t>
  </si>
  <si>
    <t>00:27:20.287000</t>
  </si>
  <si>
    <t>GOAL OPP 003</t>
  </si>
  <si>
    <t>01:10:18.693000</t>
  </si>
  <si>
    <t>01:10:11.693000</t>
  </si>
  <si>
    <t>01:10:28.693000</t>
  </si>
  <si>
    <t>GOAL OPP 004</t>
  </si>
  <si>
    <t>01:24:36.887000</t>
  </si>
  <si>
    <t>01:24:29.887000</t>
  </si>
  <si>
    <t>01:24:46.887000</t>
  </si>
  <si>
    <t>GOAL OPP 005</t>
  </si>
  <si>
    <t>01:26:29.607000</t>
  </si>
  <si>
    <t>01:26:22.607000</t>
  </si>
  <si>
    <t>01:26:39.607000</t>
  </si>
  <si>
    <t>GOAL OPP 006</t>
  </si>
  <si>
    <t>01:29:18.270000</t>
  </si>
  <si>
    <t>01:29:11.270000</t>
  </si>
  <si>
    <t>01:29:28.270000</t>
  </si>
  <si>
    <t>00:13:39.765000</t>
  </si>
  <si>
    <t>00:13:32.765000</t>
  </si>
  <si>
    <t>00:13:44.765000</t>
  </si>
  <si>
    <t>01:36:21.533000</t>
  </si>
  <si>
    <t>01:36:14.533000</t>
  </si>
  <si>
    <t>01:36:26.533000</t>
  </si>
  <si>
    <t>00:16:33.777000</t>
  </si>
  <si>
    <t>00:16:26.777000</t>
  </si>
  <si>
    <t>00:16:43.777000</t>
  </si>
  <si>
    <t>00:27:07.173000</t>
  </si>
  <si>
    <t>00:27:00.173000</t>
  </si>
  <si>
    <t>00:27:17.173000</t>
  </si>
  <si>
    <t xml:space="preserve">15-Player 15 </t>
  </si>
  <si>
    <t>00:48:16.337000</t>
  </si>
  <si>
    <t>00:48:09.337000</t>
  </si>
  <si>
    <t>00:48:26.337000</t>
  </si>
  <si>
    <t>00:59:27.364000</t>
  </si>
  <si>
    <t>00:59:20.364000</t>
  </si>
  <si>
    <t>00:59:37.364000</t>
  </si>
  <si>
    <t>SCRUM OUR 001</t>
  </si>
  <si>
    <t>00:11:31.272000</t>
  </si>
  <si>
    <t>00:11:21.272000</t>
  </si>
  <si>
    <t>00:11:40.272000</t>
  </si>
  <si>
    <t>PIERDE</t>
  </si>
  <si>
    <t>SCRUM OUR 002</t>
  </si>
  <si>
    <t>00:44:17.707000</t>
  </si>
  <si>
    <t>00:44:07.707000</t>
  </si>
  <si>
    <t>00:44:26.707000</t>
  </si>
  <si>
    <t>GANA</t>
  </si>
  <si>
    <t>SCRUM OUR 003</t>
  </si>
  <si>
    <t>00:50:59.249000</t>
  </si>
  <si>
    <t>00:50:49.249000</t>
  </si>
  <si>
    <t>00:51:08.249000</t>
  </si>
  <si>
    <t>RESET</t>
  </si>
  <si>
    <t>SCRUM OUR 004</t>
  </si>
  <si>
    <t>00:51:45.499000</t>
  </si>
  <si>
    <t>00:51:35.499000</t>
  </si>
  <si>
    <t>00:51:54.499000</t>
  </si>
  <si>
    <t>SCRUM OUR 005</t>
  </si>
  <si>
    <t>01:15:18.858000</t>
  </si>
  <si>
    <t>01:15:08.858000</t>
  </si>
  <si>
    <t>01:15:27.858000</t>
  </si>
  <si>
    <t>GANA SUCIO</t>
  </si>
  <si>
    <t>SCRUM OUR 006</t>
  </si>
  <si>
    <t>01:21:22.870000</t>
  </si>
  <si>
    <t>01:21:12.870000</t>
  </si>
  <si>
    <t>01:21:31.870000</t>
  </si>
  <si>
    <t>SCRUM OUR 007</t>
  </si>
  <si>
    <t>01:32:01.926000</t>
  </si>
  <si>
    <t>01:31:51.926000</t>
  </si>
  <si>
    <t>01:32:10.926000</t>
  </si>
  <si>
    <t>SCRUM OUR 008</t>
  </si>
  <si>
    <t>01:43:08.089000</t>
  </si>
  <si>
    <t>01:42:58.089000</t>
  </si>
  <si>
    <t>01:43:17.089000</t>
  </si>
  <si>
    <t>SCRUM OUR 009</t>
  </si>
  <si>
    <t>01:43:47.840000</t>
  </si>
  <si>
    <t>01:43:37.840000</t>
  </si>
  <si>
    <t>01:43:56.840000</t>
  </si>
  <si>
    <t>SCRUM OPP 016</t>
  </si>
  <si>
    <t>00:11:52.927000</t>
  </si>
  <si>
    <t>00:11:42.927000</t>
  </si>
  <si>
    <t>00:11:57.927000</t>
  </si>
  <si>
    <t>SCRUM OPP 001</t>
  </si>
  <si>
    <t>00:21:25.544000</t>
  </si>
  <si>
    <t>00:21:15.544000</t>
  </si>
  <si>
    <t>00:21:30.544000</t>
  </si>
  <si>
    <t>SCRUM OPP 002</t>
  </si>
  <si>
    <t>00:22:06.941000</t>
  </si>
  <si>
    <t>00:21:56.941000</t>
  </si>
  <si>
    <t>00:22:11.941000</t>
  </si>
  <si>
    <t>SCRUM OPP 003</t>
  </si>
  <si>
    <t>00:22:53.868000</t>
  </si>
  <si>
    <t>00:22:43.868000</t>
  </si>
  <si>
    <t>00:22:58.868000</t>
  </si>
  <si>
    <t>SCRUM OPP 004</t>
  </si>
  <si>
    <t>00:24:39.971000</t>
  </si>
  <si>
    <t>00:24:29.971000</t>
  </si>
  <si>
    <t>00:24:44.971000</t>
  </si>
  <si>
    <t>SCRUM OPP 005</t>
  </si>
  <si>
    <t>00:27:15.380000</t>
  </si>
  <si>
    <t>00:27:05.380000</t>
  </si>
  <si>
    <t>00:27:20.380000</t>
  </si>
  <si>
    <t>SCRUM OPP 006</t>
  </si>
  <si>
    <t>00:36:59.778000</t>
  </si>
  <si>
    <t>00:36:49.778000</t>
  </si>
  <si>
    <t>00:37:04.778000</t>
  </si>
  <si>
    <t>SCRUM OPP 007</t>
  </si>
  <si>
    <t>00:46:35.995000</t>
  </si>
  <si>
    <t>00:46:25.995000</t>
  </si>
  <si>
    <t>00:46:40.995000</t>
  </si>
  <si>
    <t>SCRUM OPP 008</t>
  </si>
  <si>
    <t>00:47:13.785000</t>
  </si>
  <si>
    <t>00:47:03.785000</t>
  </si>
  <si>
    <t>00:47:18.785000</t>
  </si>
  <si>
    <t>SCRUM OPP 009</t>
  </si>
  <si>
    <t>01:08:20.937000</t>
  </si>
  <si>
    <t>01:08:10.937000</t>
  </si>
  <si>
    <t>01:08:25.937000</t>
  </si>
  <si>
    <t>SCRUM OPP 010</t>
  </si>
  <si>
    <t>01:12:12.276000</t>
  </si>
  <si>
    <t>01:12:02.276000</t>
  </si>
  <si>
    <t>01:12:17.276000</t>
  </si>
  <si>
    <t>SCRUM OPP 011</t>
  </si>
  <si>
    <t>01:13:44.721000</t>
  </si>
  <si>
    <t>01:13:34.721000</t>
  </si>
  <si>
    <t>01:13:49.721000</t>
  </si>
  <si>
    <t>SCRUM OPP 012</t>
  </si>
  <si>
    <t>01:14:07.541000</t>
  </si>
  <si>
    <t>01:14:22.541000</t>
  </si>
  <si>
    <t>SCRUM OPP 013</t>
  </si>
  <si>
    <t>01:22:31.887000</t>
  </si>
  <si>
    <t>01:22:21.887000</t>
  </si>
  <si>
    <t>01:22:36.887000</t>
  </si>
  <si>
    <t>SCRUM OPP 014</t>
  </si>
  <si>
    <t>01:33:41.383000</t>
  </si>
  <si>
    <t>01:33:31.383000</t>
  </si>
  <si>
    <t>01:33:46.383000</t>
  </si>
  <si>
    <t>SCRUM OPP 015</t>
  </si>
  <si>
    <t>01:40:42.567000</t>
  </si>
  <si>
    <t>01:40:32.567000</t>
  </si>
  <si>
    <t>01:40:47.567000</t>
  </si>
  <si>
    <t>00:16:34.114000</t>
  </si>
  <si>
    <t>00:16:24.114000</t>
  </si>
  <si>
    <t>00:16:43.114000</t>
  </si>
  <si>
    <t>00:17:15.635000</t>
  </si>
  <si>
    <t>00:17:05.635000</t>
  </si>
  <si>
    <t>00:17:24.635000</t>
  </si>
  <si>
    <t>00:31:31.655000</t>
  </si>
  <si>
    <t>00:31:21.655000</t>
  </si>
  <si>
    <t>00:31:40.655000</t>
  </si>
  <si>
    <t>00:35:55.610000</t>
  </si>
  <si>
    <t>00:35:45.610000</t>
  </si>
  <si>
    <t>00:36:04.610000</t>
  </si>
  <si>
    <t>00:39:04.910000</t>
  </si>
  <si>
    <t>00:38:54.910000</t>
  </si>
  <si>
    <t>00:39:13.910000</t>
  </si>
  <si>
    <t>00:46:52.217000</t>
  </si>
  <si>
    <t>00:46:42.217000</t>
  </si>
  <si>
    <t>00:47:01.217000</t>
  </si>
  <si>
    <t>00:48:13.426000</t>
  </si>
  <si>
    <t>00:48:03.426000</t>
  </si>
  <si>
    <t>00:48:22.426000</t>
  </si>
  <si>
    <t>00:48:55.029000</t>
  </si>
  <si>
    <t>00:48:45.029000</t>
  </si>
  <si>
    <t>00:49:04.029000</t>
  </si>
  <si>
    <t>00:53:37.021000</t>
  </si>
  <si>
    <t>00:53:27.021000</t>
  </si>
  <si>
    <t>00:53:46.021000</t>
  </si>
  <si>
    <t>SCRUM OUR 010</t>
  </si>
  <si>
    <t>01:03:31.504000</t>
  </si>
  <si>
    <t>01:03:21.504000</t>
  </si>
  <si>
    <t>01:03:40.504000</t>
  </si>
  <si>
    <t>SCRUM OUR 011</t>
  </si>
  <si>
    <t>01:07:27.834000</t>
  </si>
  <si>
    <t>01:07:17.834000</t>
  </si>
  <si>
    <t>01:07:36.834000</t>
  </si>
  <si>
    <t>SCRUM OUR 012</t>
  </si>
  <si>
    <t>01:27:45.633000</t>
  </si>
  <si>
    <t>01:27:35.633000</t>
  </si>
  <si>
    <t>01:27:54.633000</t>
  </si>
  <si>
    <t>SCRUM OUR 013</t>
  </si>
  <si>
    <t>01:28:18.773000</t>
  </si>
  <si>
    <t>01:28:08.773000</t>
  </si>
  <si>
    <t>01:28:27.773000</t>
  </si>
  <si>
    <t>SCRUM OUR 014</t>
  </si>
  <si>
    <t>01:37:06.384000</t>
  </si>
  <si>
    <t>01:36:56.384000</t>
  </si>
  <si>
    <t>01:37:15.384000</t>
  </si>
  <si>
    <t>SCRUM OUR 015</t>
  </si>
  <si>
    <t>01:37:51.272000</t>
  </si>
  <si>
    <t>01:37:41.272000</t>
  </si>
  <si>
    <t>01:38:00.272000</t>
  </si>
  <si>
    <t>00:30:31.124000</t>
  </si>
  <si>
    <t>00:30:21.124000</t>
  </si>
  <si>
    <t>00:30:36.124000</t>
  </si>
  <si>
    <t>00:38:12.008000</t>
  </si>
  <si>
    <t>00:38:02.008000</t>
  </si>
  <si>
    <t>00:38:17.008000</t>
  </si>
  <si>
    <t>00:50:02.064000</t>
  </si>
  <si>
    <t>00:49:52.064000</t>
  </si>
  <si>
    <t>00:50:07.064000</t>
  </si>
  <si>
    <t>01:08:48.581000</t>
  </si>
  <si>
    <t>01:08:38.581000</t>
  </si>
  <si>
    <t>01:08:53.581000</t>
  </si>
  <si>
    <t>01:31:25.776000</t>
  </si>
  <si>
    <t>01:31:15.776000</t>
  </si>
  <si>
    <t>01:31:30.776000</t>
  </si>
  <si>
    <t>01:33:05.269000</t>
  </si>
  <si>
    <t>01:32:55.269000</t>
  </si>
  <si>
    <t>01:33:10.269000</t>
  </si>
  <si>
    <t>00:17:01.765000</t>
  </si>
  <si>
    <t>00:16:51.765000</t>
  </si>
  <si>
    <t>00:17:06.765000</t>
  </si>
  <si>
    <t>00:17:42.877000</t>
  </si>
  <si>
    <t>00:17:32.877000</t>
  </si>
  <si>
    <t>00:17:47.877000</t>
  </si>
  <si>
    <t>00:22:59.435000</t>
  </si>
  <si>
    <t>00:22:49.435000</t>
  </si>
  <si>
    <t>00:23:04.435000</t>
  </si>
  <si>
    <t>00:23:38.772000</t>
  </si>
  <si>
    <t>00:23:28.772000</t>
  </si>
  <si>
    <t>00:23:43.772000</t>
  </si>
  <si>
    <t>00:28:32.894000</t>
  </si>
  <si>
    <t>00:28:22.894000</t>
  </si>
  <si>
    <t>00:28:37.894000</t>
  </si>
  <si>
    <t>00:38:31.328000</t>
  </si>
  <si>
    <t>00:38:21.328000</t>
  </si>
  <si>
    <t>00:38:36.328000</t>
  </si>
  <si>
    <t>01:00:42.664000</t>
  </si>
  <si>
    <t>01:00:32.664000</t>
  </si>
  <si>
    <t>01:00:47.664000</t>
  </si>
  <si>
    <t>01:49:26.747000</t>
  </si>
  <si>
    <t>01:49:16.747000</t>
  </si>
  <si>
    <t>01:49:31.747000</t>
  </si>
  <si>
    <t>01:50:06.719000</t>
  </si>
  <si>
    <t>01:49:56.719000</t>
  </si>
  <si>
    <t>01:50:11.719000</t>
  </si>
  <si>
    <t>01:54:03.346000</t>
  </si>
  <si>
    <t>01:53:53.346000</t>
  </si>
  <si>
    <t>01:54:08.346000</t>
  </si>
  <si>
    <t>00:49:12.407000</t>
  </si>
  <si>
    <t>00:49:02.407000</t>
  </si>
  <si>
    <t>00:49:21.407000</t>
  </si>
  <si>
    <t>01:27:45.025000</t>
  </si>
  <si>
    <t>01:27:35.025000</t>
  </si>
  <si>
    <t>01:27:54.025000</t>
  </si>
  <si>
    <t>01:38:27.675000</t>
  </si>
  <si>
    <t>01:38:17.675000</t>
  </si>
  <si>
    <t>01:38:36.675000</t>
  </si>
  <si>
    <t>01:42:09.743000</t>
  </si>
  <si>
    <t>01:41:59.743000</t>
  </si>
  <si>
    <t>01:42:18.743000</t>
  </si>
  <si>
    <t>01:42:44.910000</t>
  </si>
  <si>
    <t>01:42:34.910000</t>
  </si>
  <si>
    <t>01:42:53.910000</t>
  </si>
  <si>
    <t>01:51:12.908000</t>
  </si>
  <si>
    <t>01:51:02.908000</t>
  </si>
  <si>
    <t>01:51:21.908000</t>
  </si>
  <si>
    <t>01:57:03.017000</t>
  </si>
  <si>
    <t>01:56:53.017000</t>
  </si>
  <si>
    <t>01:57:12.017000</t>
  </si>
  <si>
    <t>00:07:15.039000</t>
  </si>
  <si>
    <t>00:07:05.039000</t>
  </si>
  <si>
    <t>00:07:20.039000</t>
  </si>
  <si>
    <t>00:10:14.784000</t>
  </si>
  <si>
    <t>00:10:04.784000</t>
  </si>
  <si>
    <t>00:10:19.784000</t>
  </si>
  <si>
    <t>00:14:41.958000</t>
  </si>
  <si>
    <t>00:14:31.958000</t>
  </si>
  <si>
    <t>00:14:46.958000</t>
  </si>
  <si>
    <t>00:28:30.296000</t>
  </si>
  <si>
    <t>00:28:20.296000</t>
  </si>
  <si>
    <t>00:28:35.296000</t>
  </si>
  <si>
    <t>01:12:13.453000</t>
  </si>
  <si>
    <t>01:12:03.453000</t>
  </si>
  <si>
    <t>01:12:18.453000</t>
  </si>
  <si>
    <t>01:34:43.345000</t>
  </si>
  <si>
    <t>01:34:58.345000</t>
  </si>
  <si>
    <t>00:06:17.320000</t>
  </si>
  <si>
    <t>00:06:07.320000</t>
  </si>
  <si>
    <t>00:06:26.320000</t>
  </si>
  <si>
    <t>00:24:00.486000</t>
  </si>
  <si>
    <t>00:23:50.486000</t>
  </si>
  <si>
    <t>00:24:09.486000</t>
  </si>
  <si>
    <t>00:32:09.412000</t>
  </si>
  <si>
    <t>00:31:59.412000</t>
  </si>
  <si>
    <t>00:32:18.412000</t>
  </si>
  <si>
    <t>00:32:51.152000</t>
  </si>
  <si>
    <t>00:32:41.152000</t>
  </si>
  <si>
    <t>00:33:00.152000</t>
  </si>
  <si>
    <t>01:03:43.636000</t>
  </si>
  <si>
    <t>01:03:33.636000</t>
  </si>
  <si>
    <t>01:03:52.636000</t>
  </si>
  <si>
    <t>01:04:20.383000</t>
  </si>
  <si>
    <t>01:04:10.383000</t>
  </si>
  <si>
    <t>01:04:29.383000</t>
  </si>
  <si>
    <t>01:32:31.405000</t>
  </si>
  <si>
    <t>01:32:21.405000</t>
  </si>
  <si>
    <t>01:32:40.405000</t>
  </si>
  <si>
    <t>01:36:06.398000</t>
  </si>
  <si>
    <t>01:35:56.398000</t>
  </si>
  <si>
    <t>01:36:15.398000</t>
  </si>
  <si>
    <t>01:36:32.572000</t>
  </si>
  <si>
    <t>01:36:51.572000</t>
  </si>
  <si>
    <t>01:43:55.763000</t>
  </si>
  <si>
    <t>01:43:45.763000</t>
  </si>
  <si>
    <t>01:44:04.763000</t>
  </si>
  <si>
    <t>01:44:19.246000</t>
  </si>
  <si>
    <t>01:44:09.246000</t>
  </si>
  <si>
    <t>01:44:28.246000</t>
  </si>
  <si>
    <t>01:47:01.964000</t>
  </si>
  <si>
    <t>01:46:51.964000</t>
  </si>
  <si>
    <t>01:47:10.964000</t>
  </si>
  <si>
    <t>01:47:54.074000</t>
  </si>
  <si>
    <t>01:47:44.074000</t>
  </si>
  <si>
    <t>01:48:03.074000</t>
  </si>
  <si>
    <t>01:49:49.109000</t>
  </si>
  <si>
    <t>01:49:39.109000</t>
  </si>
  <si>
    <t>01:49:58.109000</t>
  </si>
  <si>
    <t>00:18:51.219000</t>
  </si>
  <si>
    <t>00:18:41.219000</t>
  </si>
  <si>
    <t>00:19:00.219000</t>
  </si>
  <si>
    <t>00:29:44.007000</t>
  </si>
  <si>
    <t>00:29:34.007000</t>
  </si>
  <si>
    <t>00:29:53.007000</t>
  </si>
  <si>
    <t>00:30:40.874000</t>
  </si>
  <si>
    <t>00:30:30.874000</t>
  </si>
  <si>
    <t>00:30:49.874000</t>
  </si>
  <si>
    <t>00:41:16.882000</t>
  </si>
  <si>
    <t>00:41:06.882000</t>
  </si>
  <si>
    <t>00:41:25.882000</t>
  </si>
  <si>
    <t>00:44:56.240000</t>
  </si>
  <si>
    <t>00:44:46.240000</t>
  </si>
  <si>
    <t>00:45:05.240000</t>
  </si>
  <si>
    <t>00:53:38.443000</t>
  </si>
  <si>
    <t>00:53:28.443000</t>
  </si>
  <si>
    <t>00:53:47.443000</t>
  </si>
  <si>
    <t>01:16:32.091000</t>
  </si>
  <si>
    <t>01:16:22.091000</t>
  </si>
  <si>
    <t>01:16:41.091000</t>
  </si>
  <si>
    <t>01:50:46.730000</t>
  </si>
  <si>
    <t>01:50:36.730000</t>
  </si>
  <si>
    <t>01:50:55.730000</t>
  </si>
  <si>
    <t>01:54:30.649000</t>
  </si>
  <si>
    <t>01:54:20.649000</t>
  </si>
  <si>
    <t>01:54:39.649000</t>
  </si>
  <si>
    <t>02:02:30.544000</t>
  </si>
  <si>
    <t>02:02:20.544000</t>
  </si>
  <si>
    <t>02:02:39.544000</t>
  </si>
  <si>
    <t>00:12:28.788000</t>
  </si>
  <si>
    <t>00:12:18.788000</t>
  </si>
  <si>
    <t>00:12:33.788000</t>
  </si>
  <si>
    <t>00:37:12.885000</t>
  </si>
  <si>
    <t>00:37:02.885000</t>
  </si>
  <si>
    <t>00:37:17.885000</t>
  </si>
  <si>
    <t>01:19:15.312000</t>
  </si>
  <si>
    <t>01:19:05.312000</t>
  </si>
  <si>
    <t>01:19:20.312000</t>
  </si>
  <si>
    <t>01:20:09.311000</t>
  </si>
  <si>
    <t>01:19:59.311000</t>
  </si>
  <si>
    <t>01:20:14.311000</t>
  </si>
  <si>
    <t>01:32:26.893000</t>
  </si>
  <si>
    <t>01:32:16.893000</t>
  </si>
  <si>
    <t>01:32:31.893000</t>
  </si>
  <si>
    <t>01:48:51.276000</t>
  </si>
  <si>
    <t>01:48:41.276000</t>
  </si>
  <si>
    <t>01:48:56.276000</t>
  </si>
  <si>
    <t>02:02:59.910000</t>
  </si>
  <si>
    <t>02:02:49.910000</t>
  </si>
  <si>
    <t>02:03:04.910000</t>
  </si>
  <si>
    <t>FIELDX</t>
  </si>
  <si>
    <t>FIELDY</t>
  </si>
  <si>
    <t>TRY OUR 001</t>
  </si>
  <si>
    <t>00:09:05.579000</t>
  </si>
  <si>
    <t>00:08:30.579000</t>
  </si>
  <si>
    <t>00:09:15.579000</t>
  </si>
  <si>
    <t>TRY OUR 003</t>
  </si>
  <si>
    <t>00:18:33.411000</t>
  </si>
  <si>
    <t>00:17:58.411000</t>
  </si>
  <si>
    <t>00:18:43.411000</t>
  </si>
  <si>
    <t>TRY OUR 002</t>
  </si>
  <si>
    <t>00:33:40.613000</t>
  </si>
  <si>
    <t>00:33:05.613000</t>
  </si>
  <si>
    <t>00:33:50.613000</t>
  </si>
  <si>
    <t>TRY OUR 004</t>
  </si>
  <si>
    <t>01:44:51.875000</t>
  </si>
  <si>
    <t>01:44:16.875000</t>
  </si>
  <si>
    <t>01:45:01.875000</t>
  </si>
  <si>
    <t>TRY PENAL OPP 001</t>
  </si>
  <si>
    <t>00:27:30.165000</t>
  </si>
  <si>
    <t>00:26:55.165000</t>
  </si>
  <si>
    <t>00:27:40.165000</t>
  </si>
  <si>
    <t>TRY OPP 002</t>
  </si>
  <si>
    <t>00:14:13.258000</t>
  </si>
  <si>
    <t>00:13:38.258000</t>
  </si>
  <si>
    <t>00:14:23.258000</t>
  </si>
  <si>
    <t>01:56:02.525000</t>
  </si>
  <si>
    <t>01:55:27.525000</t>
  </si>
  <si>
    <t>01:56:12.525000</t>
  </si>
  <si>
    <t>00:13:35.853000</t>
  </si>
  <si>
    <t>00:13:00.853000</t>
  </si>
  <si>
    <t>00:13:45.853000</t>
  </si>
  <si>
    <t>00:19:13.675000</t>
  </si>
  <si>
    <t>00:18:38.675000</t>
  </si>
  <si>
    <t>00:19:23.675000</t>
  </si>
  <si>
    <t>00:33:26.634000</t>
  </si>
  <si>
    <t>00:32:51.634000</t>
  </si>
  <si>
    <t>00:33:36.634000</t>
  </si>
  <si>
    <t>01:16:38.220000</t>
  </si>
  <si>
    <t>01:16:03.220000</t>
  </si>
  <si>
    <t>01:16:48.220000</t>
  </si>
  <si>
    <t>TRY OUR 005</t>
  </si>
  <si>
    <t>01:22:42.190000</t>
  </si>
  <si>
    <t>01:22:07.190000</t>
  </si>
  <si>
    <t>01:22:52.190000</t>
  </si>
  <si>
    <t>TRY OUR 006</t>
  </si>
  <si>
    <t>01:38:13.037000</t>
  </si>
  <si>
    <t>01:37:38.037000</t>
  </si>
  <si>
    <t>01:38:23.037000</t>
  </si>
  <si>
    <t>TRY OPP 001</t>
  </si>
  <si>
    <t>00:09:27.028000</t>
  </si>
  <si>
    <t>00:08:52.028000</t>
  </si>
  <si>
    <t>00:09:37.028000</t>
  </si>
  <si>
    <t>00:22:19.202000</t>
  </si>
  <si>
    <t>00:21:44.202000</t>
  </si>
  <si>
    <t>00:22:29.202000</t>
  </si>
  <si>
    <t>TRY OPP 003</t>
  </si>
  <si>
    <t>01:34:00.897000</t>
  </si>
  <si>
    <t>01:33:25.897000</t>
  </si>
  <si>
    <t>01:34:10.897000</t>
  </si>
  <si>
    <t>00:51:39.457000</t>
  </si>
  <si>
    <t>00:51:04.457000</t>
  </si>
  <si>
    <t>00:51:49.457000</t>
  </si>
  <si>
    <t>00:55:37.981000</t>
  </si>
  <si>
    <t>00:55:02.981000</t>
  </si>
  <si>
    <t>00:55:47.981000</t>
  </si>
  <si>
    <t>01:38:42.884000</t>
  </si>
  <si>
    <t>01:38:07.884000</t>
  </si>
  <si>
    <t>01:38:52.884000</t>
  </si>
  <si>
    <t xml:space="preserve">11-Player 11 </t>
  </si>
  <si>
    <t>00:10:20.678000</t>
  </si>
  <si>
    <t>00:09:45.678000</t>
  </si>
  <si>
    <t>00:10:30.678000</t>
  </si>
  <si>
    <t>01:34:08.528000</t>
  </si>
  <si>
    <t>01:33:33.528000</t>
  </si>
  <si>
    <t>01:34:18.528000</t>
  </si>
  <si>
    <t>00:18:23.239000</t>
  </si>
  <si>
    <t>00:17:48.239000</t>
  </si>
  <si>
    <t>00:18:33.239000</t>
  </si>
  <si>
    <t>01:20:33.388000</t>
  </si>
  <si>
    <t>01:19:58.388000</t>
  </si>
  <si>
    <t>01:20:43.388000</t>
  </si>
  <si>
    <t>00:03:54.839000</t>
  </si>
  <si>
    <t>00:03:19.839000</t>
  </si>
  <si>
    <t>00:04:04.839000</t>
  </si>
  <si>
    <t>00:37:08.838000</t>
  </si>
  <si>
    <t>00:36:33.838000</t>
  </si>
  <si>
    <t>00:37:18.838000</t>
  </si>
  <si>
    <t>01:30:14.715000</t>
  </si>
  <si>
    <t>01:29:39.715000</t>
  </si>
  <si>
    <t>01:30:24.715000</t>
  </si>
  <si>
    <t xml:space="preserve">8-Player 8 </t>
  </si>
  <si>
    <t>00:19:21.124000</t>
  </si>
  <si>
    <t>00:18:46.124000</t>
  </si>
  <si>
    <t>00:19:31.124000</t>
  </si>
  <si>
    <t>00:49:59.645000</t>
  </si>
  <si>
    <t>00:49:24.645000</t>
  </si>
  <si>
    <t>00:50:09.645000</t>
  </si>
  <si>
    <t>01:28:03.301000</t>
  </si>
  <si>
    <t>01:27:28.301000</t>
  </si>
  <si>
    <t>01:28:13.301000</t>
  </si>
  <si>
    <t>01:54:39.940000</t>
  </si>
  <si>
    <t>01:54:04.940000</t>
  </si>
  <si>
    <t>01:54:49.940000</t>
  </si>
  <si>
    <t>01:20:14.805000</t>
  </si>
  <si>
    <t>01:19:39.805000</t>
  </si>
  <si>
    <t>01:20:24.805000</t>
  </si>
  <si>
    <t>01:59:37.886000</t>
  </si>
  <si>
    <t>01:59:02.886000</t>
  </si>
  <si>
    <t>01:59:47.886000</t>
  </si>
  <si>
    <t>SET</t>
  </si>
  <si>
    <t>TIRO</t>
  </si>
  <si>
    <t>SIGUE CON</t>
  </si>
  <si>
    <t>OPCION</t>
  </si>
  <si>
    <t>LINE OUR 001</t>
  </si>
  <si>
    <t>00:16:15.962000</t>
  </si>
  <si>
    <t>00:16:05.962000</t>
  </si>
  <si>
    <t>00:16:22.962000</t>
  </si>
  <si>
    <t>6+1</t>
  </si>
  <si>
    <t>P3</t>
  </si>
  <si>
    <t>MAUL</t>
  </si>
  <si>
    <t>DIRECTO</t>
  </si>
  <si>
    <t>LINE OUR 002</t>
  </si>
  <si>
    <t>00:20:31.376000</t>
  </si>
  <si>
    <t>00:20:21.376000</t>
  </si>
  <si>
    <t>00:20:38.376000</t>
  </si>
  <si>
    <t>5</t>
  </si>
  <si>
    <t>P2</t>
  </si>
  <si>
    <t>JUEGO</t>
  </si>
  <si>
    <t>LINE OUR 003</t>
  </si>
  <si>
    <t>00:45:19.360000</t>
  </si>
  <si>
    <t>00:45:09.360000</t>
  </si>
  <si>
    <t>00:45:26.360000</t>
  </si>
  <si>
    <t xml:space="preserve">7-Player 7 </t>
  </si>
  <si>
    <t>LINE OUR 004</t>
  </si>
  <si>
    <t>00:47:59.170000</t>
  </si>
  <si>
    <t>00:47:49.170000</t>
  </si>
  <si>
    <t>00:48:06.170000</t>
  </si>
  <si>
    <t>LINE OUR 005</t>
  </si>
  <si>
    <t>00:49:31.231000</t>
  </si>
  <si>
    <t>00:49:21.231000</t>
  </si>
  <si>
    <t>00:49:38.231000</t>
  </si>
  <si>
    <t>6</t>
  </si>
  <si>
    <t>P4</t>
  </si>
  <si>
    <t>LINE OUR 006</t>
  </si>
  <si>
    <t>01:11:18.640000</t>
  </si>
  <si>
    <t>01:11:08.640000</t>
  </si>
  <si>
    <t>01:11:25.640000</t>
  </si>
  <si>
    <t>LINE OUR 007</t>
  </si>
  <si>
    <t>01:19:01.978000</t>
  </si>
  <si>
    <t>01:18:51.978000</t>
  </si>
  <si>
    <t>01:19:08.978000</t>
  </si>
  <si>
    <t>LINE OUR 008</t>
  </si>
  <si>
    <t>01:28:26.589000</t>
  </si>
  <si>
    <t>01:28:16.589000</t>
  </si>
  <si>
    <t>01:28:33.589000</t>
  </si>
  <si>
    <t>LINE OUR 009</t>
  </si>
  <si>
    <t>01:34:24.023000</t>
  </si>
  <si>
    <t>01:34:14.023000</t>
  </si>
  <si>
    <t>01:34:31.023000</t>
  </si>
  <si>
    <t>LINE OUR 010</t>
  </si>
  <si>
    <t>01:37:22.949000</t>
  </si>
  <si>
    <t>01:37:12.949000</t>
  </si>
  <si>
    <t>01:37:29.949000</t>
  </si>
  <si>
    <t xml:space="preserve">5-Player 5 </t>
  </si>
  <si>
    <t>LINE OUR 011</t>
  </si>
  <si>
    <t>01:38:39.384000</t>
  </si>
  <si>
    <t>01:38:29.384000</t>
  </si>
  <si>
    <t>01:38:46.384000</t>
  </si>
  <si>
    <t>LINE OUR 012</t>
  </si>
  <si>
    <t>01:41:41.347000</t>
  </si>
  <si>
    <t>01:41:31.347000</t>
  </si>
  <si>
    <t>01:41:48.347000</t>
  </si>
  <si>
    <t xml:space="preserve">4-Player 4 </t>
  </si>
  <si>
    <t xml:space="preserve"> LINE OUR 013</t>
  </si>
  <si>
    <t>01:51:30.671000</t>
  </si>
  <si>
    <t>01:51:20.671000</t>
  </si>
  <si>
    <t>01:51:37.671000</t>
  </si>
  <si>
    <t>LINE OUR 014</t>
  </si>
  <si>
    <t>01:54:01.450000</t>
  </si>
  <si>
    <t>01:53:51.450000</t>
  </si>
  <si>
    <t>01:54:08.450000</t>
  </si>
  <si>
    <t>P1</t>
  </si>
  <si>
    <t>MOVIMIENTO</t>
  </si>
  <si>
    <t>LINE OUR 015</t>
  </si>
  <si>
    <t>01:54:37.594000</t>
  </si>
  <si>
    <t>01:54:27.594000</t>
  </si>
  <si>
    <t>01:54:44.594000</t>
  </si>
  <si>
    <t>4</t>
  </si>
  <si>
    <t>LINE OPP 001</t>
  </si>
  <si>
    <t>00:12:55.522000</t>
  </si>
  <si>
    <t>00:12:45.522000</t>
  </si>
  <si>
    <t>00:13:00.522000</t>
  </si>
  <si>
    <t>5+1</t>
  </si>
  <si>
    <t>LINE OPP 002</t>
  </si>
  <si>
    <t>00:35:46.745000</t>
  </si>
  <si>
    <t>00:35:36.745000</t>
  </si>
  <si>
    <t>00:35:51.745000</t>
  </si>
  <si>
    <t>LINE OPP 003</t>
  </si>
  <si>
    <t>00:39:06.714000</t>
  </si>
  <si>
    <t>00:38:56.714000</t>
  </si>
  <si>
    <t>00:39:11.714000</t>
  </si>
  <si>
    <t>LINE OPP 004</t>
  </si>
  <si>
    <t>00:52:22.558000</t>
  </si>
  <si>
    <t>00:52:12.558000</t>
  </si>
  <si>
    <t>00:52:27.558000</t>
  </si>
  <si>
    <t>LINE OPP 005</t>
  </si>
  <si>
    <t>01:18:28.245000</t>
  </si>
  <si>
    <t>01:18:18.245000</t>
  </si>
  <si>
    <t>01:18:33.245000</t>
  </si>
  <si>
    <t>LINE OPP 006</t>
  </si>
  <si>
    <t>01:24:45.194000</t>
  </si>
  <si>
    <t>01:24:35.194000</t>
  </si>
  <si>
    <t>01:24:50.194000</t>
  </si>
  <si>
    <t>LINE OPP 007</t>
  </si>
  <si>
    <t>01:29:05.959000</t>
  </si>
  <si>
    <t>01:28:55.959000</t>
  </si>
  <si>
    <t>01:29:10.959000</t>
  </si>
  <si>
    <t>LINE OPP 008</t>
  </si>
  <si>
    <t>01:30:50.005000</t>
  </si>
  <si>
    <t>01:30:40.005000</t>
  </si>
  <si>
    <t>01:30:55.005000</t>
  </si>
  <si>
    <t>LINE OPP 009</t>
  </si>
  <si>
    <t>01:32:34.660000</t>
  </si>
  <si>
    <t>01:32:24.660000</t>
  </si>
  <si>
    <t>01:32:39.660000</t>
  </si>
  <si>
    <t>LINE OPP 010</t>
  </si>
  <si>
    <t>01:49:48.261000</t>
  </si>
  <si>
    <t>01:49:38.261000</t>
  </si>
  <si>
    <t>01:49:53.261000</t>
  </si>
  <si>
    <t>00:08:30.400000</t>
  </si>
  <si>
    <t>00:08:20.400000</t>
  </si>
  <si>
    <t>00:08:35.400000</t>
  </si>
  <si>
    <t>00:26:29.160000</t>
  </si>
  <si>
    <t>00:26:19.160000</t>
  </si>
  <si>
    <t>00:26:34.160000</t>
  </si>
  <si>
    <t>00:28:28.015000</t>
  </si>
  <si>
    <t>00:28:18.015000</t>
  </si>
  <si>
    <t>00:28:33.015000</t>
  </si>
  <si>
    <t>00:51:33.252000</t>
  </si>
  <si>
    <t>00:51:23.252000</t>
  </si>
  <si>
    <t>00:51:38.252000</t>
  </si>
  <si>
    <t>01:06:32.974000</t>
  </si>
  <si>
    <t>01:06:22.974000</t>
  </si>
  <si>
    <t>01:06:37.974000</t>
  </si>
  <si>
    <t>01:10:05.624000</t>
  </si>
  <si>
    <t>01:09:55.624000</t>
  </si>
  <si>
    <t>01:10:10.624000</t>
  </si>
  <si>
    <t>01:12:13.213000</t>
  </si>
  <si>
    <t>01:12:03.213000</t>
  </si>
  <si>
    <t>01:12:18.213000</t>
  </si>
  <si>
    <t>01:13:05.522000</t>
  </si>
  <si>
    <t>01:12:55.522000</t>
  </si>
  <si>
    <t>01:13:10.522000</t>
  </si>
  <si>
    <t>01:14:10.224000</t>
  </si>
  <si>
    <t>01:14:00.224000</t>
  </si>
  <si>
    <t>01:14:15.224000</t>
  </si>
  <si>
    <t>01:20:06.510000</t>
  </si>
  <si>
    <t>01:19:56.510000</t>
  </si>
  <si>
    <t>01:20:11.510000</t>
  </si>
  <si>
    <t>LINE OPP 011</t>
  </si>
  <si>
    <t>01:25:25.851000</t>
  </si>
  <si>
    <t>01:25:15.851000</t>
  </si>
  <si>
    <t>01:25:30.851000</t>
  </si>
  <si>
    <t>LINE OPP 012</t>
  </si>
  <si>
    <t>01:26:44.119000</t>
  </si>
  <si>
    <t>01:26:34.119000</t>
  </si>
  <si>
    <t>01:26:49.119000</t>
  </si>
  <si>
    <t>CAMBIO</t>
  </si>
  <si>
    <t>LINE OPP 013</t>
  </si>
  <si>
    <t>01:29:20.230000</t>
  </si>
  <si>
    <t>01:29:10.230000</t>
  </si>
  <si>
    <t>01:29:25.230000</t>
  </si>
  <si>
    <t>00:12:48.114000</t>
  </si>
  <si>
    <t>00:12:38.114000</t>
  </si>
  <si>
    <t>00:12:55.114000</t>
  </si>
  <si>
    <t>00:18:47.856000</t>
  </si>
  <si>
    <t>00:18:37.856000</t>
  </si>
  <si>
    <t>00:18:54.856000</t>
  </si>
  <si>
    <t>00:41:10.580000</t>
  </si>
  <si>
    <t>00:41:00.580000</t>
  </si>
  <si>
    <t>00:41:17.580000</t>
  </si>
  <si>
    <t>01:21:17.131000</t>
  </si>
  <si>
    <t>01:21:07.131000</t>
  </si>
  <si>
    <t>01:21:24.131000</t>
  </si>
  <si>
    <t>01:22:26.582000</t>
  </si>
  <si>
    <t>01:22:16.582000</t>
  </si>
  <si>
    <t>01:22:33.582000</t>
  </si>
  <si>
    <t>01:44:59.844000</t>
  </si>
  <si>
    <t>01:44:49.844000</t>
  </si>
  <si>
    <t>01:45:06.844000</t>
  </si>
  <si>
    <t>01:45:00.216000</t>
  </si>
  <si>
    <t>01:44:50.216000</t>
  </si>
  <si>
    <t>01:45:07.216000</t>
  </si>
  <si>
    <t>00:14:52.426000</t>
  </si>
  <si>
    <t>00:14:42.426000</t>
  </si>
  <si>
    <t>00:14:59.426000</t>
  </si>
  <si>
    <t>00:21:40.028000</t>
  </si>
  <si>
    <t>00:21:30.028000</t>
  </si>
  <si>
    <t>00:21:47.028000</t>
  </si>
  <si>
    <t>00:22:04.711000</t>
  </si>
  <si>
    <t>00:21:54.711000</t>
  </si>
  <si>
    <t>00:22:11.711000</t>
  </si>
  <si>
    <t>00:25:34.147000</t>
  </si>
  <si>
    <t>00:25:24.147000</t>
  </si>
  <si>
    <t>00:25:41.147000</t>
  </si>
  <si>
    <t>00:27:01.866000</t>
  </si>
  <si>
    <t>00:26:51.866000</t>
  </si>
  <si>
    <t>00:27:08.866000</t>
  </si>
  <si>
    <t>00:34:13.099000</t>
  </si>
  <si>
    <t>00:34:03.099000</t>
  </si>
  <si>
    <t>00:34:20.099000</t>
  </si>
  <si>
    <t>00:39:38.895000</t>
  </si>
  <si>
    <t>00:39:28.895000</t>
  </si>
  <si>
    <t>00:39:45.895000</t>
  </si>
  <si>
    <t>00:55:08.415000</t>
  </si>
  <si>
    <t>00:54:58.415000</t>
  </si>
  <si>
    <t>00:55:15.415000</t>
  </si>
  <si>
    <t>00:59:02.120000</t>
  </si>
  <si>
    <t>00:58:52.120000</t>
  </si>
  <si>
    <t>00:59:09.120000</t>
  </si>
  <si>
    <t>01:24:33.133000</t>
  </si>
  <si>
    <t>01:24:23.133000</t>
  </si>
  <si>
    <t>01:24:40.133000</t>
  </si>
  <si>
    <t>01:25:53.675000</t>
  </si>
  <si>
    <t>01:25:43.675000</t>
  </si>
  <si>
    <t>01:26:00.675000</t>
  </si>
  <si>
    <t>01:28:48.467000</t>
  </si>
  <si>
    <t>01:28:38.467000</t>
  </si>
  <si>
    <t>01:28:55.467000</t>
  </si>
  <si>
    <t>LINE OUR 013</t>
  </si>
  <si>
    <t>01:40:56.950000</t>
  </si>
  <si>
    <t>01:40:46.950000</t>
  </si>
  <si>
    <t>01:41:03.950000</t>
  </si>
  <si>
    <t>01:44:19.020000</t>
  </si>
  <si>
    <t>01:44:09.020000</t>
  </si>
  <si>
    <t>01:44:26.020000</t>
  </si>
  <si>
    <t>01:55:56.685000</t>
  </si>
  <si>
    <t>01:55:46.685000</t>
  </si>
  <si>
    <t>01:56:03.685000</t>
  </si>
  <si>
    <t>LINE OUR 016</t>
  </si>
  <si>
    <t>01:59:37.978000</t>
  </si>
  <si>
    <t>01:59:27.978000</t>
  </si>
  <si>
    <t>01:59:44.978000</t>
  </si>
  <si>
    <t>00:10:08.827000</t>
  </si>
  <si>
    <t>00:09:58.827000</t>
  </si>
  <si>
    <t>00:10:13.827000</t>
  </si>
  <si>
    <t>00:13:36.165000</t>
  </si>
  <si>
    <t>00:13:26.165000</t>
  </si>
  <si>
    <t>00:13:41.165000</t>
  </si>
  <si>
    <t>00:18:38.610000</t>
  </si>
  <si>
    <t>00:18:28.610000</t>
  </si>
  <si>
    <t>00:18:43.610000</t>
  </si>
  <si>
    <t>00:24:25.459000</t>
  </si>
  <si>
    <t>00:24:15.459000</t>
  </si>
  <si>
    <t>00:24:30.459000</t>
  </si>
  <si>
    <t>00:40:50.030000</t>
  </si>
  <si>
    <t>00:40:40.030000</t>
  </si>
  <si>
    <t>00:40:55.030000</t>
  </si>
  <si>
    <t>00:57:54.313000</t>
  </si>
  <si>
    <t>00:57:44.313000</t>
  </si>
  <si>
    <t>00:57:59.313000</t>
  </si>
  <si>
    <t>01:32:26.844000</t>
  </si>
  <si>
    <t>01:32:16.844000</t>
  </si>
  <si>
    <t>01:32:31.844000</t>
  </si>
  <si>
    <t>01:33:54.327000</t>
  </si>
  <si>
    <t>01:33:44.327000</t>
  </si>
  <si>
    <t>01:33:59.327000</t>
  </si>
  <si>
    <t>01:45:59.556000</t>
  </si>
  <si>
    <t>01:45:49.556000</t>
  </si>
  <si>
    <t>01:46:04.556000</t>
  </si>
  <si>
    <t>01:47:16.956000</t>
  </si>
  <si>
    <t>01:47:31.956000</t>
  </si>
  <si>
    <t>01:52:21.428000</t>
  </si>
  <si>
    <t>01:52:11.428000</t>
  </si>
  <si>
    <t>01:52:26.428000</t>
  </si>
  <si>
    <t>00:12:39.861000</t>
  </si>
  <si>
    <t>00:12:29.861000</t>
  </si>
  <si>
    <t>00:12:46.861000</t>
  </si>
  <si>
    <t>00:15:47.154000</t>
  </si>
  <si>
    <t>00:15:37.154000</t>
  </si>
  <si>
    <t>00:15:54.154000</t>
  </si>
  <si>
    <t>00:16:53.995000</t>
  </si>
  <si>
    <t>00:16:43.995000</t>
  </si>
  <si>
    <t>00:17:00.995000</t>
  </si>
  <si>
    <t>00:17:42.380000</t>
  </si>
  <si>
    <t>00:17:32.380000</t>
  </si>
  <si>
    <t>00:17:49.380000</t>
  </si>
  <si>
    <t>00:22:08.579000</t>
  </si>
  <si>
    <t>00:21:58.579000</t>
  </si>
  <si>
    <t>00:22:15.579000</t>
  </si>
  <si>
    <t>00:23:13.203000</t>
  </si>
  <si>
    <t>00:23:03.203000</t>
  </si>
  <si>
    <t>00:23:20.203000</t>
  </si>
  <si>
    <t>00:30:50.925000</t>
  </si>
  <si>
    <t>00:30:40.925000</t>
  </si>
  <si>
    <t>00:30:57.925000</t>
  </si>
  <si>
    <t>00:39:48.973000</t>
  </si>
  <si>
    <t>00:39:38.973000</t>
  </si>
  <si>
    <t>00:39:55.973000</t>
  </si>
  <si>
    <t>00:41:34.225000</t>
  </si>
  <si>
    <t>00:41:51.225000</t>
  </si>
  <si>
    <t>01:07:01.686000</t>
  </si>
  <si>
    <t>01:06:51.686000</t>
  </si>
  <si>
    <t>01:07:08.686000</t>
  </si>
  <si>
    <t>01:14:14.245000</t>
  </si>
  <si>
    <t>01:14:04.245000</t>
  </si>
  <si>
    <t>01:14:21.245000</t>
  </si>
  <si>
    <t>01:19:58.578000</t>
  </si>
  <si>
    <t>01:19:48.578000</t>
  </si>
  <si>
    <t>01:20:05.578000</t>
  </si>
  <si>
    <t>01:23:21.523000</t>
  </si>
  <si>
    <t>01:23:11.523000</t>
  </si>
  <si>
    <t>01:23:28.523000</t>
  </si>
  <si>
    <t>01:33:28.247000</t>
  </si>
  <si>
    <t>01:33:18.247000</t>
  </si>
  <si>
    <t>01:33:35.247000</t>
  </si>
  <si>
    <t>01:41:58.423000</t>
  </si>
  <si>
    <t>01:41:48.423000</t>
  </si>
  <si>
    <t>01:42:05.423000</t>
  </si>
  <si>
    <t>00:01:17.469000</t>
  </si>
  <si>
    <t>00:01:07.469000</t>
  </si>
  <si>
    <t>00:01:22.469000</t>
  </si>
  <si>
    <t>00:02:40.828000</t>
  </si>
  <si>
    <t>00:02:30.828000</t>
  </si>
  <si>
    <t>00:02:45.828000</t>
  </si>
  <si>
    <t>00:03:41.039000</t>
  </si>
  <si>
    <t>00:03:31.039000</t>
  </si>
  <si>
    <t>00:03:46.039000</t>
  </si>
  <si>
    <t>00:08:14.671000</t>
  </si>
  <si>
    <t>00:08:04.671000</t>
  </si>
  <si>
    <t>00:08:19.671000</t>
  </si>
  <si>
    <t>00:29:46.053000</t>
  </si>
  <si>
    <t>00:29:36.053000</t>
  </si>
  <si>
    <t>00:29:51.053000</t>
  </si>
  <si>
    <t>00:36:48.409000</t>
  </si>
  <si>
    <t>00:36:38.409000</t>
  </si>
  <si>
    <t>00:36:53.409000</t>
  </si>
  <si>
    <t>01:08:38.084000</t>
  </si>
  <si>
    <t>01:08:28.084000</t>
  </si>
  <si>
    <t>01:08:43.084000</t>
  </si>
  <si>
    <t>01:15:46.113000</t>
  </si>
  <si>
    <t>01:15:36.113000</t>
  </si>
  <si>
    <t>01:15:51.113000</t>
  </si>
  <si>
    <t>01:37:54.061000</t>
  </si>
  <si>
    <t>01:37:44.061000</t>
  </si>
  <si>
    <t>01:37:59.061000</t>
  </si>
  <si>
    <t>01:40:32.899000</t>
  </si>
  <si>
    <t>01:40:22.899000</t>
  </si>
  <si>
    <t>01:40:37.899000</t>
  </si>
  <si>
    <t>01:42:36.814000</t>
  </si>
  <si>
    <t>01:42:26.814000</t>
  </si>
  <si>
    <t>01:42:41.814000</t>
  </si>
  <si>
    <t>00:18:01.250000</t>
  </si>
  <si>
    <t>00:17:51.250000</t>
  </si>
  <si>
    <t>00:18:08.250000</t>
  </si>
  <si>
    <t>00:22:45.654000</t>
  </si>
  <si>
    <t>00:22:35.654000</t>
  </si>
  <si>
    <t>00:22:52.654000</t>
  </si>
  <si>
    <t>00:31:39.787000</t>
  </si>
  <si>
    <t>00:31:29.787000</t>
  </si>
  <si>
    <t>00:31:46.787000</t>
  </si>
  <si>
    <t>00:36:20.134000</t>
  </si>
  <si>
    <t>00:36:10.134000</t>
  </si>
  <si>
    <t>00:36:27.134000</t>
  </si>
  <si>
    <t>00:42:32.015000</t>
  </si>
  <si>
    <t>00:42:22.015000</t>
  </si>
  <si>
    <t>00:42:39.015000</t>
  </si>
  <si>
    <t>00:49:40.697000</t>
  </si>
  <si>
    <t>00:49:30.697000</t>
  </si>
  <si>
    <t>00:49:47.697000</t>
  </si>
  <si>
    <t>00:54:26.818000</t>
  </si>
  <si>
    <t>00:54:16.818000</t>
  </si>
  <si>
    <t>00:54:33.818000</t>
  </si>
  <si>
    <t>01:22:42.197000</t>
  </si>
  <si>
    <t>01:22:32.197000</t>
  </si>
  <si>
    <t>01:22:49.197000</t>
  </si>
  <si>
    <t>01:26:39.323000</t>
  </si>
  <si>
    <t>01:26:29.323000</t>
  </si>
  <si>
    <t>01:26:46.323000</t>
  </si>
  <si>
    <t>01:35:05.511000</t>
  </si>
  <si>
    <t>01:34:55.511000</t>
  </si>
  <si>
    <t>01:35:12.511000</t>
  </si>
  <si>
    <t>01:37:33.686000</t>
  </si>
  <si>
    <t>01:37:23.686000</t>
  </si>
  <si>
    <t>01:37:40.686000</t>
  </si>
  <si>
    <t>01:41:30.463000</t>
  </si>
  <si>
    <t>01:41:20.463000</t>
  </si>
  <si>
    <t>01:41:37.463000</t>
  </si>
  <si>
    <t>02:06:24.465000</t>
  </si>
  <si>
    <t>02:06:14.465000</t>
  </si>
  <si>
    <t>02:06:31.465000</t>
  </si>
  <si>
    <t>00:24:10.064000</t>
  </si>
  <si>
    <t>00:24:00.064000</t>
  </si>
  <si>
    <t>00:24:15.064000</t>
  </si>
  <si>
    <t>00:25:09.174000</t>
  </si>
  <si>
    <t>00:24:59.174000</t>
  </si>
  <si>
    <t>00:25:14.174000</t>
  </si>
  <si>
    <t>00:28:24.147000</t>
  </si>
  <si>
    <t>00:28:14.147000</t>
  </si>
  <si>
    <t>00:28:29.147000</t>
  </si>
  <si>
    <t>00:33:17.571000</t>
  </si>
  <si>
    <t>00:33:07.571000</t>
  </si>
  <si>
    <t>00:33:22.571000</t>
  </si>
  <si>
    <t>00:39:36.199000</t>
  </si>
  <si>
    <t>00:39:26.199000</t>
  </si>
  <si>
    <t>00:39:41.199000</t>
  </si>
  <si>
    <t>00:46:33.394000</t>
  </si>
  <si>
    <t>00:46:23.394000</t>
  </si>
  <si>
    <t>00:46:38.394000</t>
  </si>
  <si>
    <t>00:55:18.640000</t>
  </si>
  <si>
    <t>00:55:08.640000</t>
  </si>
  <si>
    <t>00:55:23.640000</t>
  </si>
  <si>
    <t>01:17:34.696000</t>
  </si>
  <si>
    <t>01:17:24.696000</t>
  </si>
  <si>
    <t>01:17:39.696000</t>
  </si>
  <si>
    <t>01:23:17.774000</t>
  </si>
  <si>
    <t>01:23:07.774000</t>
  </si>
  <si>
    <t>01:23:22.774000</t>
  </si>
  <si>
    <t>01:30:17.487000</t>
  </si>
  <si>
    <t>01:30:07.487000</t>
  </si>
  <si>
    <t>01:30:22.487000</t>
  </si>
  <si>
    <t>01:38:27.680000</t>
  </si>
  <si>
    <t>01:38:17.680000</t>
  </si>
  <si>
    <t>01:38:32.680000</t>
  </si>
  <si>
    <t>01:40:35.863000</t>
  </si>
  <si>
    <t>01:40:25.863000</t>
  </si>
  <si>
    <t>01:40:40.863000</t>
  </si>
  <si>
    <t>01:44:18.827000</t>
  </si>
  <si>
    <t>01:44:08.827000</t>
  </si>
  <si>
    <t>01:44:23.827000</t>
  </si>
  <si>
    <t>LINE OPP 014</t>
  </si>
  <si>
    <t>01:59:05.849000</t>
  </si>
  <si>
    <t>01:58:55.849000</t>
  </si>
  <si>
    <t>01:59:10.849000</t>
  </si>
  <si>
    <t>LINE OPP 015</t>
  </si>
  <si>
    <t>02:04:45.970000</t>
  </si>
  <si>
    <t>02:04:35.970000</t>
  </si>
  <si>
    <t>02:04:50.970000</t>
  </si>
  <si>
    <t>TIPO</t>
  </si>
  <si>
    <t>SALIDA OUR 001</t>
  </si>
  <si>
    <t>00:08:02.718000</t>
  </si>
  <si>
    <t>00:08:17.718000</t>
  </si>
  <si>
    <t>KO</t>
  </si>
  <si>
    <t>SALIDA OUR 002</t>
  </si>
  <si>
    <t>00:15:07.827000</t>
  </si>
  <si>
    <t>00:15:22.827000</t>
  </si>
  <si>
    <t>SALIDA OUR 003</t>
  </si>
  <si>
    <t>00:23:39.282000</t>
  </si>
  <si>
    <t>00:23:29.282000</t>
  </si>
  <si>
    <t>00:23:44.282000</t>
  </si>
  <si>
    <t>KI</t>
  </si>
  <si>
    <t>SALIDA OUR 004</t>
  </si>
  <si>
    <t>00:28:36.267000</t>
  </si>
  <si>
    <t>00:28:26.267000</t>
  </si>
  <si>
    <t>00:28:41.267000</t>
  </si>
  <si>
    <t>SALIDA OUR 005</t>
  </si>
  <si>
    <t>00:42:32.661000</t>
  </si>
  <si>
    <t>00:42:47.661000</t>
  </si>
  <si>
    <t>SALIDA OUR 006</t>
  </si>
  <si>
    <t>01:46:20.602000</t>
  </si>
  <si>
    <t>01:46:10.602000</t>
  </si>
  <si>
    <t>01:46:25.602000</t>
  </si>
  <si>
    <t>iIZQUIERDA</t>
  </si>
  <si>
    <t>SALIDA OPP 001</t>
  </si>
  <si>
    <t>00:10:02.668000</t>
  </si>
  <si>
    <t>00:10:17.668000</t>
  </si>
  <si>
    <t>SALIDA OPP 002</t>
  </si>
  <si>
    <t>00:19:33.947000</t>
  </si>
  <si>
    <t>00:19:48.947000</t>
  </si>
  <si>
    <t>SALIDA OPP 003</t>
  </si>
  <si>
    <t>00:35:07.349000</t>
  </si>
  <si>
    <t>00:34:57.349000</t>
  </si>
  <si>
    <t>00:35:12.349000</t>
  </si>
  <si>
    <t>SALIDA OPP 004</t>
  </si>
  <si>
    <t>01:07:11.630000</t>
  </si>
  <si>
    <t>01:07:26.630000</t>
  </si>
  <si>
    <t>SALIDA OPP 005</t>
  </si>
  <si>
    <t>01:17:47.599000</t>
  </si>
  <si>
    <t>01:18:02.599000</t>
  </si>
  <si>
    <t>00:06:07.526000</t>
  </si>
  <si>
    <t>00:05:57.526000</t>
  </si>
  <si>
    <t>00:06:12.526000</t>
  </si>
  <si>
    <t>00:10:48.326000</t>
  </si>
  <si>
    <t>00:11:03.326000</t>
  </si>
  <si>
    <t>00:23:38.906000</t>
  </si>
  <si>
    <t>00:23:53.906000</t>
  </si>
  <si>
    <t>00:32:55.239000</t>
  </si>
  <si>
    <t>00:33:10.239000</t>
  </si>
  <si>
    <t>01:15:01.781000</t>
  </si>
  <si>
    <t>01:14:51.781000</t>
  </si>
  <si>
    <t>01:15:06.781000</t>
  </si>
  <si>
    <t>01:35:19.571000</t>
  </si>
  <si>
    <t>01:35:34.571000</t>
  </si>
  <si>
    <t>00:14:52.368000</t>
  </si>
  <si>
    <t>00:15:07.368000</t>
  </si>
  <si>
    <t>00:20:44.256000</t>
  </si>
  <si>
    <t>00:20:59.256000</t>
  </si>
  <si>
    <t>00:35:02.329000</t>
  </si>
  <si>
    <t>00:34:52.329000</t>
  </si>
  <si>
    <t>00:35:07.329000</t>
  </si>
  <si>
    <t>01:02:44.208000</t>
  </si>
  <si>
    <t>01:02:34.208000</t>
  </si>
  <si>
    <t>01:02:49.208000</t>
  </si>
  <si>
    <t>01:18:17.149000</t>
  </si>
  <si>
    <t>01:18:07.149000</t>
  </si>
  <si>
    <t>01:18:22.149000</t>
  </si>
  <si>
    <t>SALIDA OPP 006</t>
  </si>
  <si>
    <t>01:24:30.163000</t>
  </si>
  <si>
    <t>01:24:45.163000</t>
  </si>
  <si>
    <t>SALIDA OPP 007</t>
  </si>
  <si>
    <t>01:24:43.809000</t>
  </si>
  <si>
    <t>01:24:33.809000</t>
  </si>
  <si>
    <t>01:24:48.809000</t>
  </si>
  <si>
    <t>SALIDA OPP 008</t>
  </si>
  <si>
    <t>01:39:46.969000</t>
  </si>
  <si>
    <t>01:40:01.969000</t>
  </si>
  <si>
    <t>00:11:32.991000</t>
  </si>
  <si>
    <t>00:11:47.991000</t>
  </si>
  <si>
    <t>00:30:55.006000</t>
  </si>
  <si>
    <t>00:31:10.006000</t>
  </si>
  <si>
    <t>00:47:58.575000</t>
  </si>
  <si>
    <t>00:47:48.575000</t>
  </si>
  <si>
    <t>00:48:03.575000</t>
  </si>
  <si>
    <t>K22</t>
  </si>
  <si>
    <t>01:16:32.279000</t>
  </si>
  <si>
    <t>01:16:47.279000</t>
  </si>
  <si>
    <t>01:35:41.282000</t>
  </si>
  <si>
    <t>01:35:31.282000</t>
  </si>
  <si>
    <t>01:35:46.282000</t>
  </si>
  <si>
    <t>00:09:31.467000</t>
  </si>
  <si>
    <t>00:09:21.467000</t>
  </si>
  <si>
    <t>00:09:36.467000</t>
  </si>
  <si>
    <t>00:49:53</t>
  </si>
  <si>
    <t>00:50:08</t>
  </si>
  <si>
    <t>00:53:32.299000</t>
  </si>
  <si>
    <t>00:53:22.299000</t>
  </si>
  <si>
    <t>00:53:37.299000</t>
  </si>
  <si>
    <t>00:57:21.190000</t>
  </si>
  <si>
    <t>00:57:11.190000</t>
  </si>
  <si>
    <t>00:57:26.190000</t>
  </si>
  <si>
    <t>01:20:21.390000</t>
  </si>
  <si>
    <t>01:20:36.390000</t>
  </si>
  <si>
    <t>01:30:49.740000</t>
  </si>
  <si>
    <t>01:30:39.740000</t>
  </si>
  <si>
    <t>01:30:54.740000</t>
  </si>
  <si>
    <t>01:40:23.847000</t>
  </si>
  <si>
    <t>01:40:13.847000</t>
  </si>
  <si>
    <t>01:40:28.847000</t>
  </si>
  <si>
    <t>00:05:25.908000</t>
  </si>
  <si>
    <t>00:05:15.908000</t>
  </si>
  <si>
    <t>00:05:30.908000</t>
  </si>
  <si>
    <t>00:11:42.815000</t>
  </si>
  <si>
    <t>00:11:57.815000</t>
  </si>
  <si>
    <t>00:27:40.423000</t>
  </si>
  <si>
    <t>00:27:30.423000</t>
  </si>
  <si>
    <t>00:27:45.423000</t>
  </si>
  <si>
    <t>00:39:01.167000</t>
  </si>
  <si>
    <t>00:38:51.167000</t>
  </si>
  <si>
    <t>00:39:06.167000</t>
  </si>
  <si>
    <t>01:02:15.654000</t>
  </si>
  <si>
    <t>01:02:05.654000</t>
  </si>
  <si>
    <t>01:02:20.654000</t>
  </si>
  <si>
    <t>01:10:56.086000</t>
  </si>
  <si>
    <t>01:10:46.086000</t>
  </si>
  <si>
    <t>01:11:01.086000</t>
  </si>
  <si>
    <t>SALIDA OUR 007</t>
  </si>
  <si>
    <t>01:24:53.462000</t>
  </si>
  <si>
    <t>01:25:08.462000</t>
  </si>
  <si>
    <t>SALIDA OUR 008</t>
  </si>
  <si>
    <t>01:26:55.354000</t>
  </si>
  <si>
    <t>01:27:10.354000</t>
  </si>
  <si>
    <t>SALIDA OUR 009</t>
  </si>
  <si>
    <t>01:30:04.520000</t>
  </si>
  <si>
    <t>01:29:54.520000</t>
  </si>
  <si>
    <t>01:30:09.520000</t>
  </si>
  <si>
    <t>SALIDA OUR 010</t>
  </si>
  <si>
    <t>01:31:43.547000</t>
  </si>
  <si>
    <t>01:31:58.547000</t>
  </si>
  <si>
    <t>00:19:49.573000</t>
  </si>
  <si>
    <t>00:20:04.573000</t>
  </si>
  <si>
    <t>00:25:52.563000</t>
  </si>
  <si>
    <t>00:25:42.563000</t>
  </si>
  <si>
    <t>00:25:57.563000</t>
  </si>
  <si>
    <t>00:41:03.197000</t>
  </si>
  <si>
    <t>00:40:53.197000</t>
  </si>
  <si>
    <t>00:41:08.197000</t>
  </si>
  <si>
    <t>01:22:23.187000</t>
  </si>
  <si>
    <t>01:22:13.187000</t>
  </si>
  <si>
    <t>01:22:28.187000</t>
  </si>
  <si>
    <t>00:09:07.437000</t>
  </si>
  <si>
    <t>00:09:22.437000</t>
  </si>
  <si>
    <t>00:17:01.098000</t>
  </si>
  <si>
    <t>00:17:16.098000</t>
  </si>
  <si>
    <t>00:27:50.710000</t>
  </si>
  <si>
    <t>00:27:40.710000</t>
  </si>
  <si>
    <t>00:27:55.710000</t>
  </si>
  <si>
    <t>00:48:50.823000</t>
  </si>
  <si>
    <t>00:48:40.823000</t>
  </si>
  <si>
    <t>00:48:55.823000</t>
  </si>
  <si>
    <t>01:21:44.538000</t>
  </si>
  <si>
    <t>01:21:59.538000</t>
  </si>
  <si>
    <t>01:45:08.858000</t>
  </si>
  <si>
    <t>01:45:23.858000</t>
  </si>
  <si>
    <t>02:01:26.234000</t>
  </si>
  <si>
    <t>02:01:16.234000</t>
  </si>
  <si>
    <t>02:01:31.234000</t>
  </si>
  <si>
    <t>00:14:03.693000</t>
  </si>
  <si>
    <t>00:14:18.693000</t>
  </si>
  <si>
    <t>00:20:58.535000</t>
  </si>
  <si>
    <t>00:20:48.535000</t>
  </si>
  <si>
    <t>00:21:03.535000</t>
  </si>
  <si>
    <t>01:14:03.956000</t>
  </si>
  <si>
    <t>01:14:18.956000</t>
  </si>
  <si>
    <t>01:29:26.947000</t>
  </si>
  <si>
    <t>01:29:41.947000</t>
  </si>
  <si>
    <t>01:37:02.191000</t>
  </si>
  <si>
    <t>01:36:52.191000</t>
  </si>
  <si>
    <t>01:37:07.191000</t>
  </si>
  <si>
    <t>01:56:28.767000</t>
  </si>
  <si>
    <t>01:56:43.767000</t>
  </si>
  <si>
    <t>ZONA</t>
  </si>
  <si>
    <t>ACCION</t>
  </si>
  <si>
    <t>PENAL/FK OPP 001</t>
  </si>
  <si>
    <t>00:12:39.852000</t>
  </si>
  <si>
    <t>00:12:29.852000</t>
  </si>
  <si>
    <t>00:12:44.852000</t>
  </si>
  <si>
    <t>PENAL/FK OPP 002</t>
  </si>
  <si>
    <t>00:38:41.048000</t>
  </si>
  <si>
    <t>00:38:31.048000</t>
  </si>
  <si>
    <t>00:38:46.048000</t>
  </si>
  <si>
    <t>PENAL/FK OPP 003</t>
  </si>
  <si>
    <t>00:49:44.325000</t>
  </si>
  <si>
    <t>00:49:34.325000</t>
  </si>
  <si>
    <t>00:49:49.325000</t>
  </si>
  <si>
    <t>PENAL/FK OPP 004</t>
  </si>
  <si>
    <t>00:52:03.239000</t>
  </si>
  <si>
    <t>00:51:53.239000</t>
  </si>
  <si>
    <t>00:52:08.239000</t>
  </si>
  <si>
    <t>PENAL/FK OPP 005</t>
  </si>
  <si>
    <t>01:30:29.335000</t>
  </si>
  <si>
    <t>01:30:19.335000</t>
  </si>
  <si>
    <t>01:30:34.335000</t>
  </si>
  <si>
    <t>PENAL/FK OPP 006</t>
  </si>
  <si>
    <t>01:49:32.998000</t>
  </si>
  <si>
    <t>01:49:22.998000</t>
  </si>
  <si>
    <t>01:49:37.998000</t>
  </si>
  <si>
    <t>PENAL/FK OPP 009</t>
  </si>
  <si>
    <t>01:52:11.001000</t>
  </si>
  <si>
    <t>01:52:01.001000</t>
  </si>
  <si>
    <t>01:52:16.001000</t>
  </si>
  <si>
    <t>PENAL/FK OPP 007</t>
  </si>
  <si>
    <t>01:52:26.066000</t>
  </si>
  <si>
    <t>01:52:41.066000</t>
  </si>
  <si>
    <t>PENAL/FK OPP 008</t>
  </si>
  <si>
    <t>01:55:39.224000</t>
  </si>
  <si>
    <t>01:55:54.224000</t>
  </si>
  <si>
    <t>PENAL /FK OUR 001</t>
  </si>
  <si>
    <t>00:15:44.897000</t>
  </si>
  <si>
    <t>00:15:32.897000</t>
  </si>
  <si>
    <t>00:15:51.897000</t>
  </si>
  <si>
    <t>PENAL /FK OUR 002</t>
  </si>
  <si>
    <t>00:20:04.960000</t>
  </si>
  <si>
    <t>00:19:52.960000</t>
  </si>
  <si>
    <t>00:20:11.960000</t>
  </si>
  <si>
    <t>PENAL /FK OUR 003</t>
  </si>
  <si>
    <t>00:33:19.222000</t>
  </si>
  <si>
    <t>00:33:07.222000</t>
  </si>
  <si>
    <t>00:33:26.222000</t>
  </si>
  <si>
    <t>PENAL /FK OUR 004</t>
  </si>
  <si>
    <t>00:44:52.711000</t>
  </si>
  <si>
    <t>00:44:40.711000</t>
  </si>
  <si>
    <t>00:44:59.711000</t>
  </si>
  <si>
    <t>PENAL /FK OUR 005</t>
  </si>
  <si>
    <t>01:10:55.166000</t>
  </si>
  <si>
    <t>01:10:43.166000</t>
  </si>
  <si>
    <t>01:11:02.166000</t>
  </si>
  <si>
    <t>PENAL /FK OUR 006</t>
  </si>
  <si>
    <t>PENAL /FK OUR 007</t>
  </si>
  <si>
    <t>01:28:06.355000</t>
  </si>
  <si>
    <t>01:27:54.355000</t>
  </si>
  <si>
    <t>01:28:13.355000</t>
  </si>
  <si>
    <t>PENAL /FK OUR 008</t>
  </si>
  <si>
    <t>01:51:07.536000</t>
  </si>
  <si>
    <t>01:50:55.536000</t>
  </si>
  <si>
    <t>01:51:14.536000</t>
  </si>
  <si>
    <t>PENAL /FK OUR 009</t>
  </si>
  <si>
    <t>01:53:38.845000</t>
  </si>
  <si>
    <t>01:53:26.845000</t>
  </si>
  <si>
    <t>01:53:45.845000</t>
  </si>
  <si>
    <t>00:18:25.361000</t>
  </si>
  <si>
    <t>00:18:13.361000</t>
  </si>
  <si>
    <t>00:18:32.361000</t>
  </si>
  <si>
    <t>00:40:38.497000</t>
  </si>
  <si>
    <t>00:40:26.497000</t>
  </si>
  <si>
    <t>00:40:45.497000</t>
  </si>
  <si>
    <t>01:20:39.171000</t>
  </si>
  <si>
    <t>01:20:27.171000</t>
  </si>
  <si>
    <t>01:20:46.171000</t>
  </si>
  <si>
    <t>01:22:05.338000</t>
  </si>
  <si>
    <t>01:21:53.338000</t>
  </si>
  <si>
    <t>01:22:12.338000</t>
  </si>
  <si>
    <t>01:41:18.463000</t>
  </si>
  <si>
    <t>01:44:19.164000</t>
  </si>
  <si>
    <t>01:44:07.164000</t>
  </si>
  <si>
    <t>01:44:26.164000</t>
  </si>
  <si>
    <t>00:08:10.234000</t>
  </si>
  <si>
    <t>00:08:00.234000</t>
  </si>
  <si>
    <t>00:08:15.234000</t>
  </si>
  <si>
    <t>00:25:59.826000</t>
  </si>
  <si>
    <t>00:25:49.826000</t>
  </si>
  <si>
    <t>00:26:04.826000</t>
  </si>
  <si>
    <t>00:28:07.694000</t>
  </si>
  <si>
    <t>00:27:57.694000</t>
  </si>
  <si>
    <t>00:28:12.694000</t>
  </si>
  <si>
    <t>00:49:57.999000</t>
  </si>
  <si>
    <t>00:50:12.999000</t>
  </si>
  <si>
    <t>00:50:51.589000</t>
  </si>
  <si>
    <t>00:50:41.589000</t>
  </si>
  <si>
    <t>00:50:56.589000</t>
  </si>
  <si>
    <t>01:06:10.477000</t>
  </si>
  <si>
    <t>01:06:00.477000</t>
  </si>
  <si>
    <t>01:06:15.477000</t>
  </si>
  <si>
    <t>01:09:25.996000</t>
  </si>
  <si>
    <t>01:09:15.996000</t>
  </si>
  <si>
    <t>01:09:30.996000</t>
  </si>
  <si>
    <t>01:11:48.922000</t>
  </si>
  <si>
    <t>01:11:38.922000</t>
  </si>
  <si>
    <t>01:11:53.922000</t>
  </si>
  <si>
    <t>PENAL/FK OPP 010</t>
  </si>
  <si>
    <t>01:25:58.677000</t>
  </si>
  <si>
    <t>01:25:48.677000</t>
  </si>
  <si>
    <t>01:26:03.677000</t>
  </si>
  <si>
    <t>PENAL/FK OPP 011</t>
  </si>
  <si>
    <t>01:29:00.502000</t>
  </si>
  <si>
    <t>01:28:50.502000</t>
  </si>
  <si>
    <t>01:29:05.502000</t>
  </si>
  <si>
    <t>PENAL/FK OPP 012</t>
  </si>
  <si>
    <t>01:42:37.052000</t>
  </si>
  <si>
    <t>01:42:27.052000</t>
  </si>
  <si>
    <t>01:42:42.052000</t>
  </si>
  <si>
    <t>PENAL/FK OPP 013</t>
  </si>
  <si>
    <t>01:46:11.725000</t>
  </si>
  <si>
    <t>01:46:01.725000</t>
  </si>
  <si>
    <t>01:46:16.725000</t>
  </si>
  <si>
    <t>00:13:08.265000</t>
  </si>
  <si>
    <t>00:12:58.265000</t>
  </si>
  <si>
    <t>00:13:13.265000</t>
  </si>
  <si>
    <t>00:18:13.319000</t>
  </si>
  <si>
    <t>00:18:03.319000</t>
  </si>
  <si>
    <t>00:18:18.319000</t>
  </si>
  <si>
    <t>00:23:58.583000</t>
  </si>
  <si>
    <t>00:23:48.583000</t>
  </si>
  <si>
    <t>00:24:03.583000</t>
  </si>
  <si>
    <t>00:24:06.924000</t>
  </si>
  <si>
    <t>00:23:56.924000</t>
  </si>
  <si>
    <t>00:24:11.924000</t>
  </si>
  <si>
    <t>00:29:59.203000</t>
  </si>
  <si>
    <t>00:40:19.939000</t>
  </si>
  <si>
    <t>00:40:09.939000</t>
  </si>
  <si>
    <t>00:40:24.939000</t>
  </si>
  <si>
    <t>01:47:05.837000</t>
  </si>
  <si>
    <t>01:46:55.837000</t>
  </si>
  <si>
    <t>01:47:10.837000</t>
  </si>
  <si>
    <t>01:49:58.301000</t>
  </si>
  <si>
    <t>01:50:13.301000</t>
  </si>
  <si>
    <t>01:54:37.459000</t>
  </si>
  <si>
    <t>01:54:27.459000</t>
  </si>
  <si>
    <t>01:54:42.459000</t>
  </si>
  <si>
    <t>00:25:12.947000</t>
  </si>
  <si>
    <t>00:25:00.947000</t>
  </si>
  <si>
    <t>00:25:19.947000</t>
  </si>
  <si>
    <t>00:26:39.506000</t>
  </si>
  <si>
    <t>00:26:27.506000</t>
  </si>
  <si>
    <t>00:26:46.506000</t>
  </si>
  <si>
    <t>00:39:22.286000</t>
  </si>
  <si>
    <t>00:39:10.286000</t>
  </si>
  <si>
    <t>00:39:29.286000</t>
  </si>
  <si>
    <t>01:24:04.215000</t>
  </si>
  <si>
    <t>01:23:52.215000</t>
  </si>
  <si>
    <t>01:24:11.215000</t>
  </si>
  <si>
    <t>01:28:22.769000</t>
  </si>
  <si>
    <t>01:28:10.769000</t>
  </si>
  <si>
    <t>01:28:29.769000</t>
  </si>
  <si>
    <t>01:33:28.569000</t>
  </si>
  <si>
    <t>01:33:16.569000</t>
  </si>
  <si>
    <t>01:33:35.569000</t>
  </si>
  <si>
    <t>01:43:58.387000</t>
  </si>
  <si>
    <t>01:43:46.387000</t>
  </si>
  <si>
    <t>01:44:05.387000</t>
  </si>
  <si>
    <t>01:55:30.904000</t>
  </si>
  <si>
    <t>01:55:18.904000</t>
  </si>
  <si>
    <t>01:55:37.904000</t>
  </si>
  <si>
    <t>PENAL /FK OUR 010</t>
  </si>
  <si>
    <t>01:59:13.492000</t>
  </si>
  <si>
    <t>01:59:01.492000</t>
  </si>
  <si>
    <t>01:59:20.492000</t>
  </si>
  <si>
    <t>PENAL /FK OUR 011</t>
  </si>
  <si>
    <t>02:00:52.060000</t>
  </si>
  <si>
    <t>02:00:40.060000</t>
  </si>
  <si>
    <t>02:00:59.060000</t>
  </si>
  <si>
    <t>PENAL /FK OUR 014</t>
  </si>
  <si>
    <t>02:03:35.030000</t>
  </si>
  <si>
    <t>02:03:00.030000</t>
  </si>
  <si>
    <t>02:03:45.030000</t>
  </si>
  <si>
    <t>PENAL /FK OUR 012</t>
  </si>
  <si>
    <t>02:03:29.912000</t>
  </si>
  <si>
    <t>02:03:17.912000</t>
  </si>
  <si>
    <t>02:03:36.912000</t>
  </si>
  <si>
    <t>PENAL /FK OUR 013</t>
  </si>
  <si>
    <t>00:02:21.152000</t>
  </si>
  <si>
    <t>00:02:11.152000</t>
  </si>
  <si>
    <t>00:02:26.152000</t>
  </si>
  <si>
    <t>00:03:18.873000</t>
  </si>
  <si>
    <t>00:03:08.873000</t>
  </si>
  <si>
    <t>00:03:23.873000</t>
  </si>
  <si>
    <t>00:11:22.057000</t>
  </si>
  <si>
    <t>00:10:47.057000</t>
  </si>
  <si>
    <t>00:11:32.057000</t>
  </si>
  <si>
    <t>00:13:19.319000</t>
  </si>
  <si>
    <t>00:13:09.319000</t>
  </si>
  <si>
    <t>00:13:24.319000</t>
  </si>
  <si>
    <t>00:28:55.788000</t>
  </si>
  <si>
    <t>00:28:45.788000</t>
  </si>
  <si>
    <t>00:29:00.788000</t>
  </si>
  <si>
    <t>01:08:04.518000</t>
  </si>
  <si>
    <t>01:07:54.518000</t>
  </si>
  <si>
    <t>01:08:09.518000</t>
  </si>
  <si>
    <t>01:26:29.955000</t>
  </si>
  <si>
    <t>01:26:19.955000</t>
  </si>
  <si>
    <t>01:26:34.955000</t>
  </si>
  <si>
    <t>PENAL/FK OPP 014</t>
  </si>
  <si>
    <t>01:29:19.171000</t>
  </si>
  <si>
    <t>01:29:09.171000</t>
  </si>
  <si>
    <t>01:29:24.171000</t>
  </si>
  <si>
    <t>PENAL/FK OPP 015</t>
  </si>
  <si>
    <t>01:37:23.089000</t>
  </si>
  <si>
    <t>01:37:13.089000</t>
  </si>
  <si>
    <t>01:37:28.089000</t>
  </si>
  <si>
    <t>PENAL/FK OPP 016</t>
  </si>
  <si>
    <t>01:40:20.357000</t>
  </si>
  <si>
    <t>01:40:10.357000</t>
  </si>
  <si>
    <t>01:40:25.357000</t>
  </si>
  <si>
    <t>00:12:17.614000</t>
  </si>
  <si>
    <t>00:12:05.614000</t>
  </si>
  <si>
    <t>00:12:24.614000</t>
  </si>
  <si>
    <t>00:15:05.712000</t>
  </si>
  <si>
    <t>00:14:53.712000</t>
  </si>
  <si>
    <t>00:15:12.712000</t>
  </si>
  <si>
    <t>00:16:33.383000</t>
  </si>
  <si>
    <t>00:16:21.383000</t>
  </si>
  <si>
    <t>00:16:40.383000</t>
  </si>
  <si>
    <t>00:17:24.983000</t>
  </si>
  <si>
    <t>00:17:12.983000</t>
  </si>
  <si>
    <t>00:17:31.983000</t>
  </si>
  <si>
    <t>00:21:39.976000</t>
  </si>
  <si>
    <t>00:21:27.976000</t>
  </si>
  <si>
    <t>00:21:46.976000</t>
  </si>
  <si>
    <t>00:22:52.032000</t>
  </si>
  <si>
    <t>00:22:40.032000</t>
  </si>
  <si>
    <t>00:22:59.032000</t>
  </si>
  <si>
    <t>00:25:17.409000</t>
  </si>
  <si>
    <t>00:24:42.409000</t>
  </si>
  <si>
    <t>00:25:27.409000</t>
  </si>
  <si>
    <t>00:30:14.981000</t>
  </si>
  <si>
    <t>00:30:02.981000</t>
  </si>
  <si>
    <t>00:30:21.981000</t>
  </si>
  <si>
    <t>00:34:19.450000</t>
  </si>
  <si>
    <t>00:34:07.450000</t>
  </si>
  <si>
    <t>00:34:26.450000</t>
  </si>
  <si>
    <t>00:36:27.028000</t>
  </si>
  <si>
    <t>00:36:15.028000</t>
  </si>
  <si>
    <t>00:36:34.028000</t>
  </si>
  <si>
    <t>01:06:37.259000</t>
  </si>
  <si>
    <t>01:06:25.259000</t>
  </si>
  <si>
    <t>01:06:44.259000</t>
  </si>
  <si>
    <t>01:13:08.715000</t>
  </si>
  <si>
    <t>01:12:56.715000</t>
  </si>
  <si>
    <t>01:13:15.715000</t>
  </si>
  <si>
    <t>PENAL /FK OUR 015</t>
  </si>
  <si>
    <t>01:19:24.333000</t>
  </si>
  <si>
    <t>01:19:12.333000</t>
  </si>
  <si>
    <t>01:19:31.333000</t>
  </si>
  <si>
    <t>PENAL /FK OUR 016</t>
  </si>
  <si>
    <t>01:22:45.871000</t>
  </si>
  <si>
    <t>01:22:33.871000</t>
  </si>
  <si>
    <t>01:22:52.871000</t>
  </si>
  <si>
    <t>PENAL /FK OUR 017</t>
  </si>
  <si>
    <t>01:33:00.215000</t>
  </si>
  <si>
    <t>01:32:48.215000</t>
  </si>
  <si>
    <t>01:33:07.215000</t>
  </si>
  <si>
    <t>PENAL /FK OUR 018</t>
  </si>
  <si>
    <t>01:41:20.151000</t>
  </si>
  <si>
    <t>01:41:08.151000</t>
  </si>
  <si>
    <t>01:41:27.151000</t>
  </si>
  <si>
    <t>00:17:42.477000</t>
  </si>
  <si>
    <t>00:17:30.477000</t>
  </si>
  <si>
    <t>00:17:49.477000</t>
  </si>
  <si>
    <t>00:22:20.433000</t>
  </si>
  <si>
    <t>00:22:08.433000</t>
  </si>
  <si>
    <t>00:22:27.433000</t>
  </si>
  <si>
    <t>00:31:11.623000</t>
  </si>
  <si>
    <t>00:30:59.623000</t>
  </si>
  <si>
    <t>00:31:18.623000</t>
  </si>
  <si>
    <t>00:33:51.625000</t>
  </si>
  <si>
    <t>00:33:39.625000</t>
  </si>
  <si>
    <t>00:33:58.625000</t>
  </si>
  <si>
    <t>00:42:01.711000</t>
  </si>
  <si>
    <t>00:41:49.711000</t>
  </si>
  <si>
    <t>00:42:08.711000</t>
  </si>
  <si>
    <t>00:49:30.910000</t>
  </si>
  <si>
    <t>00:49:18.910000</t>
  </si>
  <si>
    <t>00:49:37.910000</t>
  </si>
  <si>
    <t>01:32:45.220000</t>
  </si>
  <si>
    <t>01:32:33.220000</t>
  </si>
  <si>
    <t>01:32:52.220000</t>
  </si>
  <si>
    <t>01:36:23.825000</t>
  </si>
  <si>
    <t>01:35:48.825000</t>
  </si>
  <si>
    <t>01:36:33.825000</t>
  </si>
  <si>
    <t>02:05:55.487000</t>
  </si>
  <si>
    <t>02:05:43.487000</t>
  </si>
  <si>
    <t>02:06:02.487000</t>
  </si>
  <si>
    <t>00:16:35.705000</t>
  </si>
  <si>
    <t>00:16:00.705000</t>
  </si>
  <si>
    <t>00:16:45.705000</t>
  </si>
  <si>
    <t>00:23:48.642000</t>
  </si>
  <si>
    <t>00:23:38.642000</t>
  </si>
  <si>
    <t>00:23:53.642000</t>
  </si>
  <si>
    <t>00:46:06.048000</t>
  </si>
  <si>
    <t>00:45:56.048000</t>
  </si>
  <si>
    <t>00:46:11.048000</t>
  </si>
  <si>
    <t>00:54:54.820000</t>
  </si>
  <si>
    <t>00:54:44.820000</t>
  </si>
  <si>
    <t>00:54:59.820000</t>
  </si>
  <si>
    <t>01:17:16.936000</t>
  </si>
  <si>
    <t>01:17:06.936000</t>
  </si>
  <si>
    <t>01:17:21.936000</t>
  </si>
  <si>
    <t>01:42:22.385000</t>
  </si>
  <si>
    <t>01:42:12.385000</t>
  </si>
  <si>
    <t>01:42:27.385000</t>
  </si>
  <si>
    <t>02:04:09.969000</t>
  </si>
  <si>
    <t>02:03:59.969000</t>
  </si>
  <si>
    <t>02:04:14.969000</t>
  </si>
  <si>
    <t>BREAKLINE OUR 001</t>
  </si>
  <si>
    <t>00:08:55.103000</t>
  </si>
  <si>
    <t>00:08:49.103000</t>
  </si>
  <si>
    <t>00:09:05.103000</t>
  </si>
  <si>
    <t>BREAKLINE OUR 002</t>
  </si>
  <si>
    <t>01:32:53.246000</t>
  </si>
  <si>
    <t>01:32:47.246000</t>
  </si>
  <si>
    <t>01:33:03.246000</t>
  </si>
  <si>
    <t>KICK</t>
  </si>
  <si>
    <t>PASE</t>
  </si>
  <si>
    <t>BREAKLINE OUR 003</t>
  </si>
  <si>
    <t>01:34:31.958000</t>
  </si>
  <si>
    <t>01:34:25.958000</t>
  </si>
  <si>
    <t>01:34:41.958000</t>
  </si>
  <si>
    <t>ATAQUE AL ESPACIO</t>
  </si>
  <si>
    <t>BREAKLINE OUR 004</t>
  </si>
  <si>
    <t>01:35:22.854000</t>
  </si>
  <si>
    <t>01:35:16.854000</t>
  </si>
  <si>
    <t>01:35:32.854000</t>
  </si>
  <si>
    <t>IZQUIERDO</t>
  </si>
  <si>
    <t>BREAKLINE OUR 005</t>
  </si>
  <si>
    <t>01:44:25.746000</t>
  </si>
  <si>
    <t>01:44:19.746000</t>
  </si>
  <si>
    <t>01:44:35.746000</t>
  </si>
  <si>
    <t>RUCK</t>
  </si>
  <si>
    <t>BREAKLINE OPP 001</t>
  </si>
  <si>
    <t>01:55:04.903000</t>
  </si>
  <si>
    <t>01:54:58.903000</t>
  </si>
  <si>
    <t>01:55:14.903000</t>
  </si>
  <si>
    <t>00:13:29.538000</t>
  </si>
  <si>
    <t>00:13:23.538000</t>
  </si>
  <si>
    <t>00:13:39.538000</t>
  </si>
  <si>
    <t>00:17:18.081000</t>
  </si>
  <si>
    <t>00:17:12.081000</t>
  </si>
  <si>
    <t>00:17:28.081000</t>
  </si>
  <si>
    <t>00:33:22.504000</t>
  </si>
  <si>
    <t>00:33:16.504000</t>
  </si>
  <si>
    <t>00:33:32.504000</t>
  </si>
  <si>
    <t>00:36:02.324000</t>
  </si>
  <si>
    <t>00:35:56.324000</t>
  </si>
  <si>
    <t>00:36:12.324000</t>
  </si>
  <si>
    <t>DUELO</t>
  </si>
  <si>
    <t>00:40:00.177000</t>
  </si>
  <si>
    <t>00:39:54.177000</t>
  </si>
  <si>
    <t>00:40:10.177000</t>
  </si>
  <si>
    <t>BREAKLINE OUR 006</t>
  </si>
  <si>
    <t>01:07:34.686000</t>
  </si>
  <si>
    <t>01:07:28.686000</t>
  </si>
  <si>
    <t>01:07:44.686000</t>
  </si>
  <si>
    <t>BREAKLINE OUR 007</t>
  </si>
  <si>
    <t>01:16:23.212000</t>
  </si>
  <si>
    <t>01:16:17.212000</t>
  </si>
  <si>
    <t>01:16:33.212000</t>
  </si>
  <si>
    <t>BREAKLINE OUR 008</t>
  </si>
  <si>
    <t>01:16:33.039000</t>
  </si>
  <si>
    <t>01:16:27.039000</t>
  </si>
  <si>
    <t>01:16:43.039000</t>
  </si>
  <si>
    <t>00:09:25.058000</t>
  </si>
  <si>
    <t>00:09:19.058000</t>
  </si>
  <si>
    <t>00:09:35.058000</t>
  </si>
  <si>
    <t>BREAKLINE OPP 002</t>
  </si>
  <si>
    <t>00:12:07.508000</t>
  </si>
  <si>
    <t>00:12:01.508000</t>
  </si>
  <si>
    <t>00:12:17.508000</t>
  </si>
  <si>
    <t>BREAKLINE OPP 003</t>
  </si>
  <si>
    <t>00:15:32.171000</t>
  </si>
  <si>
    <t>00:15:26.171000</t>
  </si>
  <si>
    <t>00:15:42.171000</t>
  </si>
  <si>
    <t>BREAKLINE OPP 004</t>
  </si>
  <si>
    <t>00:22:10.019000</t>
  </si>
  <si>
    <t>00:22:04.019000</t>
  </si>
  <si>
    <t>00:22:20.019000</t>
  </si>
  <si>
    <t>BREAKLINE OPP 005</t>
  </si>
  <si>
    <t>01:41:44.359000</t>
  </si>
  <si>
    <t>01:41:38.359000</t>
  </si>
  <si>
    <t>01:41:54.359000</t>
  </si>
  <si>
    <t>00:19:57.407000</t>
  </si>
  <si>
    <t>00:19:51.407000</t>
  </si>
  <si>
    <t>00:20:07.407000</t>
  </si>
  <si>
    <t>00:34:45.386000</t>
  </si>
  <si>
    <t>00:34:39.386000</t>
  </si>
  <si>
    <t>00:34:55.386000</t>
  </si>
  <si>
    <t>00:49:15.222000</t>
  </si>
  <si>
    <t>00:49:09.222000</t>
  </si>
  <si>
    <t>00:49:25.222000</t>
  </si>
  <si>
    <t>00:51:30.454000</t>
  </si>
  <si>
    <t>00:51:24.454000</t>
  </si>
  <si>
    <t>00:51:40.454000</t>
  </si>
  <si>
    <t>00:55:30.884000</t>
  </si>
  <si>
    <t>00:55:24.884000</t>
  </si>
  <si>
    <t>00:55:40.884000</t>
  </si>
  <si>
    <t>00:59:11.133000</t>
  </si>
  <si>
    <t>00:59:05.133000</t>
  </si>
  <si>
    <t>00:59:21.133000</t>
  </si>
  <si>
    <t>01:38:37.399000</t>
  </si>
  <si>
    <t>01:38:31.399000</t>
  </si>
  <si>
    <t>01:38:47.399000</t>
  </si>
  <si>
    <t>01:57:05.502000</t>
  </si>
  <si>
    <t>01:56:59.502000</t>
  </si>
  <si>
    <t>01:57:15.502000</t>
  </si>
  <si>
    <t>00:10:13.988000</t>
  </si>
  <si>
    <t>00:10:07.988000</t>
  </si>
  <si>
    <t>00:10:23.988000</t>
  </si>
  <si>
    <t>00:24:43.225000</t>
  </si>
  <si>
    <t>00:24:37.225000</t>
  </si>
  <si>
    <t>00:24:53.225000</t>
  </si>
  <si>
    <t>00:28:36.693000</t>
  </si>
  <si>
    <t>00:28:30.693000</t>
  </si>
  <si>
    <t>00:28:46.693000</t>
  </si>
  <si>
    <t>00:28:53.699000</t>
  </si>
  <si>
    <t>00:28:47.699000</t>
  </si>
  <si>
    <t>00:29:03.699000</t>
  </si>
  <si>
    <t>00:48:18.249000</t>
  </si>
  <si>
    <t>00:48:12.249000</t>
  </si>
  <si>
    <t>00:48:28.249000</t>
  </si>
  <si>
    <t>BREAKLINE OPP 006</t>
  </si>
  <si>
    <t>01:43:18.064000</t>
  </si>
  <si>
    <t>01:43:12.064000</t>
  </si>
  <si>
    <t>01:43:28.064000</t>
  </si>
  <si>
    <t>01:45:35.638000</t>
  </si>
  <si>
    <t>01:45:29.638000</t>
  </si>
  <si>
    <t>01:45:45.638000</t>
  </si>
  <si>
    <t>00:33:04.217000</t>
  </si>
  <si>
    <t>00:32:58.217000</t>
  </si>
  <si>
    <t>00:33:14.217000</t>
  </si>
  <si>
    <t>01:02:42.196000</t>
  </si>
  <si>
    <t>01:02:36.196000</t>
  </si>
  <si>
    <t>01:02:52.196000</t>
  </si>
  <si>
    <t>01:35:07.205000</t>
  </si>
  <si>
    <t>01:35:01.205000</t>
  </si>
  <si>
    <t>01:35:17.205000</t>
  </si>
  <si>
    <t>01:27:18.874000</t>
  </si>
  <si>
    <t>01:27:34.874000</t>
  </si>
  <si>
    <t>01:54:33.052000</t>
  </si>
  <si>
    <t>01:54:27.052000</t>
  </si>
  <si>
    <t>01:54:43.052000</t>
  </si>
  <si>
    <t>01:56:40.966000</t>
  </si>
  <si>
    <t>01:56:34.966000</t>
  </si>
  <si>
    <t>01:56:50.966000</t>
  </si>
  <si>
    <t>02:06:35.538000</t>
  </si>
  <si>
    <t>02:06:29.538000</t>
  </si>
  <si>
    <t>02:06:45.538000</t>
  </si>
  <si>
    <t>00:14:53.520000</t>
  </si>
  <si>
    <t>00:14:47.520000</t>
  </si>
  <si>
    <t>00:15:03.520000</t>
  </si>
  <si>
    <t>00:15:15.912000</t>
  </si>
  <si>
    <t>00:15:09.912000</t>
  </si>
  <si>
    <t>00:15:25.912000</t>
  </si>
  <si>
    <t>00:46:47.711000</t>
  </si>
  <si>
    <t>00:46:41.711000</t>
  </si>
  <si>
    <t>00:46:57.711000</t>
  </si>
  <si>
    <t>01:57:18.601000</t>
  </si>
  <si>
    <t>01:57:12.601000</t>
  </si>
  <si>
    <t>01:57:28.601000</t>
  </si>
  <si>
    <t>TO OPP 001</t>
  </si>
  <si>
    <t>00:10:42.292000</t>
  </si>
  <si>
    <t>00:10:32.292000</t>
  </si>
  <si>
    <t>00:10:46.292000</t>
  </si>
  <si>
    <t>KNOCK_ON</t>
  </si>
  <si>
    <t>TO OPP 002</t>
  </si>
  <si>
    <t>00:15:25.190000</t>
  </si>
  <si>
    <t>00:15:15.190000</t>
  </si>
  <si>
    <t>00:15:29.190000</t>
  </si>
  <si>
    <t>TO OPP 003</t>
  </si>
  <si>
    <t>00:29:48.026000</t>
  </si>
  <si>
    <t>00:29:38.026000</t>
  </si>
  <si>
    <t>00:29:52.026000</t>
  </si>
  <si>
    <t>TO OPP 004</t>
  </si>
  <si>
    <t>00:40:14.975000</t>
  </si>
  <si>
    <t>00:40:04.975000</t>
  </si>
  <si>
    <t>00:40:18.975000</t>
  </si>
  <si>
    <t>TRABADA</t>
  </si>
  <si>
    <t>TO OPP 005</t>
  </si>
  <si>
    <t>00:43:25.726000</t>
  </si>
  <si>
    <t>00:43:15.726000</t>
  </si>
  <si>
    <t>00:43:29.726000</t>
  </si>
  <si>
    <t>TO OPP 006</t>
  </si>
  <si>
    <t>00:49:58.317000</t>
  </si>
  <si>
    <t>00:49:48.317000</t>
  </si>
  <si>
    <t>00:50:02.317000</t>
  </si>
  <si>
    <t>OUT</t>
  </si>
  <si>
    <t>TO OPP 007</t>
  </si>
  <si>
    <t>00:53:06.431000</t>
  </si>
  <si>
    <t>00:52:56.431000</t>
  </si>
  <si>
    <t>00:53:10.431000</t>
  </si>
  <si>
    <t>TO OPP 008</t>
  </si>
  <si>
    <t>01:08:22.026000</t>
  </si>
  <si>
    <t>01:08:36.026000</t>
  </si>
  <si>
    <t>TO OPP 009</t>
  </si>
  <si>
    <t>01:14:24.050000</t>
  </si>
  <si>
    <t>01:14:14.050000</t>
  </si>
  <si>
    <t>01:14:28.050000</t>
  </si>
  <si>
    <t>PASE_FORWARD</t>
  </si>
  <si>
    <t>TO OPP 010</t>
  </si>
  <si>
    <t>01:18:31.296000</t>
  </si>
  <si>
    <t>01:18:21.296000</t>
  </si>
  <si>
    <t>01:18:35.296000</t>
  </si>
  <si>
    <t>TO OPP 011</t>
  </si>
  <si>
    <t>01:19:40.418000</t>
  </si>
  <si>
    <t>01:19:30.418000</t>
  </si>
  <si>
    <t>01:19:44.418000</t>
  </si>
  <si>
    <t>TO OPP 012</t>
  </si>
  <si>
    <t>01:26:14.310000</t>
  </si>
  <si>
    <t>01:26:04.310000</t>
  </si>
  <si>
    <t>01:26:18.310000</t>
  </si>
  <si>
    <t>TO OPP 013</t>
  </si>
  <si>
    <t>01:29:16.851000</t>
  </si>
  <si>
    <t>01:29:06.851000</t>
  </si>
  <si>
    <t>01:29:20.851000</t>
  </si>
  <si>
    <t>TO OPP 014</t>
  </si>
  <si>
    <t>01:31:12.136000</t>
  </si>
  <si>
    <t>01:31:02.136000</t>
  </si>
  <si>
    <t>01:31:16.136000</t>
  </si>
  <si>
    <t>TO OPP 015</t>
  </si>
  <si>
    <t>01:32:35.299000</t>
  </si>
  <si>
    <t>01:32:25.299000</t>
  </si>
  <si>
    <t>01:32:39.299000</t>
  </si>
  <si>
    <t>TO OPP 016</t>
  </si>
  <si>
    <t>01:33:52.545000</t>
  </si>
  <si>
    <t>01:33:42.545000</t>
  </si>
  <si>
    <t>01:33:56.545000</t>
  </si>
  <si>
    <t>TO OPP 017</t>
  </si>
  <si>
    <t>01:39:04.630000</t>
  </si>
  <si>
    <t>01:38:54.630000</t>
  </si>
  <si>
    <t>01:39:08.630000</t>
  </si>
  <si>
    <t>INTERSEPCION</t>
  </si>
  <si>
    <t>TO OPP 018</t>
  </si>
  <si>
    <t>01:42:05.875000</t>
  </si>
  <si>
    <t>01:41:55.875000</t>
  </si>
  <si>
    <t>01:42:09.875000</t>
  </si>
  <si>
    <t>TO OPP 019</t>
  </si>
  <si>
    <t>01:46:50.031000</t>
  </si>
  <si>
    <t>01:46:40.031000</t>
  </si>
  <si>
    <t>01:46:54.031000</t>
  </si>
  <si>
    <t>TO OPP 020</t>
  </si>
  <si>
    <t>01:50:49.122000</t>
  </si>
  <si>
    <t>01:50:39.122000</t>
  </si>
  <si>
    <t>01:50:53.122000</t>
  </si>
  <si>
    <t>TO OPP 021</t>
  </si>
  <si>
    <t>01:53:10.133000</t>
  </si>
  <si>
    <t>01:53:00.133000</t>
  </si>
  <si>
    <t>01:53:14.133000</t>
  </si>
  <si>
    <t>TO OPP 022</t>
  </si>
  <si>
    <t>01:54:11.429000</t>
  </si>
  <si>
    <t>01:54:01.429000</t>
  </si>
  <si>
    <t>01:54:15.429000</t>
  </si>
  <si>
    <t>TO OPP 023</t>
  </si>
  <si>
    <t>01:56:49.076000</t>
  </si>
  <si>
    <t>01:56:39.076000</t>
  </si>
  <si>
    <t>01:56:53.076000</t>
  </si>
  <si>
    <t>PUNTOS_ERRADOS</t>
  </si>
  <si>
    <t>TO OUR 001</t>
  </si>
  <si>
    <t>00:11:25.678000</t>
  </si>
  <si>
    <t>00:11:39.678000</t>
  </si>
  <si>
    <t>TO OUR 002</t>
  </si>
  <si>
    <t>00:20:49.563000</t>
  </si>
  <si>
    <t>00:20:39.563000</t>
  </si>
  <si>
    <t>00:20:53.563000</t>
  </si>
  <si>
    <t>TO OUR 003</t>
  </si>
  <si>
    <t>00:23:39.916000</t>
  </si>
  <si>
    <t>00:23:29.916000</t>
  </si>
  <si>
    <t>00:23:43.916000</t>
  </si>
  <si>
    <t>TO OUR 004</t>
  </si>
  <si>
    <t>00:45:57.786000</t>
  </si>
  <si>
    <t>00:45:47.786000</t>
  </si>
  <si>
    <t>00:46:01.786000</t>
  </si>
  <si>
    <t>TO OUR 005</t>
  </si>
  <si>
    <t>00:49:33.100000</t>
  </si>
  <si>
    <t>00:49:23.100000</t>
  </si>
  <si>
    <t>00:49:37.100000</t>
  </si>
  <si>
    <t>TO OUR 006</t>
  </si>
  <si>
    <t>00:51:47.302000</t>
  </si>
  <si>
    <t>00:51:37.302000</t>
  </si>
  <si>
    <t>00:51:51.302000</t>
  </si>
  <si>
    <t xml:space="preserve">PENAL_/FK </t>
  </si>
  <si>
    <t>TO OUR 007</t>
  </si>
  <si>
    <t>01:10:14.051000</t>
  </si>
  <si>
    <t>01:10:04.051000</t>
  </si>
  <si>
    <t>01:10:18.051000</t>
  </si>
  <si>
    <t>TO OUR 008</t>
  </si>
  <si>
    <t>01:11:34.548000</t>
  </si>
  <si>
    <t>01:11:24.548000</t>
  </si>
  <si>
    <t>01:11:38.548000</t>
  </si>
  <si>
    <t>TO OUR 009</t>
  </si>
  <si>
    <t>01:18:16.480000</t>
  </si>
  <si>
    <t>01:18:06.480000</t>
  </si>
  <si>
    <t>01:18:20.480000</t>
  </si>
  <si>
    <t>TO OUR 010</t>
  </si>
  <si>
    <t>01:21:51.331000</t>
  </si>
  <si>
    <t>01:21:41.331000</t>
  </si>
  <si>
    <t>01:21:55.331000</t>
  </si>
  <si>
    <t>TO OUR 011</t>
  </si>
  <si>
    <t>01:28:31.074000</t>
  </si>
  <si>
    <t>01:28:21.074000</t>
  </si>
  <si>
    <t>01:28:35.074000</t>
  </si>
  <si>
    <t>TO OUR 012</t>
  </si>
  <si>
    <t>01:30:05.020000</t>
  </si>
  <si>
    <t>01:29:55.020000</t>
  </si>
  <si>
    <t>01:30:09.020000</t>
  </si>
  <si>
    <t>TO OUR 013</t>
  </si>
  <si>
    <t>01:32:54.548000</t>
  </si>
  <si>
    <t>01:32:44.548000</t>
  </si>
  <si>
    <t>01:32:58.548000</t>
  </si>
  <si>
    <t>TO OUR 014</t>
  </si>
  <si>
    <t>01:34:56.925000</t>
  </si>
  <si>
    <t>01:34:46.925000</t>
  </si>
  <si>
    <t>01:35:00.925000</t>
  </si>
  <si>
    <t>INTERCEPCION</t>
  </si>
  <si>
    <t>TO OUR 015</t>
  </si>
  <si>
    <t>01:35:30.085000</t>
  </si>
  <si>
    <t>01:35:20.085000</t>
  </si>
  <si>
    <t>01:35:34.085000</t>
  </si>
  <si>
    <t>TO OUR 016</t>
  </si>
  <si>
    <t>01:39:33.801000</t>
  </si>
  <si>
    <t>01:39:23.801000</t>
  </si>
  <si>
    <t>01:39:37.801000</t>
  </si>
  <si>
    <t>TO OUR 017</t>
  </si>
  <si>
    <t>01:46:20.303000</t>
  </si>
  <si>
    <t>01:46:10.303000</t>
  </si>
  <si>
    <t>01:46:24.303000</t>
  </si>
  <si>
    <t>00:24:14.732000</t>
  </si>
  <si>
    <t>00:24:04.732000</t>
  </si>
  <si>
    <t>00:24:18.732000</t>
  </si>
  <si>
    <t>00:31:40.998000</t>
  </si>
  <si>
    <t>00:31:30.998000</t>
  </si>
  <si>
    <t>00:31:44.998000</t>
  </si>
  <si>
    <t>00:36:34.766000</t>
  </si>
  <si>
    <t>00:36:24.766000</t>
  </si>
  <si>
    <t>00:36:38.766000</t>
  </si>
  <si>
    <t>00:49:06.887000</t>
  </si>
  <si>
    <t>00:48:56.887000</t>
  </si>
  <si>
    <t>00:49:10.887000</t>
  </si>
  <si>
    <t>01:03:47.899000</t>
  </si>
  <si>
    <t>01:03:37.899000</t>
  </si>
  <si>
    <t>01:03:51.899000</t>
  </si>
  <si>
    <t>01:07:46.280000</t>
  </si>
  <si>
    <t>01:07:36.280000</t>
  </si>
  <si>
    <t>01:07:50.280000</t>
  </si>
  <si>
    <t>01:07:46.398000</t>
  </si>
  <si>
    <t>01:07:36.398000</t>
  </si>
  <si>
    <t>01:07:50.398000</t>
  </si>
  <si>
    <t>01:18:46.874000</t>
  </si>
  <si>
    <t>01:18:36.874000</t>
  </si>
  <si>
    <t>01:18:50.874000</t>
  </si>
  <si>
    <t>01:21:17.908000</t>
  </si>
  <si>
    <t>01:21:07.908000</t>
  </si>
  <si>
    <t>01:21:21.908000</t>
  </si>
  <si>
    <t>01:23:47.097000</t>
  </si>
  <si>
    <t>01:23:37.097000</t>
  </si>
  <si>
    <t>01:23:51.097000</t>
  </si>
  <si>
    <t>01:24:42.497000</t>
  </si>
  <si>
    <t>01:24:32.497000</t>
  </si>
  <si>
    <t>01:24:46.497000</t>
  </si>
  <si>
    <t>01:31:58.752000</t>
  </si>
  <si>
    <t>01:31:48.752000</t>
  </si>
  <si>
    <t>01:32:02.752000</t>
  </si>
  <si>
    <t>01:39:56.536000</t>
  </si>
  <si>
    <t>01:39:46.536000</t>
  </si>
  <si>
    <t>01:40:00.536000</t>
  </si>
  <si>
    <t>01:45:01.727000</t>
  </si>
  <si>
    <t>01:44:51.727000</t>
  </si>
  <si>
    <t>01:45:05.727000</t>
  </si>
  <si>
    <t>00:13:13.624000</t>
  </si>
  <si>
    <t>00:13:03.624000</t>
  </si>
  <si>
    <t>00:13:17.624000</t>
  </si>
  <si>
    <t>00:15:44.445000</t>
  </si>
  <si>
    <t>00:15:34.445000</t>
  </si>
  <si>
    <t>00:15:48.445000</t>
  </si>
  <si>
    <t>00:30:43.737000</t>
  </si>
  <si>
    <t>00:30:33.737000</t>
  </si>
  <si>
    <t>00:30:47.737000</t>
  </si>
  <si>
    <t>00:33:20.572000</t>
  </si>
  <si>
    <t>00:33:10.572000</t>
  </si>
  <si>
    <t>00:33:24.572000</t>
  </si>
  <si>
    <t>00:35:04.985000</t>
  </si>
  <si>
    <t>00:34:54.985000</t>
  </si>
  <si>
    <t>00:35:08.985000</t>
  </si>
  <si>
    <t>00:38:18.635000</t>
  </si>
  <si>
    <t>00:38:08.635000</t>
  </si>
  <si>
    <t>00:38:22.635000</t>
  </si>
  <si>
    <t>00:52:06.691000</t>
  </si>
  <si>
    <t>00:51:56.691000</t>
  </si>
  <si>
    <t>00:52:10.691000</t>
  </si>
  <si>
    <t>01:02:45.132000</t>
  </si>
  <si>
    <t>01:02:35.132000</t>
  </si>
  <si>
    <t>01:02:49.132000</t>
  </si>
  <si>
    <t>01:06:43.697000</t>
  </si>
  <si>
    <t>01:06:33.697000</t>
  </si>
  <si>
    <t>01:06:47.697000</t>
  </si>
  <si>
    <t>01:12:18.620000</t>
  </si>
  <si>
    <t>01:12:08.620000</t>
  </si>
  <si>
    <t>01:12:22.620000</t>
  </si>
  <si>
    <t>01:13:07.549000</t>
  </si>
  <si>
    <t>01:12:57.549000</t>
  </si>
  <si>
    <t>01:13:11.549000</t>
  </si>
  <si>
    <t>01:14:49.893000</t>
  </si>
  <si>
    <t>01:14:39.893000</t>
  </si>
  <si>
    <t>01:14:53.893000</t>
  </si>
  <si>
    <t>01:20:11.440000</t>
  </si>
  <si>
    <t>01:20:01.440000</t>
  </si>
  <si>
    <t>01:20:15.440000</t>
  </si>
  <si>
    <t>01:21:40.134000</t>
  </si>
  <si>
    <t>01:21:30.134000</t>
  </si>
  <si>
    <t>01:21:44.134000</t>
  </si>
  <si>
    <t>01:26:52.103000</t>
  </si>
  <si>
    <t>01:26:42.103000</t>
  </si>
  <si>
    <t>01:26:56.103000</t>
  </si>
  <si>
    <t>01:31:42.565000</t>
  </si>
  <si>
    <t>01:31:32.565000</t>
  </si>
  <si>
    <t>01:31:46.565000</t>
  </si>
  <si>
    <t>01:36:07.162000</t>
  </si>
  <si>
    <t>01:35:57.162000</t>
  </si>
  <si>
    <t>01:36:11.162000</t>
  </si>
  <si>
    <t>01:41:03.432000</t>
  </si>
  <si>
    <t>01:40:53.432000</t>
  </si>
  <si>
    <t>01:41:07.432000</t>
  </si>
  <si>
    <t>01:45:23.160000</t>
  </si>
  <si>
    <t>01:45:13.160000</t>
  </si>
  <si>
    <t>01:45:27.160000</t>
  </si>
  <si>
    <t>00:12:53.302000</t>
  </si>
  <si>
    <t>00:12:43.302000</t>
  </si>
  <si>
    <t>00:12:57.302000</t>
  </si>
  <si>
    <t>00:14:04.540000</t>
  </si>
  <si>
    <t>00:13:54.540000</t>
  </si>
  <si>
    <t>00:14:08.540000</t>
  </si>
  <si>
    <t>00:18:53.107000</t>
  </si>
  <si>
    <t>00:19:07.107000</t>
  </si>
  <si>
    <t>00:20:13.159000</t>
  </si>
  <si>
    <t>00:20:03.159000</t>
  </si>
  <si>
    <t>00:20:17.159000</t>
  </si>
  <si>
    <t>00:22:12.750000</t>
  </si>
  <si>
    <t>00:22:02.750000</t>
  </si>
  <si>
    <t>00:22:16.750000</t>
  </si>
  <si>
    <t>00:25:40.926000</t>
  </si>
  <si>
    <t>00:25:30.926000</t>
  </si>
  <si>
    <t>00:25:44.926000</t>
  </si>
  <si>
    <t>00:27:38.198000</t>
  </si>
  <si>
    <t>00:27:28.198000</t>
  </si>
  <si>
    <t>00:27:42.198000</t>
  </si>
  <si>
    <t>00:34:13.930000</t>
  </si>
  <si>
    <t>00:34:03.930000</t>
  </si>
  <si>
    <t>00:34:17.930000</t>
  </si>
  <si>
    <t>00:35:15.206000</t>
  </si>
  <si>
    <t>00:35:05.206000</t>
  </si>
  <si>
    <t>00:35:19.206000</t>
  </si>
  <si>
    <t>00:35:18.906000</t>
  </si>
  <si>
    <t>00:35:08.906000</t>
  </si>
  <si>
    <t>00:35:22.906000</t>
  </si>
  <si>
    <t>00:40:02.099000</t>
  </si>
  <si>
    <t>00:39:52.099000</t>
  </si>
  <si>
    <t>00:40:06.099000</t>
  </si>
  <si>
    <t>00:50:44.757000</t>
  </si>
  <si>
    <t>00:50:34.757000</t>
  </si>
  <si>
    <t>00:50:48.757000</t>
  </si>
  <si>
    <t>00:59:40.036000</t>
  </si>
  <si>
    <t>00:59:30.036000</t>
  </si>
  <si>
    <t>00:59:44.036000</t>
  </si>
  <si>
    <t>01:26:03.725000</t>
  </si>
  <si>
    <t>01:25:53.725000</t>
  </si>
  <si>
    <t>01:26:07.725000</t>
  </si>
  <si>
    <t>01:30:27.613000</t>
  </si>
  <si>
    <t>01:30:17.613000</t>
  </si>
  <si>
    <t>01:30:31.613000</t>
  </si>
  <si>
    <t>01:30:55.719000</t>
  </si>
  <si>
    <t>01:30:45.719000</t>
  </si>
  <si>
    <t>01:30:59.719000</t>
  </si>
  <si>
    <t>01:43:32.796000</t>
  </si>
  <si>
    <t>01:43:22.796000</t>
  </si>
  <si>
    <t>01:43:36.796000</t>
  </si>
  <si>
    <t>TO OUR 018</t>
  </si>
  <si>
    <t>01:44:41.828000</t>
  </si>
  <si>
    <t>01:44:31.828000</t>
  </si>
  <si>
    <t>01:44:45.828000</t>
  </si>
  <si>
    <t xml:space="preserve"> </t>
  </si>
  <si>
    <t>01:46:16.687000</t>
  </si>
  <si>
    <t>01:46:06.687000</t>
  </si>
  <si>
    <t>01:46:20.687000</t>
  </si>
  <si>
    <t>00:15:13.788000</t>
  </si>
  <si>
    <t>00:15:03.788000</t>
  </si>
  <si>
    <t>00:15:17.788000</t>
  </si>
  <si>
    <t>00:19:31.732000</t>
  </si>
  <si>
    <t>00:19:21.732000</t>
  </si>
  <si>
    <t>00:19:35.732000</t>
  </si>
  <si>
    <t>00:20:11.645000</t>
  </si>
  <si>
    <t>00:20:01.645000</t>
  </si>
  <si>
    <t>00:20:15.645000</t>
  </si>
  <si>
    <t>00:24:50.278000</t>
  </si>
  <si>
    <t>00:24:40.278000</t>
  </si>
  <si>
    <t>00:24:54.278000</t>
  </si>
  <si>
    <t>00:26:06.356000</t>
  </si>
  <si>
    <t>00:25:56.356000</t>
  </si>
  <si>
    <t>00:26:10.356000</t>
  </si>
  <si>
    <t>00:31:06.652000</t>
  </si>
  <si>
    <t>00:30:56.652000</t>
  </si>
  <si>
    <t>00:31:10.652000</t>
  </si>
  <si>
    <t>00:38:54.282000</t>
  </si>
  <si>
    <t>00:38:44.282000</t>
  </si>
  <si>
    <t>00:38:58.282000</t>
  </si>
  <si>
    <t>00:41:47.853000</t>
  </si>
  <si>
    <t>00:41:37.853000</t>
  </si>
  <si>
    <t>00:41:51.853000</t>
  </si>
  <si>
    <t>00:48:25.943000</t>
  </si>
  <si>
    <t>00:48:15.943000</t>
  </si>
  <si>
    <t>00:48:29.943000</t>
  </si>
  <si>
    <t>00:54:15.679000</t>
  </si>
  <si>
    <t>00:54:05.679000</t>
  </si>
  <si>
    <t>00:54:19.679000</t>
  </si>
  <si>
    <t>00:58:05.701000</t>
  </si>
  <si>
    <t>00:57:55.701000</t>
  </si>
  <si>
    <t>00:58:09.701000</t>
  </si>
  <si>
    <t>01:16:44.917000</t>
  </si>
  <si>
    <t>01:16:34.917000</t>
  </si>
  <si>
    <t>01:16:48.917000</t>
  </si>
  <si>
    <t>01:31:02.301000</t>
  </si>
  <si>
    <t>01:30:52.301000</t>
  </si>
  <si>
    <t>01:31:06.301000</t>
  </si>
  <si>
    <t>01:41:16.240000</t>
  </si>
  <si>
    <t>01:41:06.240000</t>
  </si>
  <si>
    <t>01:41:20.240000</t>
  </si>
  <si>
    <t>01:44:48.829000</t>
  </si>
  <si>
    <t>01:44:38.829000</t>
  </si>
  <si>
    <t>01:44:52.829000</t>
  </si>
  <si>
    <t>01:50:14.649000</t>
  </si>
  <si>
    <t>01:50:04.649000</t>
  </si>
  <si>
    <t>01:50:18.649000</t>
  </si>
  <si>
    <t>01:55:02.090000</t>
  </si>
  <si>
    <t>01:54:52.090000</t>
  </si>
  <si>
    <t>01:55:06.090000</t>
  </si>
  <si>
    <t>01:56:16.693000</t>
  </si>
  <si>
    <t>01:56:06.693000</t>
  </si>
  <si>
    <t>01:56:20.693000</t>
  </si>
  <si>
    <t>00:06:36.607000</t>
  </si>
  <si>
    <t>00:06:26.607000</t>
  </si>
  <si>
    <t>00:06:40.607000</t>
  </si>
  <si>
    <t>00:08:26.936000</t>
  </si>
  <si>
    <t>00:08:40.936000</t>
  </si>
  <si>
    <t>00:09:24.357000</t>
  </si>
  <si>
    <t>00:09:14.357000</t>
  </si>
  <si>
    <t>00:09:28.357000</t>
  </si>
  <si>
    <t>00:11:59.862000</t>
  </si>
  <si>
    <t>00:11:49.862000</t>
  </si>
  <si>
    <t>00:12:03.862000</t>
  </si>
  <si>
    <t>00:12:58.879000</t>
  </si>
  <si>
    <t>00:12:48.879000</t>
  </si>
  <si>
    <t>00:13:02.879000</t>
  </si>
  <si>
    <t>00:13:53.591000</t>
  </si>
  <si>
    <t>00:13:43.591000</t>
  </si>
  <si>
    <t>00:13:57.591000</t>
  </si>
  <si>
    <t>00:23:13.946000</t>
  </si>
  <si>
    <t>00:23:03.946000</t>
  </si>
  <si>
    <t>00:23:17.946000</t>
  </si>
  <si>
    <t>00:28:49.180000</t>
  </si>
  <si>
    <t>00:28:39.180000</t>
  </si>
  <si>
    <t>00:28:53.180000</t>
  </si>
  <si>
    <t>01:04:42.141000</t>
  </si>
  <si>
    <t>01:04:32.141000</t>
  </si>
  <si>
    <t>01:04:46.141000</t>
  </si>
  <si>
    <t>01:11:28.751000</t>
  </si>
  <si>
    <t>01:11:18.751000</t>
  </si>
  <si>
    <t>01:11:32.751000</t>
  </si>
  <si>
    <t>01:14:59.219000</t>
  </si>
  <si>
    <t>01:14:49.219000</t>
  </si>
  <si>
    <t>01:15:03.219000</t>
  </si>
  <si>
    <t>01:17:01.569000</t>
  </si>
  <si>
    <t>01:16:51.569000</t>
  </si>
  <si>
    <t>01:17:05.569000</t>
  </si>
  <si>
    <t>01:23:22.135000</t>
  </si>
  <si>
    <t>01:23:12.135000</t>
  </si>
  <si>
    <t>01:23:26.135000</t>
  </si>
  <si>
    <t>01:27:25.861000</t>
  </si>
  <si>
    <t>01:27:15.861000</t>
  </si>
  <si>
    <t>01:27:29.861000</t>
  </si>
  <si>
    <t>01:33:18.951000</t>
  </si>
  <si>
    <t>01:33:32.951000</t>
  </si>
  <si>
    <t>01:36:44.406000</t>
  </si>
  <si>
    <t>01:36:34.406000</t>
  </si>
  <si>
    <t>01:36:48.406000</t>
  </si>
  <si>
    <t>01:42:01.884000</t>
  </si>
  <si>
    <t>01:41:51.884000</t>
  </si>
  <si>
    <t>01:42:05.884000</t>
  </si>
  <si>
    <t>01:44:58.121000</t>
  </si>
  <si>
    <t>01:44:48.121000</t>
  </si>
  <si>
    <t>01:45:02.121000</t>
  </si>
  <si>
    <t>TO OUR 019</t>
  </si>
  <si>
    <t>01:49:56.465000</t>
  </si>
  <si>
    <t>01:49:46.465000</t>
  </si>
  <si>
    <t>01:50:00.465000</t>
  </si>
  <si>
    <t>00:05:29.948000</t>
  </si>
  <si>
    <t>00:05:19.948000</t>
  </si>
  <si>
    <t>00:05:33.948000</t>
  </si>
  <si>
    <t>00:14:45.066000</t>
  </si>
  <si>
    <t>00:14:35.066000</t>
  </si>
  <si>
    <t>00:14:49.066000</t>
  </si>
  <si>
    <t>00:23:19.288000</t>
  </si>
  <si>
    <t>00:23:09.288000</t>
  </si>
  <si>
    <t>00:23:23.288000</t>
  </si>
  <si>
    <t>00:23:21.534000</t>
  </si>
  <si>
    <t>00:23:11.534000</t>
  </si>
  <si>
    <t>00:23:25.534000</t>
  </si>
  <si>
    <t>00:25:57.556000</t>
  </si>
  <si>
    <t>00:25:47.556000</t>
  </si>
  <si>
    <t>00:26:01.556000</t>
  </si>
  <si>
    <t>00:31:21.877000</t>
  </si>
  <si>
    <t>00:31:11.877000</t>
  </si>
  <si>
    <t>00:31:25.877000</t>
  </si>
  <si>
    <t>01:02:59.628000</t>
  </si>
  <si>
    <t>01:02:49.628000</t>
  </si>
  <si>
    <t>01:03:03.628000</t>
  </si>
  <si>
    <t>01:04:49.151000</t>
  </si>
  <si>
    <t>01:04:39.151000</t>
  </si>
  <si>
    <t>01:04:53.151000</t>
  </si>
  <si>
    <t>01:12:44.838000</t>
  </si>
  <si>
    <t>01:12:34.838000</t>
  </si>
  <si>
    <t>01:12:48.838000</t>
  </si>
  <si>
    <t>01:15:52.725000</t>
  </si>
  <si>
    <t>01:15:42.725000</t>
  </si>
  <si>
    <t>01:15:56.725000</t>
  </si>
  <si>
    <t>01:32:00.685000</t>
  </si>
  <si>
    <t>01:31:50.685000</t>
  </si>
  <si>
    <t>01:32:04.685000</t>
  </si>
  <si>
    <t>01:35:16.816000</t>
  </si>
  <si>
    <t>01:35:06.816000</t>
  </si>
  <si>
    <t>01:35:20.816000</t>
  </si>
  <si>
    <t>01:40:59.434000</t>
  </si>
  <si>
    <t>01:40:49.434000</t>
  </si>
  <si>
    <t>01:41:03.434000</t>
  </si>
  <si>
    <t>01:43:07.569000</t>
  </si>
  <si>
    <t>01:42:57.569000</t>
  </si>
  <si>
    <t>01:43:11.569000</t>
  </si>
  <si>
    <t>01:50:09.220000</t>
  </si>
  <si>
    <t>01:49:59.220000</t>
  </si>
  <si>
    <t>01:50:13.220000</t>
  </si>
  <si>
    <t>00:14:14.847000</t>
  </si>
  <si>
    <t>00:14:04.847000</t>
  </si>
  <si>
    <t>00:14:18.847000</t>
  </si>
  <si>
    <t>00:18:02.150000</t>
  </si>
  <si>
    <t>00:17:52.150000</t>
  </si>
  <si>
    <t>00:18:06.150000</t>
  </si>
  <si>
    <t>00:21:05.173000</t>
  </si>
  <si>
    <t>00:20:55.173000</t>
  </si>
  <si>
    <t>00:21:09.173000</t>
  </si>
  <si>
    <t>00:27:54.822000</t>
  </si>
  <si>
    <t>00:27:44.822000</t>
  </si>
  <si>
    <t>00:27:58.822000</t>
  </si>
  <si>
    <t>00:31:56.661000</t>
  </si>
  <si>
    <t>00:31:46.661000</t>
  </si>
  <si>
    <t>00:32:00.661000</t>
  </si>
  <si>
    <t>00:36:30.564000</t>
  </si>
  <si>
    <t>00:36:20.564000</t>
  </si>
  <si>
    <t>00:36:34.564000</t>
  </si>
  <si>
    <t>00:38:17.430000</t>
  </si>
  <si>
    <t>00:38:07.430000</t>
  </si>
  <si>
    <t>00:38:21.430000</t>
  </si>
  <si>
    <t>00:45:04.533000</t>
  </si>
  <si>
    <t>00:44:54.533000</t>
  </si>
  <si>
    <t>00:45:08.533000</t>
  </si>
  <si>
    <t>00:51:16.645000</t>
  </si>
  <si>
    <t>00:51:06.645000</t>
  </si>
  <si>
    <t>00:51:20.645000</t>
  </si>
  <si>
    <t>00:54:34.636000</t>
  </si>
  <si>
    <t>00:54:24.636000</t>
  </si>
  <si>
    <t>00:54:38.636000</t>
  </si>
  <si>
    <t>01:16:57.887000</t>
  </si>
  <si>
    <t>01:16:47.887000</t>
  </si>
  <si>
    <t>01:17:01.887000</t>
  </si>
  <si>
    <t>01:22:54.782000</t>
  </si>
  <si>
    <t>01:22:44.782000</t>
  </si>
  <si>
    <t>01:22:58.782000</t>
  </si>
  <si>
    <t>02:03:38.896000</t>
  </si>
  <si>
    <t>02:03:28.896000</t>
  </si>
  <si>
    <t>02:03:42.896000</t>
  </si>
  <si>
    <t>00:12:34.611000</t>
  </si>
  <si>
    <t>00:12:24.611000</t>
  </si>
  <si>
    <t>00:12:38.611000</t>
  </si>
  <si>
    <t>00:17:18.167000</t>
  </si>
  <si>
    <t>00:17:08.167000</t>
  </si>
  <si>
    <t>00:17:22.167000</t>
  </si>
  <si>
    <t>00:18:08.166000</t>
  </si>
  <si>
    <t>00:17:58.166000</t>
  </si>
  <si>
    <t>00:18:12.166000</t>
  </si>
  <si>
    <t>00:21:53.530000</t>
  </si>
  <si>
    <t>00:21:43.530000</t>
  </si>
  <si>
    <t>00:21:57.530000</t>
  </si>
  <si>
    <t>00:28:56.054000</t>
  </si>
  <si>
    <t>00:28:46.054000</t>
  </si>
  <si>
    <t>00:29:00.054000</t>
  </si>
  <si>
    <t>00:33:28.897000</t>
  </si>
  <si>
    <t>00:33:18.897000</t>
  </si>
  <si>
    <t>00:33:32.897000</t>
  </si>
  <si>
    <t>00:37:15.408000</t>
  </si>
  <si>
    <t>00:37:05.408000</t>
  </si>
  <si>
    <t>00:37:19.408000</t>
  </si>
  <si>
    <t>00:39:37.350000</t>
  </si>
  <si>
    <t>00:39:27.350000</t>
  </si>
  <si>
    <t>00:39:41.350000</t>
  </si>
  <si>
    <t>00:40:20.384000</t>
  </si>
  <si>
    <t>00:40:10.384000</t>
  </si>
  <si>
    <t>00:40:24.384000</t>
  </si>
  <si>
    <t>00:49:00.854000</t>
  </si>
  <si>
    <t>00:48:50.854000</t>
  </si>
  <si>
    <t>00:49:04.854000</t>
  </si>
  <si>
    <t>01:17:49.369000</t>
  </si>
  <si>
    <t>01:17:39.369000</t>
  </si>
  <si>
    <t>01:17:53.369000</t>
  </si>
  <si>
    <t>01:21:10.757000</t>
  </si>
  <si>
    <t>01:21:00.757000</t>
  </si>
  <si>
    <t>01:21:14.757000</t>
  </si>
  <si>
    <t>01:30:23.932000</t>
  </si>
  <si>
    <t>01:30:13.932000</t>
  </si>
  <si>
    <t>01:30:27.932000</t>
  </si>
  <si>
    <t>01:33:43.239000</t>
  </si>
  <si>
    <t>01:33:33.239000</t>
  </si>
  <si>
    <t>01:33:47.239000</t>
  </si>
  <si>
    <t>01:39:38.467000</t>
  </si>
  <si>
    <t>01:39:28.467000</t>
  </si>
  <si>
    <t>01:39:42.467000</t>
  </si>
  <si>
    <t>01:49:54.361000</t>
  </si>
  <si>
    <t>01:49:44.361000</t>
  </si>
  <si>
    <t>01:49:58.361000</t>
  </si>
  <si>
    <t>01:52:06.095000</t>
  </si>
  <si>
    <t>01:51:56.095000</t>
  </si>
  <si>
    <t>01:52:10.095000</t>
  </si>
  <si>
    <t>01:58:19.002000</t>
  </si>
  <si>
    <t>01:58:09.002000</t>
  </si>
  <si>
    <t>01:58:23.002000</t>
  </si>
  <si>
    <t>02:01:39.999000</t>
  </si>
  <si>
    <t>02:01:29.999000</t>
  </si>
  <si>
    <t>02:01:43.999000</t>
  </si>
  <si>
    <t>02:05:32.978000</t>
  </si>
  <si>
    <t>02:05:22.978000</t>
  </si>
  <si>
    <t>02:05:36.978000</t>
  </si>
  <si>
    <t>EQUIPO_LOCAL</t>
  </si>
  <si>
    <t>EQUIPO_VISITANTE</t>
  </si>
  <si>
    <t>PAUSA 001</t>
  </si>
  <si>
    <t>00:09:02.055000</t>
  </si>
  <si>
    <t>00:10:11.776000</t>
  </si>
  <si>
    <t>PAUSA 002</t>
  </si>
  <si>
    <t>00:10:48.185000</t>
  </si>
  <si>
    <t>PAUSA 003</t>
  </si>
  <si>
    <t>00:12:16.517000</t>
  </si>
  <si>
    <t>PAUSA 004</t>
  </si>
  <si>
    <t>00:14:11.271000</t>
  </si>
  <si>
    <t>00:15:13.981000</t>
  </si>
  <si>
    <t>PAUSA 005</t>
  </si>
  <si>
    <t>00:15:27.181000</t>
  </si>
  <si>
    <t>PAUSA 006</t>
  </si>
  <si>
    <t>00:18:28.480000</t>
  </si>
  <si>
    <t>00:19:41.568000</t>
  </si>
  <si>
    <t>PAUSA 007</t>
  </si>
  <si>
    <t>00:19:51.883000</t>
  </si>
  <si>
    <t>PAUSA 008</t>
  </si>
  <si>
    <t>00:20:45.975000</t>
  </si>
  <si>
    <t>00:22:46.462000</t>
  </si>
  <si>
    <t>PAUSA 009</t>
  </si>
  <si>
    <t>00:23:30.743000</t>
  </si>
  <si>
    <t>00:23:34.229000</t>
  </si>
  <si>
    <t>PAUSA 010</t>
  </si>
  <si>
    <t>00:23:41.825000</t>
  </si>
  <si>
    <t>PAUSA 011</t>
  </si>
  <si>
    <t>00:25:11.527000</t>
  </si>
  <si>
    <t>PAUSA 027</t>
  </si>
  <si>
    <t>00:27:57.697000</t>
  </si>
  <si>
    <t>00:27:26.242000</t>
  </si>
  <si>
    <t>00:28:32.204000</t>
  </si>
  <si>
    <t>PAUSA 012</t>
  </si>
  <si>
    <t>00:32:33.049000</t>
  </si>
  <si>
    <t>00:33:18.520000</t>
  </si>
  <si>
    <t>PAUSA 013</t>
  </si>
  <si>
    <t>00:33:39.779000</t>
  </si>
  <si>
    <t>PAUSA 014</t>
  </si>
  <si>
    <t>00:35:33.857000</t>
  </si>
  <si>
    <t>PAUSA 015</t>
  </si>
  <si>
    <t>00:36:09.065000</t>
  </si>
  <si>
    <t>PAUSA 016</t>
  </si>
  <si>
    <t>00:38:13.700000</t>
  </si>
  <si>
    <t>PAUSA 017</t>
  </si>
  <si>
    <t>00:40:14.207000</t>
  </si>
  <si>
    <t>00:42:38.693000</t>
  </si>
  <si>
    <t>PAUSA 018</t>
  </si>
  <si>
    <t>00:43:25.003000</t>
  </si>
  <si>
    <t>PAUSA 019</t>
  </si>
  <si>
    <t>00:44:28.220000</t>
  </si>
  <si>
    <t>PAUSA 020</t>
  </si>
  <si>
    <t>00:45:59.317000</t>
  </si>
  <si>
    <t>PAUSA 021</t>
  </si>
  <si>
    <t>00:47:21.544000</t>
  </si>
  <si>
    <t>PAUSA 022</t>
  </si>
  <si>
    <t>00:48:54.329000</t>
  </si>
  <si>
    <t>PAUSA 023</t>
  </si>
  <si>
    <t>00:49:37.115000</t>
  </si>
  <si>
    <t>00:49:43.500000</t>
  </si>
  <si>
    <t>PAUSA 024</t>
  </si>
  <si>
    <t>00:49:57.840000</t>
  </si>
  <si>
    <t>00:51:40.697000</t>
  </si>
  <si>
    <t>PAUSA 025</t>
  </si>
  <si>
    <t>00:51:46.732000</t>
  </si>
  <si>
    <t>PAUSA 026</t>
  </si>
  <si>
    <t>00:53:06.249000</t>
  </si>
  <si>
    <t>00:53:08.237000</t>
  </si>
  <si>
    <t>PAUSA 028</t>
  </si>
  <si>
    <t>01:07:48.595000</t>
  </si>
  <si>
    <t>PAUSA 029</t>
  </si>
  <si>
    <t>01:10:35.860000</t>
  </si>
  <si>
    <t>PAUSA 030</t>
  </si>
  <si>
    <t>01:11:33.727000</t>
  </si>
  <si>
    <t>PAUSA 031</t>
  </si>
  <si>
    <t>01:12:34.971000</t>
  </si>
  <si>
    <t>01:14:14.990000</t>
  </si>
  <si>
    <t>PAUSA 032</t>
  </si>
  <si>
    <t>01:14:27.436000</t>
  </si>
  <si>
    <t>01:15:15.385000</t>
  </si>
  <si>
    <t>PAUSA 033</t>
  </si>
  <si>
    <t>01:16:24.311000</t>
  </si>
  <si>
    <t>01:17:21.391000</t>
  </si>
  <si>
    <t>PAUSA 034</t>
  </si>
  <si>
    <t>01:17:27.590000</t>
  </si>
  <si>
    <t>01:17:57.180000</t>
  </si>
  <si>
    <t>PAUSA 058</t>
  </si>
  <si>
    <t>01:18:13.696000</t>
  </si>
  <si>
    <t>01:18:29.114000</t>
  </si>
  <si>
    <t>PAUSA 035</t>
  </si>
  <si>
    <t>01:18:32.363000</t>
  </si>
  <si>
    <t>PAUSA 036</t>
  </si>
  <si>
    <t>01:19:41.228000</t>
  </si>
  <si>
    <t>PAUSA 037</t>
  </si>
  <si>
    <t>01:21:50.917000</t>
  </si>
  <si>
    <t>PAUSA 038</t>
  </si>
  <si>
    <t>01:23:43.915000</t>
  </si>
  <si>
    <t>PAUSA 039</t>
  </si>
  <si>
    <t>01:26:16.650000</t>
  </si>
  <si>
    <t>PAUSA 040</t>
  </si>
  <si>
    <t>01:28:30.521000</t>
  </si>
  <si>
    <t>PAUSA 041</t>
  </si>
  <si>
    <t>01:30:06.204000</t>
  </si>
  <si>
    <t>01:30:50.781000</t>
  </si>
  <si>
    <t>PAUSA 042</t>
  </si>
  <si>
    <t>01:31:16.526000</t>
  </si>
  <si>
    <t>PAUSA 043</t>
  </si>
  <si>
    <t>01:32:08.146000</t>
  </si>
  <si>
    <t>PAUSA 044</t>
  </si>
  <si>
    <t>01:32:56.176000</t>
  </si>
  <si>
    <t>PAUSA 045</t>
  </si>
  <si>
    <t>01:33:52.063000</t>
  </si>
  <si>
    <t>PAUSA 046</t>
  </si>
  <si>
    <t>01:35:36.589000</t>
  </si>
  <si>
    <t>PAUSA 047</t>
  </si>
  <si>
    <t>01:38:09.125000</t>
  </si>
  <si>
    <t>PAUSA 048</t>
  </si>
  <si>
    <t>01:39:32.891000</t>
  </si>
  <si>
    <t>PAUSA 049</t>
  </si>
  <si>
    <t>01:41:13.273000</t>
  </si>
  <si>
    <t>PAUSA 050</t>
  </si>
  <si>
    <t>01:42:23.794000</t>
  </si>
  <si>
    <t>PAUSA 051</t>
  </si>
  <si>
    <t>01:44:49.852000</t>
  </si>
  <si>
    <t>01:46:16.078000</t>
  </si>
  <si>
    <t>PAUSA 052</t>
  </si>
  <si>
    <t>01:47:10.010000</t>
  </si>
  <si>
    <t>PAUSA 053</t>
  </si>
  <si>
    <t>01:50:48.019000</t>
  </si>
  <si>
    <t>01:51:54.769000</t>
  </si>
  <si>
    <t>PAUSA 054</t>
  </si>
  <si>
    <t>01:52:33.388000</t>
  </si>
  <si>
    <t>01:52:34.913000</t>
  </si>
  <si>
    <t>PAUSA 055</t>
  </si>
  <si>
    <t>01:54:10.620000</t>
  </si>
  <si>
    <t>01:54:36.114000</t>
  </si>
  <si>
    <t>PAUSA 056</t>
  </si>
  <si>
    <t>01:55:31.978000</t>
  </si>
  <si>
    <t>01:55:48.807000</t>
  </si>
  <si>
    <t>PAUSA 057</t>
  </si>
  <si>
    <t>01:56:01.475000</t>
  </si>
  <si>
    <t>01:56:51.612000</t>
  </si>
  <si>
    <t>00:07:34.545000</t>
  </si>
  <si>
    <t>00:08:29.175000</t>
  </si>
  <si>
    <t>00:09:26.821000</t>
  </si>
  <si>
    <t>00:10:54.113000</t>
  </si>
  <si>
    <t>00:12:11.276000</t>
  </si>
  <si>
    <t>00:13:34.770000</t>
  </si>
  <si>
    <t>00:14:58.632000</t>
  </si>
  <si>
    <t>00:15:45.541000</t>
  </si>
  <si>
    <t>00:17:56.083000</t>
  </si>
  <si>
    <t>00:19:12.701000</t>
  </si>
  <si>
    <t>00:20:50.486000</t>
  </si>
  <si>
    <t>00:22:17.292000</t>
  </si>
  <si>
    <t>00:23:46.019000</t>
  </si>
  <si>
    <t>00:24:45.430000</t>
  </si>
  <si>
    <t>00:27:21.476000</t>
  </si>
  <si>
    <t>00:30:43.385000</t>
  </si>
  <si>
    <t>00:31:41.383000</t>
  </si>
  <si>
    <t>00:32:33.161000</t>
  </si>
  <si>
    <t>00:33:02.019000</t>
  </si>
  <si>
    <t>00:33:26.213000</t>
  </si>
  <si>
    <t>00:35:00.371000</t>
  </si>
  <si>
    <t>00:35:04.496000</t>
  </si>
  <si>
    <t>00:36:42.627000</t>
  </si>
  <si>
    <t>00:38:18.146000</t>
  </si>
  <si>
    <t>00:40:04.578000</t>
  </si>
  <si>
    <t>00:42:00.369000</t>
  </si>
  <si>
    <t>00:47:02.555000</t>
  </si>
  <si>
    <t>00:48:54.613000</t>
  </si>
  <si>
    <t>00:49:09.082000</t>
  </si>
  <si>
    <t>00:50:01.247000</t>
  </si>
  <si>
    <t>00:50:06.822000</t>
  </si>
  <si>
    <t>00:50:07.790000</t>
  </si>
  <si>
    <t>00:50:20.232000</t>
  </si>
  <si>
    <t>00:52:41.983000</t>
  </si>
  <si>
    <t>00:52:05.050000</t>
  </si>
  <si>
    <t>00:53:32.761000</t>
  </si>
  <si>
    <t>00:53:50.322000</t>
  </si>
  <si>
    <t>00:54:14.467000</t>
  </si>
  <si>
    <t>01:02:47.998000</t>
  </si>
  <si>
    <t>01:04:46.111000</t>
  </si>
  <si>
    <t>01:06:45.611000</t>
  </si>
  <si>
    <t>01:07:48.567000</t>
  </si>
  <si>
    <t>01:09:03.180000</t>
  </si>
  <si>
    <t>01:10:29.342000</t>
  </si>
  <si>
    <t>01:12:36.734000</t>
  </si>
  <si>
    <t>01:13:19.507000</t>
  </si>
  <si>
    <t>01:14:49.252000</t>
  </si>
  <si>
    <t>01:14:59.686000</t>
  </si>
  <si>
    <t>01:16:37.004000</t>
  </si>
  <si>
    <t>01:18:14.111000</t>
  </si>
  <si>
    <t>01:19:19.671000</t>
  </si>
  <si>
    <t>01:20:37.168000</t>
  </si>
  <si>
    <t>01:20:19.230000</t>
  </si>
  <si>
    <t>01:21:20.308000</t>
  </si>
  <si>
    <t>01:21:38.301000</t>
  </si>
  <si>
    <t>01:22:38.777000</t>
  </si>
  <si>
    <t>01:24:37.265000</t>
  </si>
  <si>
    <t>01:24:41.726000</t>
  </si>
  <si>
    <t>01:25:31.559000</t>
  </si>
  <si>
    <t>01:26:50.701000</t>
  </si>
  <si>
    <t>01:28:21.626000</t>
  </si>
  <si>
    <t>01:30:15.953000</t>
  </si>
  <si>
    <t>01:31:50.468000</t>
  </si>
  <si>
    <t>01:33:03.230000</t>
  </si>
  <si>
    <t>01:34:00.336000</t>
  </si>
  <si>
    <t>01:35:25.393000</t>
  </si>
  <si>
    <t>01:36:06.390000</t>
  </si>
  <si>
    <t>01:38:12.266000</t>
  </si>
  <si>
    <t>01:39:53.092000</t>
  </si>
  <si>
    <t>01:41:06.606000</t>
  </si>
  <si>
    <t>01:41:29.628000</t>
  </si>
  <si>
    <t>01:42:19.141000</t>
  </si>
  <si>
    <t>01:42:35.620000</t>
  </si>
  <si>
    <t>01:43:56.400000</t>
  </si>
  <si>
    <t>01:45:40.553000</t>
  </si>
  <si>
    <t>01:46:13.967000</t>
  </si>
  <si>
    <t>00:09:38.919000</t>
  </si>
  <si>
    <t>00:10:20.200000</t>
  </si>
  <si>
    <t>00:11:40.379000</t>
  </si>
  <si>
    <t>00:12:52.207000</t>
  </si>
  <si>
    <t>00:13:34.129000</t>
  </si>
  <si>
    <t>00:14:16.061000</t>
  </si>
  <si>
    <t>00:15:20.200000</t>
  </si>
  <si>
    <t>00:15:10.200000</t>
  </si>
  <si>
    <t>00:17:31.460000</t>
  </si>
  <si>
    <t>00:17:46.141000</t>
  </si>
  <si>
    <t>00:20:13.418000</t>
  </si>
  <si>
    <t>00:21:38.728000</t>
  </si>
  <si>
    <t>00:22:21.005000</t>
  </si>
  <si>
    <t>00:23:33.638000</t>
  </si>
  <si>
    <t>00:23:40.059000</t>
  </si>
  <si>
    <t>00:24:54.130000</t>
  </si>
  <si>
    <t>00:26:05.394000</t>
  </si>
  <si>
    <t>00:27:33.446000</t>
  </si>
  <si>
    <t>00:28:33.847000</t>
  </si>
  <si>
    <t>00:29:30.410000</t>
  </si>
  <si>
    <t>00:30:32.254000</t>
  </si>
  <si>
    <t>00:30:38.714000</t>
  </si>
  <si>
    <t>00:31:01.975000</t>
  </si>
  <si>
    <t>00:32:38.901000</t>
  </si>
  <si>
    <t>00:35:17.823000</t>
  </si>
  <si>
    <t>00:38:56.564000</t>
  </si>
  <si>
    <t>00:40:00.692000</t>
  </si>
  <si>
    <t>00:41:44.305000</t>
  </si>
  <si>
    <t>00:47:54.544000</t>
  </si>
  <si>
    <t>00:48:24.757000</t>
  </si>
  <si>
    <t>00:49:30.992000</t>
  </si>
  <si>
    <t>00:50:00.140000</t>
  </si>
  <si>
    <t>00:51:37.521000</t>
  </si>
  <si>
    <t>00:53:27.930000</t>
  </si>
  <si>
    <t>00:54:32.899000</t>
  </si>
  <si>
    <t>00:55:49.209000</t>
  </si>
  <si>
    <t>00:57:14.255000</t>
  </si>
  <si>
    <t>00:57:29.445000</t>
  </si>
  <si>
    <t>00:58:34.546000</t>
  </si>
  <si>
    <t>00:59:38.203000</t>
  </si>
  <si>
    <t>00:59:39.873000</t>
  </si>
  <si>
    <t>00:59:42.693000</t>
  </si>
  <si>
    <t>01:00:50.933000</t>
  </si>
  <si>
    <t>01:00:56.712000</t>
  </si>
  <si>
    <t>01:18:25.357000</t>
  </si>
  <si>
    <t>01:19:51.981000</t>
  </si>
  <si>
    <t>01:19:58.160000</t>
  </si>
  <si>
    <t>01:20:27.622000</t>
  </si>
  <si>
    <t>01:22:27.562000</t>
  </si>
  <si>
    <t>01:22:17.562000</t>
  </si>
  <si>
    <t>01:24:32.230000</t>
  </si>
  <si>
    <t>01:25:14.871000</t>
  </si>
  <si>
    <t>01:26:28.810000</t>
  </si>
  <si>
    <t>01:27:56.281000</t>
  </si>
  <si>
    <t>01:29:10.905000</t>
  </si>
  <si>
    <t>01:30:16.793000</t>
  </si>
  <si>
    <t>01:30:26.785000</t>
  </si>
  <si>
    <t>01:30:44.701000</t>
  </si>
  <si>
    <t>01:31:19.046000</t>
  </si>
  <si>
    <t>01:33:04.234000</t>
  </si>
  <si>
    <t>01:34:53.953000</t>
  </si>
  <si>
    <t>01:34:08.775000</t>
  </si>
  <si>
    <t>01:35:44.534000</t>
  </si>
  <si>
    <t>01:36:41.649000</t>
  </si>
  <si>
    <t>01:38:47.284000</t>
  </si>
  <si>
    <t>01:40:21.578000</t>
  </si>
  <si>
    <t>01:40:27.429000</t>
  </si>
  <si>
    <t>01:41:15.517000</t>
  </si>
  <si>
    <t>01:43:28.276000</t>
  </si>
  <si>
    <t>01:45:11.378000</t>
  </si>
  <si>
    <t>01:46:29.380000</t>
  </si>
  <si>
    <t>01:47:26.213000</t>
  </si>
  <si>
    <t>01:48:17.443000</t>
  </si>
  <si>
    <t>01:50:07.692000</t>
  </si>
  <si>
    <t>01:50:13.825000</t>
  </si>
  <si>
    <t>01:51:50.385000</t>
  </si>
  <si>
    <t>01:53:02.149000</t>
  </si>
  <si>
    <t>01:54:08.853000</t>
  </si>
  <si>
    <t>01:54:36.145000</t>
  </si>
  <si>
    <t>01:55:01.596000</t>
  </si>
  <si>
    <t>01:56:22.409000</t>
  </si>
  <si>
    <t>01:57:36.700000</t>
  </si>
  <si>
    <t>02:00:34.535000</t>
  </si>
  <si>
    <t>02:02:00.887000</t>
  </si>
  <si>
    <t>02:03:27.848000</t>
  </si>
  <si>
    <t>02:03:38.997000</t>
  </si>
  <si>
    <t>02:03:43.207000</t>
  </si>
  <si>
    <t>00:01:55.424000</t>
  </si>
  <si>
    <t>00:01:57.034000</t>
  </si>
  <si>
    <t>00:02:39.557000</t>
  </si>
  <si>
    <t>00:02:58.844000</t>
  </si>
  <si>
    <t>00:03:54.267000</t>
  </si>
  <si>
    <t>00:05:21.099000</t>
  </si>
  <si>
    <t>00:05:33.500000</t>
  </si>
  <si>
    <t>00:06:14.178000</t>
  </si>
  <si>
    <t>00:06:36.203000</t>
  </si>
  <si>
    <t>00:07:19.720000</t>
  </si>
  <si>
    <t>00:09:26.438000</t>
  </si>
  <si>
    <t>00:10:18.208000</t>
  </si>
  <si>
    <t>00:11:17.868000</t>
  </si>
  <si>
    <t>00:11:23.940000</t>
  </si>
  <si>
    <t>00:11:47.882000</t>
  </si>
  <si>
    <t>00:12:01.095000</t>
  </si>
  <si>
    <t>00:12:54.899000</t>
  </si>
  <si>
    <t>00:13:17.248000</t>
  </si>
  <si>
    <t>00:13:53.170000</t>
  </si>
  <si>
    <t>00:14:46.907000</t>
  </si>
  <si>
    <t>00:16:13.292000</t>
  </si>
  <si>
    <t>00:17:04.993000</t>
  </si>
  <si>
    <t>00:18:22.667000</t>
  </si>
  <si>
    <t>00:19:57.826000</t>
  </si>
  <si>
    <t>00:20:10.962000</t>
  </si>
  <si>
    <t>00:22:24.662000</t>
  </si>
  <si>
    <t>00:23:20.076000</t>
  </si>
  <si>
    <t>00:24:07.966000</t>
  </si>
  <si>
    <t>00:25:12.371000</t>
  </si>
  <si>
    <t>00:25:18.648000</t>
  </si>
  <si>
    <t>00:25:48.386000</t>
  </si>
  <si>
    <t>00:26:07.979000</t>
  </si>
  <si>
    <t>00:27:06.477000</t>
  </si>
  <si>
    <t>00:27:11.898000</t>
  </si>
  <si>
    <t>00:28:31.639000</t>
  </si>
  <si>
    <t>00:29:06.672000</t>
  </si>
  <si>
    <t>00:28:56.672000</t>
  </si>
  <si>
    <t>00:29:43.876000</t>
  </si>
  <si>
    <t>00:29:58.546000</t>
  </si>
  <si>
    <t>00:29:58.094000</t>
  </si>
  <si>
    <t>00:30:47.323000</t>
  </si>
  <si>
    <t>00:31:21.396000</t>
  </si>
  <si>
    <t>00:33:45.560000</t>
  </si>
  <si>
    <t>00:35:56.192000</t>
  </si>
  <si>
    <t>00:36:48.244000</t>
  </si>
  <si>
    <t>00:37:13.025000</t>
  </si>
  <si>
    <t>00:38:57.353000</t>
  </si>
  <si>
    <t>00:39:18.618000</t>
  </si>
  <si>
    <t>00:40:30.767000</t>
  </si>
  <si>
    <t>00:40:58.629000</t>
  </si>
  <si>
    <t>00:41:20.067000</t>
  </si>
  <si>
    <t>00:41:43.639000</t>
  </si>
  <si>
    <t>00:42:25.846000</t>
  </si>
  <si>
    <t>00:43:26.063000</t>
  </si>
  <si>
    <t>00:43:33.316000</t>
  </si>
  <si>
    <t>00:43:39.841000</t>
  </si>
  <si>
    <t>01:02:59.073000</t>
  </si>
  <si>
    <t>01:06:02.070000</t>
  </si>
  <si>
    <t>01:07:31.114000</t>
  </si>
  <si>
    <t>01:08:36.050000</t>
  </si>
  <si>
    <t>01:09:11.536000</t>
  </si>
  <si>
    <t>01:10:13.303000</t>
  </si>
  <si>
    <t>01:10:20.041000</t>
  </si>
  <si>
    <t>01:10:51.825000</t>
  </si>
  <si>
    <t>01:11:28.193000</t>
  </si>
  <si>
    <t>01:12:10.469000</t>
  </si>
  <si>
    <t>01:12:44.145000</t>
  </si>
  <si>
    <t>01:14:58.719000</t>
  </si>
  <si>
    <t>01:17:00.722000</t>
  </si>
  <si>
    <t>01:19:56.643000</t>
  </si>
  <si>
    <t>01:20:31.066000</t>
  </si>
  <si>
    <t>01:22:18.377000</t>
  </si>
  <si>
    <t>01:22:31.514000</t>
  </si>
  <si>
    <t>01:23:35.726000</t>
  </si>
  <si>
    <t>01:24:31.722000</t>
  </si>
  <si>
    <t>01:24:38.618000</t>
  </si>
  <si>
    <t>01:25:01.519000</t>
  </si>
  <si>
    <t>01:25:28.019000</t>
  </si>
  <si>
    <t>01:26:20.746000</t>
  </si>
  <si>
    <t>01:26:33.123000</t>
  </si>
  <si>
    <t>01:27:03.184000</t>
  </si>
  <si>
    <t>01:28:17.062000</t>
  </si>
  <si>
    <t>01:29:14.521000</t>
  </si>
  <si>
    <t>01:29:21.003000</t>
  </si>
  <si>
    <t>01:30:00.344000</t>
  </si>
  <si>
    <t>01:30:18.156000</t>
  </si>
  <si>
    <t>01:31:50.552000</t>
  </si>
  <si>
    <t>01:32:00.116000</t>
  </si>
  <si>
    <t>01:32:36.432000</t>
  </si>
  <si>
    <t>01:32:59.658000</t>
  </si>
  <si>
    <t>01:34:51.859000</t>
  </si>
  <si>
    <t>01:34:52.667000</t>
  </si>
  <si>
    <t>01:35:16.319000</t>
  </si>
  <si>
    <t>01:36:42.270000</t>
  </si>
  <si>
    <t>01:36:46.518000</t>
  </si>
  <si>
    <t>PAUSA 059</t>
  </si>
  <si>
    <t>01:38:19.219000</t>
  </si>
  <si>
    <t>PAUSA 060</t>
  </si>
  <si>
    <t>01:40:58.849000</t>
  </si>
  <si>
    <t>PAUSA 061</t>
  </si>
  <si>
    <t>01:42:02.775000</t>
  </si>
  <si>
    <t>PAUSA 062</t>
  </si>
  <si>
    <t>01:43:08.336000</t>
  </si>
  <si>
    <t>PAUSA 063</t>
  </si>
  <si>
    <t>01:45:43.159000</t>
  </si>
  <si>
    <t>PAUSA 064</t>
  </si>
  <si>
    <t>01:47:05.821000</t>
  </si>
  <si>
    <t>PAUSA 065</t>
  </si>
  <si>
    <t>01:48:15.762000</t>
  </si>
  <si>
    <t>PAUSA 066</t>
  </si>
  <si>
    <t>01:50:08.797000</t>
  </si>
  <si>
    <t>01:50:24.211000</t>
  </si>
  <si>
    <t>00:11:17.364000</t>
  </si>
  <si>
    <t>00:12:33.752000</t>
  </si>
  <si>
    <t>00:13:35.101000</t>
  </si>
  <si>
    <t>00:13:44.012000</t>
  </si>
  <si>
    <t>00:14:10.502000</t>
  </si>
  <si>
    <t>00:15:33.400000</t>
  </si>
  <si>
    <t>00:16:31.879000</t>
  </si>
  <si>
    <t>00:16:39.558000</t>
  </si>
  <si>
    <t>00:17:06.633000</t>
  </si>
  <si>
    <t>00:17:17.072000</t>
  </si>
  <si>
    <t>00:18:07.344000</t>
  </si>
  <si>
    <t>00:19:17.245000</t>
  </si>
  <si>
    <t>00:20:53.730000</t>
  </si>
  <si>
    <t>00:21:51.290000</t>
  </si>
  <si>
    <t>00:23:31.791000</t>
  </si>
  <si>
    <t>00:24:30.121000</t>
  </si>
  <si>
    <t>00:26:06.454000</t>
  </si>
  <si>
    <t>00:27:10.991000</t>
  </si>
  <si>
    <t>00:27:43.419000</t>
  </si>
  <si>
    <t>00:27:53.863000</t>
  </si>
  <si>
    <t>00:28:55.100000</t>
  </si>
  <si>
    <t>00:29:48.756000</t>
  </si>
  <si>
    <t>00:30:49.925000</t>
  </si>
  <si>
    <t>00:32:46.497000</t>
  </si>
  <si>
    <t>00:33:27.942000</t>
  </si>
  <si>
    <t>00:36:29.410000</t>
  </si>
  <si>
    <t>00:37:18.938000</t>
  </si>
  <si>
    <t>00:38:10.672000</t>
  </si>
  <si>
    <t>00:38:59.988000</t>
  </si>
  <si>
    <t>00:40:25.170000</t>
  </si>
  <si>
    <t>00:41:23.711000</t>
  </si>
  <si>
    <t>00:43:02.863000</t>
  </si>
  <si>
    <t>00:45:03.119000</t>
  </si>
  <si>
    <t>00:47:01.823000</t>
  </si>
  <si>
    <t>00:48:12.489000</t>
  </si>
  <si>
    <t>00:48:18.517000</t>
  </si>
  <si>
    <t>00:48:44.349000</t>
  </si>
  <si>
    <t>00:49:00.131000</t>
  </si>
  <si>
    <t>00:49:56.767000</t>
  </si>
  <si>
    <t>00:53:57.450000</t>
  </si>
  <si>
    <t>00:54:34.683000</t>
  </si>
  <si>
    <t>00:56:05.240000</t>
  </si>
  <si>
    <t>00:59:24.238000</t>
  </si>
  <si>
    <t>00:59:30.517000</t>
  </si>
  <si>
    <t>00:59:33.275000</t>
  </si>
  <si>
    <t>01:14:29.231000</t>
  </si>
  <si>
    <t>01:16:57.526000</t>
  </si>
  <si>
    <t>01:18:21.843000</t>
  </si>
  <si>
    <t>01:20:05.117000</t>
  </si>
  <si>
    <t>01:20:13.017000</t>
  </si>
  <si>
    <t>01:21:51.775000</t>
  </si>
  <si>
    <t>01:22:13.669000</t>
  </si>
  <si>
    <t>01:22:50.369000</t>
  </si>
  <si>
    <t>01:24:13.006000</t>
  </si>
  <si>
    <t>01:27:27.492000</t>
  </si>
  <si>
    <t>01:29:31.726000</t>
  </si>
  <si>
    <t>01:29:45.849000</t>
  </si>
  <si>
    <t>01:30:23.207000</t>
  </si>
  <si>
    <t>01:32:42.466000</t>
  </si>
  <si>
    <t>01:33:42.536000</t>
  </si>
  <si>
    <t>01:35:34.229000</t>
  </si>
  <si>
    <t>01:36:18.701000</t>
  </si>
  <si>
    <t>01:36:23.455000</t>
  </si>
  <si>
    <t>01:36:55.274000</t>
  </si>
  <si>
    <t>01:37:04.504000</t>
  </si>
  <si>
    <t>01:38:03.225000</t>
  </si>
  <si>
    <t>01:38:26.233000</t>
  </si>
  <si>
    <t>01:39:47.219000</t>
  </si>
  <si>
    <t>01:40:59.491000</t>
  </si>
  <si>
    <t>01:41:27.856000</t>
  </si>
  <si>
    <t>01:41:54.674000</t>
  </si>
  <si>
    <t>01:44:17.189000</t>
  </si>
  <si>
    <t>01:44:42.866000</t>
  </si>
  <si>
    <t>01:45:13.937000</t>
  </si>
  <si>
    <t>01:46:57.334000</t>
  </si>
  <si>
    <t>01:46:21.809000</t>
  </si>
  <si>
    <t>01:48:54.662000</t>
  </si>
  <si>
    <t>01:49:53.635000</t>
  </si>
  <si>
    <t>01:52:37.775000</t>
  </si>
  <si>
    <t>01:54:37.754000</t>
  </si>
  <si>
    <t>01:56:35.421000</t>
  </si>
  <si>
    <t>01:58:36.204000</t>
  </si>
  <si>
    <t>01:59:36.931000</t>
  </si>
  <si>
    <t>02:01:39.045000</t>
  </si>
  <si>
    <t>02:03:37.722000</t>
  </si>
  <si>
    <t>02:05:37.067000</t>
  </si>
  <si>
    <t>02:06:42.992000</t>
  </si>
  <si>
    <t>02:06:49.397000</t>
  </si>
  <si>
    <t>INICIA</t>
  </si>
  <si>
    <t>&lt;10_SEG</t>
  </si>
  <si>
    <t>11_20_SEG</t>
  </si>
  <si>
    <t>21_30_SEG</t>
  </si>
  <si>
    <t>31_60_SEG</t>
  </si>
  <si>
    <t>&gt;60_SEG</t>
  </si>
  <si>
    <t>JUEGO 001</t>
  </si>
  <si>
    <t>00:08:08.115000</t>
  </si>
  <si>
    <t>00:09:01.124000</t>
  </si>
  <si>
    <t>JUEGO 002</t>
  </si>
  <si>
    <t>00:10:46.231000</t>
  </si>
  <si>
    <t>JUEGO 003</t>
  </si>
  <si>
    <t>00:12:21.846000</t>
  </si>
  <si>
    <t>JUEGO 004</t>
  </si>
  <si>
    <t>00:14:10.108000</t>
  </si>
  <si>
    <t>JUEGO 005</t>
  </si>
  <si>
    <t>00:15:25.664000</t>
  </si>
  <si>
    <t>JUEGO 006</t>
  </si>
  <si>
    <t>00:18:27.264000</t>
  </si>
  <si>
    <t>JUEGO 007</t>
  </si>
  <si>
    <t>00:19:40.228000</t>
  </si>
  <si>
    <t>00:19:50.850000</t>
  </si>
  <si>
    <t>JUEGO 008</t>
  </si>
  <si>
    <t>00:20:45.054000</t>
  </si>
  <si>
    <t>JUEGO 009</t>
  </si>
  <si>
    <t>00:23:29.751000</t>
  </si>
  <si>
    <t>JUEGO 010</t>
  </si>
  <si>
    <t>00:23:40.701000</t>
  </si>
  <si>
    <t>JUEGO 011</t>
  </si>
  <si>
    <t>JUEGO 012</t>
  </si>
  <si>
    <t>00:27:26.477000</t>
  </si>
  <si>
    <t>JUEGO 013</t>
  </si>
  <si>
    <t>00:28:29.507000</t>
  </si>
  <si>
    <t>00:32:31.005000</t>
  </si>
  <si>
    <t>JUEGO 014</t>
  </si>
  <si>
    <t>00:33:39.258000</t>
  </si>
  <si>
    <t>JUEGO 015</t>
  </si>
  <si>
    <t>00:35:33.249000</t>
  </si>
  <si>
    <t>JUEGO 016</t>
  </si>
  <si>
    <t>00:36:03.467000</t>
  </si>
  <si>
    <t>JUEGO 017</t>
  </si>
  <si>
    <t>00:38:13.237000</t>
  </si>
  <si>
    <t>JUEGO 018</t>
  </si>
  <si>
    <t>00:40:13.621000</t>
  </si>
  <si>
    <t>JUEGO 019</t>
  </si>
  <si>
    <t>00:42:38.035000</t>
  </si>
  <si>
    <t>00:43:24.520000</t>
  </si>
  <si>
    <t>JUEGO 020</t>
  </si>
  <si>
    <t>00:44:27.678000</t>
  </si>
  <si>
    <t>JUEGO 021</t>
  </si>
  <si>
    <t>00:45:58.669000</t>
  </si>
  <si>
    <t>JUEGO 022</t>
  </si>
  <si>
    <t>JUEGO 023</t>
  </si>
  <si>
    <t>00:48:53.786000</t>
  </si>
  <si>
    <t>JUEGO 024</t>
  </si>
  <si>
    <t>00:49:29.617000</t>
  </si>
  <si>
    <t>00:49:39.789000</t>
  </si>
  <si>
    <t>JUEGO 025</t>
  </si>
  <si>
    <t>00:49:57.336000</t>
  </si>
  <si>
    <t>JUEGO 026</t>
  </si>
  <si>
    <t>00:51:46.308000</t>
  </si>
  <si>
    <t>JUEGO 027</t>
  </si>
  <si>
    <t>00:53:05.719000</t>
  </si>
  <si>
    <t>JUEGO 028</t>
  </si>
  <si>
    <t>01:07:18.177000</t>
  </si>
  <si>
    <t>01:07:47.138000</t>
  </si>
  <si>
    <t>JUEGO 029</t>
  </si>
  <si>
    <t>01:10:36.824000</t>
  </si>
  <si>
    <t>JUEGO 030</t>
  </si>
  <si>
    <t>01:11:32.792000</t>
  </si>
  <si>
    <t>JUEGO 031</t>
  </si>
  <si>
    <t>01:12:34.195000</t>
  </si>
  <si>
    <t>JUEGO 032</t>
  </si>
  <si>
    <t>01:14:26.823000</t>
  </si>
  <si>
    <t>JUEGO 033</t>
  </si>
  <si>
    <t>01:15:14.593000</t>
  </si>
  <si>
    <t>01:16:28.636000</t>
  </si>
  <si>
    <t>JUEGO 034</t>
  </si>
  <si>
    <t>01:17:26.878000</t>
  </si>
  <si>
    <t>JUEGO 035</t>
  </si>
  <si>
    <t>01:18:15.023000</t>
  </si>
  <si>
    <t>JUEGO 036</t>
  </si>
  <si>
    <t>01:18:27.076000</t>
  </si>
  <si>
    <t>01:18:31.642000</t>
  </si>
  <si>
    <t>JUEGO 037</t>
  </si>
  <si>
    <t>01:19:40.692000</t>
  </si>
  <si>
    <t>JUEGO 038</t>
  </si>
  <si>
    <t>01:21:50.245000</t>
  </si>
  <si>
    <t>JUEGO 039</t>
  </si>
  <si>
    <t>01:23:43.078000</t>
  </si>
  <si>
    <t>JUEGO 040</t>
  </si>
  <si>
    <t>01:26:11.384000</t>
  </si>
  <si>
    <t>JUEGO 041</t>
  </si>
  <si>
    <t>01:28:29.870000</t>
  </si>
  <si>
    <t>JUEGO 042</t>
  </si>
  <si>
    <t>01:30:05.509000</t>
  </si>
  <si>
    <t>JUEGO 043</t>
  </si>
  <si>
    <t>01:31:13.456000</t>
  </si>
  <si>
    <t>JUEGO 044</t>
  </si>
  <si>
    <t>01:32:07.406000</t>
  </si>
  <si>
    <t>JUEGO 045</t>
  </si>
  <si>
    <t>01:32:57.938000</t>
  </si>
  <si>
    <t>JUEGO 046</t>
  </si>
  <si>
    <t>01:33:50.266000</t>
  </si>
  <si>
    <t>JUEGO 047</t>
  </si>
  <si>
    <t>01:35:37.608000</t>
  </si>
  <si>
    <t>JUEGO 048</t>
  </si>
  <si>
    <t>01:38:08.501000</t>
  </si>
  <si>
    <t>JUEGO 049</t>
  </si>
  <si>
    <t>01:39:32.254000</t>
  </si>
  <si>
    <t>JUEGO 050</t>
  </si>
  <si>
    <t>01:41:10.227000</t>
  </si>
  <si>
    <t>JUEGO 051</t>
  </si>
  <si>
    <t>01:42:23.148000</t>
  </si>
  <si>
    <t>JUEGO 052</t>
  </si>
  <si>
    <t>01:44:49.027000</t>
  </si>
  <si>
    <t>JUEGO 053</t>
  </si>
  <si>
    <t>01:46:15.356000</t>
  </si>
  <si>
    <t>01:47:11.134000</t>
  </si>
  <si>
    <t>JUEGO 054</t>
  </si>
  <si>
    <t>01:50:47.328000</t>
  </si>
  <si>
    <t>JUEGO 055</t>
  </si>
  <si>
    <t>01:51:55.576000</t>
  </si>
  <si>
    <t>01:52:37.077000</t>
  </si>
  <si>
    <t>JUEGO 056</t>
  </si>
  <si>
    <t>01:54:09.957000</t>
  </si>
  <si>
    <t>JUEGO 057</t>
  </si>
  <si>
    <t>01:55:31.306000</t>
  </si>
  <si>
    <t>JUEGO 058</t>
  </si>
  <si>
    <t>01:56:00.725000</t>
  </si>
  <si>
    <t>00:06:12.552000</t>
  </si>
  <si>
    <t>00:05:59.125000</t>
  </si>
  <si>
    <t>00:07:36.308000</t>
  </si>
  <si>
    <t>00:08:28.848000</t>
  </si>
  <si>
    <t>00:09:26.249000</t>
  </si>
  <si>
    <t>00:12:10.707000</t>
  </si>
  <si>
    <t>00:13:34.532000</t>
  </si>
  <si>
    <t>00:15:44.842000</t>
  </si>
  <si>
    <t>00:17:55.477000</t>
  </si>
  <si>
    <t>00:19:12.057000</t>
  </si>
  <si>
    <t>00:22:16.754000</t>
  </si>
  <si>
    <t>00:23:45.389000</t>
  </si>
  <si>
    <t>00:24:44.887000</t>
  </si>
  <si>
    <t>00:27:19.758000</t>
  </si>
  <si>
    <t>00:30:42.809000</t>
  </si>
  <si>
    <t>00:31:40.491000</t>
  </si>
  <si>
    <t>00:32:32.584000</t>
  </si>
  <si>
    <t>00:33:01.319000</t>
  </si>
  <si>
    <t>00:33:25.277000</t>
  </si>
  <si>
    <t>00:34:59.039000</t>
  </si>
  <si>
    <t>00:35:03.857000</t>
  </si>
  <si>
    <t>00:36:42.051000</t>
  </si>
  <si>
    <t>00:38:17.610000</t>
  </si>
  <si>
    <t>00:40:04.008000</t>
  </si>
  <si>
    <t>00:41:59.884000</t>
  </si>
  <si>
    <t>00:47:02.019000</t>
  </si>
  <si>
    <t>00:48:53.180000</t>
  </si>
  <si>
    <t>00:49:08.483000</t>
  </si>
  <si>
    <t>00:50:02.671000</t>
  </si>
  <si>
    <t>00:50:06.167000</t>
  </si>
  <si>
    <t>00:50:07.210000</t>
  </si>
  <si>
    <t>00:50:19.576000</t>
  </si>
  <si>
    <t>00:52:05.804000</t>
  </si>
  <si>
    <t>00:53:31.790000</t>
  </si>
  <si>
    <t>00:53:49.458000</t>
  </si>
  <si>
    <t>01:02:40.741000</t>
  </si>
  <si>
    <t>01:02:47.366000</t>
  </si>
  <si>
    <t>01:04:45.306000</t>
  </si>
  <si>
    <t>01:06:45.097000</t>
  </si>
  <si>
    <t>01:07:49.597000</t>
  </si>
  <si>
    <t>01:09:02.564000</t>
  </si>
  <si>
    <t>01:10:28.815000</t>
  </si>
  <si>
    <t>01:12:11.564000</t>
  </si>
  <si>
    <t>01:12:34.363000</t>
  </si>
  <si>
    <t>01:13:03.534000</t>
  </si>
  <si>
    <t>01:13:18.876000</t>
  </si>
  <si>
    <t>01:14:48.575000</t>
  </si>
  <si>
    <t>01:16:36.049000</t>
  </si>
  <si>
    <t>01:18:13.131000</t>
  </si>
  <si>
    <t>01:19:18.979000</t>
  </si>
  <si>
    <t>01:20:16.055000</t>
  </si>
  <si>
    <t>01:21:14.492000</t>
  </si>
  <si>
    <t>01:21:37.806000</t>
  </si>
  <si>
    <t>01:22:38.095000</t>
  </si>
  <si>
    <t>01:24:37.004000</t>
  </si>
  <si>
    <t>01:24:41.060000</t>
  </si>
  <si>
    <t>01:25:34.472000</t>
  </si>
  <si>
    <t>01:26:50.196000</t>
  </si>
  <si>
    <t>01:28:21.017000</t>
  </si>
  <si>
    <t>01:30:20.283000</t>
  </si>
  <si>
    <t>01:31:54.291000</t>
  </si>
  <si>
    <t>01:33:59.695000</t>
  </si>
  <si>
    <t>01:35:24.764000</t>
  </si>
  <si>
    <t>01:36:05.739000</t>
  </si>
  <si>
    <t>01:38:11.658000</t>
  </si>
  <si>
    <t>01:39:52.393000</t>
  </si>
  <si>
    <t>01:41:06.003000</t>
  </si>
  <si>
    <t>01:41:28.718000</t>
  </si>
  <si>
    <t>01:42:18.425000</t>
  </si>
  <si>
    <t>01:42:34.990000</t>
  </si>
  <si>
    <t>01:43:55.789000</t>
  </si>
  <si>
    <t>01:44:58.451000</t>
  </si>
  <si>
    <t>01:45:39.965000</t>
  </si>
  <si>
    <t>00:09:27.309000</t>
  </si>
  <si>
    <t>00:09:38.391000</t>
  </si>
  <si>
    <t>00:10:19.724000</t>
  </si>
  <si>
    <t>00:11:39.358000</t>
  </si>
  <si>
    <t>00:12:53.037000</t>
  </si>
  <si>
    <t>00:14:15.541000</t>
  </si>
  <si>
    <t>00:15:12.904000</t>
  </si>
  <si>
    <t>00:17:40.906000</t>
  </si>
  <si>
    <t>00:17:45.264000</t>
  </si>
  <si>
    <t>00:20:11.764000</t>
  </si>
  <si>
    <t>00:22:11.676000</t>
  </si>
  <si>
    <t>00:23:44.372000</t>
  </si>
  <si>
    <t>00:24:51.812000</t>
  </si>
  <si>
    <t>00:26:04.236000</t>
  </si>
  <si>
    <t>00:27:31.860000</t>
  </si>
  <si>
    <t>00:28:26.815000</t>
  </si>
  <si>
    <t>00:29:34.984000</t>
  </si>
  <si>
    <t>00:30:37.594000</t>
  </si>
  <si>
    <t>00:32:37.981000</t>
  </si>
  <si>
    <t>00:35:16.732000</t>
  </si>
  <si>
    <t>00:38:55.445000</t>
  </si>
  <si>
    <t>00:39:59.957000</t>
  </si>
  <si>
    <t>00:41:41.174000</t>
  </si>
  <si>
    <t>00:41:42.493000</t>
  </si>
  <si>
    <t>00:41:45.748000</t>
  </si>
  <si>
    <t>00:47:52.865000</t>
  </si>
  <si>
    <t>00:48:23.793000</t>
  </si>
  <si>
    <t>00:49:29.883000</t>
  </si>
  <si>
    <t>00:53:26.715000</t>
  </si>
  <si>
    <t>00:54:31.805000</t>
  </si>
  <si>
    <t>00:55:33.949000</t>
  </si>
  <si>
    <t>00:57:28.316000</t>
  </si>
  <si>
    <t>00:58:32.779000</t>
  </si>
  <si>
    <t>00:59:37.180000</t>
  </si>
  <si>
    <t>00:59:41.836000</t>
  </si>
  <si>
    <t>01:00:49.692000</t>
  </si>
  <si>
    <t>01:16:38.671000</t>
  </si>
  <si>
    <t>01:18:24.540000</t>
  </si>
  <si>
    <t>01:19:57.463000</t>
  </si>
  <si>
    <t>01:20:26.405000</t>
  </si>
  <si>
    <t>01:22:18.938000</t>
  </si>
  <si>
    <t>01:25:13.732000</t>
  </si>
  <si>
    <t>01:26:27.876000</t>
  </si>
  <si>
    <t>01:27:55.487000</t>
  </si>
  <si>
    <t>01:29:17.155000</t>
  </si>
  <si>
    <t>01:30:16.333000</t>
  </si>
  <si>
    <t>01:30:25.681000</t>
  </si>
  <si>
    <t>01:31:18.159000</t>
  </si>
  <si>
    <t>01:33:03.127000</t>
  </si>
  <si>
    <t>01:34:09.146000</t>
  </si>
  <si>
    <t>01:35:37.281000</t>
  </si>
  <si>
    <t>01:36:40.577000</t>
  </si>
  <si>
    <t>01:38:46.278000</t>
  </si>
  <si>
    <t>01:40:20.259000</t>
  </si>
  <si>
    <t>01:40:26.116000</t>
  </si>
  <si>
    <t>01:41:14.347000</t>
  </si>
  <si>
    <t>01:43:22.616000</t>
  </si>
  <si>
    <t>01:45:10.082000</t>
  </si>
  <si>
    <t>01:46:28.328000</t>
  </si>
  <si>
    <t>01:48:22.154000</t>
  </si>
  <si>
    <t>01:50:12.878000</t>
  </si>
  <si>
    <t>01:51:49.190000</t>
  </si>
  <si>
    <t>01:53:01.211000</t>
  </si>
  <si>
    <t>01:54:07.772000</t>
  </si>
  <si>
    <t>01:55:00.349000</t>
  </si>
  <si>
    <t>01:56:17.215000</t>
  </si>
  <si>
    <t>01:57:35.821000</t>
  </si>
  <si>
    <t>02:00:37.103000</t>
  </si>
  <si>
    <t>02:01:59.838000</t>
  </si>
  <si>
    <t>02:03:37.900000</t>
  </si>
  <si>
    <t>00:01:15.678000</t>
  </si>
  <si>
    <t>00:01:56.481000</t>
  </si>
  <si>
    <t>00:02:58.283000</t>
  </si>
  <si>
    <t>00:03:53.700000</t>
  </si>
  <si>
    <t>00:05:20.476000</t>
  </si>
  <si>
    <t>00:05:32.999000</t>
  </si>
  <si>
    <t>00:06:35.569000</t>
  </si>
  <si>
    <t>00:07:19</t>
  </si>
  <si>
    <t>00:09:24.795000</t>
  </si>
  <si>
    <t>00:10:17.580000</t>
  </si>
  <si>
    <t>00:11:23.305000</t>
  </si>
  <si>
    <t>00:12:00.534000</t>
  </si>
  <si>
    <t>00:12:55.390000</t>
  </si>
  <si>
    <t>00:13:16.540000</t>
  </si>
  <si>
    <t>00:13:52.525000</t>
  </si>
  <si>
    <t>00:14:46.352000</t>
  </si>
  <si>
    <t>00:16:12.599000</t>
  </si>
  <si>
    <t>00:17:04.331000</t>
  </si>
  <si>
    <t>00:18:22.101000</t>
  </si>
  <si>
    <t>00:19:56.154000</t>
  </si>
  <si>
    <t>00:20:07.282000</t>
  </si>
  <si>
    <t>00:22:23.986000</t>
  </si>
  <si>
    <t>00:23:19.443000</t>
  </si>
  <si>
    <t>00:24:12.422000</t>
  </si>
  <si>
    <t>00:25:18.088000</t>
  </si>
  <si>
    <t>00:26:07.313000</t>
  </si>
  <si>
    <t>00:27:11.102000</t>
  </si>
  <si>
    <t>00:28:57.320000</t>
  </si>
  <si>
    <t>00:29:56.706000</t>
  </si>
  <si>
    <t>00:31:20.906000</t>
  </si>
  <si>
    <t>00:33:45.001000</t>
  </si>
  <si>
    <t>00:35:55.664000</t>
  </si>
  <si>
    <t>00:36:47.686000</t>
  </si>
  <si>
    <t>00:37:12.378000</t>
  </si>
  <si>
    <t>00:38:56.438000</t>
  </si>
  <si>
    <t>00:39:18.015000</t>
  </si>
  <si>
    <t>00:40:30.134000</t>
  </si>
  <si>
    <t>00:41:18.525000</t>
  </si>
  <si>
    <t>00:42:25.378000</t>
  </si>
  <si>
    <t>00:43:25.642000</t>
  </si>
  <si>
    <t>00:43:32.743000</t>
  </si>
  <si>
    <t>01:02:11.992000</t>
  </si>
  <si>
    <t>01:02:58.472000</t>
  </si>
  <si>
    <t>01:04:48.196000</t>
  </si>
  <si>
    <t>01:07:30.493000</t>
  </si>
  <si>
    <t>01:08:35.280000</t>
  </si>
  <si>
    <t>01:09:11.021000</t>
  </si>
  <si>
    <t>01:10:19.514000</t>
  </si>
  <si>
    <t>01:10:51.403000</t>
  </si>
  <si>
    <t>01:11:27.701000</t>
  </si>
  <si>
    <t>01:12:10.459000</t>
  </si>
  <si>
    <t>01:12:43.554000</t>
  </si>
  <si>
    <t>01:14:58.086000</t>
  </si>
  <si>
    <t>01:17:00.096000</t>
  </si>
  <si>
    <t>01:20:30.295000</t>
  </si>
  <si>
    <t>01:22:31.027000</t>
  </si>
  <si>
    <t>01:23:35.208000</t>
  </si>
  <si>
    <t>01:24:38.111000</t>
  </si>
  <si>
    <t>01:25:27.496000</t>
  </si>
  <si>
    <t>01:26:32.629000</t>
  </si>
  <si>
    <t>01:27:01.708000</t>
  </si>
  <si>
    <t>01:28:15.221000</t>
  </si>
  <si>
    <t>01:29:59.710000</t>
  </si>
  <si>
    <t>01:30:18.054000</t>
  </si>
  <si>
    <t>01:31:59.554000</t>
  </si>
  <si>
    <t>01:32:35.891000</t>
  </si>
  <si>
    <t>01:33:43.934000</t>
  </si>
  <si>
    <t>01:35:15.723000</t>
  </si>
  <si>
    <t>01:36:45.970000</t>
  </si>
  <si>
    <t>01:38:18.607000</t>
  </si>
  <si>
    <t>JUEGO 059</t>
  </si>
  <si>
    <t>01:40:58.258000</t>
  </si>
  <si>
    <t>JUEGO 060</t>
  </si>
  <si>
    <t>01:42:02.209000</t>
  </si>
  <si>
    <t>JUEGO 061</t>
  </si>
  <si>
    <t>01:43:07.697000</t>
  </si>
  <si>
    <t>JUEGO 062</t>
  </si>
  <si>
    <t>01:45:42.617000</t>
  </si>
  <si>
    <t>JUEGO 063</t>
  </si>
  <si>
    <t>01:47:07.346000</t>
  </si>
  <si>
    <t>JUEGO 064</t>
  </si>
  <si>
    <t>01:48:15.244000</t>
  </si>
  <si>
    <t>JUEGO 065</t>
  </si>
  <si>
    <t>01:50:08.263000</t>
  </si>
  <si>
    <t>00:09:12.953000</t>
  </si>
  <si>
    <t>00:11:16.195000</t>
  </si>
  <si>
    <t>00:12:32.895000</t>
  </si>
  <si>
    <t>00:13:43.142000</t>
  </si>
  <si>
    <t>00:15:37.379000</t>
  </si>
  <si>
    <t>00:16:36.263000</t>
  </si>
  <si>
    <t>00:17:16.052000</t>
  </si>
  <si>
    <t>00:18:06.430000</t>
  </si>
  <si>
    <t>00:19:15.956000</t>
  </si>
  <si>
    <t>00:21:50.402000</t>
  </si>
  <si>
    <t>00:23:30.831000</t>
  </si>
  <si>
    <t>00:24:28.904000</t>
  </si>
  <si>
    <t>00:26:01.977000</t>
  </si>
  <si>
    <t>00:27:09.913000</t>
  </si>
  <si>
    <t>00:27:52.633000</t>
  </si>
  <si>
    <t>00:28:54.109000</t>
  </si>
  <si>
    <t>00:29:47.837000</t>
  </si>
  <si>
    <t>00:30:49.088000</t>
  </si>
  <si>
    <t>00:32:45.676000</t>
  </si>
  <si>
    <t>00:33:27.043000</t>
  </si>
  <si>
    <t>00:36:28.534000</t>
  </si>
  <si>
    <t>00:37:18.042000</t>
  </si>
  <si>
    <t>00:38:59.035000</t>
  </si>
  <si>
    <t>00:39:35.376000</t>
  </si>
  <si>
    <t>00:40:24.249000</t>
  </si>
  <si>
    <t>00:41:22.631000</t>
  </si>
  <si>
    <t>00:43:01.739000</t>
  </si>
  <si>
    <t>00:45:01.918000</t>
  </si>
  <si>
    <t>00:47:00.723000</t>
  </si>
  <si>
    <t>00:48:17.579000</t>
  </si>
  <si>
    <t>00:48:59.164000</t>
  </si>
  <si>
    <t>00:49:55.736000</t>
  </si>
  <si>
    <t>00:53:56.366000</t>
  </si>
  <si>
    <t>00:54:32.890000</t>
  </si>
  <si>
    <t>00:56:02.887000</t>
  </si>
  <si>
    <t>00:59:29.989000</t>
  </si>
  <si>
    <t>01:14:09.134000</t>
  </si>
  <si>
    <t>01:14:28.126000</t>
  </si>
  <si>
    <t>01:16:56.451000</t>
  </si>
  <si>
    <t>01:18:20.862000</t>
  </si>
  <si>
    <t>01:20:12.035000</t>
  </si>
  <si>
    <t>01:21:50.226000</t>
  </si>
  <si>
    <t>01:22:12.827000</t>
  </si>
  <si>
    <t>01:22:49.383000</t>
  </si>
  <si>
    <t>01:24:12.004000</t>
  </si>
  <si>
    <t>01:27:26.684000</t>
  </si>
  <si>
    <t>01:29:45.130000</t>
  </si>
  <si>
    <t>01:30:22.307000</t>
  </si>
  <si>
    <t>01:33:41.495000</t>
  </si>
  <si>
    <t>01:35:33.524000</t>
  </si>
  <si>
    <t>01:37:03.409000</t>
  </si>
  <si>
    <t>01:38:02.392000</t>
  </si>
  <si>
    <t>01:38:25.047000</t>
  </si>
  <si>
    <t>01:39:45.962000</t>
  </si>
  <si>
    <t>01:41:53.614000</t>
  </si>
  <si>
    <t>01:44:15.379000</t>
  </si>
  <si>
    <t>01:44:42.008000</t>
  </si>
  <si>
    <t>01:46:25.652000</t>
  </si>
  <si>
    <t>01:49:52.592000</t>
  </si>
  <si>
    <t>01:58:34.888000</t>
  </si>
  <si>
    <t>01:59:35.861000</t>
  </si>
  <si>
    <t>02:01:20.854000</t>
  </si>
  <si>
    <t>02:01:38.097000</t>
  </si>
  <si>
    <t>02:03:36.764000</t>
  </si>
  <si>
    <t>02:05:35.990000</t>
  </si>
  <si>
    <t>02:06:41.839000</t>
  </si>
  <si>
    <t>RUCKS_INICIO_SEG</t>
  </si>
  <si>
    <t>RUCKS GANADOS OUR 001</t>
  </si>
  <si>
    <t>00:08:42.685000</t>
  </si>
  <si>
    <t>00:08:36.685000</t>
  </si>
  <si>
    <t>00:08:43.685000</t>
  </si>
  <si>
    <t>MAS DE 5"</t>
  </si>
  <si>
    <t>RUCKS GANADOS OUR 002</t>
  </si>
  <si>
    <t>00:08:50.450000</t>
  </si>
  <si>
    <t>00:08:44.450000</t>
  </si>
  <si>
    <t>00:08:51.450000</t>
  </si>
  <si>
    <t>MENOS DE 3"</t>
  </si>
  <si>
    <t>RUCKS GANADOS OUR 003</t>
  </si>
  <si>
    <t>00:16:41.666000</t>
  </si>
  <si>
    <t>00:16:35.666000</t>
  </si>
  <si>
    <t>00:16:42.666000</t>
  </si>
  <si>
    <t>ENTRE 3" Y 5"</t>
  </si>
  <si>
    <t>RUCKS GANADOS OUR 004</t>
  </si>
  <si>
    <t>00:16:50.510000</t>
  </si>
  <si>
    <t>00:16:44.510000</t>
  </si>
  <si>
    <t>00:16:51.510000</t>
  </si>
  <si>
    <t>RUCKS GANADOS OUR 005</t>
  </si>
  <si>
    <t>00:16:54.946000</t>
  </si>
  <si>
    <t>00:16:48.946000</t>
  </si>
  <si>
    <t>00:16:55.946000</t>
  </si>
  <si>
    <t>RUCKS GANADOS OUR 006</t>
  </si>
  <si>
    <t>00:16:59.453000</t>
  </si>
  <si>
    <t>00:16:53.453000</t>
  </si>
  <si>
    <t>00:17:00.453000</t>
  </si>
  <si>
    <t>RUCKS GANADOS OUR 007</t>
  </si>
  <si>
    <t>00:17:08.819000</t>
  </si>
  <si>
    <t>00:17:02.819000</t>
  </si>
  <si>
    <t>00:17:09.819000</t>
  </si>
  <si>
    <t>RUCKS GANADOS OUR 008</t>
  </si>
  <si>
    <t>00:17:18.299000</t>
  </si>
  <si>
    <t>00:17:12.299000</t>
  </si>
  <si>
    <t>00:17:19.299000</t>
  </si>
  <si>
    <t>RUCKS GANADOS OUR 009</t>
  </si>
  <si>
    <t>00:17:25.292000</t>
  </si>
  <si>
    <t>00:17:19.292000</t>
  </si>
  <si>
    <t>00:17:26.292000</t>
  </si>
  <si>
    <t>RUCKS GANADOS OUR 010</t>
  </si>
  <si>
    <t>00:17:35.641000</t>
  </si>
  <si>
    <t>00:17:29.641000</t>
  </si>
  <si>
    <t>00:17:36.641000</t>
  </si>
  <si>
    <t>RUCKS GANADOS OUR 011</t>
  </si>
  <si>
    <t>00:17:48.718000</t>
  </si>
  <si>
    <t>00:17:42.718000</t>
  </si>
  <si>
    <t>00:17:49.718000</t>
  </si>
  <si>
    <t>RUCKS GANADOS OUR 012</t>
  </si>
  <si>
    <t>00:17:52.514000</t>
  </si>
  <si>
    <t>00:17:46.514000</t>
  </si>
  <si>
    <t>00:17:53.514000</t>
  </si>
  <si>
    <t>RUCKS GANADOS OUR 013</t>
  </si>
  <si>
    <t>00:18:02.605000</t>
  </si>
  <si>
    <t>00:17:56.605000</t>
  </si>
  <si>
    <t>00:18:03.605000</t>
  </si>
  <si>
    <t>RUCKS GANADOS OUR 014</t>
  </si>
  <si>
    <t>00:18:09.265000</t>
  </si>
  <si>
    <t>00:18:03.265000</t>
  </si>
  <si>
    <t>00:18:10.265000</t>
  </si>
  <si>
    <t>RUCKS GANADOS OUR 015</t>
  </si>
  <si>
    <t>00:18:12.028000</t>
  </si>
  <si>
    <t>00:18:06.028000</t>
  </si>
  <si>
    <t>00:18:13.028000</t>
  </si>
  <si>
    <t>RUCKS GANADOS OUR 016</t>
  </si>
  <si>
    <t>00:18:16.908000</t>
  </si>
  <si>
    <t>00:18:10.908000</t>
  </si>
  <si>
    <t>00:18:17.908000</t>
  </si>
  <si>
    <t>RUCKS GANADOS OUR 017</t>
  </si>
  <si>
    <t>00:18:22.240000</t>
  </si>
  <si>
    <t>00:18:16.240000</t>
  </si>
  <si>
    <t>00:18:23.240000</t>
  </si>
  <si>
    <t>RUCKS GANADOS OUR 018</t>
  </si>
  <si>
    <t>00:19:49.353000</t>
  </si>
  <si>
    <t>00:19:43.353000</t>
  </si>
  <si>
    <t>00:19:50.353000</t>
  </si>
  <si>
    <t>RUCKS GANADOS OUR 019</t>
  </si>
  <si>
    <t>00:20:38.232000</t>
  </si>
  <si>
    <t>00:20:32.232000</t>
  </si>
  <si>
    <t>00:20:39.232000</t>
  </si>
  <si>
    <t>RUCKS GANADOS OUR 020</t>
  </si>
  <si>
    <t>00:29:17.722000</t>
  </si>
  <si>
    <t>00:29:11.722000</t>
  </si>
  <si>
    <t>00:29:18.722000</t>
  </si>
  <si>
    <t>RUCKS GANADOS OUR 021</t>
  </si>
  <si>
    <t>00:29:32.912000</t>
  </si>
  <si>
    <t>00:29:26.912000</t>
  </si>
  <si>
    <t>00:29:33.912000</t>
  </si>
  <si>
    <t>MOTIVO</t>
  </si>
  <si>
    <t>RUCKS GANADOS OUR 022</t>
  </si>
  <si>
    <t>00:30:01.593000</t>
  </si>
  <si>
    <t>00:29:55.593000</t>
  </si>
  <si>
    <t>00:30:02.593000</t>
  </si>
  <si>
    <t>RUCKS GANADOS OUR 023</t>
  </si>
  <si>
    <t>00:30:12.585000</t>
  </si>
  <si>
    <t>00:30:06.585000</t>
  </si>
  <si>
    <t>00:30:13.585000</t>
  </si>
  <si>
    <t>RUCKS GANADOS OUR 024</t>
  </si>
  <si>
    <t>00:30:17.029000</t>
  </si>
  <si>
    <t>00:30:11.029000</t>
  </si>
  <si>
    <t>00:30:18.029000</t>
  </si>
  <si>
    <t>RUCKS GANADOS OUR 025</t>
  </si>
  <si>
    <t>00:30:25.230000</t>
  </si>
  <si>
    <t>00:30:19.230000</t>
  </si>
  <si>
    <t>00:30:26.230000</t>
  </si>
  <si>
    <t>RUCKS GANADOS OUR 026</t>
  </si>
  <si>
    <t>00:30:31.518000</t>
  </si>
  <si>
    <t>00:30:25.518000</t>
  </si>
  <si>
    <t>00:30:32.518000</t>
  </si>
  <si>
    <t>RUCKS GANADOS OUR 027</t>
  </si>
  <si>
    <t>00:30:41.192000</t>
  </si>
  <si>
    <t>00:30:35.192000</t>
  </si>
  <si>
    <t>00:30:42.192000</t>
  </si>
  <si>
    <t>RUCKS GANADOS OUR 028</t>
  </si>
  <si>
    <t>00:30:51.255000</t>
  </si>
  <si>
    <t>00:30:45.255000</t>
  </si>
  <si>
    <t>00:30:52.255000</t>
  </si>
  <si>
    <t>RUCKS GANADOS OUR 029</t>
  </si>
  <si>
    <t>00:31:01.187000</t>
  </si>
  <si>
    <t>00:30:55.187000</t>
  </si>
  <si>
    <t>00:31:02.187000</t>
  </si>
  <si>
    <t>RUCKS GANADOS OUR 030</t>
  </si>
  <si>
    <t>00:31:09.404000</t>
  </si>
  <si>
    <t>00:31:03.404000</t>
  </si>
  <si>
    <t>00:31:10.404000</t>
  </si>
  <si>
    <t>RUCKS GANADOS OUR 031</t>
  </si>
  <si>
    <t>00:31:14.659000</t>
  </si>
  <si>
    <t>00:31:08.659000</t>
  </si>
  <si>
    <t>00:31:15.659000</t>
  </si>
  <si>
    <t>RUCKS GANADOS OUR 032</t>
  </si>
  <si>
    <t>00:31:20.265000</t>
  </si>
  <si>
    <t>00:31:14.265000</t>
  </si>
  <si>
    <t>00:31:21.265000</t>
  </si>
  <si>
    <t>RUCKS GANADOS OUR 033</t>
  </si>
  <si>
    <t>00:31:30.916000</t>
  </si>
  <si>
    <t>00:31:24.916000</t>
  </si>
  <si>
    <t>00:31:31.916000</t>
  </si>
  <si>
    <t>RUCKS GANADOS OUR 034</t>
  </si>
  <si>
    <t>00:31:40.551000</t>
  </si>
  <si>
    <t>00:31:34.551000</t>
  </si>
  <si>
    <t>00:31:41.551000</t>
  </si>
  <si>
    <t>RUCKS GANADOS OUR 035</t>
  </si>
  <si>
    <t>00:31:45.425000</t>
  </si>
  <si>
    <t>00:31:39.425000</t>
  </si>
  <si>
    <t>00:31:46.425000</t>
  </si>
  <si>
    <t>RUCKS GANADOS OUR 036</t>
  </si>
  <si>
    <t>00:31:55.963000</t>
  </si>
  <si>
    <t>00:31:49.963000</t>
  </si>
  <si>
    <t>00:31:56.963000</t>
  </si>
  <si>
    <t>RUCKS GANADOS OUR 037</t>
  </si>
  <si>
    <t>00:32:02.510000</t>
  </si>
  <si>
    <t>00:31:56.510000</t>
  </si>
  <si>
    <t>00:32:03.510000</t>
  </si>
  <si>
    <t>RUCKS GANADOS OUR 038</t>
  </si>
  <si>
    <t>00:32:12.531000</t>
  </si>
  <si>
    <t>00:32:06.531000</t>
  </si>
  <si>
    <t>00:32:13.531000</t>
  </si>
  <si>
    <t>RUCKS GANADOS OUR 039</t>
  </si>
  <si>
    <t>00:32:21.341000</t>
  </si>
  <si>
    <t>00:32:15.341000</t>
  </si>
  <si>
    <t>00:32:22.341000</t>
  </si>
  <si>
    <t>RUCKS GANADOS OUR 040</t>
  </si>
  <si>
    <t>RUCKS GANADOS OUR 041</t>
  </si>
  <si>
    <t>RUCKS GANADOS OUR 042</t>
  </si>
  <si>
    <t>RUCKS GANADOS OUR 043</t>
  </si>
  <si>
    <t>00:32:27.245000</t>
  </si>
  <si>
    <t>00:32:21.245000</t>
  </si>
  <si>
    <t>00:32:28.245000</t>
  </si>
  <si>
    <t>RUCKS GANADOS OUR 044</t>
  </si>
  <si>
    <t>00:32:30.125000</t>
  </si>
  <si>
    <t>00:32:24.125000</t>
  </si>
  <si>
    <t>00:32:31.125000</t>
  </si>
  <si>
    <t>RUCKS GANADOS OUR 045</t>
  </si>
  <si>
    <t>00:33:24.582000</t>
  </si>
  <si>
    <t>00:33:18.582000</t>
  </si>
  <si>
    <t>00:33:25.582000</t>
  </si>
  <si>
    <t>RUCKS GANADOS OUR 046</t>
  </si>
  <si>
    <t>00:33:32.474000</t>
  </si>
  <si>
    <t>00:33:26.474000</t>
  </si>
  <si>
    <t>00:33:33.474000</t>
  </si>
  <si>
    <t>RUCKS GANADOS OUR 047</t>
  </si>
  <si>
    <t>00:33:38.415000</t>
  </si>
  <si>
    <t>00:33:32.415000</t>
  </si>
  <si>
    <t>00:33:39.415000</t>
  </si>
  <si>
    <t>RUCKS GANADOS OUR 048</t>
  </si>
  <si>
    <t>00:35:14.780000</t>
  </si>
  <si>
    <t>00:35:08.780000</t>
  </si>
  <si>
    <t>00:35:15.780000</t>
  </si>
  <si>
    <t>RUCKS GANADOS OUR 049</t>
  </si>
  <si>
    <t>00:35:28.665000</t>
  </si>
  <si>
    <t>00:35:22.665000</t>
  </si>
  <si>
    <t>00:35:29.665000</t>
  </si>
  <si>
    <t>RUCKS GANADOS OUR 050</t>
  </si>
  <si>
    <t>00:45:28.498000</t>
  </si>
  <si>
    <t>00:45:22.498000</t>
  </si>
  <si>
    <t>00:45:29.498000</t>
  </si>
  <si>
    <t>RUCKS GANADOS OUR 051</t>
  </si>
  <si>
    <t>00:45:35.660000</t>
  </si>
  <si>
    <t>00:45:29.660000</t>
  </si>
  <si>
    <t>00:45:36.660000</t>
  </si>
  <si>
    <t>RUCKS GANADOS OUR 052</t>
  </si>
  <si>
    <t>00:45:43.992000</t>
  </si>
  <si>
    <t>00:45:37.992000</t>
  </si>
  <si>
    <t>00:45:44.992000</t>
  </si>
  <si>
    <t>RUCKS GANADOS OUR 053</t>
  </si>
  <si>
    <t>00:45:49.751000</t>
  </si>
  <si>
    <t>00:45:43.751000</t>
  </si>
  <si>
    <t>00:45:50.751000</t>
  </si>
  <si>
    <t>RUCKS GANADOS OUR 054</t>
  </si>
  <si>
    <t>00:45:55.641000</t>
  </si>
  <si>
    <t>00:45:49.641000</t>
  </si>
  <si>
    <t>00:45:56.641000</t>
  </si>
  <si>
    <t>RUCKS GANADOS OUR 055</t>
  </si>
  <si>
    <t>00:48:06.608000</t>
  </si>
  <si>
    <t>00:48:00.608000</t>
  </si>
  <si>
    <t>00:48:07.608000</t>
  </si>
  <si>
    <t>RUCKS GANADOS OUR 056</t>
  </si>
  <si>
    <t>00:48:16.091000</t>
  </si>
  <si>
    <t>00:48:10.091000</t>
  </si>
  <si>
    <t>00:48:17.091000</t>
  </si>
  <si>
    <t>RUCKS GANADOS OUR 057</t>
  </si>
  <si>
    <t>01:07:35.851000</t>
  </si>
  <si>
    <t>01:07:29.851000</t>
  </si>
  <si>
    <t>01:07:36.851000</t>
  </si>
  <si>
    <t>RUCKS GANADOS OUR 058</t>
  </si>
  <si>
    <t>01:08:56.921000</t>
  </si>
  <si>
    <t>01:08:50.921000</t>
  </si>
  <si>
    <t>01:08:57.921000</t>
  </si>
  <si>
    <t>RUCKS GANADOS OUR 059</t>
  </si>
  <si>
    <t>01:09:06.508000</t>
  </si>
  <si>
    <t>01:09:00.508000</t>
  </si>
  <si>
    <t>01:09:07.508000</t>
  </si>
  <si>
    <t>RUCKS GANADOS OUR 060</t>
  </si>
  <si>
    <t>01:09:16.249000</t>
  </si>
  <si>
    <t>01:09:10.249000</t>
  </si>
  <si>
    <t>01:09:17.249000</t>
  </si>
  <si>
    <t>RUCKS GANADOS OUR 061</t>
  </si>
  <si>
    <t>01:09:28.227000</t>
  </si>
  <si>
    <t>01:09:22.227000</t>
  </si>
  <si>
    <t>01:09:29.227000</t>
  </si>
  <si>
    <t>RUCKS GANADOS OUR 062</t>
  </si>
  <si>
    <t>01:09:34.346000</t>
  </si>
  <si>
    <t>01:09:28.346000</t>
  </si>
  <si>
    <t>01:09:35.346000</t>
  </si>
  <si>
    <t>RUCKS GANADOS OUR 063</t>
  </si>
  <si>
    <t>01:09:41.064000</t>
  </si>
  <si>
    <t>01:09:35.064000</t>
  </si>
  <si>
    <t>01:09:42.064000</t>
  </si>
  <si>
    <t>RUCKS GANADOS OUR 064</t>
  </si>
  <si>
    <t>01:09:54.030000</t>
  </si>
  <si>
    <t>01:09:48.030000</t>
  </si>
  <si>
    <t>01:09:55.030000</t>
  </si>
  <si>
    <t>RUCKS GANADOS OUR 065</t>
  </si>
  <si>
    <t>01:09:58.963000</t>
  </si>
  <si>
    <t>01:09:52.963000</t>
  </si>
  <si>
    <t>01:09:59.963000</t>
  </si>
  <si>
    <t>RUCKS GANADOS OUR 066</t>
  </si>
  <si>
    <t>01:10:08.441000</t>
  </si>
  <si>
    <t>01:10:02.441000</t>
  </si>
  <si>
    <t>01:10:09.441000</t>
  </si>
  <si>
    <t>RUCKS GANADOS OUR 067</t>
  </si>
  <si>
    <t>01:15:30.133000</t>
  </si>
  <si>
    <t>01:15:24.133000</t>
  </si>
  <si>
    <t>01:15:31.133000</t>
  </si>
  <si>
    <t>RUCKS GANADOS OUR 068</t>
  </si>
  <si>
    <t>01:15:36.492000</t>
  </si>
  <si>
    <t>01:15:30.492000</t>
  </si>
  <si>
    <t>01:15:37.492000</t>
  </si>
  <si>
    <t>RUCKS GANADOS OUR 069</t>
  </si>
  <si>
    <t>01:15:53.290000</t>
  </si>
  <si>
    <t>01:15:47.290000</t>
  </si>
  <si>
    <t>01:15:54.290000</t>
  </si>
  <si>
    <t>RUCKS GANADOS OUR 070</t>
  </si>
  <si>
    <t>01:15:58.662000</t>
  </si>
  <si>
    <t>01:15:52.662000</t>
  </si>
  <si>
    <t>01:15:59.662000</t>
  </si>
  <si>
    <t>RUCKS GANADOS OUR 071</t>
  </si>
  <si>
    <t>01:16:08.493000</t>
  </si>
  <si>
    <t>01:16:02.493000</t>
  </si>
  <si>
    <t>01:16:09.493000</t>
  </si>
  <si>
    <t>RUCKS GANADOS OUR 072</t>
  </si>
  <si>
    <t>01:16:17.136000</t>
  </si>
  <si>
    <t>01:16:11.136000</t>
  </si>
  <si>
    <t>01:16:18.136000</t>
  </si>
  <si>
    <t>RUCKS GANADOS OUR 073</t>
  </si>
  <si>
    <t>01:17:59.015000</t>
  </si>
  <si>
    <t>01:17:53.015000</t>
  </si>
  <si>
    <t>01:18:00.015000</t>
  </si>
  <si>
    <t>RUCKS GANADOS OUR 074</t>
  </si>
  <si>
    <t>01:18:04.401000</t>
  </si>
  <si>
    <t>01:17:58.401000</t>
  </si>
  <si>
    <t>01:18:05.401000</t>
  </si>
  <si>
    <t>RUCKS GANADOS OUR 075</t>
  </si>
  <si>
    <t>01:18:07.541000</t>
  </si>
  <si>
    <t>01:18:01.541000</t>
  </si>
  <si>
    <t>01:18:08.541000</t>
  </si>
  <si>
    <t>RUCKS GANADOS OUR 076</t>
  </si>
  <si>
    <t>01:19:20.664000</t>
  </si>
  <si>
    <t>01:19:14.664000</t>
  </si>
  <si>
    <t>01:19:21.664000</t>
  </si>
  <si>
    <t>RUCKS GANADOS OUR 077</t>
  </si>
  <si>
    <t>01:21:32.964000</t>
  </si>
  <si>
    <t>01:21:26.964000</t>
  </si>
  <si>
    <t>01:21:33.964000</t>
  </si>
  <si>
    <t>RUCKS GANADOS OUR 078</t>
  </si>
  <si>
    <t>01:21:44.768000</t>
  </si>
  <si>
    <t>01:21:38.768000</t>
  </si>
  <si>
    <t>01:21:45.768000</t>
  </si>
  <si>
    <t>RUCKS GANADOS OUR 079</t>
  </si>
  <si>
    <t>01:23:14.261000</t>
  </si>
  <si>
    <t>01:23:08.261000</t>
  </si>
  <si>
    <t>01:23:15.261000</t>
  </si>
  <si>
    <t>RUCKS GANADOS OUR 080</t>
  </si>
  <si>
    <t>01:23:36.465000</t>
  </si>
  <si>
    <t>01:23:30.465000</t>
  </si>
  <si>
    <t>01:23:37.465000</t>
  </si>
  <si>
    <t>RUCKS GANADOS OUR 081</t>
  </si>
  <si>
    <t>01:29:34.768000</t>
  </si>
  <si>
    <t>01:29:28.768000</t>
  </si>
  <si>
    <t>01:29:35.768000</t>
  </si>
  <si>
    <t>RUCKS GANADOS OUR 082</t>
  </si>
  <si>
    <t>01:29:42.490000</t>
  </si>
  <si>
    <t>01:29:36.490000</t>
  </si>
  <si>
    <t>01:29:43.490000</t>
  </si>
  <si>
    <t>RUCKS GANADOS OUR 083</t>
  </si>
  <si>
    <t>01:29:53.527000</t>
  </si>
  <si>
    <t>01:29:47.527000</t>
  </si>
  <si>
    <t>01:29:54.527000</t>
  </si>
  <si>
    <t>RUCKS GANADOS OUR 084</t>
  </si>
  <si>
    <t>01:30:02.721000</t>
  </si>
  <si>
    <t>01:29:56.721000</t>
  </si>
  <si>
    <t>01:30:03.721000</t>
  </si>
  <si>
    <t>RUCKS GANADOS OUR 085</t>
  </si>
  <si>
    <t>01:32:46.295000</t>
  </si>
  <si>
    <t>01:32:40.295000</t>
  </si>
  <si>
    <t>01:32:47.295000</t>
  </si>
  <si>
    <t>RUCKS GANADOS OUR 086</t>
  </si>
  <si>
    <t>01:34:39.495000</t>
  </si>
  <si>
    <t>01:34:33.495000</t>
  </si>
  <si>
    <t>01:34:40.495000</t>
  </si>
  <si>
    <t>RUCKS GANADOS OUR 087</t>
  </si>
  <si>
    <t>01:34:47.832000</t>
  </si>
  <si>
    <t>01:34:41.832000</t>
  </si>
  <si>
    <t>01:34:48.832000</t>
  </si>
  <si>
    <t>RUCKS GANADOS OUR 088</t>
  </si>
  <si>
    <t>01:34:53.429000</t>
  </si>
  <si>
    <t>01:34:47.429000</t>
  </si>
  <si>
    <t>01:34:54.429000</t>
  </si>
  <si>
    <t>RUCKS GANADOS OUR 089</t>
  </si>
  <si>
    <t>01:37:32.445000</t>
  </si>
  <si>
    <t>01:37:26.445000</t>
  </si>
  <si>
    <t>01:37:33.445000</t>
  </si>
  <si>
    <t>RUCKS GANADOS OUR 090</t>
  </si>
  <si>
    <t>01:37:53.636000</t>
  </si>
  <si>
    <t>01:37:47.636000</t>
  </si>
  <si>
    <t>01:37:54.636000</t>
  </si>
  <si>
    <t>RUCKS GANADOS OUR 091</t>
  </si>
  <si>
    <t>01:38:54.619000</t>
  </si>
  <si>
    <t>01:38:48.619000</t>
  </si>
  <si>
    <t>01:38:55.619000</t>
  </si>
  <si>
    <t>RUCKS GANADOS OUR 092</t>
  </si>
  <si>
    <t>01:39:11.657000</t>
  </si>
  <si>
    <t>01:39:05.657000</t>
  </si>
  <si>
    <t>01:39:12.657000</t>
  </si>
  <si>
    <t>RUCKS GANADOS OUR 093</t>
  </si>
  <si>
    <t>01:39:22.130000</t>
  </si>
  <si>
    <t>01:39:16.130000</t>
  </si>
  <si>
    <t>01:39:23.130000</t>
  </si>
  <si>
    <t>RUCKS GANADOS OUR 094</t>
  </si>
  <si>
    <t>01:39:31.438000</t>
  </si>
  <si>
    <t>01:39:25.438000</t>
  </si>
  <si>
    <t>01:39:32.438000</t>
  </si>
  <si>
    <t>RUCKS GANADOS OUR 095</t>
  </si>
  <si>
    <t>01:41:59.593000</t>
  </si>
  <si>
    <t>01:41:53.593000</t>
  </si>
  <si>
    <t>01:42:00.593000</t>
  </si>
  <si>
    <t>RUCKS GANADOS OUR 096</t>
  </si>
  <si>
    <t>01:42:09.379000</t>
  </si>
  <si>
    <t>01:42:03.379000</t>
  </si>
  <si>
    <t>01:42:10.379000</t>
  </si>
  <si>
    <t>RUCKS GANADOS OUR 097</t>
  </si>
  <si>
    <t>01:42:12.445000</t>
  </si>
  <si>
    <t>01:42:06.445000</t>
  </si>
  <si>
    <t>01:42:13.445000</t>
  </si>
  <si>
    <t>RUCKS GANADOS OUR 098</t>
  </si>
  <si>
    <t>01:42:16.196000</t>
  </si>
  <si>
    <t>01:42:10.196000</t>
  </si>
  <si>
    <t>01:42:17.196000</t>
  </si>
  <si>
    <t>RUCKS GANADOS OUR 099</t>
  </si>
  <si>
    <t>01:43:58.626000</t>
  </si>
  <si>
    <t>01:43:52.626000</t>
  </si>
  <si>
    <t>01:43:59.626000</t>
  </si>
  <si>
    <t>RUCKS GANADOS OUR 100</t>
  </si>
  <si>
    <t>01:44:03.492000</t>
  </si>
  <si>
    <t>01:43:57.492000</t>
  </si>
  <si>
    <t>01:44:04.492000</t>
  </si>
  <si>
    <t>RUCKS GANADOS OUR 101</t>
  </si>
  <si>
    <t>01:44:11.737000</t>
  </si>
  <si>
    <t>01:44:05.737000</t>
  </si>
  <si>
    <t>01:44:12.737000</t>
  </si>
  <si>
    <t>RUCKS GANADOS OUR 102</t>
  </si>
  <si>
    <t>01:44:20.269000</t>
  </si>
  <si>
    <t>01:44:14.269000</t>
  </si>
  <si>
    <t>01:44:21.269000</t>
  </si>
  <si>
    <t>RUCKS GANADOS OUR 103</t>
  </si>
  <si>
    <t>01:44:32.462000</t>
  </si>
  <si>
    <t>01:44:26.462000</t>
  </si>
  <si>
    <t>01:44:33.462000</t>
  </si>
  <si>
    <t>RUCKS GANADOS OUR 104</t>
  </si>
  <si>
    <t>01:44:41.002000</t>
  </si>
  <si>
    <t>01:44:35.002000</t>
  </si>
  <si>
    <t>01:44:42.002000</t>
  </si>
  <si>
    <t>RUCKS GANADOS OUR 105</t>
  </si>
  <si>
    <t>01:44:48.061000</t>
  </si>
  <si>
    <t>01:44:42.061000</t>
  </si>
  <si>
    <t>01:44:49.061000</t>
  </si>
  <si>
    <t>RUCKS GANADOS OUR 106</t>
  </si>
  <si>
    <t>01:46:52.889000</t>
  </si>
  <si>
    <t>01:46:46.889000</t>
  </si>
  <si>
    <t>01:46:53.889000</t>
  </si>
  <si>
    <t>RUCKS GANADOS OUR 107</t>
  </si>
  <si>
    <t>01:51:39.005000</t>
  </si>
  <si>
    <t>01:51:33.005000</t>
  </si>
  <si>
    <t>01:51:40.005000</t>
  </si>
  <si>
    <t>RUCKS GANADOS OUR 108</t>
  </si>
  <si>
    <t>01:51:48.086000</t>
  </si>
  <si>
    <t>01:51:42.086000</t>
  </si>
  <si>
    <t>01:51:49.086000</t>
  </si>
  <si>
    <t>RUCKS GANADOS OUR 109</t>
  </si>
  <si>
    <t>01:54:52.837000</t>
  </si>
  <si>
    <t>01:54:46.837000</t>
  </si>
  <si>
    <t>01:54:53.837000</t>
  </si>
  <si>
    <t>RUCKS GANADOS OUR 110</t>
  </si>
  <si>
    <t>01:55:57.306000</t>
  </si>
  <si>
    <t>01:55:51.306000</t>
  </si>
  <si>
    <t>01:55:58.306000</t>
  </si>
  <si>
    <t>RUCKS GANADOS OPP 001</t>
  </si>
  <si>
    <t>00:08:19.355000</t>
  </si>
  <si>
    <t>00:08:13.355000</t>
  </si>
  <si>
    <t>00:08:20.355000</t>
  </si>
  <si>
    <t>RUCKS GANADOS OPP 002</t>
  </si>
  <si>
    <t>00:08:31.576000</t>
  </si>
  <si>
    <t>00:08:25.576000</t>
  </si>
  <si>
    <t>00:08:32.576000</t>
  </si>
  <si>
    <t>RUCKS GANADOS OPP 003</t>
  </si>
  <si>
    <t>00:10:25.533000</t>
  </si>
  <si>
    <t>00:10:19.533000</t>
  </si>
  <si>
    <t>00:10:26.533000</t>
  </si>
  <si>
    <t>RUCKS GANADOS OPP 004</t>
  </si>
  <si>
    <t>00:10:37.676000</t>
  </si>
  <si>
    <t>00:10:31.676000</t>
  </si>
  <si>
    <t>00:10:38.676000</t>
  </si>
  <si>
    <t>RUCKS GANADOS OPP 005</t>
  </si>
  <si>
    <t>00:11:43.368000</t>
  </si>
  <si>
    <t>00:11:37.368000</t>
  </si>
  <si>
    <t>00:11:44.368000</t>
  </si>
  <si>
    <t>RUCKS GANADOS OPP 006</t>
  </si>
  <si>
    <t>00:11:50.416000</t>
  </si>
  <si>
    <t>00:11:44.416000</t>
  </si>
  <si>
    <t>00:11:51.416000</t>
  </si>
  <si>
    <t>RUCKS GANADOS OPP 007</t>
  </si>
  <si>
    <t>00:11:54.412000</t>
  </si>
  <si>
    <t>00:11:48.412000</t>
  </si>
  <si>
    <t>00:11:55.412000</t>
  </si>
  <si>
    <t>RUCKS GANADOS OPP 008</t>
  </si>
  <si>
    <t>00:12:02.426000</t>
  </si>
  <si>
    <t>00:11:56.426000</t>
  </si>
  <si>
    <t>00:12:03.426000</t>
  </si>
  <si>
    <t>RUCKS GANADOS OPP 009</t>
  </si>
  <si>
    <t>00:12:09.502000</t>
  </si>
  <si>
    <t>00:12:03.502000</t>
  </si>
  <si>
    <t>00:12:10.502000</t>
  </si>
  <si>
    <t>RUCKS GANADOS OPP 010</t>
  </si>
  <si>
    <t>00:12:15.028000</t>
  </si>
  <si>
    <t>00:12:09.028000</t>
  </si>
  <si>
    <t>00:12:16.028000</t>
  </si>
  <si>
    <t>RUCKS GANADOS OPP 011</t>
  </si>
  <si>
    <t>00:13:12.870000</t>
  </si>
  <si>
    <t>00:13:06.870000</t>
  </si>
  <si>
    <t>00:13:13.870000</t>
  </si>
  <si>
    <t>RUCKS GANADOS OPP 012</t>
  </si>
  <si>
    <t>00:13:19.721000</t>
  </si>
  <si>
    <t>00:13:13.721000</t>
  </si>
  <si>
    <t>00:13:20.721000</t>
  </si>
  <si>
    <t>RUCKS GANADOS OPP 013</t>
  </si>
  <si>
    <t>00:13:31.468000</t>
  </si>
  <si>
    <t>00:13:25.468000</t>
  </si>
  <si>
    <t>00:13:32.468000</t>
  </si>
  <si>
    <t>RUCKS GANADOS OPP 014</t>
  </si>
  <si>
    <t>00:13:35.188000</t>
  </si>
  <si>
    <t>00:13:29.188000</t>
  </si>
  <si>
    <t>00:13:36.188000</t>
  </si>
  <si>
    <t>RUCKS GANADOS OPP 015</t>
  </si>
  <si>
    <t>00:13:42.263000</t>
  </si>
  <si>
    <t>00:13:36.263000</t>
  </si>
  <si>
    <t>00:13:43.263000</t>
  </si>
  <si>
    <t>RUCKS GANADOS OPP 016</t>
  </si>
  <si>
    <t>00:13:50.658000</t>
  </si>
  <si>
    <t>00:13:44.658000</t>
  </si>
  <si>
    <t>00:13:51.658000</t>
  </si>
  <si>
    <t>RUCKS GANADOS OPP 017</t>
  </si>
  <si>
    <t>00:13:57.138000</t>
  </si>
  <si>
    <t>00:13:51.138000</t>
  </si>
  <si>
    <t>00:13:58.138000</t>
  </si>
  <si>
    <t>RUCKS GANADOS OPP 018</t>
  </si>
  <si>
    <t>00:14:09.151000</t>
  </si>
  <si>
    <t>00:14:03.151000</t>
  </si>
  <si>
    <t>00:14:10.151000</t>
  </si>
  <si>
    <t>RUCKS GANADOS OPP 019</t>
  </si>
  <si>
    <t>00:23:03.178000</t>
  </si>
  <si>
    <t>00:22:57.178000</t>
  </si>
  <si>
    <t>00:23:04.178000</t>
  </si>
  <si>
    <t>RUCKS GANADOS OPP 020</t>
  </si>
  <si>
    <t>00:25:08.174000</t>
  </si>
  <si>
    <t>00:25:02.174000</t>
  </si>
  <si>
    <t>RUCKS GANADOS OPP 021</t>
  </si>
  <si>
    <t>00:28:39.853000</t>
  </si>
  <si>
    <t>00:28:33.853000</t>
  </si>
  <si>
    <t>00:28:40.853000</t>
  </si>
  <si>
    <t>RUCKS GANADOS OPP 022</t>
  </si>
  <si>
    <t>00:28:47.945000</t>
  </si>
  <si>
    <t>00:28:41.945000</t>
  </si>
  <si>
    <t>00:28:48.945000</t>
  </si>
  <si>
    <t>RUCKS GANADOS OPP 023</t>
  </si>
  <si>
    <t>00:28:58.483000</t>
  </si>
  <si>
    <t>00:28:52.483000</t>
  </si>
  <si>
    <t>00:28:59.483000</t>
  </si>
  <si>
    <t>RUCKS GANADOS OPP 024</t>
  </si>
  <si>
    <t>00:29:07.497000</t>
  </si>
  <si>
    <t>00:29:01.497000</t>
  </si>
  <si>
    <t>00:29:08.497000</t>
  </si>
  <si>
    <t>RUCKS GANADOS OPP 025</t>
  </si>
  <si>
    <t>00:35:56.076000</t>
  </si>
  <si>
    <t>00:35:50.076000</t>
  </si>
  <si>
    <t>00:35:57.076000</t>
  </si>
  <si>
    <t>RUCKS GANADOS OPP 026</t>
  </si>
  <si>
    <t>00:37:10.161000</t>
  </si>
  <si>
    <t>00:37:04.161000</t>
  </si>
  <si>
    <t>00:37:11.161000</t>
  </si>
  <si>
    <t>RUCKS GANADOS OPP 027</t>
  </si>
  <si>
    <t>00:37:18.970000</t>
  </si>
  <si>
    <t>00:37:12.970000</t>
  </si>
  <si>
    <t>00:37:19.970000</t>
  </si>
  <si>
    <t>RUCKS GANADOS OPP 028</t>
  </si>
  <si>
    <t>00:37:28.607000</t>
  </si>
  <si>
    <t>00:37:22.607000</t>
  </si>
  <si>
    <t>00:37:29.607000</t>
  </si>
  <si>
    <t>RUCKS GANADOS OPP 029</t>
  </si>
  <si>
    <t>00:37:37.831000</t>
  </si>
  <si>
    <t>00:37:31.831000</t>
  </si>
  <si>
    <t>00:37:38.831000</t>
  </si>
  <si>
    <t>RUCKS GANADOS OPP 030</t>
  </si>
  <si>
    <t>00:37:45.087000</t>
  </si>
  <si>
    <t>00:37:39.087000</t>
  </si>
  <si>
    <t>00:37:46.087000</t>
  </si>
  <si>
    <t>RUCKS GANADOS OPP 031</t>
  </si>
  <si>
    <t>00:37:50.841000</t>
  </si>
  <si>
    <t>00:37:44.841000</t>
  </si>
  <si>
    <t>00:37:51.841000</t>
  </si>
  <si>
    <t>RUCKS GANADOS OPP 032</t>
  </si>
  <si>
    <t>00:37:57.404000</t>
  </si>
  <si>
    <t>00:37:51.404000</t>
  </si>
  <si>
    <t>00:37:58.404000</t>
  </si>
  <si>
    <t>RUCKS GANADOS OPP 033</t>
  </si>
  <si>
    <t>00:38:05.682000</t>
  </si>
  <si>
    <t>00:37:59.682000</t>
  </si>
  <si>
    <t>00:38:06.682000</t>
  </si>
  <si>
    <t>RUCKS GANADOS OPP 034</t>
  </si>
  <si>
    <t>00:39:19.432000</t>
  </si>
  <si>
    <t>00:39:13.432000</t>
  </si>
  <si>
    <t>00:39:20.432000</t>
  </si>
  <si>
    <t>RUCKS GANADOS OPP 035</t>
  </si>
  <si>
    <t>00:39:28.652000</t>
  </si>
  <si>
    <t>00:39:22.652000</t>
  </si>
  <si>
    <t>00:39:29.652000</t>
  </si>
  <si>
    <t>RUCKS GANADOS OPP 036</t>
  </si>
  <si>
    <t>00:39:39.778000</t>
  </si>
  <si>
    <t>00:39:33.778000</t>
  </si>
  <si>
    <t>00:39:40.778000</t>
  </si>
  <si>
    <t>RUCKS GANADOS OPP 037</t>
  </si>
  <si>
    <t>00:39:46.077000</t>
  </si>
  <si>
    <t>00:39:40.077000</t>
  </si>
  <si>
    <t>00:39:47.077000</t>
  </si>
  <si>
    <t>RUCKS GANADOS OPP 038</t>
  </si>
  <si>
    <t>00:39:51.487000</t>
  </si>
  <si>
    <t>00:39:45.487000</t>
  </si>
  <si>
    <t>00:39:52.487000</t>
  </si>
  <si>
    <t>RUCKS GANADOS OPP 039</t>
  </si>
  <si>
    <t>00:40:04.208000</t>
  </si>
  <si>
    <t>00:39:58.208000</t>
  </si>
  <si>
    <t>00:40:05.208000</t>
  </si>
  <si>
    <t>RUCKS GANADOS OPP 040</t>
  </si>
  <si>
    <t>00:40:08.586000</t>
  </si>
  <si>
    <t>00:40:02.586000</t>
  </si>
  <si>
    <t>00:40:09.586000</t>
  </si>
  <si>
    <t>RUCKS GANADOS OPP 041</t>
  </si>
  <si>
    <t>00:42:50.219000</t>
  </si>
  <si>
    <t>00:42:44.219000</t>
  </si>
  <si>
    <t>00:42:51.219000</t>
  </si>
  <si>
    <t>RUCKS GANADOS OPP 042</t>
  </si>
  <si>
    <t>00:42:56.734000</t>
  </si>
  <si>
    <t>00:42:50.734000</t>
  </si>
  <si>
    <t>00:42:57.734000</t>
  </si>
  <si>
    <t>RUCKS GANADOS OPP 043</t>
  </si>
  <si>
    <t>00:43:03.512000</t>
  </si>
  <si>
    <t>00:42:57.512000</t>
  </si>
  <si>
    <t>00:43:04.512000</t>
  </si>
  <si>
    <t>RUCKS GANADOS OPP 044</t>
  </si>
  <si>
    <t>00:43:12.463000</t>
  </si>
  <si>
    <t>00:43:06.463000</t>
  </si>
  <si>
    <t>00:43:13.463000</t>
  </si>
  <si>
    <t>RUCKS GANADOS OPP 045</t>
  </si>
  <si>
    <t>00:48:32.166000</t>
  </si>
  <si>
    <t>00:48:26.166000</t>
  </si>
  <si>
    <t>00:48:33.166000</t>
  </si>
  <si>
    <t>RUCKS GANADOS OPP 046</t>
  </si>
  <si>
    <t>00:49:52.667000</t>
  </si>
  <si>
    <t>00:49:46.667000</t>
  </si>
  <si>
    <t>00:49:53.667000</t>
  </si>
  <si>
    <t>RUCKS GANADOS OPP 047</t>
  </si>
  <si>
    <t>00:52:32.120000</t>
  </si>
  <si>
    <t>00:52:26.120000</t>
  </si>
  <si>
    <t>00:52:33.120000</t>
  </si>
  <si>
    <t>RUCKS GANADOS OPP 048</t>
  </si>
  <si>
    <t>00:52:41.694000</t>
  </si>
  <si>
    <t>00:52:35.694000</t>
  </si>
  <si>
    <t>00:52:42.694000</t>
  </si>
  <si>
    <t>RUCKS GANADOS OPP 049</t>
  </si>
  <si>
    <t>00:52:46.204000</t>
  </si>
  <si>
    <t>00:52:40.204000</t>
  </si>
  <si>
    <t>00:52:47.204000</t>
  </si>
  <si>
    <t>RUCKS GANADOS OPP 050</t>
  </si>
  <si>
    <t>00:52:53.336000</t>
  </si>
  <si>
    <t>00:52:47.336000</t>
  </si>
  <si>
    <t>00:52:54.336000</t>
  </si>
  <si>
    <t>RUCKS GANADOS OPP 051</t>
  </si>
  <si>
    <t>01:19:30.251000</t>
  </si>
  <si>
    <t>01:19:24.251000</t>
  </si>
  <si>
    <t>01:19:31.251000</t>
  </si>
  <si>
    <t>RUCKS GANADOS OPP 052</t>
  </si>
  <si>
    <t>01:22:47.545000</t>
  </si>
  <si>
    <t>01:22:41.545000</t>
  </si>
  <si>
    <t>01:22:48.545000</t>
  </si>
  <si>
    <t>RUCKS GANADOS OPP 053</t>
  </si>
  <si>
    <t>01:22:52.386000</t>
  </si>
  <si>
    <t>01:22:46.386000</t>
  </si>
  <si>
    <t>01:22:53.386000</t>
  </si>
  <si>
    <t>RUCKS GANADOS OPP 054</t>
  </si>
  <si>
    <t>01:22:58.910000</t>
  </si>
  <si>
    <t>01:22:52.910000</t>
  </si>
  <si>
    <t>01:22:59.910000</t>
  </si>
  <si>
    <t>RUCKS GANADOS OPP 055</t>
  </si>
  <si>
    <t>01:24:56.857000</t>
  </si>
  <si>
    <t>01:24:50.857000</t>
  </si>
  <si>
    <t>01:24:57.857000</t>
  </si>
  <si>
    <t>RUCKS GANADOS OPP 056</t>
  </si>
  <si>
    <t>01:25:05.164000</t>
  </si>
  <si>
    <t>01:24:59.164000</t>
  </si>
  <si>
    <t>01:25:06.164000</t>
  </si>
  <si>
    <t>RUCKS GANADOS OPP 057</t>
  </si>
  <si>
    <t>01:25:08.432000</t>
  </si>
  <si>
    <t>01:25:02.432000</t>
  </si>
  <si>
    <t>01:25:09.432000</t>
  </si>
  <si>
    <t>RUCKS GANADOS OPP 058</t>
  </si>
  <si>
    <t>01:25:16.202000</t>
  </si>
  <si>
    <t>01:25:10.202000</t>
  </si>
  <si>
    <t>01:25:17.202000</t>
  </si>
  <si>
    <t>RUCKS GANADOS OPP 059</t>
  </si>
  <si>
    <t>01:25:24.277000</t>
  </si>
  <si>
    <t>01:25:18.277000</t>
  </si>
  <si>
    <t>01:25:25.277000</t>
  </si>
  <si>
    <t>RUCKS GANADOS OPP 060</t>
  </si>
  <si>
    <t>01:25:32.885000</t>
  </si>
  <si>
    <t>01:25:26.885000</t>
  </si>
  <si>
    <t>01:25:33.885000</t>
  </si>
  <si>
    <t>RUCKS GANADOS OPP 061</t>
  </si>
  <si>
    <t>01:25:37.535000</t>
  </si>
  <si>
    <t>01:25:31.535000</t>
  </si>
  <si>
    <t>01:25:38.535000</t>
  </si>
  <si>
    <t>RUCKS GANADOS OPP 062</t>
  </si>
  <si>
    <t>01:25:43.922000</t>
  </si>
  <si>
    <t>01:25:37.922000</t>
  </si>
  <si>
    <t>01:25:44.922000</t>
  </si>
  <si>
    <t>RUCKS GANADOS OPP 063</t>
  </si>
  <si>
    <t>01:25:52.410000</t>
  </si>
  <si>
    <t>01:25:46.410000</t>
  </si>
  <si>
    <t>01:25:53.410000</t>
  </si>
  <si>
    <t>RUCKS GANADOS OPP 064</t>
  </si>
  <si>
    <t>01:25:59.980000</t>
  </si>
  <si>
    <t>01:25:53.980000</t>
  </si>
  <si>
    <t>01:26:00.980000</t>
  </si>
  <si>
    <t>RUCKS GANADOS OPP 065</t>
  </si>
  <si>
    <t>01:29:14.065000</t>
  </si>
  <si>
    <t>01:29:08.065000</t>
  </si>
  <si>
    <t>01:29:15.065000</t>
  </si>
  <si>
    <t>RUCKS GANADOS OPP 066</t>
  </si>
  <si>
    <t>01:31:02.840000</t>
  </si>
  <si>
    <t>01:30:56.840000</t>
  </si>
  <si>
    <t>01:31:03.840000</t>
  </si>
  <si>
    <t>RUCKS GANADOS OPP 067</t>
  </si>
  <si>
    <t>01:31:09.218000</t>
  </si>
  <si>
    <t>01:31:03.218000</t>
  </si>
  <si>
    <t>01:31:10.218000</t>
  </si>
  <si>
    <t>RUCKS GANADOS OPP 068</t>
  </si>
  <si>
    <t>01:35:04.070000</t>
  </si>
  <si>
    <t>01:34:58.070000</t>
  </si>
  <si>
    <t>01:35:05.070000</t>
  </si>
  <si>
    <t>RUCKS GANADOS OPP 069</t>
  </si>
  <si>
    <t>01:35:09.638000</t>
  </si>
  <si>
    <t>01:35:03.638000</t>
  </si>
  <si>
    <t>01:35:10.638000</t>
  </si>
  <si>
    <t>RUCKS GANADOS OPP 070</t>
  </si>
  <si>
    <t>01:40:55.303000</t>
  </si>
  <si>
    <t>01:40:49.303000</t>
  </si>
  <si>
    <t>01:40:56.303000</t>
  </si>
  <si>
    <t>RUCKS GANADOS OPP 071</t>
  </si>
  <si>
    <t>01:41:03.370000</t>
  </si>
  <si>
    <t>01:40:57.370000</t>
  </si>
  <si>
    <t>01:41:04.370000</t>
  </si>
  <si>
    <t>RUCKS GANADOS OPP 072</t>
  </si>
  <si>
    <t>01:46:30.083000</t>
  </si>
  <si>
    <t>01:46:24.083000</t>
  </si>
  <si>
    <t>01:46:31.083000</t>
  </si>
  <si>
    <t>RUCKS GANADOS OPP 073</t>
  </si>
  <si>
    <t>01:46:38.752000</t>
  </si>
  <si>
    <t>01:46:32.752000</t>
  </si>
  <si>
    <t>01:46:39.752000</t>
  </si>
  <si>
    <t>RUCKS GANADOS OPP 074</t>
  </si>
  <si>
    <t>01:49:52.487000</t>
  </si>
  <si>
    <t>01:49:46.487000</t>
  </si>
  <si>
    <t>01:49:53.487000</t>
  </si>
  <si>
    <t>RUCKS GANADOS OPP 075</t>
  </si>
  <si>
    <t>01:50:00.116000</t>
  </si>
  <si>
    <t>01:49:54.116000</t>
  </si>
  <si>
    <t>01:50:01.116000</t>
  </si>
  <si>
    <t>RUCKS GANADOS OPP 076</t>
  </si>
  <si>
    <t>01:50:06.917000</t>
  </si>
  <si>
    <t>01:50:00.917000</t>
  </si>
  <si>
    <t>01:50:07.917000</t>
  </si>
  <si>
    <t>RUCKS GANADOS OPP 077</t>
  </si>
  <si>
    <t>01:50:12.116000</t>
  </si>
  <si>
    <t>01:50:06.116000</t>
  </si>
  <si>
    <t>01:50:13.116000</t>
  </si>
  <si>
    <t>RUCKS GANADOS OPP 078</t>
  </si>
  <si>
    <t>01:50:19.083000</t>
  </si>
  <si>
    <t>01:50:13.083000</t>
  </si>
  <si>
    <t>01:50:20.083000</t>
  </si>
  <si>
    <t>RUCKS GANADOS OPP 079</t>
  </si>
  <si>
    <t>01:50:26.354000</t>
  </si>
  <si>
    <t>01:50:20.354000</t>
  </si>
  <si>
    <t>01:50:27.354000</t>
  </si>
  <si>
    <t>RUCKS GANADOS OPP 080</t>
  </si>
  <si>
    <t>01:50:30.840000</t>
  </si>
  <si>
    <t>01:50:24.840000</t>
  </si>
  <si>
    <t>01:50:31.840000</t>
  </si>
  <si>
    <t>RUCKS GANADOS OPP 081</t>
  </si>
  <si>
    <t>01:50:35.568000</t>
  </si>
  <si>
    <t>01:50:29.568000</t>
  </si>
  <si>
    <t>01:50:36.568000</t>
  </si>
  <si>
    <t>RUCKS GANADOS OPP 082</t>
  </si>
  <si>
    <t>01:50:40.046000</t>
  </si>
  <si>
    <t>01:50:34.046000</t>
  </si>
  <si>
    <t>01:50:41.046000</t>
  </si>
  <si>
    <t>RUCKS GANADOS OPP 083</t>
  </si>
  <si>
    <t>01:52:02.179000</t>
  </si>
  <si>
    <t>01:51:56.179000</t>
  </si>
  <si>
    <t>01:52:03.179000</t>
  </si>
  <si>
    <t>RUCKS GANADOS OPP 084</t>
  </si>
  <si>
    <t>01:52:12.490000</t>
  </si>
  <si>
    <t>01:52:06.490000</t>
  </si>
  <si>
    <t>01:52:13.490000</t>
  </si>
  <si>
    <t>RUCKS GANADOS OPP 085</t>
  </si>
  <si>
    <t>01:52:18.637000</t>
  </si>
  <si>
    <t>01:52:12.637000</t>
  </si>
  <si>
    <t>01:52:19.637000</t>
  </si>
  <si>
    <t>RUCKS GANADOS OPP 086</t>
  </si>
  <si>
    <t>01:52:25.769000</t>
  </si>
  <si>
    <t>01:52:19.769000</t>
  </si>
  <si>
    <t>01:52:26.769000</t>
  </si>
  <si>
    <t>RUCKS GANADOS OPP 087</t>
  </si>
  <si>
    <t>01:52:31.207000</t>
  </si>
  <si>
    <t>01:52:25.207000</t>
  </si>
  <si>
    <t>01:52:32.207000</t>
  </si>
  <si>
    <t>RUCKS GANADOS OPP 088</t>
  </si>
  <si>
    <t>01:52:42.456000</t>
  </si>
  <si>
    <t>01:52:36.456000</t>
  </si>
  <si>
    <t>01:52:43.456000</t>
  </si>
  <si>
    <t>RUCKS GANADOS OPP 089</t>
  </si>
  <si>
    <t>01:52:49.077000</t>
  </si>
  <si>
    <t>01:52:43.077000</t>
  </si>
  <si>
    <t>01:52:50.077000</t>
  </si>
  <si>
    <t>RUCKS GANADOS OPP 090</t>
  </si>
  <si>
    <t>01:52:58.251000</t>
  </si>
  <si>
    <t>01:52:52.251000</t>
  </si>
  <si>
    <t>01:52:59.251000</t>
  </si>
  <si>
    <t>RUCKS GANADOS OPP 091</t>
  </si>
  <si>
    <t>01:55:19.842000</t>
  </si>
  <si>
    <t>01:55:13.842000</t>
  </si>
  <si>
    <t>01:55:20.842000</t>
  </si>
  <si>
    <t>RUCKS GANADOS OPP 092</t>
  </si>
  <si>
    <t>01:55:24.572000</t>
  </si>
  <si>
    <t>01:55:18.572000</t>
  </si>
  <si>
    <t>01:55:25.572000</t>
  </si>
  <si>
    <t>RUCKS GANADOS OPP 093</t>
  </si>
  <si>
    <t>01:55:29.375000</t>
  </si>
  <si>
    <t>01:55:23.375000</t>
  </si>
  <si>
    <t>01:55:30.375000</t>
  </si>
  <si>
    <t>00:06:32.827000</t>
  </si>
  <si>
    <t>00:06:26.827000</t>
  </si>
  <si>
    <t>00:06:33.827000</t>
  </si>
  <si>
    <t>00:09:18.616000</t>
  </si>
  <si>
    <t>00:09:12.616000</t>
  </si>
  <si>
    <t>00:09:19.616000</t>
  </si>
  <si>
    <t>00:11:12.663000</t>
  </si>
  <si>
    <t>00:11:06.663000</t>
  </si>
  <si>
    <t>00:11:13.663000</t>
  </si>
  <si>
    <t>00:11:54.952000</t>
  </si>
  <si>
    <t>00:11:48.952000</t>
  </si>
  <si>
    <t>00:11:55.952000</t>
  </si>
  <si>
    <t>00:12:56.968000</t>
  </si>
  <si>
    <t>00:12:50.968000</t>
  </si>
  <si>
    <t>00:12:57.968000</t>
  </si>
  <si>
    <t>00:13:07.871000</t>
  </si>
  <si>
    <t>00:13:01.871000</t>
  </si>
  <si>
    <t>00:13:08.871000</t>
  </si>
  <si>
    <t>00:13:16.453000</t>
  </si>
  <si>
    <t>00:13:10.453000</t>
  </si>
  <si>
    <t>00:13:17.453000</t>
  </si>
  <si>
    <t>00:15:10.146000</t>
  </si>
  <si>
    <t>00:15:04.146000</t>
  </si>
  <si>
    <t>00:15:11.146000</t>
  </si>
  <si>
    <t>00:15:21.154000</t>
  </si>
  <si>
    <t>00:15:15.154000</t>
  </si>
  <si>
    <t>00:15:22.154000</t>
  </si>
  <si>
    <t>00:17:23.541000</t>
  </si>
  <si>
    <t>00:17:17.541000</t>
  </si>
  <si>
    <t>00:17:24.541000</t>
  </si>
  <si>
    <t>00:17:38.586000</t>
  </si>
  <si>
    <t>00:17:32.586000</t>
  </si>
  <si>
    <t>00:17:39.586000</t>
  </si>
  <si>
    <t>00:17:48.382000</t>
  </si>
  <si>
    <t>00:17:42.382000</t>
  </si>
  <si>
    <t>00:17:49.382000</t>
  </si>
  <si>
    <t>00:20:58.996000</t>
  </si>
  <si>
    <t>00:20:52.996000</t>
  </si>
  <si>
    <t>00:20:59.996000</t>
  </si>
  <si>
    <t>00:21:11.995000</t>
  </si>
  <si>
    <t>00:21:05.995000</t>
  </si>
  <si>
    <t>00:21:12.995000</t>
  </si>
  <si>
    <t>00:21:20.799000</t>
  </si>
  <si>
    <t>00:21:14.799000</t>
  </si>
  <si>
    <t>00:21:21.799000</t>
  </si>
  <si>
    <t>00:21:25.947000</t>
  </si>
  <si>
    <t>00:21:19.947000</t>
  </si>
  <si>
    <t>00:21:26.947000</t>
  </si>
  <si>
    <t>00:21:39.567000</t>
  </si>
  <si>
    <t>00:21:33.567000</t>
  </si>
  <si>
    <t>00:21:40.567000</t>
  </si>
  <si>
    <t>00:28:58.282000</t>
  </si>
  <si>
    <t>00:28:52.282000</t>
  </si>
  <si>
    <t>00:28:59.282000</t>
  </si>
  <si>
    <t>00:29:06.394000</t>
  </si>
  <si>
    <t>00:29:00.394000</t>
  </si>
  <si>
    <t>00:29:07.394000</t>
  </si>
  <si>
    <t>00:36:20.897000</t>
  </si>
  <si>
    <t>00:36:14.897000</t>
  </si>
  <si>
    <t>00:36:21.897000</t>
  </si>
  <si>
    <t>00:36:28.988000</t>
  </si>
  <si>
    <t>00:36:22.988000</t>
  </si>
  <si>
    <t>00:36:29.988000</t>
  </si>
  <si>
    <t>00:39:12.421000</t>
  </si>
  <si>
    <t>00:39:06.421000</t>
  </si>
  <si>
    <t>00:39:13.421000</t>
  </si>
  <si>
    <t>00:39:19.639000</t>
  </si>
  <si>
    <t>00:39:13.639000</t>
  </si>
  <si>
    <t>00:39:20.639000</t>
  </si>
  <si>
    <t>00:39:26.045000</t>
  </si>
  <si>
    <t>00:39:20.045000</t>
  </si>
  <si>
    <t>00:39:27.045000</t>
  </si>
  <si>
    <t>00:39:31.862000</t>
  </si>
  <si>
    <t>00:39:25.862000</t>
  </si>
  <si>
    <t>00:39:32.862000</t>
  </si>
  <si>
    <t>00:39:38.815000</t>
  </si>
  <si>
    <t>00:39:32.815000</t>
  </si>
  <si>
    <t>00:39:39.815000</t>
  </si>
  <si>
    <t>00:39:45.628000</t>
  </si>
  <si>
    <t>00:39:39.628000</t>
  </si>
  <si>
    <t>00:39:46.628000</t>
  </si>
  <si>
    <t>00:39:50.366000</t>
  </si>
  <si>
    <t>00:39:44.366000</t>
  </si>
  <si>
    <t>00:39:51.366000</t>
  </si>
  <si>
    <t>00:39:56.045000</t>
  </si>
  <si>
    <t>00:39:50.045000</t>
  </si>
  <si>
    <t>00:39:57.045000</t>
  </si>
  <si>
    <t>00:41:26.314000</t>
  </si>
  <si>
    <t>00:41:20.314000</t>
  </si>
  <si>
    <t>00:41:27.314000</t>
  </si>
  <si>
    <t>00:41:30.567000</t>
  </si>
  <si>
    <t>00:41:24.567000</t>
  </si>
  <si>
    <t>00:41:31.567000</t>
  </si>
  <si>
    <t>00:41:38.541000</t>
  </si>
  <si>
    <t>00:41:32.541000</t>
  </si>
  <si>
    <t>00:41:39.541000</t>
  </si>
  <si>
    <t>00:41:50.974000</t>
  </si>
  <si>
    <t>00:41:44.974000</t>
  </si>
  <si>
    <t>00:41:51.974000</t>
  </si>
  <si>
    <t>00:41:56.559000</t>
  </si>
  <si>
    <t>00:41:50.559000</t>
  </si>
  <si>
    <t>00:41:57.559000</t>
  </si>
  <si>
    <t>01:03:41.354000</t>
  </si>
  <si>
    <t>01:03:35.354000</t>
  </si>
  <si>
    <t>01:03:42.354000</t>
  </si>
  <si>
    <t>01:04:03.020000</t>
  </si>
  <si>
    <t>01:03:57.020000</t>
  </si>
  <si>
    <t>01:04:04.020000</t>
  </si>
  <si>
    <t>01:04:19.174000</t>
  </si>
  <si>
    <t>01:04:13.174000</t>
  </si>
  <si>
    <t>01:04:20.174000</t>
  </si>
  <si>
    <t>01:04:24.564000</t>
  </si>
  <si>
    <t>01:04:18.564000</t>
  </si>
  <si>
    <t>01:04:25.564000</t>
  </si>
  <si>
    <t>01:04:28.343000</t>
  </si>
  <si>
    <t>01:04:22.343000</t>
  </si>
  <si>
    <t>01:04:29.343000</t>
  </si>
  <si>
    <t>01:04:35.135000</t>
  </si>
  <si>
    <t>01:04:29.135000</t>
  </si>
  <si>
    <t>01:04:36.135000</t>
  </si>
  <si>
    <t>01:04:41.854000</t>
  </si>
  <si>
    <t>01:04:35.854000</t>
  </si>
  <si>
    <t>01:04:42.854000</t>
  </si>
  <si>
    <t>01:07:37.997000</t>
  </si>
  <si>
    <t>01:07:31.997000</t>
  </si>
  <si>
    <t>01:07:38.997000</t>
  </si>
  <si>
    <t>01:07:41.857000</t>
  </si>
  <si>
    <t>01:07:35.857000</t>
  </si>
  <si>
    <t>01:07:42.857000</t>
  </si>
  <si>
    <t>01:12:21.865000</t>
  </si>
  <si>
    <t>01:12:15.865000</t>
  </si>
  <si>
    <t>01:12:22.865000</t>
  </si>
  <si>
    <t>01:12:31.131000</t>
  </si>
  <si>
    <t>01:12:25.131000</t>
  </si>
  <si>
    <t>01:12:32.131000</t>
  </si>
  <si>
    <t>01:16:13.110000</t>
  </si>
  <si>
    <t>01:16:07.110000</t>
  </si>
  <si>
    <t>01:16:14.110000</t>
  </si>
  <si>
    <t>01:16:30.206000</t>
  </si>
  <si>
    <t>01:16:24.206000</t>
  </si>
  <si>
    <t>01:16:31.206000</t>
  </si>
  <si>
    <t>01:18:26.285000</t>
  </si>
  <si>
    <t>01:18:20.285000</t>
  </si>
  <si>
    <t>01:18:27.285000</t>
  </si>
  <si>
    <t>01:18:31.887000</t>
  </si>
  <si>
    <t>01:18:25.887000</t>
  </si>
  <si>
    <t>01:18:32.887000</t>
  </si>
  <si>
    <t>01:18:38.853000</t>
  </si>
  <si>
    <t>01:18:32.853000</t>
  </si>
  <si>
    <t>01:18:39.853000</t>
  </si>
  <si>
    <t>01:31:47.057000</t>
  </si>
  <si>
    <t>01:31:41.057000</t>
  </si>
  <si>
    <t>01:31:48.057000</t>
  </si>
  <si>
    <t>01:37:58.277000</t>
  </si>
  <si>
    <t>01:37:52.277000</t>
  </si>
  <si>
    <t>01:37:59.277000</t>
  </si>
  <si>
    <t>01:38:08.336000</t>
  </si>
  <si>
    <t>01:38:02.336000</t>
  </si>
  <si>
    <t>01:38:09.336000</t>
  </si>
  <si>
    <t>01:42:51.708000</t>
  </si>
  <si>
    <t>01:42:45.708000</t>
  </si>
  <si>
    <t>01:42:52.708000</t>
  </si>
  <si>
    <t>01:43:01.400000</t>
  </si>
  <si>
    <t>01:42:55.400000</t>
  </si>
  <si>
    <t>01:43:02.400000</t>
  </si>
  <si>
    <t>01:43:09.032000</t>
  </si>
  <si>
    <t>01:43:03.032000</t>
  </si>
  <si>
    <t>01:43:10.032000</t>
  </si>
  <si>
    <t>01:43:14.419000</t>
  </si>
  <si>
    <t>01:43:08.419000</t>
  </si>
  <si>
    <t>01:43:15.419000</t>
  </si>
  <si>
    <t>01:43:20.581000</t>
  </si>
  <si>
    <t>01:43:14.581000</t>
  </si>
  <si>
    <t>01:43:21.581000</t>
  </si>
  <si>
    <t>01:43:30.311000</t>
  </si>
  <si>
    <t>01:43:24.311000</t>
  </si>
  <si>
    <t>01:43:31.311000</t>
  </si>
  <si>
    <t>01:43:39.550000</t>
  </si>
  <si>
    <t>01:43:33.550000</t>
  </si>
  <si>
    <t>01:43:40.550000</t>
  </si>
  <si>
    <t>01:43:51.038000</t>
  </si>
  <si>
    <t>01:43:45.038000</t>
  </si>
  <si>
    <t>01:43:52.038000</t>
  </si>
  <si>
    <t>01:45:33.027000</t>
  </si>
  <si>
    <t>01:45:27.027000</t>
  </si>
  <si>
    <t>01:45:34.027000</t>
  </si>
  <si>
    <t>00:06:12.669000</t>
  </si>
  <si>
    <t>00:06:06.669000</t>
  </si>
  <si>
    <t>00:06:13.669000</t>
  </si>
  <si>
    <t>00:06:18.426000</t>
  </si>
  <si>
    <t>00:06:12.426000</t>
  </si>
  <si>
    <t>00:06:19.426000</t>
  </si>
  <si>
    <t>00:06:50.719000</t>
  </si>
  <si>
    <t>00:06:44.719000</t>
  </si>
  <si>
    <t>00:06:51.719000</t>
  </si>
  <si>
    <t>00:06:58.593000</t>
  </si>
  <si>
    <t>00:06:52.593000</t>
  </si>
  <si>
    <t>00:06:59.593000</t>
  </si>
  <si>
    <t>00:07:11.305000</t>
  </si>
  <si>
    <t>00:07:05.305000</t>
  </si>
  <si>
    <t>00:07:12.305000</t>
  </si>
  <si>
    <t>00:07:23.719000</t>
  </si>
  <si>
    <t>00:07:17.719000</t>
  </si>
  <si>
    <t>00:07:24.719000</t>
  </si>
  <si>
    <t>00:08:37.946000</t>
  </si>
  <si>
    <t>00:08:31.946000</t>
  </si>
  <si>
    <t>00:08:38.946000</t>
  </si>
  <si>
    <t>00:08:46.799000</t>
  </si>
  <si>
    <t>00:08:40.799000</t>
  </si>
  <si>
    <t>00:08:47.799000</t>
  </si>
  <si>
    <t>00:08:53.754000</t>
  </si>
  <si>
    <t>00:08:47.754000</t>
  </si>
  <si>
    <t>00:08:54.754000</t>
  </si>
  <si>
    <t>00:09:01.031000</t>
  </si>
  <si>
    <t>00:08:55.031000</t>
  </si>
  <si>
    <t>00:09:02.031000</t>
  </si>
  <si>
    <t>00:09:05.009000</t>
  </si>
  <si>
    <t>00:08:59.009000</t>
  </si>
  <si>
    <t>00:09:06.009000</t>
  </si>
  <si>
    <t>00:09:12.106000</t>
  </si>
  <si>
    <t>00:09:06.106000</t>
  </si>
  <si>
    <t>00:09:13.106000</t>
  </si>
  <si>
    <t>00:11:29.115000</t>
  </si>
  <si>
    <t>00:11:23.115000</t>
  </si>
  <si>
    <t>00:11:30.115000</t>
  </si>
  <si>
    <t>00:11:40.532000</t>
  </si>
  <si>
    <t>00:11:34.532000</t>
  </si>
  <si>
    <t>00:11:41.532000</t>
  </si>
  <si>
    <t>00:15:36.246000</t>
  </si>
  <si>
    <t>00:15:30.246000</t>
  </si>
  <si>
    <t>00:15:37.246000</t>
  </si>
  <si>
    <t>00:21:55.080000</t>
  </si>
  <si>
    <t>00:21:49.080000</t>
  </si>
  <si>
    <t>00:21:56.080000</t>
  </si>
  <si>
    <t>00:22:02.598000</t>
  </si>
  <si>
    <t>00:21:56.598000</t>
  </si>
  <si>
    <t>00:22:03.598000</t>
  </si>
  <si>
    <t>00:23:58.417000</t>
  </si>
  <si>
    <t>00:23:52.417000</t>
  </si>
  <si>
    <t>00:23:59.417000</t>
  </si>
  <si>
    <t>00:24:09.618000</t>
  </si>
  <si>
    <t>00:24:03.618000</t>
  </si>
  <si>
    <t>00:24:10.618000</t>
  </si>
  <si>
    <t>00:24:18.990000</t>
  </si>
  <si>
    <t>00:24:12.990000</t>
  </si>
  <si>
    <t>00:24:19.990000</t>
  </si>
  <si>
    <t>00:24:27.133000</t>
  </si>
  <si>
    <t>00:24:21.133000</t>
  </si>
  <si>
    <t>00:24:28.133000</t>
  </si>
  <si>
    <t>00:24:32.942000</t>
  </si>
  <si>
    <t>00:24:26.942000</t>
  </si>
  <si>
    <t>00:24:33.942000</t>
  </si>
  <si>
    <t>00:24:43.443000</t>
  </si>
  <si>
    <t>00:24:37.443000</t>
  </si>
  <si>
    <t>00:24:44.443000</t>
  </si>
  <si>
    <t>00:26:54.170000</t>
  </si>
  <si>
    <t>00:26:48.170000</t>
  </si>
  <si>
    <t>00:26:55.170000</t>
  </si>
  <si>
    <t>00:27:02.710000</t>
  </si>
  <si>
    <t>00:26:56.710000</t>
  </si>
  <si>
    <t>00:27:03.710000</t>
  </si>
  <si>
    <t>00:27:12.781000</t>
  </si>
  <si>
    <t>00:27:06.781000</t>
  </si>
  <si>
    <t>00:27:13.781000</t>
  </si>
  <si>
    <t>00:27:18.032000</t>
  </si>
  <si>
    <t>00:27:12.032000</t>
  </si>
  <si>
    <t>00:27:19.032000</t>
  </si>
  <si>
    <t>00:28:46.035000</t>
  </si>
  <si>
    <t>00:28:40.035000</t>
  </si>
  <si>
    <t>00:28:47.035000</t>
  </si>
  <si>
    <t>00:28:53.666000</t>
  </si>
  <si>
    <t>00:28:47.666000</t>
  </si>
  <si>
    <t>00:28:54.666000</t>
  </si>
  <si>
    <t>00:33:14.182000</t>
  </si>
  <si>
    <t>00:33:08.182000</t>
  </si>
  <si>
    <t>00:33:15.182000</t>
  </si>
  <si>
    <t>00:51:41.752000</t>
  </si>
  <si>
    <t>00:51:35.752000</t>
  </si>
  <si>
    <t>00:51:42.752000</t>
  </si>
  <si>
    <t>00:51:51.466000</t>
  </si>
  <si>
    <t>00:51:45.466000</t>
  </si>
  <si>
    <t>00:51:52.466000</t>
  </si>
  <si>
    <t>00:51:58.389000</t>
  </si>
  <si>
    <t>00:51:52.389000</t>
  </si>
  <si>
    <t>00:51:59.389000</t>
  </si>
  <si>
    <t>01:09:01.654000</t>
  </si>
  <si>
    <t>01:08:55.654000</t>
  </si>
  <si>
    <t>01:09:02.654000</t>
  </si>
  <si>
    <t>01:10:11.996000</t>
  </si>
  <si>
    <t>01:10:05.996000</t>
  </si>
  <si>
    <t>01:10:12.996000</t>
  </si>
  <si>
    <t>01:10:20.406000</t>
  </si>
  <si>
    <t>01:10:14.406000</t>
  </si>
  <si>
    <t>01:10:21.406000</t>
  </si>
  <si>
    <t>01:14:19.654000</t>
  </si>
  <si>
    <t>01:14:13.654000</t>
  </si>
  <si>
    <t>01:14:20.654000</t>
  </si>
  <si>
    <t>01:14:28.082000</t>
  </si>
  <si>
    <t>01:14:22.082000</t>
  </si>
  <si>
    <t>01:14:29.082000</t>
  </si>
  <si>
    <t>01:14:35.596000</t>
  </si>
  <si>
    <t>01:14:29.596000</t>
  </si>
  <si>
    <t>01:14:36.596000</t>
  </si>
  <si>
    <t>01:15:19.484000</t>
  </si>
  <si>
    <t>01:15:13.484000</t>
  </si>
  <si>
    <t>01:15:20.484000</t>
  </si>
  <si>
    <t>01:15:30.031000</t>
  </si>
  <si>
    <t>01:15:24.031000</t>
  </si>
  <si>
    <t>01:15:31.031000</t>
  </si>
  <si>
    <t>01:15:38.413000</t>
  </si>
  <si>
    <t>01:15:32.413000</t>
  </si>
  <si>
    <t>01:15:39.413000</t>
  </si>
  <si>
    <t>01:15:50.955000</t>
  </si>
  <si>
    <t>01:15:44.955000</t>
  </si>
  <si>
    <t>01:15:51.955000</t>
  </si>
  <si>
    <t>01:16:06.424000</t>
  </si>
  <si>
    <t>01:16:00.424000</t>
  </si>
  <si>
    <t>01:16:07.424000</t>
  </si>
  <si>
    <t>01:18:54.066000</t>
  </si>
  <si>
    <t>01:18:48.066000</t>
  </si>
  <si>
    <t>01:18:55.066000</t>
  </si>
  <si>
    <t>01:19:05.285000</t>
  </si>
  <si>
    <t>01:18:59.285000</t>
  </si>
  <si>
    <t>01:19:06.285000</t>
  </si>
  <si>
    <t>01:21:29.465000</t>
  </si>
  <si>
    <t>01:21:23.465000</t>
  </si>
  <si>
    <t>01:21:30.465000</t>
  </si>
  <si>
    <t>01:29:42.582000</t>
  </si>
  <si>
    <t>01:29:36.582000</t>
  </si>
  <si>
    <t>01:29:43.582000</t>
  </si>
  <si>
    <t>01:29:48.768000</t>
  </si>
  <si>
    <t>01:29:42.768000</t>
  </si>
  <si>
    <t>01:29:49.768000</t>
  </si>
  <si>
    <t>01:29:56.597000</t>
  </si>
  <si>
    <t>01:29:50.597000</t>
  </si>
  <si>
    <t>01:29:57.597000</t>
  </si>
  <si>
    <t>01:30:05.768000</t>
  </si>
  <si>
    <t>01:29:59.768000</t>
  </si>
  <si>
    <t>01:30:06.768000</t>
  </si>
  <si>
    <t>01:30:11.509000</t>
  </si>
  <si>
    <t>01:30:12.509000</t>
  </si>
  <si>
    <t>01:30:19.417000</t>
  </si>
  <si>
    <t>01:30:13.417000</t>
  </si>
  <si>
    <t>01:30:20.417000</t>
  </si>
  <si>
    <t>01:33:20.395000</t>
  </si>
  <si>
    <t>01:33:14.395000</t>
  </si>
  <si>
    <t>01:33:21.395000</t>
  </si>
  <si>
    <t>01:33:27.060000</t>
  </si>
  <si>
    <t>01:33:21.060000</t>
  </si>
  <si>
    <t>01:33:28.060000</t>
  </si>
  <si>
    <t>01:33:32.801000</t>
  </si>
  <si>
    <t>01:33:26.801000</t>
  </si>
  <si>
    <t>01:33:33.801000</t>
  </si>
  <si>
    <t>01:33:36.441000</t>
  </si>
  <si>
    <t>01:33:30.441000</t>
  </si>
  <si>
    <t>01:33:37.441000</t>
  </si>
  <si>
    <t>01:33:40.991000</t>
  </si>
  <si>
    <t>01:33:34.991000</t>
  </si>
  <si>
    <t>01:33:41.991000</t>
  </si>
  <si>
    <t>01:33:45.329000</t>
  </si>
  <si>
    <t>01:33:39.329000</t>
  </si>
  <si>
    <t>01:33:46.329000</t>
  </si>
  <si>
    <t>01:33:51.631000</t>
  </si>
  <si>
    <t>01:33:45.631000</t>
  </si>
  <si>
    <t>01:33:52.631000</t>
  </si>
  <si>
    <t>01:33:56.809000</t>
  </si>
  <si>
    <t>01:33:50.809000</t>
  </si>
  <si>
    <t>01:33:57.809000</t>
  </si>
  <si>
    <t>01:35:39.287000</t>
  </si>
  <si>
    <t>01:35:33.287000</t>
  </si>
  <si>
    <t>01:35:40.287000</t>
  </si>
  <si>
    <t>01:35:47.970000</t>
  </si>
  <si>
    <t>01:35:41.970000</t>
  </si>
  <si>
    <t>01:35:48.970000</t>
  </si>
  <si>
    <t>01:35:56.413000</t>
  </si>
  <si>
    <t>01:35:50.413000</t>
  </si>
  <si>
    <t>01:35:57.413000</t>
  </si>
  <si>
    <t>01:36:01.728000</t>
  </si>
  <si>
    <t>01:35:55.728000</t>
  </si>
  <si>
    <t>01:36:02.728000</t>
  </si>
  <si>
    <t>01:39:59.132000</t>
  </si>
  <si>
    <t>01:39:53.132000</t>
  </si>
  <si>
    <t>01:40:00.132000</t>
  </si>
  <si>
    <t>01:40:07.083000</t>
  </si>
  <si>
    <t>01:40:01.083000</t>
  </si>
  <si>
    <t>01:40:08.083000</t>
  </si>
  <si>
    <t>01:40:22.624000</t>
  </si>
  <si>
    <t>01:40:16.624000</t>
  </si>
  <si>
    <t>01:40:23.624000</t>
  </si>
  <si>
    <t>01:40:30.953000</t>
  </si>
  <si>
    <t>01:40:24.953000</t>
  </si>
  <si>
    <t>01:40:31.953000</t>
  </si>
  <si>
    <t>01:40:41.173000</t>
  </si>
  <si>
    <t>01:40:35.173000</t>
  </si>
  <si>
    <t>01:40:42.173000</t>
  </si>
  <si>
    <t>01:40:45.865000</t>
  </si>
  <si>
    <t>01:40:39.865000</t>
  </si>
  <si>
    <t>01:40:46.865000</t>
  </si>
  <si>
    <t>01:40:53.213000</t>
  </si>
  <si>
    <t>01:40:47.213000</t>
  </si>
  <si>
    <t>01:40:54.213000</t>
  </si>
  <si>
    <t>01:41:52.011000</t>
  </si>
  <si>
    <t>01:41:46.011000</t>
  </si>
  <si>
    <t>01:41:53.011000</t>
  </si>
  <si>
    <t>01:42:02.003000</t>
  </si>
  <si>
    <t>01:41:56.003000</t>
  </si>
  <si>
    <t>01:42:03.003000</t>
  </si>
  <si>
    <t>01:42:09.211000</t>
  </si>
  <si>
    <t>01:42:03.211000</t>
  </si>
  <si>
    <t>01:42:10.211000</t>
  </si>
  <si>
    <t>01:42:16.843000</t>
  </si>
  <si>
    <t>01:42:10.843000</t>
  </si>
  <si>
    <t>01:42:17.843000</t>
  </si>
  <si>
    <t>01:45:10.141000</t>
  </si>
  <si>
    <t>01:45:04.141000</t>
  </si>
  <si>
    <t>01:45:11.141000</t>
  </si>
  <si>
    <t>00:11:52.436000</t>
  </si>
  <si>
    <t>00:11:46.436000</t>
  </si>
  <si>
    <t>00:11:53.436000</t>
  </si>
  <si>
    <t>00:12:04.334000</t>
  </si>
  <si>
    <t>00:11:58.334000</t>
  </si>
  <si>
    <t>00:12:05.334000</t>
  </si>
  <si>
    <t>00:14:08.977000</t>
  </si>
  <si>
    <t>00:14:02.977000</t>
  </si>
  <si>
    <t>00:14:09.977000</t>
  </si>
  <si>
    <t>00:18:49.836000</t>
  </si>
  <si>
    <t>00:18:43.836000</t>
  </si>
  <si>
    <t>00:18:50.836000</t>
  </si>
  <si>
    <t>00:18:58.835000</t>
  </si>
  <si>
    <t>00:18:52.835000</t>
  </si>
  <si>
    <t>00:18:59.835000</t>
  </si>
  <si>
    <t>00:19:15.453000</t>
  </si>
  <si>
    <t>00:19:09.453000</t>
  </si>
  <si>
    <t>00:19:16.453000</t>
  </si>
  <si>
    <t>00:19:23.205000</t>
  </si>
  <si>
    <t>00:19:17.205000</t>
  </si>
  <si>
    <t>00:19:24.205000</t>
  </si>
  <si>
    <t>00:24:37.872000</t>
  </si>
  <si>
    <t>00:24:31.872000</t>
  </si>
  <si>
    <t>00:24:38.872000</t>
  </si>
  <si>
    <t>00:25:44.210000</t>
  </si>
  <si>
    <t>00:25:38.210000</t>
  </si>
  <si>
    <t>00:25:45.210000</t>
  </si>
  <si>
    <t>00:25:58.875000</t>
  </si>
  <si>
    <t>00:25:52.875000</t>
  </si>
  <si>
    <t>00:25:59.875000</t>
  </si>
  <si>
    <t>00:28:42.795000</t>
  </si>
  <si>
    <t>00:28:36.795000</t>
  </si>
  <si>
    <t>00:28:43.795000</t>
  </si>
  <si>
    <t>00:28:57.004000</t>
  </si>
  <si>
    <t>00:28:51.004000</t>
  </si>
  <si>
    <t>00:28:58.004000</t>
  </si>
  <si>
    <t>00:29:06.995000</t>
  </si>
  <si>
    <t>00:29:00.995000</t>
  </si>
  <si>
    <t>00:29:07.995000</t>
  </si>
  <si>
    <t>00:29:18.382000</t>
  </si>
  <si>
    <t>00:29:12.382000</t>
  </si>
  <si>
    <t>00:29:19.382000</t>
  </si>
  <si>
    <t>00:29:25.851000</t>
  </si>
  <si>
    <t>00:29:19.851000</t>
  </si>
  <si>
    <t>00:29:26.851000</t>
  </si>
  <si>
    <t>00:34:24.822000</t>
  </si>
  <si>
    <t>00:34:18.822000</t>
  </si>
  <si>
    <t>00:34:25.822000</t>
  </si>
  <si>
    <t>00:38:43.021000</t>
  </si>
  <si>
    <t>00:38:37.021000</t>
  </si>
  <si>
    <t>00:38:44.021000</t>
  </si>
  <si>
    <t>00:40:57.318000</t>
  </si>
  <si>
    <t>00:40:51.318000</t>
  </si>
  <si>
    <t>00:40:58.318000</t>
  </si>
  <si>
    <t>00:41:05.258000</t>
  </si>
  <si>
    <t>00:40:59.258000</t>
  </si>
  <si>
    <t>00:41:06.258000</t>
  </si>
  <si>
    <t>00:41:18.376000</t>
  </si>
  <si>
    <t>00:41:12.376000</t>
  </si>
  <si>
    <t>00:41:19.376000</t>
  </si>
  <si>
    <t>00:41:25.685000</t>
  </si>
  <si>
    <t>00:41:19.685000</t>
  </si>
  <si>
    <t>00:41:26.685000</t>
  </si>
  <si>
    <t>00:41:36.979000</t>
  </si>
  <si>
    <t>00:41:30.979000</t>
  </si>
  <si>
    <t>00:41:37.979000</t>
  </si>
  <si>
    <t>00:48:06.617000</t>
  </si>
  <si>
    <t>00:48:00.617000</t>
  </si>
  <si>
    <t>00:48:07.617000</t>
  </si>
  <si>
    <t>00:48:14.905000</t>
  </si>
  <si>
    <t>00:48:08.905000</t>
  </si>
  <si>
    <t>00:48:15.905000</t>
  </si>
  <si>
    <t>00:50:49.624000</t>
  </si>
  <si>
    <t>00:50:43.624000</t>
  </si>
  <si>
    <t>00:50:50.624000</t>
  </si>
  <si>
    <t>00:54:07.500000</t>
  </si>
  <si>
    <t>00:54:01.500000</t>
  </si>
  <si>
    <t>00:54:08.500000</t>
  </si>
  <si>
    <t>01:21:34.805000</t>
  </si>
  <si>
    <t>01:21:28.805000</t>
  </si>
  <si>
    <t>01:21:35.805000</t>
  </si>
  <si>
    <t>01:21:41.842000</t>
  </si>
  <si>
    <t>01:21:35.842000</t>
  </si>
  <si>
    <t>01:21:42.842000</t>
  </si>
  <si>
    <t>01:21:51.639000</t>
  </si>
  <si>
    <t>01:21:45.639000</t>
  </si>
  <si>
    <t>01:21:52.639000</t>
  </si>
  <si>
    <t>01:22:03.588000</t>
  </si>
  <si>
    <t>01:21:57.588000</t>
  </si>
  <si>
    <t>01:22:04.588000</t>
  </si>
  <si>
    <t>01:22:11.776000</t>
  </si>
  <si>
    <t>01:22:05.776000</t>
  </si>
  <si>
    <t>01:22:12.776000</t>
  </si>
  <si>
    <t>01:24:54.234000</t>
  </si>
  <si>
    <t>01:24:48.234000</t>
  </si>
  <si>
    <t>01:24:55.234000</t>
  </si>
  <si>
    <t>01:25:07.437000</t>
  </si>
  <si>
    <t>01:25:01.437000</t>
  </si>
  <si>
    <t>01:25:08.437000</t>
  </si>
  <si>
    <t>01:26:10.795000</t>
  </si>
  <si>
    <t>01:26:04.795000</t>
  </si>
  <si>
    <t>01:26:11.795000</t>
  </si>
  <si>
    <t>01:26:19.158000</t>
  </si>
  <si>
    <t>01:26:13.158000</t>
  </si>
  <si>
    <t>01:26:20.158000</t>
  </si>
  <si>
    <t>01:32:37.213000</t>
  </si>
  <si>
    <t>01:32:31.213000</t>
  </si>
  <si>
    <t>01:32:38.213000</t>
  </si>
  <si>
    <t>01:32:43.186000</t>
  </si>
  <si>
    <t>01:32:37.186000</t>
  </si>
  <si>
    <t>01:32:44.186000</t>
  </si>
  <si>
    <t>01:32:50.590000</t>
  </si>
  <si>
    <t>01:32:44.590000</t>
  </si>
  <si>
    <t>01:32:51.590000</t>
  </si>
  <si>
    <t>01:32:58.069000</t>
  </si>
  <si>
    <t>01:32:52.069000</t>
  </si>
  <si>
    <t>01:32:59.069000</t>
  </si>
  <si>
    <t>01:35:46.643000</t>
  </si>
  <si>
    <t>01:35:40.643000</t>
  </si>
  <si>
    <t>01:35:47.643000</t>
  </si>
  <si>
    <t>01:36:02.668000</t>
  </si>
  <si>
    <t>01:35:56.668000</t>
  </si>
  <si>
    <t>01:36:03.668000</t>
  </si>
  <si>
    <t>01:41:05.932000</t>
  </si>
  <si>
    <t>01:40:59.932000</t>
  </si>
  <si>
    <t>01:41:06.932000</t>
  </si>
  <si>
    <t>01:46:07.451000</t>
  </si>
  <si>
    <t>01:46:01.451000</t>
  </si>
  <si>
    <t>01:46:08.451000</t>
  </si>
  <si>
    <t>01:46:15.734000</t>
  </si>
  <si>
    <t>01:46:09.734000</t>
  </si>
  <si>
    <t>01:46:16.734000</t>
  </si>
  <si>
    <t>01:46:21.066000</t>
  </si>
  <si>
    <t>01:46:15.066000</t>
  </si>
  <si>
    <t>01:46:22.066000</t>
  </si>
  <si>
    <t>01:47:39.955000</t>
  </si>
  <si>
    <t>01:47:33.955000</t>
  </si>
  <si>
    <t>01:47:40.955000</t>
  </si>
  <si>
    <t>01:47:48.616000</t>
  </si>
  <si>
    <t>01:47:42.616000</t>
  </si>
  <si>
    <t>01:47:49.616000</t>
  </si>
  <si>
    <t>01:47:54.605000</t>
  </si>
  <si>
    <t>01:47:48.605000</t>
  </si>
  <si>
    <t>01:47:55.605000</t>
  </si>
  <si>
    <t>01:48:08.761000</t>
  </si>
  <si>
    <t>01:48:02.761000</t>
  </si>
  <si>
    <t>01:48:09.761000</t>
  </si>
  <si>
    <t>01:48:12.969000</t>
  </si>
  <si>
    <t>01:48:06.969000</t>
  </si>
  <si>
    <t>01:48:13.969000</t>
  </si>
  <si>
    <t>01:48:19.219000</t>
  </si>
  <si>
    <t>01:48:13.219000</t>
  </si>
  <si>
    <t>01:48:20.219000</t>
  </si>
  <si>
    <t>01:52:37.274000</t>
  </si>
  <si>
    <t>01:52:31.274000</t>
  </si>
  <si>
    <t>01:52:38.274000</t>
  </si>
  <si>
    <t>01:52:48.117000</t>
  </si>
  <si>
    <t>01:52:42.117000</t>
  </si>
  <si>
    <t>01:52:49.117000</t>
  </si>
  <si>
    <t>01:52:55.806000</t>
  </si>
  <si>
    <t>01:52:49.806000</t>
  </si>
  <si>
    <t>01:52:56.806000</t>
  </si>
  <si>
    <t>00:12:19.410000</t>
  </si>
  <si>
    <t>00:12:13.410000</t>
  </si>
  <si>
    <t>00:12:20.410000</t>
  </si>
  <si>
    <t>00:12:26.437000</t>
  </si>
  <si>
    <t>00:12:20.437000</t>
  </si>
  <si>
    <t>00:12:27.437000</t>
  </si>
  <si>
    <t>00:12:31.328000</t>
  </si>
  <si>
    <t>00:12:25.328000</t>
  </si>
  <si>
    <t>00:12:32.328000</t>
  </si>
  <si>
    <t>00:12:44.986000</t>
  </si>
  <si>
    <t>00:12:38.986000</t>
  </si>
  <si>
    <t>00:12:45.986000</t>
  </si>
  <si>
    <t>00:13:41.729000</t>
  </si>
  <si>
    <t>00:13:35.729000</t>
  </si>
  <si>
    <t>00:13:42.729000</t>
  </si>
  <si>
    <t>00:14:58.310000</t>
  </si>
  <si>
    <t>00:14:52.310000</t>
  </si>
  <si>
    <t>00:14:59.310000</t>
  </si>
  <si>
    <t>00:19:38.176000</t>
  </si>
  <si>
    <t>00:19:32.176000</t>
  </si>
  <si>
    <t>00:19:39.176000</t>
  </si>
  <si>
    <t>00:19:45.322000</t>
  </si>
  <si>
    <t>00:19:39.322000</t>
  </si>
  <si>
    <t>00:19:46.322000</t>
  </si>
  <si>
    <t>00:19:55.152000</t>
  </si>
  <si>
    <t>00:19:49.152000</t>
  </si>
  <si>
    <t>00:19:56.152000</t>
  </si>
  <si>
    <t>00:20:02.548000</t>
  </si>
  <si>
    <t>00:19:56.548000</t>
  </si>
  <si>
    <t>00:20:03.548000</t>
  </si>
  <si>
    <t>00:27:12.270000</t>
  </si>
  <si>
    <t>00:27:06.270000</t>
  </si>
  <si>
    <t>00:27:13.270000</t>
  </si>
  <si>
    <t>00:27:19.196000</t>
  </si>
  <si>
    <t>00:27:13.196000</t>
  </si>
  <si>
    <t>00:27:20.196000</t>
  </si>
  <si>
    <t>00:27:23.847000</t>
  </si>
  <si>
    <t>00:27:17.847000</t>
  </si>
  <si>
    <t>00:27:24.847000</t>
  </si>
  <si>
    <t>00:31:15.938000</t>
  </si>
  <si>
    <t>00:31:09.938000</t>
  </si>
  <si>
    <t>00:31:16.938000</t>
  </si>
  <si>
    <t>00:31:24.461000</t>
  </si>
  <si>
    <t>00:31:18.461000</t>
  </si>
  <si>
    <t>00:31:25.461000</t>
  </si>
  <si>
    <t>00:31:29.238000</t>
  </si>
  <si>
    <t>00:31:23.238000</t>
  </si>
  <si>
    <t>00:31:30.238000</t>
  </si>
  <si>
    <t>00:31:40.418000</t>
  </si>
  <si>
    <t>00:31:34.418000</t>
  </si>
  <si>
    <t>00:31:41.418000</t>
  </si>
  <si>
    <t>00:31:45.331000</t>
  </si>
  <si>
    <t>00:31:39.331000</t>
  </si>
  <si>
    <t>00:31:46.331000</t>
  </si>
  <si>
    <t>00:31:50.777000</t>
  </si>
  <si>
    <t>00:31:44.777000</t>
  </si>
  <si>
    <t>00:31:51.777000</t>
  </si>
  <si>
    <t>00:31:59.914000</t>
  </si>
  <si>
    <t>00:31:53.914000</t>
  </si>
  <si>
    <t>00:32:00.914000</t>
  </si>
  <si>
    <t>00:32:07.748000</t>
  </si>
  <si>
    <t>00:32:01.748000</t>
  </si>
  <si>
    <t>00:32:08.748000</t>
  </si>
  <si>
    <t>00:32:20.068000</t>
  </si>
  <si>
    <t>00:32:14.068000</t>
  </si>
  <si>
    <t>00:32:21.068000</t>
  </si>
  <si>
    <t>00:32:27.394000</t>
  </si>
  <si>
    <t>00:32:21.394000</t>
  </si>
  <si>
    <t>00:32:28.394000</t>
  </si>
  <si>
    <t>00:34:40.178000</t>
  </si>
  <si>
    <t>00:34:34.178000</t>
  </si>
  <si>
    <t>00:34:41.178000</t>
  </si>
  <si>
    <t>00:34:50.176000</t>
  </si>
  <si>
    <t>00:34:44.176000</t>
  </si>
  <si>
    <t>00:34:51.176000</t>
  </si>
  <si>
    <t>00:35:00.269000</t>
  </si>
  <si>
    <t>00:34:54.269000</t>
  </si>
  <si>
    <t>00:35:01.269000</t>
  </si>
  <si>
    <t>00:35:03.023000</t>
  </si>
  <si>
    <t>00:34:57.023000</t>
  </si>
  <si>
    <t>00:35:04.023000</t>
  </si>
  <si>
    <t>00:39:46.804000</t>
  </si>
  <si>
    <t>00:39:40.804000</t>
  </si>
  <si>
    <t>00:39:47.804000</t>
  </si>
  <si>
    <t>00:50:12.826000</t>
  </si>
  <si>
    <t>00:50:06.826000</t>
  </si>
  <si>
    <t>00:50:13.826000</t>
  </si>
  <si>
    <t>00:50:33.839000</t>
  </si>
  <si>
    <t>00:50:27.839000</t>
  </si>
  <si>
    <t>00:50:34.839000</t>
  </si>
  <si>
    <t>00:51:02.327000</t>
  </si>
  <si>
    <t>00:50:56.327000</t>
  </si>
  <si>
    <t>00:51:03.327000</t>
  </si>
  <si>
    <t>00:51:08.648000</t>
  </si>
  <si>
    <t>00:51:02.648000</t>
  </si>
  <si>
    <t>00:51:09.648000</t>
  </si>
  <si>
    <t>00:51:21.194000</t>
  </si>
  <si>
    <t>00:51:15.194000</t>
  </si>
  <si>
    <t>00:51:22.194000</t>
  </si>
  <si>
    <t>00:53:38.608000</t>
  </si>
  <si>
    <t>00:53:32.608000</t>
  </si>
  <si>
    <t>00:53:39.608000</t>
  </si>
  <si>
    <t>00:53:47.420000</t>
  </si>
  <si>
    <t>00:53:41.420000</t>
  </si>
  <si>
    <t>00:53:48.420000</t>
  </si>
  <si>
    <t>00:55:22.603000</t>
  </si>
  <si>
    <t>00:55:16.603000</t>
  </si>
  <si>
    <t>00:55:23.603000</t>
  </si>
  <si>
    <t>00:58:15.408000</t>
  </si>
  <si>
    <t>00:58:09.408000</t>
  </si>
  <si>
    <t>00:58:16.408000</t>
  </si>
  <si>
    <t>00:59:15.227000</t>
  </si>
  <si>
    <t>00:59:09.227000</t>
  </si>
  <si>
    <t>00:59:16.227000</t>
  </si>
  <si>
    <t>00:59:25.964000</t>
  </si>
  <si>
    <t>00:59:19.964000</t>
  </si>
  <si>
    <t>00:59:26.964000</t>
  </si>
  <si>
    <t>00:59:35.445000</t>
  </si>
  <si>
    <t>00:59:29.445000</t>
  </si>
  <si>
    <t>00:59:36.445000</t>
  </si>
  <si>
    <t>00:59:40.709000</t>
  </si>
  <si>
    <t>00:59:34.709000</t>
  </si>
  <si>
    <t>00:59:41.709000</t>
  </si>
  <si>
    <t>01:16:51.485000</t>
  </si>
  <si>
    <t>01:16:45.485000</t>
  </si>
  <si>
    <t>01:16:52.485000</t>
  </si>
  <si>
    <t>01:17:02.350000</t>
  </si>
  <si>
    <t>01:16:56.350000</t>
  </si>
  <si>
    <t>01:17:03.350000</t>
  </si>
  <si>
    <t>01:17:13.015000</t>
  </si>
  <si>
    <t>01:17:07.015000</t>
  </si>
  <si>
    <t>01:17:14.015000</t>
  </si>
  <si>
    <t>01:17:24.535000</t>
  </si>
  <si>
    <t>01:17:18.535000</t>
  </si>
  <si>
    <t>01:17:25.535000</t>
  </si>
  <si>
    <t>01:17:31.508000</t>
  </si>
  <si>
    <t>01:17:25.508000</t>
  </si>
  <si>
    <t>01:17:32.508000</t>
  </si>
  <si>
    <t>01:17:37.137000</t>
  </si>
  <si>
    <t>01:17:31.137000</t>
  </si>
  <si>
    <t>01:17:38.137000</t>
  </si>
  <si>
    <t>01:17:42.407000</t>
  </si>
  <si>
    <t>01:17:36.407000</t>
  </si>
  <si>
    <t>01:17:43.407000</t>
  </si>
  <si>
    <t>01:17:47.816000</t>
  </si>
  <si>
    <t>01:17:41.816000</t>
  </si>
  <si>
    <t>01:17:48.816000</t>
  </si>
  <si>
    <t>01:17:55.012000</t>
  </si>
  <si>
    <t>01:17:49.012000</t>
  </si>
  <si>
    <t>01:17:56.012000</t>
  </si>
  <si>
    <t>01:18:01.852000</t>
  </si>
  <si>
    <t>01:17:55.852000</t>
  </si>
  <si>
    <t>01:18:02.852000</t>
  </si>
  <si>
    <t>01:18:09.060000</t>
  </si>
  <si>
    <t>01:18:03.060000</t>
  </si>
  <si>
    <t>01:18:10.060000</t>
  </si>
  <si>
    <t>01:18:18.309000</t>
  </si>
  <si>
    <t>01:18:12.309000</t>
  </si>
  <si>
    <t>01:18:19.309000</t>
  </si>
  <si>
    <t>01:20:37.901000</t>
  </si>
  <si>
    <t>01:20:31.901000</t>
  </si>
  <si>
    <t>01:20:38.901000</t>
  </si>
  <si>
    <t>01:21:02.853000</t>
  </si>
  <si>
    <t>01:20:56.853000</t>
  </si>
  <si>
    <t>01:21:03.853000</t>
  </si>
  <si>
    <t>01:21:12</t>
  </si>
  <si>
    <t>01:21:06</t>
  </si>
  <si>
    <t>01:21:13</t>
  </si>
  <si>
    <t>01:21:25.949000</t>
  </si>
  <si>
    <t>01:21:19.949000</t>
  </si>
  <si>
    <t>01:21:26.949000</t>
  </si>
  <si>
    <t>01:27:56.879000</t>
  </si>
  <si>
    <t>01:27:50.879000</t>
  </si>
  <si>
    <t>01:27:57.879000</t>
  </si>
  <si>
    <t>01:28:58.596000</t>
  </si>
  <si>
    <t>01:28:52.596000</t>
  </si>
  <si>
    <t>01:28:59.596000</t>
  </si>
  <si>
    <t>01:29:07.567000</t>
  </si>
  <si>
    <t>01:29:01.567000</t>
  </si>
  <si>
    <t>01:29:08.567000</t>
  </si>
  <si>
    <t>01:29:15.492000</t>
  </si>
  <si>
    <t>01:29:09.492000</t>
  </si>
  <si>
    <t>01:29:16.492000</t>
  </si>
  <si>
    <t>01:31:02.930000</t>
  </si>
  <si>
    <t>01:30:56.930000</t>
  </si>
  <si>
    <t>01:31:03.930000</t>
  </si>
  <si>
    <t>01:31:10.540000</t>
  </si>
  <si>
    <t>01:31:04.540000</t>
  </si>
  <si>
    <t>01:31:11.540000</t>
  </si>
  <si>
    <t>01:34:05.040000</t>
  </si>
  <si>
    <t>01:33:59.040000</t>
  </si>
  <si>
    <t>01:34:06.040000</t>
  </si>
  <si>
    <t>01:36:15.115000</t>
  </si>
  <si>
    <t>01:36:09.115000</t>
  </si>
  <si>
    <t>01:36:16.115000</t>
  </si>
  <si>
    <t>01:36:22.711000</t>
  </si>
  <si>
    <t>01:36:16.711000</t>
  </si>
  <si>
    <t>01:36:23.711000</t>
  </si>
  <si>
    <t>01:36:28.472000</t>
  </si>
  <si>
    <t>01:36:22.472000</t>
  </si>
  <si>
    <t>01:36:29.472000</t>
  </si>
  <si>
    <t>01:42:56.958000</t>
  </si>
  <si>
    <t>01:42:50.958000</t>
  </si>
  <si>
    <t>01:42:57.958000</t>
  </si>
  <si>
    <t>01:43:07.476000</t>
  </si>
  <si>
    <t>01:43:01.476000</t>
  </si>
  <si>
    <t>01:43:08.476000</t>
  </si>
  <si>
    <t>01:44:26.281000</t>
  </si>
  <si>
    <t>01:44:20.281000</t>
  </si>
  <si>
    <t>01:44:27.281000</t>
  </si>
  <si>
    <t>01:44:35.936000</t>
  </si>
  <si>
    <t>01:44:29.936000</t>
  </si>
  <si>
    <t>01:44:36.936000</t>
  </si>
  <si>
    <t>01:45:02.377000</t>
  </si>
  <si>
    <t>01:44:56.377000</t>
  </si>
  <si>
    <t>01:45:03.377000</t>
  </si>
  <si>
    <t>01:51:22.707000</t>
  </si>
  <si>
    <t>01:51:16.707000</t>
  </si>
  <si>
    <t>01:51:23.707000</t>
  </si>
  <si>
    <t>01:51:34.808000</t>
  </si>
  <si>
    <t>01:51:28.808000</t>
  </si>
  <si>
    <t>01:51:35.808000</t>
  </si>
  <si>
    <t>01:51:41.776000</t>
  </si>
  <si>
    <t>01:51:35.776000</t>
  </si>
  <si>
    <t>01:51:42.776000</t>
  </si>
  <si>
    <t>01:57:10.442000</t>
  </si>
  <si>
    <t>01:57:04.442000</t>
  </si>
  <si>
    <t>01:57:11.442000</t>
  </si>
  <si>
    <t>01:57:21.393000</t>
  </si>
  <si>
    <t>01:57:15.393000</t>
  </si>
  <si>
    <t>01:57:22.393000</t>
  </si>
  <si>
    <t>01:57:30.046000</t>
  </si>
  <si>
    <t>01:57:24.046000</t>
  </si>
  <si>
    <t>01:57:31.046000</t>
  </si>
  <si>
    <t>02:00:07.800000</t>
  </si>
  <si>
    <t>02:00:01.800000</t>
  </si>
  <si>
    <t>02:00:08.800000</t>
  </si>
  <si>
    <t>02:00:18.511000</t>
  </si>
  <si>
    <t>02:00:12.511000</t>
  </si>
  <si>
    <t>02:00:19.511000</t>
  </si>
  <si>
    <t>02:00:56.483000</t>
  </si>
  <si>
    <t>02:00:50.483000</t>
  </si>
  <si>
    <t>02:00:57.483000</t>
  </si>
  <si>
    <t>02:01:04.657000</t>
  </si>
  <si>
    <t>02:00:58.657000</t>
  </si>
  <si>
    <t>02:01:05.657000</t>
  </si>
  <si>
    <t>02:01:11.731000</t>
  </si>
  <si>
    <t>02:01:05.731000</t>
  </si>
  <si>
    <t>02:01:12.731000</t>
  </si>
  <si>
    <t>02:01:17.850000</t>
  </si>
  <si>
    <t>02:01:11.850000</t>
  </si>
  <si>
    <t>02:01:18.850000</t>
  </si>
  <si>
    <t>02:01:24.697000</t>
  </si>
  <si>
    <t>02:01:18.697000</t>
  </si>
  <si>
    <t>02:01:25.697000</t>
  </si>
  <si>
    <t>02:01:29.177000</t>
  </si>
  <si>
    <t>02:01:23.177000</t>
  </si>
  <si>
    <t>02:01:30.177000</t>
  </si>
  <si>
    <t>02:01:37.542000</t>
  </si>
  <si>
    <t>02:01:31.542000</t>
  </si>
  <si>
    <t>02:01:38.542000</t>
  </si>
  <si>
    <t>02:01:55.448000</t>
  </si>
  <si>
    <t>02:01:49.448000</t>
  </si>
  <si>
    <t>02:01:56.448000</t>
  </si>
  <si>
    <t>00:01:47.749000</t>
  </si>
  <si>
    <t>00:01:41.749000</t>
  </si>
  <si>
    <t>00:01:48.749000</t>
  </si>
  <si>
    <t>00:01:52.004000</t>
  </si>
  <si>
    <t>00:01:46.004000</t>
  </si>
  <si>
    <t>00:01:53.004000</t>
  </si>
  <si>
    <t>00:08:22.292000</t>
  </si>
  <si>
    <t>00:08:16.292000</t>
  </si>
  <si>
    <t>00:08:23.292000</t>
  </si>
  <si>
    <t>00:08:32.087000</t>
  </si>
  <si>
    <t>00:08:26.087000</t>
  </si>
  <si>
    <t>00:08:33.087000</t>
  </si>
  <si>
    <t>00:08:41.902000</t>
  </si>
  <si>
    <t>00:08:35.902000</t>
  </si>
  <si>
    <t>00:08:42.902000</t>
  </si>
  <si>
    <t>00:08:44.817000</t>
  </si>
  <si>
    <t>00:08:38.817000</t>
  </si>
  <si>
    <t>00:08:45.817000</t>
  </si>
  <si>
    <t>00:25:51.829000</t>
  </si>
  <si>
    <t>00:25:58.829000</t>
  </si>
  <si>
    <t>00:31:09.420000</t>
  </si>
  <si>
    <t>00:31:03.420000</t>
  </si>
  <si>
    <t>00:31:10.420000</t>
  </si>
  <si>
    <t>00:31:16.265000</t>
  </si>
  <si>
    <t>00:31:10.265000</t>
  </si>
  <si>
    <t>00:31:17.265000</t>
  </si>
  <si>
    <t>00:33:09.971000</t>
  </si>
  <si>
    <t>00:33:03.971000</t>
  </si>
  <si>
    <t>00:33:10.971000</t>
  </si>
  <si>
    <t>00:33:18.036000</t>
  </si>
  <si>
    <t>00:33:12.036000</t>
  </si>
  <si>
    <t>00:33:19.036000</t>
  </si>
  <si>
    <t>00:33:24.691000</t>
  </si>
  <si>
    <t>00:33:18.691000</t>
  </si>
  <si>
    <t>00:33:25.691000</t>
  </si>
  <si>
    <t>00:33:36.653000</t>
  </si>
  <si>
    <t>00:33:30.653000</t>
  </si>
  <si>
    <t>00:33:37.653000</t>
  </si>
  <si>
    <t>00:35:44.325000</t>
  </si>
  <si>
    <t>00:35:38.325000</t>
  </si>
  <si>
    <t>00:35:45.325000</t>
  </si>
  <si>
    <t>00:35:52.845000</t>
  </si>
  <si>
    <t>00:35:46.845000</t>
  </si>
  <si>
    <t>00:35:53.845000</t>
  </si>
  <si>
    <t>00:39:15.610000</t>
  </si>
  <si>
    <t>00:39:09.610000</t>
  </si>
  <si>
    <t>00:39:16.610000</t>
  </si>
  <si>
    <t>01:02:25.248000</t>
  </si>
  <si>
    <t>01:02:19.248000</t>
  </si>
  <si>
    <t>01:02:26.248000</t>
  </si>
  <si>
    <t>01:02:53.314000</t>
  </si>
  <si>
    <t>01:02:47.314000</t>
  </si>
  <si>
    <t>01:02:54.314000</t>
  </si>
  <si>
    <t>01:08:43.258000</t>
  </si>
  <si>
    <t>01:08:37.258000</t>
  </si>
  <si>
    <t>01:08:44.258000</t>
  </si>
  <si>
    <t>01:08:57.319000</t>
  </si>
  <si>
    <t>01:08:51.319000</t>
  </si>
  <si>
    <t>01:08:58.319000</t>
  </si>
  <si>
    <t>01:09:02.403000</t>
  </si>
  <si>
    <t>01:08:56.403000</t>
  </si>
  <si>
    <t>01:09:03.403000</t>
  </si>
  <si>
    <t>01:11:03.940000</t>
  </si>
  <si>
    <t>01:10:57.940000</t>
  </si>
  <si>
    <t>01:11:04.940000</t>
  </si>
  <si>
    <t>01:11:17.617000</t>
  </si>
  <si>
    <t>01:11:11.617000</t>
  </si>
  <si>
    <t>01:11:18.617000</t>
  </si>
  <si>
    <t>01:12:27.274000</t>
  </si>
  <si>
    <t>01:12:21.274000</t>
  </si>
  <si>
    <t>01:12:28.274000</t>
  </si>
  <si>
    <t>01:12:34.613000</t>
  </si>
  <si>
    <t>01:12:28.613000</t>
  </si>
  <si>
    <t>01:12:35.613000</t>
  </si>
  <si>
    <t>01:14:28.434000</t>
  </si>
  <si>
    <t>01:14:22.434000</t>
  </si>
  <si>
    <t>01:14:29.434000</t>
  </si>
  <si>
    <t>01:14:41.655000</t>
  </si>
  <si>
    <t>01:14:35.655000</t>
  </si>
  <si>
    <t>01:14:42.655000</t>
  </si>
  <si>
    <t>01:14:47.244000</t>
  </si>
  <si>
    <t>01:14:41.244000</t>
  </si>
  <si>
    <t>01:14:48.244000</t>
  </si>
  <si>
    <t>01:27:19.013000</t>
  </si>
  <si>
    <t>01:27:13.013000</t>
  </si>
  <si>
    <t>01:27:20.013000</t>
  </si>
  <si>
    <t>01:27:30.390000</t>
  </si>
  <si>
    <t>01:27:24.390000</t>
  </si>
  <si>
    <t>01:27:31.390000</t>
  </si>
  <si>
    <t>01:27:45.718000</t>
  </si>
  <si>
    <t>01:27:39.718000</t>
  </si>
  <si>
    <t>01:27:46.718000</t>
  </si>
  <si>
    <t>01:27:50.648000</t>
  </si>
  <si>
    <t>01:27:44.648000</t>
  </si>
  <si>
    <t>01:27:51.648000</t>
  </si>
  <si>
    <t>01:28:03.014000</t>
  </si>
  <si>
    <t>01:27:57.014000</t>
  </si>
  <si>
    <t>01:28:04.014000</t>
  </si>
  <si>
    <t>01:28:07.861000</t>
  </si>
  <si>
    <t>01:28:01.861000</t>
  </si>
  <si>
    <t>01:28:08.861000</t>
  </si>
  <si>
    <t>01:28:12.661000</t>
  </si>
  <si>
    <t>01:28:06.661000</t>
  </si>
  <si>
    <t>01:28:13.661000</t>
  </si>
  <si>
    <t>01:33:38.958000</t>
  </si>
  <si>
    <t>01:33:32.958000</t>
  </si>
  <si>
    <t>01:33:39.958000</t>
  </si>
  <si>
    <t>01:34:58.341000</t>
  </si>
  <si>
    <t>01:34:52.341000</t>
  </si>
  <si>
    <t>01:34:59.341000</t>
  </si>
  <si>
    <t>01:40:40.078000</t>
  </si>
  <si>
    <t>01:40:34.078000</t>
  </si>
  <si>
    <t>01:40:41.078000</t>
  </si>
  <si>
    <t>01:40:47.067000</t>
  </si>
  <si>
    <t>01:40:41.067000</t>
  </si>
  <si>
    <t>01:40:48.067000</t>
  </si>
  <si>
    <t>01:40:52.049000</t>
  </si>
  <si>
    <t>01:40:46.049000</t>
  </si>
  <si>
    <t>01:40:53.049000</t>
  </si>
  <si>
    <t>01:42:44.314000</t>
  </si>
  <si>
    <t>01:42:38.314000</t>
  </si>
  <si>
    <t>01:42:45.314000</t>
  </si>
  <si>
    <t>01:42:54.013000</t>
  </si>
  <si>
    <t>01:42:48.013000</t>
  </si>
  <si>
    <t>01:42:55.013000</t>
  </si>
  <si>
    <t>01:43:01.153000</t>
  </si>
  <si>
    <t>01:42:55.153000</t>
  </si>
  <si>
    <t>01:43:02.153000</t>
  </si>
  <si>
    <t>01:43:06.185000</t>
  </si>
  <si>
    <t>01:43:00.185000</t>
  </si>
  <si>
    <t>01:43:07.185000</t>
  </si>
  <si>
    <t>01:45:02.379000</t>
  </si>
  <si>
    <t>01:44:56.379000</t>
  </si>
  <si>
    <t>01:45:03.379000</t>
  </si>
  <si>
    <t>01:45:13.329000</t>
  </si>
  <si>
    <t>01:45:07.329000</t>
  </si>
  <si>
    <t>01:45:14.329000</t>
  </si>
  <si>
    <t>00:06:24.262000</t>
  </si>
  <si>
    <t>00:06:18.262000</t>
  </si>
  <si>
    <t>00:06:25.262000</t>
  </si>
  <si>
    <t>00:06:30.556000</t>
  </si>
  <si>
    <t>00:06:24.556000</t>
  </si>
  <si>
    <t>00:06:31.556000</t>
  </si>
  <si>
    <t>00:09:05.125000</t>
  </si>
  <si>
    <t>00:08:59.125000</t>
  </si>
  <si>
    <t>00:09:06.125000</t>
  </si>
  <si>
    <t>00:13:34.345000</t>
  </si>
  <si>
    <t>00:13:28.345000</t>
  </si>
  <si>
    <t>00:13:35.345000</t>
  </si>
  <si>
    <t>00:13:42.535000</t>
  </si>
  <si>
    <t>00:13:36.535000</t>
  </si>
  <si>
    <t>00:13:43.535000</t>
  </si>
  <si>
    <t>00:13:47.566000</t>
  </si>
  <si>
    <t>00:13:41.566000</t>
  </si>
  <si>
    <t>00:13:48.566000</t>
  </si>
  <si>
    <t>00:16:04.051000</t>
  </si>
  <si>
    <t>00:15:58.051000</t>
  </si>
  <si>
    <t>00:16:05.051000</t>
  </si>
  <si>
    <t>00:17:52.828000</t>
  </si>
  <si>
    <t>00:17:46.828000</t>
  </si>
  <si>
    <t>00:17:53.828000</t>
  </si>
  <si>
    <t>00:18:02.433000</t>
  </si>
  <si>
    <t>00:17:56.433000</t>
  </si>
  <si>
    <t>00:18:03.433000</t>
  </si>
  <si>
    <t>00:18:10.629000</t>
  </si>
  <si>
    <t>00:18:04.629000</t>
  </si>
  <si>
    <t>00:18:11.629000</t>
  </si>
  <si>
    <t>00:18:18.039000</t>
  </si>
  <si>
    <t>00:18:12.039000</t>
  </si>
  <si>
    <t>00:18:19.039000</t>
  </si>
  <si>
    <t>00:22:21.897000</t>
  </si>
  <si>
    <t>00:22:15.897000</t>
  </si>
  <si>
    <t>00:22:22.897000</t>
  </si>
  <si>
    <t>00:39:58.062000</t>
  </si>
  <si>
    <t>00:39:52.062000</t>
  </si>
  <si>
    <t>00:39:59.062000</t>
  </si>
  <si>
    <t>00:40:07.895000</t>
  </si>
  <si>
    <t>00:40:01.895000</t>
  </si>
  <si>
    <t>00:40:08.895000</t>
  </si>
  <si>
    <t>00:40:13.287000</t>
  </si>
  <si>
    <t>00:40:07.287000</t>
  </si>
  <si>
    <t>00:40:14.287000</t>
  </si>
  <si>
    <t>00:40:19.795000</t>
  </si>
  <si>
    <t>00:40:13.795000</t>
  </si>
  <si>
    <t>00:40:20.795000</t>
  </si>
  <si>
    <t>00:41:53.272000</t>
  </si>
  <si>
    <t>00:41:47.272000</t>
  </si>
  <si>
    <t>00:41:54.272000</t>
  </si>
  <si>
    <t>00:42:00.057000</t>
  </si>
  <si>
    <t>00:41:54.057000</t>
  </si>
  <si>
    <t>00:42:01.057000</t>
  </si>
  <si>
    <t>00:42:07.754000</t>
  </si>
  <si>
    <t>00:42:01.754000</t>
  </si>
  <si>
    <t>00:42:08.754000</t>
  </si>
  <si>
    <t>00:42:17.970000</t>
  </si>
  <si>
    <t>00:42:11.970000</t>
  </si>
  <si>
    <t>00:42:18.970000</t>
  </si>
  <si>
    <t>00:42:24.900000</t>
  </si>
  <si>
    <t>00:42:18.900000</t>
  </si>
  <si>
    <t>00:42:25.900000</t>
  </si>
  <si>
    <t>01:07:09.710000</t>
  </si>
  <si>
    <t>01:07:03.710000</t>
  </si>
  <si>
    <t>01:07:10.710000</t>
  </si>
  <si>
    <t>01:07:16.975000</t>
  </si>
  <si>
    <t>01:07:10.975000</t>
  </si>
  <si>
    <t>01:07:17.975000</t>
  </si>
  <si>
    <t>01:08:49.342000</t>
  </si>
  <si>
    <t>01:08:43.342000</t>
  </si>
  <si>
    <t>01:08:50.342000</t>
  </si>
  <si>
    <t>01:15:59.327000</t>
  </si>
  <si>
    <t>01:15:53.327000</t>
  </si>
  <si>
    <t>01:16:00.327000</t>
  </si>
  <si>
    <t>01:16:08.454000</t>
  </si>
  <si>
    <t>01:16:02.454000</t>
  </si>
  <si>
    <t>01:16:09.454000</t>
  </si>
  <si>
    <t>01:16:14.814000</t>
  </si>
  <si>
    <t>01:16:08.814000</t>
  </si>
  <si>
    <t>01:16:15.814000</t>
  </si>
  <si>
    <t>01:20:26.037000</t>
  </si>
  <si>
    <t>01:20:20.037000</t>
  </si>
  <si>
    <t>01:20:27.037000</t>
  </si>
  <si>
    <t>01:23:25.877000</t>
  </si>
  <si>
    <t>01:23:19.877000</t>
  </si>
  <si>
    <t>01:23:26.877000</t>
  </si>
  <si>
    <t>01:44:32.470000</t>
  </si>
  <si>
    <t>01:44:26.470000</t>
  </si>
  <si>
    <t>01:44:33.470000</t>
  </si>
  <si>
    <t>01:44:42.263000</t>
  </si>
  <si>
    <t>01:44:36.263000</t>
  </si>
  <si>
    <t>01:44:43.263000</t>
  </si>
  <si>
    <t>01:44:46.667000</t>
  </si>
  <si>
    <t>01:44:40.667000</t>
  </si>
  <si>
    <t>01:44:47.667000</t>
  </si>
  <si>
    <t>01:45:23.291000</t>
  </si>
  <si>
    <t>01:45:17.291000</t>
  </si>
  <si>
    <t>01:45:24.291000</t>
  </si>
  <si>
    <t>01:45:29.060000</t>
  </si>
  <si>
    <t>01:45:23.060000</t>
  </si>
  <si>
    <t>01:45:30.060000</t>
  </si>
  <si>
    <t>01:48:04.457000</t>
  </si>
  <si>
    <t>01:47:58.457000</t>
  </si>
  <si>
    <t>01:48:05.457000</t>
  </si>
  <si>
    <t>01:48:13.465000</t>
  </si>
  <si>
    <t>01:48:07.465000</t>
  </si>
  <si>
    <t>01:48:14.465000</t>
  </si>
  <si>
    <t>00:09:55.317000</t>
  </si>
  <si>
    <t>00:09:49.317000</t>
  </si>
  <si>
    <t>00:09:56.317000</t>
  </si>
  <si>
    <t>00:10:04.405000</t>
  </si>
  <si>
    <t>00:09:58.405000</t>
  </si>
  <si>
    <t>00:10:05.405000</t>
  </si>
  <si>
    <t>00:10:12.074000</t>
  </si>
  <si>
    <t>00:10:06.074000</t>
  </si>
  <si>
    <t>00:10:13.074000</t>
  </si>
  <si>
    <t>00:10:20.831000</t>
  </si>
  <si>
    <t>00:10:14.831000</t>
  </si>
  <si>
    <t>00:10:21.831000</t>
  </si>
  <si>
    <t>00:10:32.711000</t>
  </si>
  <si>
    <t>00:10:26.711000</t>
  </si>
  <si>
    <t>00:10:33.711000</t>
  </si>
  <si>
    <t>00:10:38.831000</t>
  </si>
  <si>
    <t>00:10:32.831000</t>
  </si>
  <si>
    <t>00:10:39.831000</t>
  </si>
  <si>
    <t>00:10:45.915000</t>
  </si>
  <si>
    <t>00:10:39.915000</t>
  </si>
  <si>
    <t>00:10:46.915000</t>
  </si>
  <si>
    <t>00:10:56.108000</t>
  </si>
  <si>
    <t>00:10:50.108000</t>
  </si>
  <si>
    <t>00:10:57.108000</t>
  </si>
  <si>
    <t>00:11:04.040000</t>
  </si>
  <si>
    <t>00:10:58.040000</t>
  </si>
  <si>
    <t>00:11:05.040000</t>
  </si>
  <si>
    <t>00:18:59.888000</t>
  </si>
  <si>
    <t>00:18:53.888000</t>
  </si>
  <si>
    <t>00:19:00.888000</t>
  </si>
  <si>
    <t>00:19:05.834000</t>
  </si>
  <si>
    <t>00:18:59.834000</t>
  </si>
  <si>
    <t>00:19:06.834000</t>
  </si>
  <si>
    <t>00:19:13.130000</t>
  </si>
  <si>
    <t>00:19:07.130000</t>
  </si>
  <si>
    <t>00:19:14.130000</t>
  </si>
  <si>
    <t>00:23:14.062000</t>
  </si>
  <si>
    <t>00:23:08.062000</t>
  </si>
  <si>
    <t>00:23:15.062000</t>
  </si>
  <si>
    <t>00:23:28.857000</t>
  </si>
  <si>
    <t>00:23:22.857000</t>
  </si>
  <si>
    <t>00:23:29.857000</t>
  </si>
  <si>
    <t>00:31:49.831000</t>
  </si>
  <si>
    <t>00:31:43.831000</t>
  </si>
  <si>
    <t>00:31:50.831000</t>
  </si>
  <si>
    <t>00:31:54.600000</t>
  </si>
  <si>
    <t>00:31:48.600000</t>
  </si>
  <si>
    <t>00:31:55.600000</t>
  </si>
  <si>
    <t>00:32:29.395000</t>
  </si>
  <si>
    <t>00:32:23.395000</t>
  </si>
  <si>
    <t>00:32:30.395000</t>
  </si>
  <si>
    <t>00:32:42.514000</t>
  </si>
  <si>
    <t>00:32:36.514000</t>
  </si>
  <si>
    <t>00:32:43.514000</t>
  </si>
  <si>
    <t>00:39:44.588000</t>
  </si>
  <si>
    <t>00:39:38.588000</t>
  </si>
  <si>
    <t>00:39:45.588000</t>
  </si>
  <si>
    <t>00:40:03.943000</t>
  </si>
  <si>
    <t>00:39:57.943000</t>
  </si>
  <si>
    <t>00:40:04.943000</t>
  </si>
  <si>
    <t>00:40:08.234000</t>
  </si>
  <si>
    <t>00:40:02.234000</t>
  </si>
  <si>
    <t>00:40:09.234000</t>
  </si>
  <si>
    <t>01:14:24.161000</t>
  </si>
  <si>
    <t>01:14:18.161000</t>
  </si>
  <si>
    <t>01:14:25.161000</t>
  </si>
  <si>
    <t>01:17:57.558000</t>
  </si>
  <si>
    <t>01:17:51.558000</t>
  </si>
  <si>
    <t>01:17:58.558000</t>
  </si>
  <si>
    <t>01:18:13.883000</t>
  </si>
  <si>
    <t>01:18:07.883000</t>
  </si>
  <si>
    <t>01:18:14.883000</t>
  </si>
  <si>
    <t>01:26:43.686000</t>
  </si>
  <si>
    <t>01:26:37.686000</t>
  </si>
  <si>
    <t>01:26:44.686000</t>
  </si>
  <si>
    <t>01:26:57.007000</t>
  </si>
  <si>
    <t>01:26:51.007000</t>
  </si>
  <si>
    <t>01:26:58.007000</t>
  </si>
  <si>
    <t>01:27:03.260000</t>
  </si>
  <si>
    <t>01:26:57.260000</t>
  </si>
  <si>
    <t>01:27:04.260000</t>
  </si>
  <si>
    <t>01:27:12.975000</t>
  </si>
  <si>
    <t>01:27:06.975000</t>
  </si>
  <si>
    <t>01:27:13.975000</t>
  </si>
  <si>
    <t>01:27:20.525000</t>
  </si>
  <si>
    <t>01:27:14.525000</t>
  </si>
  <si>
    <t>01:27:21.525000</t>
  </si>
  <si>
    <t>01:32:50.787000</t>
  </si>
  <si>
    <t>01:32:44.787000</t>
  </si>
  <si>
    <t>01:32:51.787000</t>
  </si>
  <si>
    <t>01:33:01.337000</t>
  </si>
  <si>
    <t>01:32:55.337000</t>
  </si>
  <si>
    <t>01:33:02.337000</t>
  </si>
  <si>
    <t>01:33:09.902000</t>
  </si>
  <si>
    <t>01:33:03.902000</t>
  </si>
  <si>
    <t>01:33:10.902000</t>
  </si>
  <si>
    <t>01:33:16.515000</t>
  </si>
  <si>
    <t>01:33:10.515000</t>
  </si>
  <si>
    <t>01:33:17.515000</t>
  </si>
  <si>
    <t>01:33:23.945000</t>
  </si>
  <si>
    <t>01:33:17.945000</t>
  </si>
  <si>
    <t>01:33:24.945000</t>
  </si>
  <si>
    <t>01:37:54.946000</t>
  </si>
  <si>
    <t>01:37:48.946000</t>
  </si>
  <si>
    <t>01:37:55.946000</t>
  </si>
  <si>
    <t>01:41:37.597000</t>
  </si>
  <si>
    <t>01:41:31.597000</t>
  </si>
  <si>
    <t>01:41:38.597000</t>
  </si>
  <si>
    <t>01:45:33.066000</t>
  </si>
  <si>
    <t>01:45:27.066000</t>
  </si>
  <si>
    <t>01:45:34.066000</t>
  </si>
  <si>
    <t>01:45:45.619000</t>
  </si>
  <si>
    <t>01:45:39.619000</t>
  </si>
  <si>
    <t>01:45:46.619000</t>
  </si>
  <si>
    <t>01:51:37.434000</t>
  </si>
  <si>
    <t>01:51:31.434000</t>
  </si>
  <si>
    <t>01:51:38.434000</t>
  </si>
  <si>
    <t>01:51:45.348000</t>
  </si>
  <si>
    <t>01:51:39.348000</t>
  </si>
  <si>
    <t>01:51:46.348000</t>
  </si>
  <si>
    <t>01:52:10.668000</t>
  </si>
  <si>
    <t>01:52:04.668000</t>
  </si>
  <si>
    <t>01:52:11.668000</t>
  </si>
  <si>
    <t>01:52:22.060000</t>
  </si>
  <si>
    <t>01:52:16.060000</t>
  </si>
  <si>
    <t>01:52:23.060000</t>
  </si>
  <si>
    <t>01:52:33.216000</t>
  </si>
  <si>
    <t>01:52:27.216000</t>
  </si>
  <si>
    <t>01:52:34.216000</t>
  </si>
  <si>
    <t>01:56:45.513000</t>
  </si>
  <si>
    <t>01:56:39.513000</t>
  </si>
  <si>
    <t>01:56:46.513000</t>
  </si>
  <si>
    <t>01:57:29.158000</t>
  </si>
  <si>
    <t>01:57:23.158000</t>
  </si>
  <si>
    <t>01:57:30.158000</t>
  </si>
  <si>
    <t>01:57:36.196000</t>
  </si>
  <si>
    <t>01:57:30.196000</t>
  </si>
  <si>
    <t>01:57:37.196000</t>
  </si>
  <si>
    <t>01:57:47.423000</t>
  </si>
  <si>
    <t>01:57:41.423000</t>
  </si>
  <si>
    <t>01:57:48.423000</t>
  </si>
  <si>
    <t>01:57:59.198000</t>
  </si>
  <si>
    <t>01:57:53.198000</t>
  </si>
  <si>
    <t>01:58:00.198000</t>
  </si>
  <si>
    <t>01:58:23.200000</t>
  </si>
  <si>
    <t>01:58:17.200000</t>
  </si>
  <si>
    <t>01:58:24.200000</t>
  </si>
  <si>
    <t>02:03:13.201000</t>
  </si>
  <si>
    <t>02:03:07.201000</t>
  </si>
  <si>
    <t>02:03:14.201000</t>
  </si>
  <si>
    <t>02:03:24.051000</t>
  </si>
  <si>
    <t>02:03:18.051000</t>
  </si>
  <si>
    <t>02:03:25.051000</t>
  </si>
  <si>
    <t>02:06:32.657000</t>
  </si>
  <si>
    <t>02:06:26.657000</t>
  </si>
  <si>
    <t>02:06:33.657000</t>
  </si>
  <si>
    <t>01:38:35.122000</t>
  </si>
  <si>
    <t>01:38:29.122000</t>
  </si>
  <si>
    <t>01:38:36.122000</t>
  </si>
  <si>
    <t>01:38:40.443000</t>
  </si>
  <si>
    <t>01:38:34.443000</t>
  </si>
  <si>
    <t>01:38:41.443000</t>
  </si>
  <si>
    <t>01:38:50.789000</t>
  </si>
  <si>
    <t>01:38:44.789000</t>
  </si>
  <si>
    <t>01:38:51.789000</t>
  </si>
  <si>
    <t>01:39:13.819000</t>
  </si>
  <si>
    <t>01:39:07.819000</t>
  </si>
  <si>
    <t>01:39:14.819000</t>
  </si>
  <si>
    <t>01:39:27.586000</t>
  </si>
  <si>
    <t>01:39:21.586000</t>
  </si>
  <si>
    <t>01:39:28.586000</t>
  </si>
  <si>
    <t>01:40:54.773000</t>
  </si>
  <si>
    <t>01:40:48.773000</t>
  </si>
  <si>
    <t>01:40:55.773000</t>
  </si>
  <si>
    <t>01:44:31.366000</t>
  </si>
  <si>
    <t>01:44:25.366000</t>
  </si>
  <si>
    <t>01:44:32.366000</t>
  </si>
  <si>
    <t>01:46:04.233000</t>
  </si>
  <si>
    <t>01:45:58.233000</t>
  </si>
  <si>
    <t>01:46:05.233000</t>
  </si>
  <si>
    <t>01:46:12.401000</t>
  </si>
  <si>
    <t>01:46:06.401000</t>
  </si>
  <si>
    <t>01:46:13.401000</t>
  </si>
  <si>
    <t>01:46:18.086000</t>
  </si>
  <si>
    <t>01:46:12.086000</t>
  </si>
  <si>
    <t>01:46:19.086000</t>
  </si>
  <si>
    <t>01:49:09.203000</t>
  </si>
  <si>
    <t>01:49:03.203000</t>
  </si>
  <si>
    <t>01:49:10.203000</t>
  </si>
  <si>
    <t>01:49:16.707000</t>
  </si>
  <si>
    <t>01:49:10.707000</t>
  </si>
  <si>
    <t>01:49:17.707000</t>
  </si>
  <si>
    <t>01:49:28.505000</t>
  </si>
  <si>
    <t>01:49:22.505000</t>
  </si>
  <si>
    <t>01:49:29.505000</t>
  </si>
  <si>
    <t>01:49:38.216000</t>
  </si>
  <si>
    <t>01:49:32.216000</t>
  </si>
  <si>
    <t>01:49:39.216000</t>
  </si>
  <si>
    <t>01:49:42.064000</t>
  </si>
  <si>
    <t>01:49:36.064000</t>
  </si>
  <si>
    <t>01:49:43.064000</t>
  </si>
  <si>
    <t>01:49:50.327000</t>
  </si>
  <si>
    <t>01:49:44.327000</t>
  </si>
  <si>
    <t>01:49:51.327000</t>
  </si>
  <si>
    <t>01:51:12.257000</t>
  </si>
  <si>
    <t>01:51:06.257000</t>
  </si>
  <si>
    <t>01:51:13.257000</t>
  </si>
  <si>
    <t>01:51:22.994000</t>
  </si>
  <si>
    <t>01:51:16.994000</t>
  </si>
  <si>
    <t>01:51:23.994000</t>
  </si>
  <si>
    <t>01:52:00.971000</t>
  </si>
  <si>
    <t>01:51:54.971000</t>
  </si>
  <si>
    <t>01:52:01.971000</t>
  </si>
  <si>
    <t>01:56:59.078000</t>
  </si>
  <si>
    <t>01:56:53.078000</t>
  </si>
  <si>
    <t>01:57:00.078000</t>
  </si>
  <si>
    <t>01:57:06.059000</t>
  </si>
  <si>
    <t>01:57:00.059000</t>
  </si>
  <si>
    <t>01:57:07.059000</t>
  </si>
  <si>
    <t>02:01:31.196000</t>
  </si>
  <si>
    <t>02:01:25.196000</t>
  </si>
  <si>
    <t>02:01:32.196000</t>
  </si>
  <si>
    <t>02:04:53.472000</t>
  </si>
  <si>
    <t>02:04:47.472000</t>
  </si>
  <si>
    <t>02:04:54.472000</t>
  </si>
  <si>
    <t>02:05:02.180000</t>
  </si>
  <si>
    <t>02:04:56.180000</t>
  </si>
  <si>
    <t>02:05:03.180000</t>
  </si>
  <si>
    <t>02:05:11.920000</t>
  </si>
  <si>
    <t>02:05:05.920000</t>
  </si>
  <si>
    <t>02:05:12.920000</t>
  </si>
  <si>
    <t>02:05:22.452000</t>
  </si>
  <si>
    <t>02:05:16.452000</t>
  </si>
  <si>
    <t>02:05:23.452000</t>
  </si>
  <si>
    <t>RUCKS PERDIDOS OPP 001</t>
  </si>
  <si>
    <t>00:15:24.131000</t>
  </si>
  <si>
    <t>00:15:18.131000</t>
  </si>
  <si>
    <t>00:15:25.131000</t>
  </si>
  <si>
    <t>RUCKS PERDIDOS OPP 002</t>
  </si>
  <si>
    <t>00:43:23.373000</t>
  </si>
  <si>
    <t>00:43:17.373000</t>
  </si>
  <si>
    <t>00:43:24.373000</t>
  </si>
  <si>
    <t>RUCKS PERDIDOS OPP 003</t>
  </si>
  <si>
    <t>01:46:49.515000</t>
  </si>
  <si>
    <t>01:46:43.515000</t>
  </si>
  <si>
    <t>01:46:50.515000</t>
  </si>
  <si>
    <t>RUCKS PERDIDOS OPP 004</t>
  </si>
  <si>
    <t>01:53:09.482000</t>
  </si>
  <si>
    <t>01:53:03.482000</t>
  </si>
  <si>
    <t>01:53:10.482000</t>
  </si>
  <si>
    <t>RUCKS PERDIDOS OUR 001</t>
  </si>
  <si>
    <t>00:45:57.615000</t>
  </si>
  <si>
    <t>00:45:51.615000</t>
  </si>
  <si>
    <t>00:45:58.615000</t>
  </si>
  <si>
    <t>RUCKS PERDIDOS OUR 002</t>
  </si>
  <si>
    <t>01:30:04.563000</t>
  </si>
  <si>
    <t>01:29:58.563000</t>
  </si>
  <si>
    <t>01:30:05.563000</t>
  </si>
  <si>
    <t>00:15:43.862000</t>
  </si>
  <si>
    <t>00:15:37.862000</t>
  </si>
  <si>
    <t>00:15:44.862000</t>
  </si>
  <si>
    <t>01:06:42.530000</t>
  </si>
  <si>
    <t>01:06:36.530000</t>
  </si>
  <si>
    <t>01:06:43.530000</t>
  </si>
  <si>
    <t>01:31:41.961000</t>
  </si>
  <si>
    <t>01:31:35.961000</t>
  </si>
  <si>
    <t>01:31:42.961000</t>
  </si>
  <si>
    <t>01:41:02.454000</t>
  </si>
  <si>
    <t>01:40:56.454000</t>
  </si>
  <si>
    <t>01:41:03.454000</t>
  </si>
  <si>
    <t>00:24:50.189000</t>
  </si>
  <si>
    <t>00:24:44.189000</t>
  </si>
  <si>
    <t>00:24:51.189000</t>
  </si>
  <si>
    <t>00:26:03.281000</t>
  </si>
  <si>
    <t>00:25:57.281000</t>
  </si>
  <si>
    <t>00:26:04.281000</t>
  </si>
  <si>
    <t>00:38:53.612000</t>
  </si>
  <si>
    <t>00:38:47.612000</t>
  </si>
  <si>
    <t>00:38:54.612000</t>
  </si>
  <si>
    <t>01:31:05.067000</t>
  </si>
  <si>
    <t>01:30:59.067000</t>
  </si>
  <si>
    <t>01:31:06.067000</t>
  </si>
  <si>
    <t>00:14:04.399000</t>
  </si>
  <si>
    <t>00:13:58.399000</t>
  </si>
  <si>
    <t>00:14:05.399000</t>
  </si>
  <si>
    <t>00:25:41.294000</t>
  </si>
  <si>
    <t>00:25:35.294000</t>
  </si>
  <si>
    <t>00:25:42.294000</t>
  </si>
  <si>
    <t>RUCKS PERDIDOS OUR 003</t>
  </si>
  <si>
    <t>00:35:14.412000</t>
  </si>
  <si>
    <t>00:35:08.412000</t>
  </si>
  <si>
    <t>00:35:15.412000</t>
  </si>
  <si>
    <t>RUCKS PERDIDOS OUR 004</t>
  </si>
  <si>
    <t>00:40:01.284000</t>
  </si>
  <si>
    <t>00:39:55.284000</t>
  </si>
  <si>
    <t>00:40:02.284000</t>
  </si>
  <si>
    <t>RUCKS PERDIDOS OUR 005</t>
  </si>
  <si>
    <t>00:50:43.927000</t>
  </si>
  <si>
    <t>00:50:37.927000</t>
  </si>
  <si>
    <t>00:50:44.927000</t>
  </si>
  <si>
    <t>RUCKS PERDIDOS OUR 006</t>
  </si>
  <si>
    <t>01:26:03.056000</t>
  </si>
  <si>
    <t>01:25:57.056000</t>
  </si>
  <si>
    <t>01:26:04.056000</t>
  </si>
  <si>
    <t>00:11:59.787000</t>
  </si>
  <si>
    <t>00:11:53.787000</t>
  </si>
  <si>
    <t>00:12:00.787000</t>
  </si>
  <si>
    <t>01:44:57.507000</t>
  </si>
  <si>
    <t>01:44:51.507000</t>
  </si>
  <si>
    <t>01:44:58.507000</t>
  </si>
  <si>
    <t>01:16:49.601000</t>
  </si>
  <si>
    <t>01:16:56.601000</t>
  </si>
  <si>
    <t>01:44:31.594000</t>
  </si>
  <si>
    <t>01:44:25.594000</t>
  </si>
  <si>
    <t>01:44:32.594000</t>
  </si>
  <si>
    <t>02:03:35.160000</t>
  </si>
  <si>
    <t>02:03:29.160000</t>
  </si>
  <si>
    <t>02:03:36.160000</t>
  </si>
  <si>
    <t>00:17:22.771000</t>
  </si>
  <si>
    <t>00:17:16.771000</t>
  </si>
  <si>
    <t>00:17:23.771000</t>
  </si>
  <si>
    <t>00:21:52.614000</t>
  </si>
  <si>
    <t>00:21:46.614000</t>
  </si>
  <si>
    <t>00:21:53.614000</t>
  </si>
  <si>
    <t>01:39:37.369000</t>
  </si>
  <si>
    <t>01:39:31.369000</t>
  </si>
  <si>
    <t>01:39:38.369000</t>
  </si>
  <si>
    <t>02:05:32.062000</t>
  </si>
  <si>
    <t>02:05:26.062000</t>
  </si>
  <si>
    <t>02:05:33.062000</t>
  </si>
  <si>
    <t>KICK OUR 001</t>
  </si>
  <si>
    <t>KICK OUR 002</t>
  </si>
  <si>
    <t>00:10:14.073000</t>
  </si>
  <si>
    <t>00:10:04.073000</t>
  </si>
  <si>
    <t>00:10:18.073000</t>
  </si>
  <si>
    <t>KICK OUR 003</t>
  </si>
  <si>
    <t>00:15:43.808000</t>
  </si>
  <si>
    <t>00:15:33.808000</t>
  </si>
  <si>
    <t>00:15:47.808000</t>
  </si>
  <si>
    <t>KICK OUR 004</t>
  </si>
  <si>
    <t>00:20:06.256000</t>
  </si>
  <si>
    <t>00:19:56.256000</t>
  </si>
  <si>
    <t>00:20:10.256000</t>
  </si>
  <si>
    <t>KICK OUR 005</t>
  </si>
  <si>
    <t>00:29:34.728000</t>
  </si>
  <si>
    <t>00:29:24.728000</t>
  </si>
  <si>
    <t>00:29:38.728000</t>
  </si>
  <si>
    <t>KICK OUR 006</t>
  </si>
  <si>
    <t>KICK OUR 007</t>
  </si>
  <si>
    <t>00:35:30.580000</t>
  </si>
  <si>
    <t>00:35:20.580000</t>
  </si>
  <si>
    <t>00:35:34.580000</t>
  </si>
  <si>
    <t>KICK OUR 008</t>
  </si>
  <si>
    <t>00:44:53.767000</t>
  </si>
  <si>
    <t>00:44:43.767000</t>
  </si>
  <si>
    <t>00:44:57.767000</t>
  </si>
  <si>
    <t>KICK OUR 009</t>
  </si>
  <si>
    <t>00:48:22.678000</t>
  </si>
  <si>
    <t>00:48:12.678000</t>
  </si>
  <si>
    <t>00:48:26.678000</t>
  </si>
  <si>
    <t>KICK OUR 010</t>
  </si>
  <si>
    <t>00:48:43.899000</t>
  </si>
  <si>
    <t>00:48:33.899000</t>
  </si>
  <si>
    <t>00:48:47.899000</t>
  </si>
  <si>
    <t>KICK OUR 011</t>
  </si>
  <si>
    <t>01:07:39.760000</t>
  </si>
  <si>
    <t>01:07:29.760000</t>
  </si>
  <si>
    <t>01:07:43.760000</t>
  </si>
  <si>
    <t>KICK OUR 012</t>
  </si>
  <si>
    <t>01:08:33.094000</t>
  </si>
  <si>
    <t>01:08:23.094000</t>
  </si>
  <si>
    <t>01:08:37.094000</t>
  </si>
  <si>
    <t>KICK OUR 013</t>
  </si>
  <si>
    <t>01:10:56.022000</t>
  </si>
  <si>
    <t>01:10:46.022000</t>
  </si>
  <si>
    <t>01:11:00.022000</t>
  </si>
  <si>
    <t>KICK OUR 014</t>
  </si>
  <si>
    <t>01:12:24.781000</t>
  </si>
  <si>
    <t>01:12:14.781000</t>
  </si>
  <si>
    <t>01:12:28.781000</t>
  </si>
  <si>
    <t>KICK OUR 015</t>
  </si>
  <si>
    <t>KICK OUR 016</t>
  </si>
  <si>
    <t>01:19:23.019000</t>
  </si>
  <si>
    <t>01:19:13.019000</t>
  </si>
  <si>
    <t>01:19:27.019000</t>
  </si>
  <si>
    <t>KICK OUR 017</t>
  </si>
  <si>
    <t>01:23:38.055000</t>
  </si>
  <si>
    <t>01:23:28.055000</t>
  </si>
  <si>
    <t>01:23:42.055000</t>
  </si>
  <si>
    <t>KICK OUR 018</t>
  </si>
  <si>
    <t>01:28:07.630000</t>
  </si>
  <si>
    <t>01:27:57.630000</t>
  </si>
  <si>
    <t>01:28:11.630000</t>
  </si>
  <si>
    <t>KICK OUR 019</t>
  </si>
  <si>
    <t>01:32:05.053000</t>
  </si>
  <si>
    <t>01:31:55.053000</t>
  </si>
  <si>
    <t>01:32:09.053000</t>
  </si>
  <si>
    <t>KICK OUR 020</t>
  </si>
  <si>
    <t>01:32:49.353000</t>
  </si>
  <si>
    <t>01:32:39.353000</t>
  </si>
  <si>
    <t>01:32:53.353000</t>
  </si>
  <si>
    <t>KICK OUR 021</t>
  </si>
  <si>
    <t>01:37:56.721000</t>
  </si>
  <si>
    <t>01:37:46.721000</t>
  </si>
  <si>
    <t>01:38:00.721000</t>
  </si>
  <si>
    <t>KICK OUR 022</t>
  </si>
  <si>
    <t>01:38:56.536000</t>
  </si>
  <si>
    <t>01:38:46.536000</t>
  </si>
  <si>
    <t>01:39:00.536000</t>
  </si>
  <si>
    <t>KICK OUR 023</t>
  </si>
  <si>
    <t>01:42:00.384000</t>
  </si>
  <si>
    <t>01:41:50.384000</t>
  </si>
  <si>
    <t>01:42:04.384000</t>
  </si>
  <si>
    <t>KICK OUR 024</t>
  </si>
  <si>
    <t>KICK OUR 025</t>
  </si>
  <si>
    <t>01:46:57.474000</t>
  </si>
  <si>
    <t>01:46:47.474000</t>
  </si>
  <si>
    <t>01:47:01.474000</t>
  </si>
  <si>
    <t>KICK OUR 026</t>
  </si>
  <si>
    <t>01:51:08.243000</t>
  </si>
  <si>
    <t>01:50:58.243000</t>
  </si>
  <si>
    <t>01:51:12.243000</t>
  </si>
  <si>
    <t>KICK OUR 027</t>
  </si>
  <si>
    <t>01:51:51.554000</t>
  </si>
  <si>
    <t>01:51:41.554000</t>
  </si>
  <si>
    <t>01:51:55.554000</t>
  </si>
  <si>
    <t>KICK OUR 028</t>
  </si>
  <si>
    <t>01:53:40.100000</t>
  </si>
  <si>
    <t>01:53:30.100000</t>
  </si>
  <si>
    <t>01:53:44.100000</t>
  </si>
  <si>
    <t>KICK OUR 029</t>
  </si>
  <si>
    <t>01:54:53.991000</t>
  </si>
  <si>
    <t>01:54:43.991000</t>
  </si>
  <si>
    <t>01:54:57.991000</t>
  </si>
  <si>
    <t>KICK OPP 001</t>
  </si>
  <si>
    <t>00:08:37.809000</t>
  </si>
  <si>
    <t>00:08:27.809000</t>
  </si>
  <si>
    <t>00:08:41.809000</t>
  </si>
  <si>
    <t>KICK OPP 002</t>
  </si>
  <si>
    <t>00:12:40.447000</t>
  </si>
  <si>
    <t>00:12:30.447000</t>
  </si>
  <si>
    <t>00:12:44.447000</t>
  </si>
  <si>
    <t>KICK OPP 003</t>
  </si>
  <si>
    <t>KICK OPP 004</t>
  </si>
  <si>
    <t>00:23:09.182000</t>
  </si>
  <si>
    <t>00:22:59.182000</t>
  </si>
  <si>
    <t>00:23:13.182000</t>
  </si>
  <si>
    <t>KICK OPP 005</t>
  </si>
  <si>
    <t>00:29:08.940000</t>
  </si>
  <si>
    <t>00:28:58.940000</t>
  </si>
  <si>
    <t>00:29:12.940000</t>
  </si>
  <si>
    <t>KICK OPP 006</t>
  </si>
  <si>
    <t>00:38:41.593000</t>
  </si>
  <si>
    <t>00:38:31.593000</t>
  </si>
  <si>
    <t>00:38:45.593000</t>
  </si>
  <si>
    <t>KICK OPP 007</t>
  </si>
  <si>
    <t>00:47:20.834000</t>
  </si>
  <si>
    <t>00:47:10.834000</t>
  </si>
  <si>
    <t>00:47:24.834000</t>
  </si>
  <si>
    <t>KICK OPP 008</t>
  </si>
  <si>
    <t>00:48:37.911000</t>
  </si>
  <si>
    <t>00:48:27.911000</t>
  </si>
  <si>
    <t>00:48:41.911000</t>
  </si>
  <si>
    <t>KICK OPP 009</t>
  </si>
  <si>
    <t>00:48:51.155000</t>
  </si>
  <si>
    <t>00:48:41.155000</t>
  </si>
  <si>
    <t>00:48:55.155000</t>
  </si>
  <si>
    <t>KICK OPP 010</t>
  </si>
  <si>
    <t>00:49:33.244000</t>
  </si>
  <si>
    <t>00:49:23.244000</t>
  </si>
  <si>
    <t>00:49:37.244000</t>
  </si>
  <si>
    <t>KICK OPP 011</t>
  </si>
  <si>
    <t>00:52:03.961000</t>
  </si>
  <si>
    <t>00:51:53.961000</t>
  </si>
  <si>
    <t>00:52:07.961000</t>
  </si>
  <si>
    <t>KICK OPP 012</t>
  </si>
  <si>
    <t>01:08:39.170000</t>
  </si>
  <si>
    <t>01:08:29.170000</t>
  </si>
  <si>
    <t>01:08:43.170000</t>
  </si>
  <si>
    <t>KICK OPP 013</t>
  </si>
  <si>
    <t>01:10:18.041000</t>
  </si>
  <si>
    <t>01:10:08.041000</t>
  </si>
  <si>
    <t>01:10:22.041000</t>
  </si>
  <si>
    <t>KICK OPP 014</t>
  </si>
  <si>
    <t>01:12:15.996000</t>
  </si>
  <si>
    <t>01:12:05.996000</t>
  </si>
  <si>
    <t>01:12:19.996000</t>
  </si>
  <si>
    <t>KICK OPP 015</t>
  </si>
  <si>
    <t>01:23:05.388000</t>
  </si>
  <si>
    <t>01:22:55.388000</t>
  </si>
  <si>
    <t>01:23:09.388000</t>
  </si>
  <si>
    <t>KICK OPP 016</t>
  </si>
  <si>
    <t>01:30:30.096000</t>
  </si>
  <si>
    <t>01:30:20.096000</t>
  </si>
  <si>
    <t>01:30:34.096000</t>
  </si>
  <si>
    <t>KICK OPP 017</t>
  </si>
  <si>
    <t>01:35:11.322000</t>
  </si>
  <si>
    <t>01:35:01.322000</t>
  </si>
  <si>
    <t>01:35:15.322000</t>
  </si>
  <si>
    <t>KICK OPP 018</t>
  </si>
  <si>
    <t>01:35:33.161000</t>
  </si>
  <si>
    <t>01:35:23.161000</t>
  </si>
  <si>
    <t>01:35:37.161000</t>
  </si>
  <si>
    <t>KICK OPP 019</t>
  </si>
  <si>
    <t>01:38:03.541000</t>
  </si>
  <si>
    <t>01:37:53.541000</t>
  </si>
  <si>
    <t>01:38:07.541000</t>
  </si>
  <si>
    <t>KICK OPP 020</t>
  </si>
  <si>
    <t>01:41:04.547000</t>
  </si>
  <si>
    <t>01:40:54.547000</t>
  </si>
  <si>
    <t>01:41:08.547000</t>
  </si>
  <si>
    <t>KICK OPP 021</t>
  </si>
  <si>
    <t>01:47:07.323000</t>
  </si>
  <si>
    <t>01:46:57.323000</t>
  </si>
  <si>
    <t>01:47:11.323000</t>
  </si>
  <si>
    <t>KICK OPP 022</t>
  </si>
  <si>
    <t>01:49:34.207000</t>
  </si>
  <si>
    <t>01:49:24.207000</t>
  </si>
  <si>
    <t>01:49:38.207000</t>
  </si>
  <si>
    <t>00:06:26.363000</t>
  </si>
  <si>
    <t>00:06:16.363000</t>
  </si>
  <si>
    <t>00:06:30.363000</t>
  </si>
  <si>
    <t>00:07:27.416000</t>
  </si>
  <si>
    <t>00:07:17.416000</t>
  </si>
  <si>
    <t>00:07:31.416000</t>
  </si>
  <si>
    <t>00:08:12.348000</t>
  </si>
  <si>
    <t>00:08:02.348000</t>
  </si>
  <si>
    <t>00:08:16.348000</t>
  </si>
  <si>
    <t>00:11:02.581000</t>
  </si>
  <si>
    <t>00:10:52.581000</t>
  </si>
  <si>
    <t>00:11:06.581000</t>
  </si>
  <si>
    <t>00:11:43.404000</t>
  </si>
  <si>
    <t>00:11:33.404000</t>
  </si>
  <si>
    <t>00:11:47.404000</t>
  </si>
  <si>
    <t>00:24:12.067000</t>
  </si>
  <si>
    <t>00:24:16.067000</t>
  </si>
  <si>
    <t>00:26:00.416000</t>
  </si>
  <si>
    <t>00:25:50.416000</t>
  </si>
  <si>
    <t>00:26:04.416000</t>
  </si>
  <si>
    <t>00:28:08.766000</t>
  </si>
  <si>
    <t>00:27:58.766000</t>
  </si>
  <si>
    <t>00:28:12.766000</t>
  </si>
  <si>
    <t>00:32:30.459000</t>
  </si>
  <si>
    <t>00:32:23.459000</t>
  </si>
  <si>
    <t>00:32:40.459000</t>
  </si>
  <si>
    <t>00:50:52.148000</t>
  </si>
  <si>
    <t>00:50:42.148000</t>
  </si>
  <si>
    <t>00:50:56.148000</t>
  </si>
  <si>
    <t>01:03:49.421000</t>
  </si>
  <si>
    <t>01:03:39.421000</t>
  </si>
  <si>
    <t>01:03:53.421000</t>
  </si>
  <si>
    <t>01:06:11.316000</t>
  </si>
  <si>
    <t>01:06:01.316000</t>
  </si>
  <si>
    <t>01:06:15.316000</t>
  </si>
  <si>
    <t>01:09:26.593000</t>
  </si>
  <si>
    <t>01:09:16.593000</t>
  </si>
  <si>
    <t>01:09:30.593000</t>
  </si>
  <si>
    <t>01:11:49.579000</t>
  </si>
  <si>
    <t>01:11:39.579000</t>
  </si>
  <si>
    <t>01:11:53.579000</t>
  </si>
  <si>
    <t>01:16:08.876000</t>
  </si>
  <si>
    <t>01:15:58.876000</t>
  </si>
  <si>
    <t>01:16:12.876000</t>
  </si>
  <si>
    <t>01:19:07.953000</t>
  </si>
  <si>
    <t>01:18:57.953000</t>
  </si>
  <si>
    <t>01:19:11.953000</t>
  </si>
  <si>
    <t>01:25:59.503000</t>
  </si>
  <si>
    <t>01:25:49.503000</t>
  </si>
  <si>
    <t>01:26:03.503000</t>
  </si>
  <si>
    <t>01:29:01.148000</t>
  </si>
  <si>
    <t>01:28:51.148000</t>
  </si>
  <si>
    <t>01:29:05.148000</t>
  </si>
  <si>
    <t>KICK OPP 023</t>
  </si>
  <si>
    <t>01:46:12.496000</t>
  </si>
  <si>
    <t>01:46:02.496000</t>
  </si>
  <si>
    <t>01:46:16.496000</t>
  </si>
  <si>
    <t>00:06:35.886000</t>
  </si>
  <si>
    <t>00:06:25.886000</t>
  </si>
  <si>
    <t>00:06:39.886000</t>
  </si>
  <si>
    <t>00:11:16.822000</t>
  </si>
  <si>
    <t>00:11:06.822000</t>
  </si>
  <si>
    <t>00:11:20.822000</t>
  </si>
  <si>
    <t>00:11:57.893000</t>
  </si>
  <si>
    <t>00:11:47.893000</t>
  </si>
  <si>
    <t>00:12:01.893000</t>
  </si>
  <si>
    <t>00:13:09.626000</t>
  </si>
  <si>
    <t>00:12:59.626000</t>
  </si>
  <si>
    <t>00:13:13.626000</t>
  </si>
  <si>
    <t>00:13:26.505000</t>
  </si>
  <si>
    <t>00:13:16.505000</t>
  </si>
  <si>
    <t>00:13:30.505000</t>
  </si>
  <si>
    <t>00:15:22.240000</t>
  </si>
  <si>
    <t>00:15:12.240000</t>
  </si>
  <si>
    <t>00:15:26.240000</t>
  </si>
  <si>
    <t>00:18:26.140000</t>
  </si>
  <si>
    <t>00:18:16.140000</t>
  </si>
  <si>
    <t>00:18:30.140000</t>
  </si>
  <si>
    <t>KICK_PALOS</t>
  </si>
  <si>
    <t>00:21:41.596000</t>
  </si>
  <si>
    <t>00:21:31.596000</t>
  </si>
  <si>
    <t>00:21:45.596000</t>
  </si>
  <si>
    <t>00:40:39.827000</t>
  </si>
  <si>
    <t>00:40:29.827000</t>
  </si>
  <si>
    <t>00:40:43.827000</t>
  </si>
  <si>
    <t>01:12:35.027000</t>
  </si>
  <si>
    <t>01:12:25.027000</t>
  </si>
  <si>
    <t>01:12:39.027000</t>
  </si>
  <si>
    <t>01:19:17.158000</t>
  </si>
  <si>
    <t>01:19:07.158000</t>
  </si>
  <si>
    <t>01:19:21.158000</t>
  </si>
  <si>
    <t>01:20:39.825000</t>
  </si>
  <si>
    <t>01:20:29.825000</t>
  </si>
  <si>
    <t>01:20:43.825000</t>
  </si>
  <si>
    <t>01:22:06.098000</t>
  </si>
  <si>
    <t>01:21:56.098000</t>
  </si>
  <si>
    <t>01:22:10.098000</t>
  </si>
  <si>
    <t>01:41:31.257000</t>
  </si>
  <si>
    <t>01:41:21.257000</t>
  </si>
  <si>
    <t>01:41:35.257000</t>
  </si>
  <si>
    <t>01:44:20.085000</t>
  </si>
  <si>
    <t>01:44:10.085000</t>
  </si>
  <si>
    <t>01:44:24.085000</t>
  </si>
  <si>
    <t>00:12:07.755000</t>
  </si>
  <si>
    <t>00:11:57.755000</t>
  </si>
  <si>
    <t>00:12:11.755000</t>
  </si>
  <si>
    <t>00:13:09.350000</t>
  </si>
  <si>
    <t>00:12:59.350000</t>
  </si>
  <si>
    <t>00:13:13.350000</t>
  </si>
  <si>
    <t>00:13:52.701000</t>
  </si>
  <si>
    <t>00:13:42.701000</t>
  </si>
  <si>
    <t>00:13:56.701000</t>
  </si>
  <si>
    <t>00:18:14.045000</t>
  </si>
  <si>
    <t>00:18:04.045000</t>
  </si>
  <si>
    <t>00:18:18.045000</t>
  </si>
  <si>
    <t>00:19:01.772000</t>
  </si>
  <si>
    <t>00:18:51.772000</t>
  </si>
  <si>
    <t>00:19:05.772000</t>
  </si>
  <si>
    <t>00:23:59.395000</t>
  </si>
  <si>
    <t>00:23:49.395000</t>
  </si>
  <si>
    <t>00:24:03.395000</t>
  </si>
  <si>
    <t>00:24:07.538000</t>
  </si>
  <si>
    <t>00:23:57.538000</t>
  </si>
  <si>
    <t>00:24:11.538000</t>
  </si>
  <si>
    <t>00:24:40</t>
  </si>
  <si>
    <t>00:24:30</t>
  </si>
  <si>
    <t>00:24:44</t>
  </si>
  <si>
    <t>00:34:26.452000</t>
  </si>
  <si>
    <t>00:34:16.452000</t>
  </si>
  <si>
    <t>00:34:30.452000</t>
  </si>
  <si>
    <t>00:40:20.968000</t>
  </si>
  <si>
    <t>00:40:10.968000</t>
  </si>
  <si>
    <t>00:40:24.968000</t>
  </si>
  <si>
    <t>00:50:52.354000</t>
  </si>
  <si>
    <t>00:50:42.354000</t>
  </si>
  <si>
    <t>00:50:56.354000</t>
  </si>
  <si>
    <t>00:54:27.672000</t>
  </si>
  <si>
    <t>00:54:17.672000</t>
  </si>
  <si>
    <t>00:54:31.672000</t>
  </si>
  <si>
    <t>00:58:29.355000</t>
  </si>
  <si>
    <t>00:58:19.355000</t>
  </si>
  <si>
    <t>00:58:33.355000</t>
  </si>
  <si>
    <t>01:00:48.762000</t>
  </si>
  <si>
    <t>01:00:38.762000</t>
  </si>
  <si>
    <t>01:00:52.762000</t>
  </si>
  <si>
    <t>01:20:50.276000</t>
  </si>
  <si>
    <t>01:20:40.276000</t>
  </si>
  <si>
    <t>01:20:54.276000</t>
  </si>
  <si>
    <t>01:25:09.907000</t>
  </si>
  <si>
    <t>01:24:59.907000</t>
  </si>
  <si>
    <t>01:25:13.907000</t>
  </si>
  <si>
    <t>01:36:06.946000</t>
  </si>
  <si>
    <t>01:35:56.946000</t>
  </si>
  <si>
    <t>01:36:10.946000</t>
  </si>
  <si>
    <t>01:43:14.061000</t>
  </si>
  <si>
    <t>01:43:04.061000</t>
  </si>
  <si>
    <t>01:43:18.061000</t>
  </si>
  <si>
    <t>01:44:40.630000</t>
  </si>
  <si>
    <t>01:44:30.630000</t>
  </si>
  <si>
    <t>01:44:44.630000</t>
  </si>
  <si>
    <t>01:47:07.192000</t>
  </si>
  <si>
    <t>01:46:57.192000</t>
  </si>
  <si>
    <t>01:47:11.192000</t>
  </si>
  <si>
    <t>00:09:35.171000</t>
  </si>
  <si>
    <t>00:09:25.171000</t>
  </si>
  <si>
    <t>00:09:39.171000</t>
  </si>
  <si>
    <t>00:13:45.936000</t>
  </si>
  <si>
    <t>00:13:35.936000</t>
  </si>
  <si>
    <t>00:13:49.936000</t>
  </si>
  <si>
    <t>00:15:03.368000</t>
  </si>
  <si>
    <t>00:14:53.368000</t>
  </si>
  <si>
    <t>00:25:14.066000</t>
  </si>
  <si>
    <t>00:25:04.066000</t>
  </si>
  <si>
    <t>00:25:18.066000</t>
  </si>
  <si>
    <t>00:26:40.820000</t>
  </si>
  <si>
    <t>00:26:30.820000</t>
  </si>
  <si>
    <t>00:26:44.820000</t>
  </si>
  <si>
    <t>00:39:21.285000</t>
  </si>
  <si>
    <t>00:39:11.285000</t>
  </si>
  <si>
    <t>00:39:25.285000</t>
  </si>
  <si>
    <t>00:39:56.890000</t>
  </si>
  <si>
    <t>00:39:49.890000</t>
  </si>
  <si>
    <t>00:40:01.890000</t>
  </si>
  <si>
    <t>00:51:29.079000</t>
  </si>
  <si>
    <t>00:51:19.079000</t>
  </si>
  <si>
    <t>00:51:33.079000</t>
  </si>
  <si>
    <t>00:53:54.459000</t>
  </si>
  <si>
    <t>00:53:44.459000</t>
  </si>
  <si>
    <t>00:53:58.459000</t>
  </si>
  <si>
    <t>00:54:17.581000</t>
  </si>
  <si>
    <t>00:54:07.581000</t>
  </si>
  <si>
    <t>00:54:21.581000</t>
  </si>
  <si>
    <t>00:57:20.216000</t>
  </si>
  <si>
    <t>00:57:10.216000</t>
  </si>
  <si>
    <t>00:57:24.216000</t>
  </si>
  <si>
    <t>00:58:19.142000</t>
  </si>
  <si>
    <t>00:58:09.142000</t>
  </si>
  <si>
    <t>00:58:23.142000</t>
  </si>
  <si>
    <t>00:59:07.874000</t>
  </si>
  <si>
    <t>00:58:57.874000</t>
  </si>
  <si>
    <t>00:59:11.874000</t>
  </si>
  <si>
    <t>01:20:42.541000</t>
  </si>
  <si>
    <t>01:20:32.541000</t>
  </si>
  <si>
    <t>01:20:46.541000</t>
  </si>
  <si>
    <t>01:21:16.090000</t>
  </si>
  <si>
    <t>01:21:06.090000</t>
  </si>
  <si>
    <t>01:21:20.090000</t>
  </si>
  <si>
    <t>01:24:06.503000</t>
  </si>
  <si>
    <t>01:23:56.503000</t>
  </si>
  <si>
    <t>01:24:10.503000</t>
  </si>
  <si>
    <t>01:24:38.155000</t>
  </si>
  <si>
    <t>01:24:28.155000</t>
  </si>
  <si>
    <t>01:24:42.155000</t>
  </si>
  <si>
    <t>01:28:24.063000</t>
  </si>
  <si>
    <t>01:28:14.063000</t>
  </si>
  <si>
    <t>01:28:28.063000</t>
  </si>
  <si>
    <t>01:33:27.341000</t>
  </si>
  <si>
    <t>01:33:17.341000</t>
  </si>
  <si>
    <t>01:33:31.341000</t>
  </si>
  <si>
    <t>01:36:34.696000</t>
  </si>
  <si>
    <t>01:36:24.696000</t>
  </si>
  <si>
    <t>01:36:38.696000</t>
  </si>
  <si>
    <t>01:43:10.223000</t>
  </si>
  <si>
    <t>01:43:00.223000</t>
  </si>
  <si>
    <t>01:43:14.223000</t>
  </si>
  <si>
    <t>01:43:59.428000</t>
  </si>
  <si>
    <t>01:43:49.428000</t>
  </si>
  <si>
    <t>01:44:03.428000</t>
  </si>
  <si>
    <t>01:45:08.763000</t>
  </si>
  <si>
    <t>01:44:58.763000</t>
  </si>
  <si>
    <t>01:45:12.763000</t>
  </si>
  <si>
    <t>01:51:43.979000</t>
  </si>
  <si>
    <t>01:51:33.979000</t>
  </si>
  <si>
    <t>01:51:47.979000</t>
  </si>
  <si>
    <t>01:55:31.916000</t>
  </si>
  <si>
    <t>01:55:21.916000</t>
  </si>
  <si>
    <t>01:55:35.916000</t>
  </si>
  <si>
    <t>01:56:00.894000</t>
  </si>
  <si>
    <t>01:55:50.894000</t>
  </si>
  <si>
    <t>01:56:04.894000</t>
  </si>
  <si>
    <t>KICK OUR 030</t>
  </si>
  <si>
    <t>01:59:17.258000</t>
  </si>
  <si>
    <t>01:59:07.258000</t>
  </si>
  <si>
    <t>01:59:21.258000</t>
  </si>
  <si>
    <t>KICK OUR 032</t>
  </si>
  <si>
    <t>KICK OUR 031</t>
  </si>
  <si>
    <t>00:07:48.065000</t>
  </si>
  <si>
    <t>00:07:38.065000</t>
  </si>
  <si>
    <t>00:07:52.065000</t>
  </si>
  <si>
    <t>00:09:07.651000</t>
  </si>
  <si>
    <t>00:08:57.651000</t>
  </si>
  <si>
    <t>00:09:11.651000</t>
  </si>
  <si>
    <t>00:12:16.846000</t>
  </si>
  <si>
    <t>00:12:06.846000</t>
  </si>
  <si>
    <t>00:12:20.846000</t>
  </si>
  <si>
    <t>00:15:06.563000</t>
  </si>
  <si>
    <t>00:14:56.563000</t>
  </si>
  <si>
    <t>00:15:10.563000</t>
  </si>
  <si>
    <t>00:16:10.830000</t>
  </si>
  <si>
    <t>00:16:00.830000</t>
  </si>
  <si>
    <t>00:16:14.830000</t>
  </si>
  <si>
    <t>00:16:34.299000</t>
  </si>
  <si>
    <t>00:16:24.299000</t>
  </si>
  <si>
    <t>00:16:38.299000</t>
  </si>
  <si>
    <t>00:17:25.889000</t>
  </si>
  <si>
    <t>00:17:15.889000</t>
  </si>
  <si>
    <t>00:17:29.889000</t>
  </si>
  <si>
    <t>00:21:40.864000</t>
  </si>
  <si>
    <t>00:21:30.864000</t>
  </si>
  <si>
    <t>00:21:44.864000</t>
  </si>
  <si>
    <t>00:22:53.043000</t>
  </si>
  <si>
    <t>00:22:43.043000</t>
  </si>
  <si>
    <t>00:22:57.043000</t>
  </si>
  <si>
    <t>00:30:15.756000</t>
  </si>
  <si>
    <t>00:30:05.756000</t>
  </si>
  <si>
    <t>00:30:19.756000</t>
  </si>
  <si>
    <t>00:30:55.955000</t>
  </si>
  <si>
    <t>00:30:45.955000</t>
  </si>
  <si>
    <t>00:30:59.955000</t>
  </si>
  <si>
    <t>00:32:55.065000</t>
  </si>
  <si>
    <t>00:32:45.065000</t>
  </si>
  <si>
    <t>00:32:59.065000</t>
  </si>
  <si>
    <t>00:34:18.804000</t>
  </si>
  <si>
    <t>00:34:08.804000</t>
  </si>
  <si>
    <t>00:34:22.804000</t>
  </si>
  <si>
    <t>00:36:26.438000</t>
  </si>
  <si>
    <t>00:36:16.438000</t>
  </si>
  <si>
    <t>00:36:30.438000</t>
  </si>
  <si>
    <t>00:40:23.577000</t>
  </si>
  <si>
    <t>00:40:13.577000</t>
  </si>
  <si>
    <t>00:40:27.577000</t>
  </si>
  <si>
    <t>01:02:35.359000</t>
  </si>
  <si>
    <t>01:02:25.359000</t>
  </si>
  <si>
    <t>01:02:39.359000</t>
  </si>
  <si>
    <t>01:04:25.168000</t>
  </si>
  <si>
    <t>01:04:15.168000</t>
  </si>
  <si>
    <t>01:04:29.168000</t>
  </si>
  <si>
    <t>01:06:36.632000</t>
  </si>
  <si>
    <t>01:06:26.632000</t>
  </si>
  <si>
    <t>01:06:40.632000</t>
  </si>
  <si>
    <t>01:07:20.732000</t>
  </si>
  <si>
    <t>01:07:10.732000</t>
  </si>
  <si>
    <t>01:07:24.732000</t>
  </si>
  <si>
    <t>01:13:09.562000</t>
  </si>
  <si>
    <t>01:12:59.562000</t>
  </si>
  <si>
    <t>01:13:13.562000</t>
  </si>
  <si>
    <t>01:14:19.412000</t>
  </si>
  <si>
    <t>01:14:09.412000</t>
  </si>
  <si>
    <t>01:14:23.412000</t>
  </si>
  <si>
    <t>01:16:20.070000</t>
  </si>
  <si>
    <t>01:16:10.070000</t>
  </si>
  <si>
    <t>01:16:24.070000</t>
  </si>
  <si>
    <t>01:16:39.051000</t>
  </si>
  <si>
    <t>01:16:29.051000</t>
  </si>
  <si>
    <t>01:16:43.051000</t>
  </si>
  <si>
    <t>01:19:25.371000</t>
  </si>
  <si>
    <t>01:19:15.371000</t>
  </si>
  <si>
    <t>01:19:29.371000</t>
  </si>
  <si>
    <t>01:22:46.565000</t>
  </si>
  <si>
    <t>01:22:36.565000</t>
  </si>
  <si>
    <t>01:22:50.565000</t>
  </si>
  <si>
    <t>01:25:20.176000</t>
  </si>
  <si>
    <t>01:25:10.176000</t>
  </si>
  <si>
    <t>01:25:24.176000</t>
  </si>
  <si>
    <t>01:33:00.897000</t>
  </si>
  <si>
    <t>01:32:50.897000</t>
  </si>
  <si>
    <t>01:33:04.897000</t>
  </si>
  <si>
    <t>KICK OUR 033</t>
  </si>
  <si>
    <t>01:41:20.997000</t>
  </si>
  <si>
    <t>01:41:10.997000</t>
  </si>
  <si>
    <t>01:41:24.997000</t>
  </si>
  <si>
    <t>00:02:20.085000</t>
  </si>
  <si>
    <t>00:02:10.085000</t>
  </si>
  <si>
    <t>00:02:24.085000</t>
  </si>
  <si>
    <t>00:03:19.496000</t>
  </si>
  <si>
    <t>00:03:09.496000</t>
  </si>
  <si>
    <t>00:03:23.496000</t>
  </si>
  <si>
    <t>00:08:33.384000</t>
  </si>
  <si>
    <t>00:08:23.384000</t>
  </si>
  <si>
    <t>00:08:37.384000</t>
  </si>
  <si>
    <t>00:08:53.607000</t>
  </si>
  <si>
    <t>00:08:43.607000</t>
  </si>
  <si>
    <t>00:08:57.607000</t>
  </si>
  <si>
    <t>00:09:18.894000</t>
  </si>
  <si>
    <t>00:09:08.894000</t>
  </si>
  <si>
    <t>00:09:22.894000</t>
  </si>
  <si>
    <t>00:13:17.934000</t>
  </si>
  <si>
    <t>00:13:07.934000</t>
  </si>
  <si>
    <t>00:13:21.934000</t>
  </si>
  <si>
    <t>00:28:40.488000</t>
  </si>
  <si>
    <t>00:28:30.488000</t>
  </si>
  <si>
    <t>00:28:44.488000</t>
  </si>
  <si>
    <t>00:28:56.671000</t>
  </si>
  <si>
    <t>00:28:46.671000</t>
  </si>
  <si>
    <t>00:29:00.671000</t>
  </si>
  <si>
    <t>00:39:16.793000</t>
  </si>
  <si>
    <t>00:39:06.793000</t>
  </si>
  <si>
    <t>00:39:20.793000</t>
  </si>
  <si>
    <t>00:41:15.175000</t>
  </si>
  <si>
    <t>00:41:05.175000</t>
  </si>
  <si>
    <t>00:41:19.175000</t>
  </si>
  <si>
    <t>01:02:27.748000</t>
  </si>
  <si>
    <t>01:02:17.748000</t>
  </si>
  <si>
    <t>01:02:31.748000</t>
  </si>
  <si>
    <t>01:04:33.208000</t>
  </si>
  <si>
    <t>01:04:23.208000</t>
  </si>
  <si>
    <t>01:04:37.208000</t>
  </si>
  <si>
    <t>01:08:03.878000</t>
  </si>
  <si>
    <t>01:07:53.878000</t>
  </si>
  <si>
    <t>01:08:07.878000</t>
  </si>
  <si>
    <t>01:11:19.116000</t>
  </si>
  <si>
    <t>01:11:09.116000</t>
  </si>
  <si>
    <t>01:11:23.116000</t>
  </si>
  <si>
    <t>01:16:27.419000</t>
  </si>
  <si>
    <t>01:16:17.419000</t>
  </si>
  <si>
    <t>01:16:31.419000</t>
  </si>
  <si>
    <t>01:16:51.935000</t>
  </si>
  <si>
    <t>01:16:41.935000</t>
  </si>
  <si>
    <t>01:16:55.935000</t>
  </si>
  <si>
    <t>KICK OPP 024</t>
  </si>
  <si>
    <t>01:25:08.419000</t>
  </si>
  <si>
    <t>01:24:58.419000</t>
  </si>
  <si>
    <t>01:25:12.419000</t>
  </si>
  <si>
    <t>KICK OPP 026</t>
  </si>
  <si>
    <t>01:26:30.645000</t>
  </si>
  <si>
    <t>01:26:20.645000</t>
  </si>
  <si>
    <t>01:26:34.645000</t>
  </si>
  <si>
    <t>KICK OPP 025</t>
  </si>
  <si>
    <t>KICK OPP 027</t>
  </si>
  <si>
    <t>01:27:20.641000</t>
  </si>
  <si>
    <t>01:27:10.641000</t>
  </si>
  <si>
    <t>01:27:24.641000</t>
  </si>
  <si>
    <t>KICK OPP 029</t>
  </si>
  <si>
    <t>01:29:19.746000</t>
  </si>
  <si>
    <t>01:29:09.746000</t>
  </si>
  <si>
    <t>01:29:23.746000</t>
  </si>
  <si>
    <t>KICK OPP 028</t>
  </si>
  <si>
    <t>KICK OPP 030</t>
  </si>
  <si>
    <t>01:30:06.187000</t>
  </si>
  <si>
    <t>01:29:56.187000</t>
  </si>
  <si>
    <t>01:30:10.187000</t>
  </si>
  <si>
    <t>KICK OPP 031</t>
  </si>
  <si>
    <t>KICK OPP 032</t>
  </si>
  <si>
    <t>01:33:39.894000</t>
  </si>
  <si>
    <t>01:33:29.894000</t>
  </si>
  <si>
    <t>01:33:43.894000</t>
  </si>
  <si>
    <t>KICK OPP 033</t>
  </si>
  <si>
    <t>01:37:24.202000</t>
  </si>
  <si>
    <t>01:37:14.202000</t>
  </si>
  <si>
    <t>01:37:28.202000</t>
  </si>
  <si>
    <t>KICK OPP 034</t>
  </si>
  <si>
    <t>01:40:20.938000</t>
  </si>
  <si>
    <t>01:40:10.938000</t>
  </si>
  <si>
    <t>01:40:24.938000</t>
  </si>
  <si>
    <t>KICK OPP 035</t>
  </si>
  <si>
    <t>01:45:16.300000</t>
  </si>
  <si>
    <t>01:45:06.300000</t>
  </si>
  <si>
    <t>01:45:20.300000</t>
  </si>
  <si>
    <t>00:11:06.252000</t>
  </si>
  <si>
    <t>00:10:56.252000</t>
  </si>
  <si>
    <t>00:11:10.252000</t>
  </si>
  <si>
    <t>00:17:44.152000</t>
  </si>
  <si>
    <t>00:17:34.152000</t>
  </si>
  <si>
    <t>00:17:48.152000</t>
  </si>
  <si>
    <t>00:22:22.100000</t>
  </si>
  <si>
    <t>00:22:12.100000</t>
  </si>
  <si>
    <t>00:22:26.100000</t>
  </si>
  <si>
    <t>00:23:15.333000</t>
  </si>
  <si>
    <t>00:23:05.333000</t>
  </si>
  <si>
    <t>00:23:19.333000</t>
  </si>
  <si>
    <t>00:31:12.836000</t>
  </si>
  <si>
    <t>00:31:02.836000</t>
  </si>
  <si>
    <t>00:31:16.836000</t>
  </si>
  <si>
    <t>00:32:43.529000</t>
  </si>
  <si>
    <t>00:32:33.529000</t>
  </si>
  <si>
    <t>00:32:47.529000</t>
  </si>
  <si>
    <t>00:33:50.068000</t>
  </si>
  <si>
    <t>00:33:40.068000</t>
  </si>
  <si>
    <t>00:33:54.068000</t>
  </si>
  <si>
    <t>00:38:31.150000</t>
  </si>
  <si>
    <t>00:38:21.150000</t>
  </si>
  <si>
    <t>00:38:35.150000</t>
  </si>
  <si>
    <t>00:38:55.005000</t>
  </si>
  <si>
    <t>00:38:45.005000</t>
  </si>
  <si>
    <t>00:38:59.005000</t>
  </si>
  <si>
    <t>00:40:05.522000</t>
  </si>
  <si>
    <t>00:39:55.522000</t>
  </si>
  <si>
    <t>00:40:09.522000</t>
  </si>
  <si>
    <t>00:40:12.965000</t>
  </si>
  <si>
    <t>00:40:02.965000</t>
  </si>
  <si>
    <t>00:40:16.965000</t>
  </si>
  <si>
    <t>00:42:03.405000</t>
  </si>
  <si>
    <t>00:41:53.405000</t>
  </si>
  <si>
    <t>00:42:07.405000</t>
  </si>
  <si>
    <t>00:49:29.654000</t>
  </si>
  <si>
    <t>00:49:19.654000</t>
  </si>
  <si>
    <t>00:49:33.654000</t>
  </si>
  <si>
    <t>00:53:46.711000</t>
  </si>
  <si>
    <t>00:53:36.711000</t>
  </si>
  <si>
    <t>00:53:50.711000</t>
  </si>
  <si>
    <t>01:14:30.090000</t>
  </si>
  <si>
    <t>01:14:20.090000</t>
  </si>
  <si>
    <t>01:14:34.090000</t>
  </si>
  <si>
    <t>01:16:37.050000</t>
  </si>
  <si>
    <t>01:16:27.050000</t>
  </si>
  <si>
    <t>01:16:41.050000</t>
  </si>
  <si>
    <t>01:18:16.079000</t>
  </si>
  <si>
    <t>01:18:06.079000</t>
  </si>
  <si>
    <t>01:18:20.079000</t>
  </si>
  <si>
    <t>01:23:32.131000</t>
  </si>
  <si>
    <t>01:23:22.131000</t>
  </si>
  <si>
    <t>01:23:36.131000</t>
  </si>
  <si>
    <t>01:26:49.295000</t>
  </si>
  <si>
    <t>01:26:42.295000</t>
  </si>
  <si>
    <t>01:26:54.295000</t>
  </si>
  <si>
    <t>01:27:22.564000</t>
  </si>
  <si>
    <t>01:27:12.564000</t>
  </si>
  <si>
    <t>01:27:26.564000</t>
  </si>
  <si>
    <t>01:29:40.728000</t>
  </si>
  <si>
    <t>01:29:30.728000</t>
  </si>
  <si>
    <t>01:29:44.728000</t>
  </si>
  <si>
    <t>01:33:31.178000</t>
  </si>
  <si>
    <t>01:33:21.178000</t>
  </si>
  <si>
    <t>01:33:35.178000</t>
  </si>
  <si>
    <t>01:37:59.245000</t>
  </si>
  <si>
    <t>01:37:49.245000</t>
  </si>
  <si>
    <t>01:38:03.245000</t>
  </si>
  <si>
    <t>01:39:39.275000</t>
  </si>
  <si>
    <t>01:39:29.275000</t>
  </si>
  <si>
    <t>01:39:43.275000</t>
  </si>
  <si>
    <t>01:41:45.668000</t>
  </si>
  <si>
    <t>01:41:35.668000</t>
  </si>
  <si>
    <t>01:41:49.668000</t>
  </si>
  <si>
    <t>01:45:50.578000</t>
  </si>
  <si>
    <t>01:45:40.578000</t>
  </si>
  <si>
    <t>01:45:54.578000</t>
  </si>
  <si>
    <t>01:50:51.400000</t>
  </si>
  <si>
    <t>01:50:41.400000</t>
  </si>
  <si>
    <t>01:50:55.400000</t>
  </si>
  <si>
    <t>01:51:52.592000</t>
  </si>
  <si>
    <t>01:51:42.592000</t>
  </si>
  <si>
    <t>01:51:56.592000</t>
  </si>
  <si>
    <t>KICK OUR 034</t>
  </si>
  <si>
    <t>01:58:28.767000</t>
  </si>
  <si>
    <t>01:58:18.767000</t>
  </si>
  <si>
    <t>01:58:32.767000</t>
  </si>
  <si>
    <t>KICK OUR 035</t>
  </si>
  <si>
    <t>02:05:56.521000</t>
  </si>
  <si>
    <t>02:05:46.521000</t>
  </si>
  <si>
    <t>02:06:00.521000</t>
  </si>
  <si>
    <t>KICK OUR 036</t>
  </si>
  <si>
    <t>02:06:37.719000</t>
  </si>
  <si>
    <t>02:06:27.719000</t>
  </si>
  <si>
    <t>02:06:41.719000</t>
  </si>
  <si>
    <t>00:09:43.931000</t>
  </si>
  <si>
    <t>00:09:33.931000</t>
  </si>
  <si>
    <t>00:09:47.931000</t>
  </si>
  <si>
    <t>00:23:49.831000</t>
  </si>
  <si>
    <t>00:23:39.831000</t>
  </si>
  <si>
    <t>00:23:53.831000</t>
  </si>
  <si>
    <t>00:32:06.136000</t>
  </si>
  <si>
    <t>00:31:56.136000</t>
  </si>
  <si>
    <t>00:32:10.136000</t>
  </si>
  <si>
    <t>00:38:21.467000</t>
  </si>
  <si>
    <t>00:38:11.467000</t>
  </si>
  <si>
    <t>00:38:25.467000</t>
  </si>
  <si>
    <t>00:38:43.354000</t>
  </si>
  <si>
    <t>00:38:33.354000</t>
  </si>
  <si>
    <t>00:38:47.354000</t>
  </si>
  <si>
    <t>00:38:46.460000</t>
  </si>
  <si>
    <t>00:38:36.460000</t>
  </si>
  <si>
    <t>00:38:50.460000</t>
  </si>
  <si>
    <t>00:46:06.798000</t>
  </si>
  <si>
    <t>00:45:56.798000</t>
  </si>
  <si>
    <t>00:46:10.798000</t>
  </si>
  <si>
    <t>00:54:56.392000</t>
  </si>
  <si>
    <t>00:54:46.392000</t>
  </si>
  <si>
    <t>00:55:00.392000</t>
  </si>
  <si>
    <t>01:16:42.298000</t>
  </si>
  <si>
    <t>01:16:32.298000</t>
  </si>
  <si>
    <t>01:16:46.298000</t>
  </si>
  <si>
    <t>01:17:17.674000</t>
  </si>
  <si>
    <t>01:17:07.674000</t>
  </si>
  <si>
    <t>01:17:21.674000</t>
  </si>
  <si>
    <t>01:22:10.912000</t>
  </si>
  <si>
    <t>01:22:00.912000</t>
  </si>
  <si>
    <t>01:22:14.912000</t>
  </si>
  <si>
    <t>01:23:23.081000</t>
  </si>
  <si>
    <t>01:23:13.081000</t>
  </si>
  <si>
    <t>01:23:27.081000</t>
  </si>
  <si>
    <t>01:24:10.245000</t>
  </si>
  <si>
    <t>01:24:00.245000</t>
  </si>
  <si>
    <t>01:24:14.245000</t>
  </si>
  <si>
    <t>01:40:57.054000</t>
  </si>
  <si>
    <t>01:40:47.054000</t>
  </si>
  <si>
    <t>01:41:01.054000</t>
  </si>
  <si>
    <t>01:42:23.595000</t>
  </si>
  <si>
    <t>01:42:13.595000</t>
  </si>
  <si>
    <t>01:42:27.595000</t>
  </si>
  <si>
    <t>01:44:23.835000</t>
  </si>
  <si>
    <t>01:44:13.835000</t>
  </si>
  <si>
    <t>01:44:27.835000</t>
  </si>
  <si>
    <t>01:44:35.698000</t>
  </si>
  <si>
    <t>01:44:25.698000</t>
  </si>
  <si>
    <t>01:44:39.698000</t>
  </si>
  <si>
    <t>01:45:23.011000</t>
  </si>
  <si>
    <t>01:45:13.011000</t>
  </si>
  <si>
    <t>01:45:27.011000</t>
  </si>
  <si>
    <t>01:51:26.006000</t>
  </si>
  <si>
    <t>01:51:16.006000</t>
  </si>
  <si>
    <t>01:51:30.006000</t>
  </si>
  <si>
    <t>02:04:10.957000</t>
  </si>
  <si>
    <t>02:04:00.957000</t>
  </si>
  <si>
    <t>02:04:14.957000</t>
  </si>
  <si>
    <t>CANCHA OUR 001</t>
  </si>
  <si>
    <t>00:10:08.623000</t>
  </si>
  <si>
    <t>00:10:07.623000</t>
  </si>
  <si>
    <t>00:10:16.425000</t>
  </si>
  <si>
    <t>CANCHA OUR 003</t>
  </si>
  <si>
    <t>00:11:28.856000</t>
  </si>
  <si>
    <t>00:11:27.856000</t>
  </si>
  <si>
    <t>00:11:34.414000</t>
  </si>
  <si>
    <t>CANCHA OUR 005</t>
  </si>
  <si>
    <t>00:12:21.833000</t>
  </si>
  <si>
    <t>CANCHA OUR 006</t>
  </si>
  <si>
    <t>00:12:51.642000</t>
  </si>
  <si>
    <t>00:14:07.988000</t>
  </si>
  <si>
    <t>CANCHA OUR 008</t>
  </si>
  <si>
    <t>00:19:41.017000</t>
  </si>
  <si>
    <t>00:19:50.352000</t>
  </si>
  <si>
    <t>CANCHA OUR 010</t>
  </si>
  <si>
    <t>00:23:11.142000</t>
  </si>
  <si>
    <t>00:23:10.142000</t>
  </si>
  <si>
    <t>00:23:19.396000</t>
  </si>
  <si>
    <t>CANCHA OUR 012</t>
  </si>
  <si>
    <t>00:23:36.050000</t>
  </si>
  <si>
    <t>00:23:41.429000</t>
  </si>
  <si>
    <t>CANCHA OUR 014</t>
  </si>
  <si>
    <t>00:24:39.614000</t>
  </si>
  <si>
    <t>00:25:14.342000</t>
  </si>
  <si>
    <t>CANCHA OUR 016</t>
  </si>
  <si>
    <t>00:27:12.030000</t>
  </si>
  <si>
    <t>00:27:27.330000</t>
  </si>
  <si>
    <t>CANCHA OUR 018</t>
  </si>
  <si>
    <t>00:29:09.066000</t>
  </si>
  <si>
    <t>00:29:39.262000</t>
  </si>
  <si>
    <t>CANCHA OUR 020</t>
  </si>
  <si>
    <t>00:35:06.498000</t>
  </si>
  <si>
    <t>00:35:34.283000</t>
  </si>
  <si>
    <t>CANCHA OUR 022</t>
  </si>
  <si>
    <t>00:35:47.454000</t>
  </si>
  <si>
    <t>00:36:03.115000</t>
  </si>
  <si>
    <t>CANCHA OUR 024</t>
  </si>
  <si>
    <t>00:36:53.487000</t>
  </si>
  <si>
    <t>00:38:17.044000</t>
  </si>
  <si>
    <t>CANCHA OUR 026</t>
  </si>
  <si>
    <t>00:39:05.812000</t>
  </si>
  <si>
    <t>00:40:18.486000</t>
  </si>
  <si>
    <t>CANCHA OUR 028</t>
  </si>
  <si>
    <t>00:42:41.222000</t>
  </si>
  <si>
    <t>00:43:25.029000</t>
  </si>
  <si>
    <t>CANCHA OUR 030</t>
  </si>
  <si>
    <t>00:44:18.023000</t>
  </si>
  <si>
    <t>00:44:17.023000</t>
  </si>
  <si>
    <t>00:44:31.272000</t>
  </si>
  <si>
    <t>CANCHA OUR 032</t>
  </si>
  <si>
    <t>00:47:58.043000</t>
  </si>
  <si>
    <t>00:47:57.043000</t>
  </si>
  <si>
    <t>00:48:25.382000</t>
  </si>
  <si>
    <t>CANCHA OUR 034</t>
  </si>
  <si>
    <t>00:48:39.812000</t>
  </si>
  <si>
    <t>00:48:47.180000</t>
  </si>
  <si>
    <t>CANCHA OUR 036</t>
  </si>
  <si>
    <t>00:52:23.227000</t>
  </si>
  <si>
    <t>00:52:57.990000</t>
  </si>
  <si>
    <t>CANCHA OUR 038</t>
  </si>
  <si>
    <t>01:07:22.054000</t>
  </si>
  <si>
    <t>01:07:21.054000</t>
  </si>
  <si>
    <t>01:07:46.025000</t>
  </si>
  <si>
    <t>CANCHA OUR 040</t>
  </si>
  <si>
    <t>01:08:21.054000</t>
  </si>
  <si>
    <t>01:08:27.546000</t>
  </si>
  <si>
    <t>CANCHA OUR 042</t>
  </si>
  <si>
    <t>01:08:26.546000</t>
  </si>
  <si>
    <t>01:08:38.447000</t>
  </si>
  <si>
    <t>CANCHA OUR 044</t>
  </si>
  <si>
    <t>01:08:43.661000</t>
  </si>
  <si>
    <t>01:08:54.503000</t>
  </si>
  <si>
    <t>CANCHA OUR 046</t>
  </si>
  <si>
    <t>01:10:20.595000</t>
  </si>
  <si>
    <t>01:10:27.845000</t>
  </si>
  <si>
    <t>CANCHA OUR 047</t>
  </si>
  <si>
    <t>01:12:19.989000</t>
  </si>
  <si>
    <t>01:12:18.989000</t>
  </si>
  <si>
    <t>01:12:28.040000</t>
  </si>
  <si>
    <t>CANCHA OUR 049</t>
  </si>
  <si>
    <t>01:14:17.710000</t>
  </si>
  <si>
    <t>01:14:29.448000</t>
  </si>
  <si>
    <t>CANCHA OUR 051</t>
  </si>
  <si>
    <t>01:15:14.962000</t>
  </si>
  <si>
    <t>01:15:13.962000</t>
  </si>
  <si>
    <t>01:15:26.132000</t>
  </si>
  <si>
    <t>CANCHA OUR 053</t>
  </si>
  <si>
    <t>01:17:57.425000</t>
  </si>
  <si>
    <t>01:17:56.425000</t>
  </si>
  <si>
    <t>01:18:14.513000</t>
  </si>
  <si>
    <t>CANCHA OUR 055</t>
  </si>
  <si>
    <t>01:19:02.873000</t>
  </si>
  <si>
    <t>01:19:26.371000</t>
  </si>
  <si>
    <t>CANCHA OUR 057</t>
  </si>
  <si>
    <t>01:19:37.821000</t>
  </si>
  <si>
    <t>01:19:52.391000</t>
  </si>
  <si>
    <t>CANCHA OUR 059</t>
  </si>
  <si>
    <t>01:22:49.219000</t>
  </si>
  <si>
    <t>01:23:08.414000</t>
  </si>
  <si>
    <t>CANCHA OUR 061</t>
  </si>
  <si>
    <t>01:23:12.735000</t>
  </si>
  <si>
    <t>01:23:11.735000</t>
  </si>
  <si>
    <t>01:23:41.651000</t>
  </si>
  <si>
    <t>CANCHA OUR 063</t>
  </si>
  <si>
    <t>01:24:43.288000</t>
  </si>
  <si>
    <t>01:24:42.288000</t>
  </si>
  <si>
    <t>01:24:47.155000</t>
  </si>
  <si>
    <t>CANCHA OUR 065</t>
  </si>
  <si>
    <t>01:26:10.872000</t>
  </si>
  <si>
    <t>CANCHA OUR 066</t>
  </si>
  <si>
    <t>01:29:04.531000</t>
  </si>
  <si>
    <t>01:29:25.061000</t>
  </si>
  <si>
    <t>CANCHA OUR 068</t>
  </si>
  <si>
    <t>01:29:32.676000</t>
  </si>
  <si>
    <t>CANCHA OUR 069</t>
  </si>
  <si>
    <t>01:30:45.368000</t>
  </si>
  <si>
    <t>01:31:14.622000</t>
  </si>
  <si>
    <t>CANCHA OUR 071</t>
  </si>
  <si>
    <t>01:31:55.345000</t>
  </si>
  <si>
    <t>01:32:07.495000</t>
  </si>
  <si>
    <t>CANCHA OUR 073</t>
  </si>
  <si>
    <t>01:32:32.520000</t>
  </si>
  <si>
    <t>01:32:53.207000</t>
  </si>
  <si>
    <t>CANCHA OUR 075</t>
  </si>
  <si>
    <t>01:34:24.844000</t>
  </si>
  <si>
    <t>01:34:23.844000</t>
  </si>
  <si>
    <t>01:34:30.907000</t>
  </si>
  <si>
    <t>CANCHA OUR 077</t>
  </si>
  <si>
    <t>01:35:14.022000</t>
  </si>
  <si>
    <t>01:35:13.022000</t>
  </si>
  <si>
    <t>01:35:18.787000</t>
  </si>
  <si>
    <t>CANCHA OUR 079</t>
  </si>
  <si>
    <t>01:37:48.169000</t>
  </si>
  <si>
    <t>01:37:47.169000</t>
  </si>
  <si>
    <t>01:37:58.796000</t>
  </si>
  <si>
    <t>CANCHA OUR 081</t>
  </si>
  <si>
    <t>01:38:39.964000</t>
  </si>
  <si>
    <t>01:38:38.964000</t>
  </si>
  <si>
    <t>01:39:00.668000</t>
  </si>
  <si>
    <t>CANCHA OUR 083</t>
  </si>
  <si>
    <t>01:41:35.983000</t>
  </si>
  <si>
    <t>01:41:34.983000</t>
  </si>
  <si>
    <t>01:41:59.368000</t>
  </si>
  <si>
    <t>CANCHA OUR 085</t>
  </si>
  <si>
    <t>01:46:20.990000</t>
  </si>
  <si>
    <t>01:46:19.990000</t>
  </si>
  <si>
    <t>01:46:29.129000</t>
  </si>
  <si>
    <t>CANCHA OUR 087</t>
  </si>
  <si>
    <t>01:46:47.944000</t>
  </si>
  <si>
    <t>01:46:46.944000</t>
  </si>
  <si>
    <t>01:46:59.012000</t>
  </si>
  <si>
    <t>CANCHA OUR 089</t>
  </si>
  <si>
    <t>01:47:08.531000</t>
  </si>
  <si>
    <t>01:47:35.067000</t>
  </si>
  <si>
    <t>CANCHA OUR 091</t>
  </si>
  <si>
    <t>01:49:44.660000</t>
  </si>
  <si>
    <t>01:50:48.989000</t>
  </si>
  <si>
    <t>CANCHA OUR 093</t>
  </si>
  <si>
    <t>01:51:28.582000</t>
  </si>
  <si>
    <t>01:51:27.582000</t>
  </si>
  <si>
    <t>01:51:55.672000</t>
  </si>
  <si>
    <t>CANCHA OUR 095</t>
  </si>
  <si>
    <t>01:52:07.898000</t>
  </si>
  <si>
    <t>01:52:35.608000</t>
  </si>
  <si>
    <t>CANCHA OUR 097</t>
  </si>
  <si>
    <t>01:52:08.223000</t>
  </si>
  <si>
    <t>01:53:08.268000</t>
  </si>
  <si>
    <t>CANCHA OUR 099</t>
  </si>
  <si>
    <t>01:53:58.964000</t>
  </si>
  <si>
    <t>01:54:10</t>
  </si>
  <si>
    <t>CANCHA OUR 101</t>
  </si>
  <si>
    <t>01:54:34.030000</t>
  </si>
  <si>
    <t>01:54:33.030000</t>
  </si>
  <si>
    <t>01:54:57.834000</t>
  </si>
  <si>
    <t>CANCHA OUR 103</t>
  </si>
  <si>
    <t>01:55:05.177000</t>
  </si>
  <si>
    <t>01:55:39.587000</t>
  </si>
  <si>
    <t>CANCHA OUR 105</t>
  </si>
  <si>
    <t>01:55:43.306000</t>
  </si>
  <si>
    <t>01:56:09.982000</t>
  </si>
  <si>
    <t>CANCHA OPP 002</t>
  </si>
  <si>
    <t>00:08:07.806000</t>
  </si>
  <si>
    <t>00:09:00.852000</t>
  </si>
  <si>
    <t>CANCHA OPP 003</t>
  </si>
  <si>
    <t>00:08:35.617000</t>
  </si>
  <si>
    <t>00:09:02.923000</t>
  </si>
  <si>
    <t>CANCHA OPP 004</t>
  </si>
  <si>
    <t>00:10:43.106000</t>
  </si>
  <si>
    <t>CANCHA OPP 006</t>
  </si>
  <si>
    <t>00:10:54.719000</t>
  </si>
  <si>
    <t>CANCHA OPP 005</t>
  </si>
  <si>
    <t>00:10:52.400000</t>
  </si>
  <si>
    <t>CANCHA OPP 007</t>
  </si>
  <si>
    <t>00:15:14.861000</t>
  </si>
  <si>
    <t>00:15:27.238000</t>
  </si>
  <si>
    <t>CANCHA OPP 009</t>
  </si>
  <si>
    <t>00:16:12.273000</t>
  </si>
  <si>
    <t>00:18:27.837000</t>
  </si>
  <si>
    <t>CANCHA OPP 011</t>
  </si>
  <si>
    <t>00:20:30.017000</t>
  </si>
  <si>
    <t>00:20:46.037000</t>
  </si>
  <si>
    <t>CANCHA OPP 013</t>
  </si>
  <si>
    <t>00:21:20.440000</t>
  </si>
  <si>
    <t>00:21:30.338000</t>
  </si>
  <si>
    <t>CANCHA OPP 015</t>
  </si>
  <si>
    <t>00:22:00.224000</t>
  </si>
  <si>
    <t>00:22:13.219000</t>
  </si>
  <si>
    <t>CANCHA OPP 019</t>
  </si>
  <si>
    <t>00:22:49.122000</t>
  </si>
  <si>
    <t>00:23:08.146000</t>
  </si>
  <si>
    <t>CANCHA OPP 017</t>
  </si>
  <si>
    <t>00:22:50.280000</t>
  </si>
  <si>
    <t>00:23:12.498000</t>
  </si>
  <si>
    <t>CANCHA OPP 021</t>
  </si>
  <si>
    <t>00:28:29.400000</t>
  </si>
  <si>
    <t>CANCHA OPP 023</t>
  </si>
  <si>
    <t>00:29:37.169000</t>
  </si>
  <si>
    <t>00:29:49.109000</t>
  </si>
  <si>
    <t>CANCHA OPP 025</t>
  </si>
  <si>
    <t>00:29:49.250000</t>
  </si>
  <si>
    <t>00:32:34.769000</t>
  </si>
  <si>
    <t>CANCHA OPP 027</t>
  </si>
  <si>
    <t>00:33:20.459000</t>
  </si>
  <si>
    <t>00:33:40.460000</t>
  </si>
  <si>
    <t>CANCHA OPP 029</t>
  </si>
  <si>
    <t>00:45:18.003000</t>
  </si>
  <si>
    <t>00:46:00.089000</t>
  </si>
  <si>
    <t>CANCHA OPP 031</t>
  </si>
  <si>
    <t>00:47:13.445000</t>
  </si>
  <si>
    <t>00:47:24.115000</t>
  </si>
  <si>
    <t>CANCHA OPP 033</t>
  </si>
  <si>
    <t>CANCHA OPP 035</t>
  </si>
  <si>
    <t>00:49:00.202000</t>
  </si>
  <si>
    <t>CANCHA OPP 037</t>
  </si>
  <si>
    <t>00:49:29.784000</t>
  </si>
  <si>
    <t>00:49:38.643000</t>
  </si>
  <si>
    <t>CANCHA OPP 039</t>
  </si>
  <si>
    <t>00:49:45.071000</t>
  </si>
  <si>
    <t>00:49:57.669000</t>
  </si>
  <si>
    <t>CANCHA OPP 041</t>
  </si>
  <si>
    <t>00:51:40.859000</t>
  </si>
  <si>
    <t>00:51:48.006000</t>
  </si>
  <si>
    <t>CANCHA OPP 043</t>
  </si>
  <si>
    <t>01:08:37.509000</t>
  </si>
  <si>
    <t>CANCHA OPP 045</t>
  </si>
  <si>
    <t>01:08:49.081000</t>
  </si>
  <si>
    <t>01:10:13.894000</t>
  </si>
  <si>
    <t>CANCHA OPP 047</t>
  </si>
  <si>
    <t>01:10:21.840000</t>
  </si>
  <si>
    <t>CANCHA OPP 046</t>
  </si>
  <si>
    <t>CANCHA OPP 048</t>
  </si>
  <si>
    <t>01:10:26.792000</t>
  </si>
  <si>
    <t>01:10:36.412000</t>
  </si>
  <si>
    <t>CANCHA OPP 050</t>
  </si>
  <si>
    <t>01:11:18.162000</t>
  </si>
  <si>
    <t>01:11:32.106000</t>
  </si>
  <si>
    <t>CANCHA OPP 052</t>
  </si>
  <si>
    <t>01:12:09.804000</t>
  </si>
  <si>
    <t>CANCHA OPP 054</t>
  </si>
  <si>
    <t>01:12:35.753000</t>
  </si>
  <si>
    <t>CANCHA OPP 056</t>
  </si>
  <si>
    <t>01:16:28.628000</t>
  </si>
  <si>
    <t>CANCHA OPP 058</t>
  </si>
  <si>
    <t>01:19:31.020000</t>
  </si>
  <si>
    <t>CANCHA OPP 060</t>
  </si>
  <si>
    <t>01:21:25.076000</t>
  </si>
  <si>
    <t>01:21:50.295000</t>
  </si>
  <si>
    <t>CANCHA OPP 062</t>
  </si>
  <si>
    <t>01:22:33.017000</t>
  </si>
  <si>
    <t>CANCHA OPP 064</t>
  </si>
  <si>
    <t>01:29:02.178000</t>
  </si>
  <si>
    <t>CANCHA OPP 066</t>
  </si>
  <si>
    <t>01:29:29.807000</t>
  </si>
  <si>
    <t>01:30:11.533000</t>
  </si>
  <si>
    <t>CANCHA OPP 068</t>
  </si>
  <si>
    <t>01:33:00.500000</t>
  </si>
  <si>
    <t>CANCHA OPP 070</t>
  </si>
  <si>
    <t>01:33:37.168000</t>
  </si>
  <si>
    <t>01:33:55.885000</t>
  </si>
  <si>
    <t>CANCHA OPP 071</t>
  </si>
  <si>
    <t>01:35:01.434000</t>
  </si>
  <si>
    <t>CANCHA OPP 072</t>
  </si>
  <si>
    <t>01:35:14.837000</t>
  </si>
  <si>
    <t>CANCHA OPP 074</t>
  </si>
  <si>
    <t>01:35:32.890000</t>
  </si>
  <si>
    <t>CANCHA OPP 076</t>
  </si>
  <si>
    <t>01:35:39.497000</t>
  </si>
  <si>
    <t>CANCHA OPP 075</t>
  </si>
  <si>
    <t>01:35:37.201000</t>
  </si>
  <si>
    <t>CANCHA OPP 077</t>
  </si>
  <si>
    <t>01:37:22.277000</t>
  </si>
  <si>
    <t>CANCHA OPP 079</t>
  </si>
  <si>
    <t>01:38:08.798000</t>
  </si>
  <si>
    <t>CANCHA OPP 081</t>
  </si>
  <si>
    <t>01:38:58.360000</t>
  </si>
  <si>
    <t>01:39:07.449000</t>
  </si>
  <si>
    <t>CANCHA OPP 083</t>
  </si>
  <si>
    <t>01:39:37.844000</t>
  </si>
  <si>
    <t>CANCHA OPP 085</t>
  </si>
  <si>
    <t>01:40:39.707000</t>
  </si>
  <si>
    <t>01:41:11.359000</t>
  </si>
  <si>
    <t>CANCHA OPP 086</t>
  </si>
  <si>
    <t>01:42:23.791000</t>
  </si>
  <si>
    <t>CANCHA OPP 088</t>
  </si>
  <si>
    <t>01:43:49.932000</t>
  </si>
  <si>
    <t>01:44:51.307000</t>
  </si>
  <si>
    <t>CANCHA OPP 090</t>
  </si>
  <si>
    <t>CANCHA OPP 092</t>
  </si>
  <si>
    <t>01:51:53.947000</t>
  </si>
  <si>
    <t>01:52:09.675000</t>
  </si>
  <si>
    <t>CANCHA OPP 094</t>
  </si>
  <si>
    <t>CANCHA OPP 001</t>
  </si>
  <si>
    <t>00:05:21.885000</t>
  </si>
  <si>
    <t>00:05:30.663000</t>
  </si>
  <si>
    <t>00:06:14.263000</t>
  </si>
  <si>
    <t>00:06:36.927000</t>
  </si>
  <si>
    <t>00:07:12.522000</t>
  </si>
  <si>
    <t>00:07:20.430000</t>
  </si>
  <si>
    <t>00:08:12.355000</t>
  </si>
  <si>
    <t>00:08:34.693000</t>
  </si>
  <si>
    <t>00:09:13.330000</t>
  </si>
  <si>
    <t>00:09:24.981000</t>
  </si>
  <si>
    <t>00:11:48.434000</t>
  </si>
  <si>
    <t>00:12:00.844000</t>
  </si>
  <si>
    <t>00:12:38.875000</t>
  </si>
  <si>
    <t>00:12:56.588000</t>
  </si>
  <si>
    <t>CANCHA OPP 008</t>
  </si>
  <si>
    <t>00:13:24.745000</t>
  </si>
  <si>
    <t>00:13:53.653000</t>
  </si>
  <si>
    <t>00:14:42.774000</t>
  </si>
  <si>
    <t>00:14:47.080000</t>
  </si>
  <si>
    <t>CANCHA OPP 010</t>
  </si>
  <si>
    <t>00:15:45.913000</t>
  </si>
  <si>
    <t>00:16:12.157000</t>
  </si>
  <si>
    <t>00:16:52.975000</t>
  </si>
  <si>
    <t>00:17:05.079000</t>
  </si>
  <si>
    <t>CANCHA OPP 012</t>
  </si>
  <si>
    <t>00:17:41.324000</t>
  </si>
  <si>
    <t>00:18:28.366000</t>
  </si>
  <si>
    <t>00:22:07.969000</t>
  </si>
  <si>
    <t>00:22:26.271000</t>
  </si>
  <si>
    <t>CANCHA OPP 014</t>
  </si>
  <si>
    <t>00:23:10.927000</t>
  </si>
  <si>
    <t>00:23:22.613000</t>
  </si>
  <si>
    <t>00:23:59.920000</t>
  </si>
  <si>
    <t>00:24:15.028000</t>
  </si>
  <si>
    <t>CANCHA OPP 016</t>
  </si>
  <si>
    <t>00:27:35.412000</t>
  </si>
  <si>
    <t>00:27:43.218000</t>
  </si>
  <si>
    <t>00:28:30.727000</t>
  </si>
  <si>
    <t>00:28:40.683000</t>
  </si>
  <si>
    <t>CANCHA OPP 018</t>
  </si>
  <si>
    <t>00:30:58.486000</t>
  </si>
  <si>
    <t>00:31:18.366000</t>
  </si>
  <si>
    <t>00:32:57.915000</t>
  </si>
  <si>
    <t>00:33:04.789000</t>
  </si>
  <si>
    <t>CANCHA OPP 020</t>
  </si>
  <si>
    <t>00:33:17.324000</t>
  </si>
  <si>
    <t>00:33:43.296000</t>
  </si>
  <si>
    <t>00:38:56.305000</t>
  </si>
  <si>
    <t>00:39:17.245000</t>
  </si>
  <si>
    <t>CANCHA OPP 022</t>
  </si>
  <si>
    <t>00:39:45.808000</t>
  </si>
  <si>
    <t>00:39:52.557000</t>
  </si>
  <si>
    <t>00:39:57.521000</t>
  </si>
  <si>
    <t>00:40:32.156000</t>
  </si>
  <si>
    <t>CANCHA OPP 024</t>
  </si>
  <si>
    <t>00:40:59.464000</t>
  </si>
  <si>
    <t>00:41:17.746000</t>
  </si>
  <si>
    <t>00:41:43.243000</t>
  </si>
  <si>
    <t>00:42:26.975000</t>
  </si>
  <si>
    <t>CANCHA OPP 026</t>
  </si>
  <si>
    <t>01:02:12.770000</t>
  </si>
  <si>
    <t>01:02:31.169000</t>
  </si>
  <si>
    <t>01:02:36.260000</t>
  </si>
  <si>
    <t>01:02:41.938000</t>
  </si>
  <si>
    <t>CANCHA OPP 028</t>
  </si>
  <si>
    <t>01:04:27.497000</t>
  </si>
  <si>
    <t>01:04:37.879000</t>
  </si>
  <si>
    <t>01:07:01.140000</t>
  </si>
  <si>
    <t>01:07:04.774000</t>
  </si>
  <si>
    <t>CANCHA OPP 030</t>
  </si>
  <si>
    <t>01:07:08.825000</t>
  </si>
  <si>
    <t>01:07:18.581000</t>
  </si>
  <si>
    <t>01:07:21.591000</t>
  </si>
  <si>
    <t>01:07:34.096000</t>
  </si>
  <si>
    <t>CANCHA OPP 032</t>
  </si>
  <si>
    <t>01:10:51.161000</t>
  </si>
  <si>
    <t>01:11:23.150000</t>
  </si>
  <si>
    <t>01:14:19.582000</t>
  </si>
  <si>
    <t>01:14:35.136000</t>
  </si>
  <si>
    <t>CANCHA OPP 034</t>
  </si>
  <si>
    <t>01:15:56.223000</t>
  </si>
  <si>
    <t>01:16:32.670000</t>
  </si>
  <si>
    <t>01:16:45.951000</t>
  </si>
  <si>
    <t>01:16:54.158000</t>
  </si>
  <si>
    <t>CANCHA OPP 036</t>
  </si>
  <si>
    <t>01:16:55.703000</t>
  </si>
  <si>
    <t>01:17:01.722000</t>
  </si>
  <si>
    <t>01:19:57.226000</t>
  </si>
  <si>
    <t>01:20:30.051000</t>
  </si>
  <si>
    <t>CANCHA OPP 038</t>
  </si>
  <si>
    <t>01:25:01.446000</t>
  </si>
  <si>
    <t>01:25:11.543000</t>
  </si>
  <si>
    <t>01:27:02.919000</t>
  </si>
  <si>
    <t>01:27:24.308000</t>
  </si>
  <si>
    <t>CANCHA OPP 040</t>
  </si>
  <si>
    <t>01:29:59.621000</t>
  </si>
  <si>
    <t>01:30:06.023000</t>
  </si>
  <si>
    <t>01:31:51.991000</t>
  </si>
  <si>
    <t>01:31:59.653000</t>
  </si>
  <si>
    <t>CANCHA OPP 042</t>
  </si>
  <si>
    <t>01:32:30.926000</t>
  </si>
  <si>
    <t>01:32:37.598000</t>
  </si>
  <si>
    <t>01:33:26.403000</t>
  </si>
  <si>
    <t>01:33:43.482000</t>
  </si>
  <si>
    <t>CANCHA OPP 044</t>
  </si>
  <si>
    <t>01:34:12.109000</t>
  </si>
  <si>
    <t>01:34:17.960000</t>
  </si>
  <si>
    <t>01:34:52.411000</t>
  </si>
  <si>
    <t>01:35:12.673000</t>
  </si>
  <si>
    <t>01:44:25.506000</t>
  </si>
  <si>
    <t>01:45:21.496000</t>
  </si>
  <si>
    <t>01:45:24.565000</t>
  </si>
  <si>
    <t>01:45:44.791000</t>
  </si>
  <si>
    <t>01:46:55.166000</t>
  </si>
  <si>
    <t>01:47:08.356000</t>
  </si>
  <si>
    <t>CANCHA OPP 049</t>
  </si>
  <si>
    <t>01:47:51.981000</t>
  </si>
  <si>
    <t>01:48:13.649000</t>
  </si>
  <si>
    <t>01:49:48.924000</t>
  </si>
  <si>
    <t>01:50:04.203000</t>
  </si>
  <si>
    <t>00:01:17.113000</t>
  </si>
  <si>
    <t>00:01:55.696000</t>
  </si>
  <si>
    <t>CANCHA OUR 002</t>
  </si>
  <si>
    <t>00:02:41.647000</t>
  </si>
  <si>
    <t>00:02:59.407000</t>
  </si>
  <si>
    <t>00:03:40.455000</t>
  </si>
  <si>
    <t>00:03:53.645000</t>
  </si>
  <si>
    <t>CANCHA OUR 004</t>
  </si>
  <si>
    <t>00:08:36.517000</t>
  </si>
  <si>
    <t>00:09:14.932000</t>
  </si>
  <si>
    <t>00:09:23.183000</t>
  </si>
  <si>
    <t>00:09:29.241000</t>
  </si>
  <si>
    <t>00:10:11.397000</t>
  </si>
  <si>
    <t>00:10:16.674000</t>
  </si>
  <si>
    <t>CANCHA OUR 007</t>
  </si>
  <si>
    <t>00:13:20.321000</t>
  </si>
  <si>
    <t>00:13:26.306000</t>
  </si>
  <si>
    <t>00:19:56.735000</t>
  </si>
  <si>
    <t>00:20:09.674000</t>
  </si>
  <si>
    <t>CANCHA OUR 009</t>
  </si>
  <si>
    <t>00:25:48.302000</t>
  </si>
  <si>
    <t>00:26:08.009000</t>
  </si>
  <si>
    <t>00:28:43.348000</t>
  </si>
  <si>
    <t>00:28:55.273000</t>
  </si>
  <si>
    <t>CANCHA OUR 011</t>
  </si>
  <si>
    <t>00:29:43.911000</t>
  </si>
  <si>
    <t>00:29:53.934000</t>
  </si>
  <si>
    <t>00:30:47.676000</t>
  </si>
  <si>
    <t>00:31:00.203000</t>
  </si>
  <si>
    <t>CANCHA OUR 013</t>
  </si>
  <si>
    <t>00:31:17.672000</t>
  </si>
  <si>
    <t>00:31:23.487000</t>
  </si>
  <si>
    <t>00:32:49.620000</t>
  </si>
  <si>
    <t>00:32:59.614000</t>
  </si>
  <si>
    <t>CANCHA OUR 015</t>
  </si>
  <si>
    <t>00:33:04.404000</t>
  </si>
  <si>
    <t>00:33:43.088000</t>
  </si>
  <si>
    <t>00:33:46.831000</t>
  </si>
  <si>
    <t>CANCHA OUR 017</t>
  </si>
  <si>
    <t>00:35:33.852000</t>
  </si>
  <si>
    <t>00:35:55.726000</t>
  </si>
  <si>
    <t>00:36:45.589000</t>
  </si>
  <si>
    <t>00:37:08.176000</t>
  </si>
  <si>
    <t>CANCHA OUR 019</t>
  </si>
  <si>
    <t>00:39:50.736000</t>
  </si>
  <si>
    <t>01:02:29.893000</t>
  </si>
  <si>
    <t>01:02:37.427000</t>
  </si>
  <si>
    <t>CANCHA OUR 021</t>
  </si>
  <si>
    <t>01:02:40.685000</t>
  </si>
  <si>
    <t>01:03:01.952000</t>
  </si>
  <si>
    <t>01:04:22.133000</t>
  </si>
  <si>
    <t>01:04:28.678000</t>
  </si>
  <si>
    <t>CANCHA OUR 023</t>
  </si>
  <si>
    <t>01:04:36.616000</t>
  </si>
  <si>
    <t>01:04:46.990000</t>
  </si>
  <si>
    <t>01:07:04.330000</t>
  </si>
  <si>
    <t>01:07:10.113000</t>
  </si>
  <si>
    <t>CANCHA OUR 025</t>
  </si>
  <si>
    <t>01:07:17.316000</t>
  </si>
  <si>
    <t>01:07:22.142000</t>
  </si>
  <si>
    <t>01:08:36.771000</t>
  </si>
  <si>
    <t>01:09:12.939000</t>
  </si>
  <si>
    <t>CANCHA OUR 027</t>
  </si>
  <si>
    <t>01:11:21.713000</t>
  </si>
  <si>
    <t>01:11:30.158000</t>
  </si>
  <si>
    <t>01:12:11.167000</t>
  </si>
  <si>
    <t>01:12:47.122000</t>
  </si>
  <si>
    <t>CANCHA OUR 029</t>
  </si>
  <si>
    <t>01:14:14.378000</t>
  </si>
  <si>
    <t>01:14:20.190000</t>
  </si>
  <si>
    <t>01:14:34.521000</t>
  </si>
  <si>
    <t>01:14:58.272000</t>
  </si>
  <si>
    <t>CANCHA OUR 031</t>
  </si>
  <si>
    <t>01:15:45.822000</t>
  </si>
  <si>
    <t>01:15:56.623000</t>
  </si>
  <si>
    <t>01:16:31.210000</t>
  </si>
  <si>
    <t>01:16:47.126000</t>
  </si>
  <si>
    <t>CANCHA OUR 033</t>
  </si>
  <si>
    <t>01:16:52.713000</t>
  </si>
  <si>
    <t>01:16:56.490000</t>
  </si>
  <si>
    <t>01:22:18.974000</t>
  </si>
  <si>
    <t>01:22:32.780000</t>
  </si>
  <si>
    <t>CANCHA OUR 035</t>
  </si>
  <si>
    <t>01:23:22.305000</t>
  </si>
  <si>
    <t>01:23:34.621000</t>
  </si>
  <si>
    <t>01:25:32.274000</t>
  </si>
  <si>
    <t>CANCHA OUR 037</t>
  </si>
  <si>
    <t>01:27:22.982000</t>
  </si>
  <si>
    <t>01:28:19.705000</t>
  </si>
  <si>
    <t>01:30:05.536000</t>
  </si>
  <si>
    <t>01:30:17.144000</t>
  </si>
  <si>
    <t>CANCHA OUR 039</t>
  </si>
  <si>
    <t>01:35:08.670000</t>
  </si>
  <si>
    <t>01:35:18.284000</t>
  </si>
  <si>
    <t>01:37:54.245000</t>
  </si>
  <si>
    <t>01:38:31.828000</t>
  </si>
  <si>
    <t>CANCHA OUR 041</t>
  </si>
  <si>
    <t>01:40:32.505000</t>
  </si>
  <si>
    <t>01:40:58.309000</t>
  </si>
  <si>
    <t>01:41:54.836000</t>
  </si>
  <si>
    <t>01:42:03.662000</t>
  </si>
  <si>
    <t>CANCHA OUR 043</t>
  </si>
  <si>
    <t>01:42:35.274000</t>
  </si>
  <si>
    <t>01:43:04.445000</t>
  </si>
  <si>
    <t>01:44:19.627000</t>
  </si>
  <si>
    <t>01:44:28.033000</t>
  </si>
  <si>
    <t>CANCHA OUR 045</t>
  </si>
  <si>
    <t>01:45:20.760000</t>
  </si>
  <si>
    <t>01:45:29.676000</t>
  </si>
  <si>
    <t>01:50:03.694000</t>
  </si>
  <si>
    <t>01:50:10.304000</t>
  </si>
  <si>
    <t>TRY DESDE OUR 001</t>
  </si>
  <si>
    <t>MULTI</t>
  </si>
  <si>
    <t>TRY DESDE OUR 002</t>
  </si>
  <si>
    <t>P&amp;G</t>
  </si>
  <si>
    <t>TRY DESDE OUR 003</t>
  </si>
  <si>
    <t>TRY DESDE OPP 001</t>
  </si>
  <si>
    <t>BREAKLINE</t>
  </si>
  <si>
    <t>TRY DESDE OPP 002</t>
  </si>
  <si>
    <t>TRY DESDE OPP 003</t>
  </si>
  <si>
    <t>T.PENAL</t>
  </si>
  <si>
    <t>TRY DESDE OPP 004</t>
  </si>
  <si>
    <t>TRY DESDE OUR 004</t>
  </si>
  <si>
    <t>TRY DESDE OUR 005</t>
  </si>
  <si>
    <t>DRIVE</t>
  </si>
  <si>
    <t>TRY DESDE OUR 006</t>
  </si>
  <si>
    <t>GOAL KICK OUR 001</t>
  </si>
  <si>
    <t>00:19:19.613000</t>
  </si>
  <si>
    <t>00:19:12.613000</t>
  </si>
  <si>
    <t>00:19:24.613000</t>
  </si>
  <si>
    <t>CONV OUT</t>
  </si>
  <si>
    <t>GOAL KICK OPP 001</t>
  </si>
  <si>
    <t>01:56:48.460000</t>
  </si>
  <si>
    <t>01:56:41.460000</t>
  </si>
  <si>
    <t>01:56:53.460000</t>
  </si>
  <si>
    <t>01:23:46.282000</t>
  </si>
  <si>
    <t>01:23:39.282000</t>
  </si>
  <si>
    <t>01:23:51.282000</t>
  </si>
  <si>
    <t>01:30:22.712000</t>
  </si>
  <si>
    <t>01:30:15.712000</t>
  </si>
  <si>
    <t>01:30:27.712000</t>
  </si>
  <si>
    <t>PENAL OUT</t>
  </si>
  <si>
    <t>GOAL KICK OUR 002</t>
  </si>
  <si>
    <t>01:39:45.785000</t>
  </si>
  <si>
    <t>01:39:38.785000</t>
  </si>
  <si>
    <t>01:39:50.785000</t>
  </si>
  <si>
    <t>01:35:12.483000</t>
  </si>
  <si>
    <t>01:35:05.483000</t>
  </si>
  <si>
    <t>01:35:17.483000</t>
  </si>
  <si>
    <t>00:41:06.817000</t>
  </si>
  <si>
    <t>00:40:59.817000</t>
  </si>
  <si>
    <t>00:41:11.817000</t>
  </si>
  <si>
    <t>DROP OUT</t>
  </si>
  <si>
    <t>00:38:16.887000</t>
  </si>
  <si>
    <t>00:38:09.887000</t>
  </si>
  <si>
    <t>00:38:21.887000</t>
  </si>
  <si>
    <t>00:51:15.561000</t>
  </si>
  <si>
    <t>00:51:08.561000</t>
  </si>
  <si>
    <t>00:51:20.561000</t>
  </si>
  <si>
    <t>GOAL KICK OUR 003</t>
  </si>
  <si>
    <t>01:56:10.933000</t>
  </si>
  <si>
    <t>01:56:03.933000</t>
  </si>
  <si>
    <t>01:56:15.933000</t>
  </si>
  <si>
    <t>01:21:09.499000</t>
  </si>
  <si>
    <t>01:21:02.499000</t>
  </si>
  <si>
    <t>01:21:14.499000</t>
  </si>
  <si>
    <t>GOAL KICK OPP 002</t>
  </si>
  <si>
    <t>02:00:42.314000</t>
  </si>
  <si>
    <t>02:00:35.314000</t>
  </si>
  <si>
    <t>02:00:47.314000</t>
  </si>
  <si>
    <t>KILLER INSTINT OUR 001</t>
  </si>
  <si>
    <t>KILLER INSTINT OUR 002</t>
  </si>
  <si>
    <t>KILLER INSTINT OUR 003</t>
  </si>
  <si>
    <t>01:11:35.184000</t>
  </si>
  <si>
    <t>01:11:00.184000</t>
  </si>
  <si>
    <t>01:11:45.184000</t>
  </si>
  <si>
    <t>LOST</t>
  </si>
  <si>
    <t>KILLER INSTINT OUR 004</t>
  </si>
  <si>
    <t>01:34:57.261000</t>
  </si>
  <si>
    <t>01:34:22.261000</t>
  </si>
  <si>
    <t>01:35:07.261000</t>
  </si>
  <si>
    <t>KILLER INSTINT OUR 005</t>
  </si>
  <si>
    <t>01:39:33.440000</t>
  </si>
  <si>
    <t>01:38:58.440000</t>
  </si>
  <si>
    <t>01:39:43.440000</t>
  </si>
  <si>
    <t>KILLER INSTINT OUR 006</t>
  </si>
  <si>
    <t>KILLER INSTINT OPP 001</t>
  </si>
  <si>
    <t>KILLER INSTINT OPP 002</t>
  </si>
  <si>
    <t>KILLER INSTINT OPP 003</t>
  </si>
  <si>
    <t>KILLER INSTINT OPP 004</t>
  </si>
  <si>
    <t>00:40:15.110000</t>
  </si>
  <si>
    <t>00:39:40.110000</t>
  </si>
  <si>
    <t>00:40:25.110000</t>
  </si>
  <si>
    <t>KILLER INSTINT OPP 005</t>
  </si>
  <si>
    <t>00:53:06.676000</t>
  </si>
  <si>
    <t>00:52:31.676000</t>
  </si>
  <si>
    <t>00:53:16.676000</t>
  </si>
  <si>
    <t>KILLER INSTINT OPP 006</t>
  </si>
  <si>
    <t>01:31:13.131000</t>
  </si>
  <si>
    <t>01:30:38.131000</t>
  </si>
  <si>
    <t>01:31:23.131000</t>
  </si>
  <si>
    <t>KILLER INSTINT OPP 007</t>
  </si>
  <si>
    <t>01:53:10.424000</t>
  </si>
  <si>
    <t>01:52:35.424000</t>
  </si>
  <si>
    <t>01:53:20.424000</t>
  </si>
  <si>
    <t>PENAL EC</t>
  </si>
  <si>
    <t>KILLER INSTINT OPP 008</t>
  </si>
  <si>
    <t>00:49:06.654000</t>
  </si>
  <si>
    <t>00:48:31.654000</t>
  </si>
  <si>
    <t>00:49:16.654000</t>
  </si>
  <si>
    <t>01:20:42.908000</t>
  </si>
  <si>
    <t>01:21:27.908000</t>
  </si>
  <si>
    <t>KILLER INSTINT OUR 007</t>
  </si>
  <si>
    <t>KILLER INSTINT OUR 008</t>
  </si>
  <si>
    <t>KILLER INSTINT OUR 009</t>
  </si>
  <si>
    <t>01:44:26.727000</t>
  </si>
  <si>
    <t>01:45:11.727000</t>
  </si>
  <si>
    <t>00:30:44.077000</t>
  </si>
  <si>
    <t>00:30:09.077000</t>
  </si>
  <si>
    <t>00:30:54.077000</t>
  </si>
  <si>
    <t>01:12:18.987000</t>
  </si>
  <si>
    <t>01:11:43.987000</t>
  </si>
  <si>
    <t>01:12:28.987000</t>
  </si>
  <si>
    <t>01:14:49.672000</t>
  </si>
  <si>
    <t>01:14:14.672000</t>
  </si>
  <si>
    <t>01:14:59.672000</t>
  </si>
  <si>
    <t>01:26:52.400000</t>
  </si>
  <si>
    <t>01:26:17.400000</t>
  </si>
  <si>
    <t>01:27:02.400000</t>
  </si>
  <si>
    <t>01:31:42.420000</t>
  </si>
  <si>
    <t>01:31:07.420000</t>
  </si>
  <si>
    <t>01:31:52.420000</t>
  </si>
  <si>
    <t>00:20:13.447000</t>
  </si>
  <si>
    <t>00:19:38.447000</t>
  </si>
  <si>
    <t>00:20:23.447000</t>
  </si>
  <si>
    <t>00:21:37.750000</t>
  </si>
  <si>
    <t>00:22:22.750000</t>
  </si>
  <si>
    <t>00:32:34.981000</t>
  </si>
  <si>
    <t>00:31:59.981000</t>
  </si>
  <si>
    <t>00:32:44.981000</t>
  </si>
  <si>
    <t>00:34:14.389000</t>
  </si>
  <si>
    <t>00:33:39.389000</t>
  </si>
  <si>
    <t>00:34:24.389000</t>
  </si>
  <si>
    <t>SCORE</t>
  </si>
  <si>
    <t>00:41:48.740000</t>
  </si>
  <si>
    <t>00:41:13.740000</t>
  </si>
  <si>
    <t>00:41:58.740000</t>
  </si>
  <si>
    <t>00:48:26.414000</t>
  </si>
  <si>
    <t>00:47:51.414000</t>
  </si>
  <si>
    <t>00:48:36.414000</t>
  </si>
  <si>
    <t>00:57:30.701000</t>
  </si>
  <si>
    <t>00:58:15.701000</t>
  </si>
  <si>
    <t>01:44:13.829000</t>
  </si>
  <si>
    <t>01:44:58.829000</t>
  </si>
  <si>
    <t>01:50:15.167000</t>
  </si>
  <si>
    <t>01:49:40.167000</t>
  </si>
  <si>
    <t>01:50:25.167000</t>
  </si>
  <si>
    <t>KILLER INSTINT OPP 009</t>
  </si>
  <si>
    <t>01:54:27.090000</t>
  </si>
  <si>
    <t>01:55:12.090000</t>
  </si>
  <si>
    <t>00:06:01.607000</t>
  </si>
  <si>
    <t>00:06:46.607000</t>
  </si>
  <si>
    <t>00:12:59.116000</t>
  </si>
  <si>
    <t>00:12:24.116000</t>
  </si>
  <si>
    <t>00:13:09.116000</t>
  </si>
  <si>
    <t>00:23:13.779000</t>
  </si>
  <si>
    <t>00:22:38.779000</t>
  </si>
  <si>
    <t>00:23:23.779000</t>
  </si>
  <si>
    <t>01:33:29.215000</t>
  </si>
  <si>
    <t>01:32:54.215000</t>
  </si>
  <si>
    <t>01:33:39.215000</t>
  </si>
  <si>
    <t>01:49:21.465000</t>
  </si>
  <si>
    <t>01:50:06.465000</t>
  </si>
  <si>
    <t>01:12:45.436000</t>
  </si>
  <si>
    <t>01:12:10.436000</t>
  </si>
  <si>
    <t>01:12:55.436000</t>
  </si>
  <si>
    <t>01:40:59.219000</t>
  </si>
  <si>
    <t>01:40:24.219000</t>
  </si>
  <si>
    <t>01:41:09.219000</t>
  </si>
  <si>
    <t>00:18:02.661000</t>
  </si>
  <si>
    <t>00:17:27.661000</t>
  </si>
  <si>
    <t>00:18:12.661000</t>
  </si>
  <si>
    <t>00:45:04.262000</t>
  </si>
  <si>
    <t>00:44:29.262000</t>
  </si>
  <si>
    <t>00:45:14.262000</t>
  </si>
  <si>
    <t>02:03:38.416000</t>
  </si>
  <si>
    <t>02:03:03.416000</t>
  </si>
  <si>
    <t>02:03:48.416000</t>
  </si>
  <si>
    <t>00:21:57.815000</t>
  </si>
  <si>
    <t>00:21:22.815000</t>
  </si>
  <si>
    <t>00:22:07.815000</t>
  </si>
  <si>
    <t>01:17:50.479000</t>
  </si>
  <si>
    <t>01:17:15.479000</t>
  </si>
  <si>
    <t>01:18:00.479000</t>
  </si>
  <si>
    <t>01:39:03.467000</t>
  </si>
  <si>
    <t>01:39:48.467000</t>
  </si>
  <si>
    <t>01:58:19.527000</t>
  </si>
  <si>
    <t>01:57:44.527000</t>
  </si>
  <si>
    <t>01:58:29.527000</t>
  </si>
  <si>
    <t>MAUL OPP 001</t>
  </si>
  <si>
    <t>00:10:32.388000</t>
  </si>
  <si>
    <t>00:10:28.388000</t>
  </si>
  <si>
    <t>00:10:37.329000</t>
  </si>
  <si>
    <t>MAUL OPP 002</t>
  </si>
  <si>
    <t>00:12:56.358000</t>
  </si>
  <si>
    <t>00:12:52.358000</t>
  </si>
  <si>
    <t>00:13:08.682000</t>
  </si>
  <si>
    <t>MAUL OPP 003</t>
  </si>
  <si>
    <t>00:39:07.442000</t>
  </si>
  <si>
    <t>00:39:03.442000</t>
  </si>
  <si>
    <t>00:39:09.899000</t>
  </si>
  <si>
    <t>MAUL OPP 004</t>
  </si>
  <si>
    <t>00:52:24.731000</t>
  </si>
  <si>
    <t>00:52:20.731000</t>
  </si>
  <si>
    <t>00:52:26.233000</t>
  </si>
  <si>
    <t>MAUL OPP 005</t>
  </si>
  <si>
    <t>01:24:46.892000</t>
  </si>
  <si>
    <t>01:24:42.892000</t>
  </si>
  <si>
    <t>01:24:48.654000</t>
  </si>
  <si>
    <t>MAUL OPP 006</t>
  </si>
  <si>
    <t>01:30:52.796000</t>
  </si>
  <si>
    <t>01:30:48.796000</t>
  </si>
  <si>
    <t>01:30:59.518000</t>
  </si>
  <si>
    <t>MAUL OUR 001</t>
  </si>
  <si>
    <t>00:16:18.629000</t>
  </si>
  <si>
    <t>00:16:14.629000</t>
  </si>
  <si>
    <t>00:16:35.524000</t>
  </si>
  <si>
    <t>MAUL OUR 002</t>
  </si>
  <si>
    <t>01:11:20.503000</t>
  </si>
  <si>
    <t>01:11:16.503000</t>
  </si>
  <si>
    <t>01:11:22.798000</t>
  </si>
  <si>
    <t>00:26:29.984000</t>
  </si>
  <si>
    <t>00:26:25.984000</t>
  </si>
  <si>
    <t>00:26:49.940000</t>
  </si>
  <si>
    <t>00:28:28.771000</t>
  </si>
  <si>
    <t>00:28:24.771000</t>
  </si>
  <si>
    <t>00:28:45.475000</t>
  </si>
  <si>
    <t>01:26:44.875000</t>
  </si>
  <si>
    <t>01:26:40.875000</t>
  </si>
  <si>
    <t>01:26:49.091000</t>
  </si>
  <si>
    <t>01:29:22.295000</t>
  </si>
  <si>
    <t>01:29:18.295000</t>
  </si>
  <si>
    <t>01:29:38.432000</t>
  </si>
  <si>
    <t>00:12:48.707000</t>
  </si>
  <si>
    <t>00:12:44.707000</t>
  </si>
  <si>
    <t>00:12:50.986000</t>
  </si>
  <si>
    <t>00:18:48.738000</t>
  </si>
  <si>
    <t>00:18:44.738000</t>
  </si>
  <si>
    <t>00:19:11.655000</t>
  </si>
  <si>
    <t>MAUL OUR 003</t>
  </si>
  <si>
    <t>00:41:11.422000</t>
  </si>
  <si>
    <t>00:41:07.422000</t>
  </si>
  <si>
    <t>00:41:24.975000</t>
  </si>
  <si>
    <t>MAUL OUR 004</t>
  </si>
  <si>
    <t>01:22:27.445000</t>
  </si>
  <si>
    <t>01:22:23.445000</t>
  </si>
  <si>
    <t>01:22:40.246000</t>
  </si>
  <si>
    <t>00:22:05.738000</t>
  </si>
  <si>
    <t>00:22:01.738000</t>
  </si>
  <si>
    <t>00:22:11.424000</t>
  </si>
  <si>
    <t>00:55:09.414000</t>
  </si>
  <si>
    <t>00:55:05.414000</t>
  </si>
  <si>
    <t>00:55:25.757000</t>
  </si>
  <si>
    <t>01:44:20.902000</t>
  </si>
  <si>
    <t>01:44:16.902000</t>
  </si>
  <si>
    <t>01:44:25.549000</t>
  </si>
  <si>
    <t>01:59:39.053000</t>
  </si>
  <si>
    <t>01:59:35.053000</t>
  </si>
  <si>
    <t>02:00:05.589000</t>
  </si>
  <si>
    <t>01:33:56.787000</t>
  </si>
  <si>
    <t>01:33:52.787000</t>
  </si>
  <si>
    <t>01:34:00.598000</t>
  </si>
  <si>
    <t>01:47:28.293000</t>
  </si>
  <si>
    <t>01:47:24.293000</t>
  </si>
  <si>
    <t>01:47:38.260000</t>
  </si>
  <si>
    <t>01:52:22.699000</t>
  </si>
  <si>
    <t>01:52:18.699000</t>
  </si>
  <si>
    <t>01:52:34.948000</t>
  </si>
  <si>
    <t>01:54:46.843000</t>
  </si>
  <si>
    <t>01:54:42.843000</t>
  </si>
  <si>
    <t>01:54:59.037000</t>
  </si>
  <si>
    <t>00:12:40.660000</t>
  </si>
  <si>
    <t>00:12:36.660000</t>
  </si>
  <si>
    <t>00:12:54.946000</t>
  </si>
  <si>
    <t>00:15:50.915000</t>
  </si>
  <si>
    <t>00:15:46.915000</t>
  </si>
  <si>
    <t>00:15:58.572000</t>
  </si>
  <si>
    <t>00:16:55.888000</t>
  </si>
  <si>
    <t>00:16:51.888000</t>
  </si>
  <si>
    <t>00:16:58.375000</t>
  </si>
  <si>
    <t>00:17:43.118000</t>
  </si>
  <si>
    <t>00:17:39.118000</t>
  </si>
  <si>
    <t>00:17:48.014000</t>
  </si>
  <si>
    <t>MAUL OUR 005</t>
  </si>
  <si>
    <t>01:19:59.537000</t>
  </si>
  <si>
    <t>01:19:55.537000</t>
  </si>
  <si>
    <t>01:20:18.857000</t>
  </si>
  <si>
    <t>00:01:18.015000</t>
  </si>
  <si>
    <t>00:01:14.015000</t>
  </si>
  <si>
    <t>00:01:54.485000</t>
  </si>
  <si>
    <t>00:02:42.180000</t>
  </si>
  <si>
    <t>00:02:38.180000</t>
  </si>
  <si>
    <t>00:02:54.333000</t>
  </si>
  <si>
    <t>00:03:41.615000</t>
  </si>
  <si>
    <t>00:03:37.615000</t>
  </si>
  <si>
    <t>00:03:51.710000</t>
  </si>
  <si>
    <t>00:29:46.921000</t>
  </si>
  <si>
    <t>00:29:42.921000</t>
  </si>
  <si>
    <t>00:29:52.792000</t>
  </si>
  <si>
    <t>00:36:49.252000</t>
  </si>
  <si>
    <t>00:36:45.252000</t>
  </si>
  <si>
    <t>00:37:06.994000</t>
  </si>
  <si>
    <t>01:37:54.881000</t>
  </si>
  <si>
    <t>01:37:50.881000</t>
  </si>
  <si>
    <t>01:38:08.957000</t>
  </si>
  <si>
    <t>MAUL OPP 007</t>
  </si>
  <si>
    <t>01:40:33.609000</t>
  </si>
  <si>
    <t>01:40:29.609000</t>
  </si>
  <si>
    <t>01:40:38.465000</t>
  </si>
  <si>
    <t>00:22:48.771000</t>
  </si>
  <si>
    <t>00:22:44.771000</t>
  </si>
  <si>
    <t>00:23:05.425000</t>
  </si>
  <si>
    <t>00:42:33.344000</t>
  </si>
  <si>
    <t>00:42:29.344000</t>
  </si>
  <si>
    <t>00:42:55.807000</t>
  </si>
  <si>
    <t>00:49:41.834000</t>
  </si>
  <si>
    <t>00:49:37.834000</t>
  </si>
  <si>
    <t>00:49:54.972000</t>
  </si>
  <si>
    <t>01:22:43.265000</t>
  </si>
  <si>
    <t>01:22:39.265000</t>
  </si>
  <si>
    <t>01:22:48.009000</t>
  </si>
  <si>
    <t>01:35:07.231000</t>
  </si>
  <si>
    <t>01:35:03.231000</t>
  </si>
  <si>
    <t>01:35:24.423000</t>
  </si>
  <si>
    <t>MAUL OUR 006</t>
  </si>
  <si>
    <t>01:37:35.034000</t>
  </si>
  <si>
    <t>01:37:31.034000</t>
  </si>
  <si>
    <t>01:37:48.379000</t>
  </si>
  <si>
    <t>00:24:11.215000</t>
  </si>
  <si>
    <t>00:24:07.215000</t>
  </si>
  <si>
    <t>00:24:26.726000</t>
  </si>
  <si>
    <t>00:25:10.582000</t>
  </si>
  <si>
    <t>00:25:06.582000</t>
  </si>
  <si>
    <t>00:25:25.376000</t>
  </si>
  <si>
    <t>00:28:25.809000</t>
  </si>
  <si>
    <t>00:28:21.809000</t>
  </si>
  <si>
    <t>00:28:32.284000</t>
  </si>
  <si>
    <t>00:33:19.881000</t>
  </si>
  <si>
    <t>00:33:15.881000</t>
  </si>
  <si>
    <t>00:33:25.830000</t>
  </si>
  <si>
    <t>01:17:35.619000</t>
  </si>
  <si>
    <t>01:17:31.619000</t>
  </si>
  <si>
    <t>01:17:48.730000</t>
  </si>
  <si>
    <t>01:59:07.360000</t>
  </si>
  <si>
    <t>01:59:03.360000</t>
  </si>
  <si>
    <t>01:59:26.548000</t>
  </si>
  <si>
    <t>KICK MALO OUR 001</t>
  </si>
  <si>
    <t>00:10:45.565000</t>
  </si>
  <si>
    <t>00:10:35.565000</t>
  </si>
  <si>
    <t>00:10:49.565000</t>
  </si>
  <si>
    <t>KICK MALO OUR 002</t>
  </si>
  <si>
    <t>KICK MALO OUR 003</t>
  </si>
  <si>
    <t>01:18:12.230000</t>
  </si>
  <si>
    <t>01:18:02.230000</t>
  </si>
  <si>
    <t>01:18:16.230000</t>
  </si>
  <si>
    <t>KICK MALO OUR 004</t>
  </si>
  <si>
    <t>01:21:36.687000</t>
  </si>
  <si>
    <t>01:21:26.687000</t>
  </si>
  <si>
    <t>01:21:40.687000</t>
  </si>
  <si>
    <t>KICK MALO OUR 005</t>
  </si>
  <si>
    <t>01:54:05.851000</t>
  </si>
  <si>
    <t>01:53:55.851000</t>
  </si>
  <si>
    <t>01:54:09.851000</t>
  </si>
  <si>
    <t>KICK MALO OPP 001</t>
  </si>
  <si>
    <t>00:07:01.925000</t>
  </si>
  <si>
    <t>00:06:51.925000</t>
  </si>
  <si>
    <t>00:07:05.925000</t>
  </si>
  <si>
    <t>KICK MALO OPP 002</t>
  </si>
  <si>
    <t>00:51:46.438000</t>
  </si>
  <si>
    <t>00:51:36.438000</t>
  </si>
  <si>
    <t>00:51:50.438000</t>
  </si>
  <si>
    <t>KICK MALO OPP 003</t>
  </si>
  <si>
    <t>01:14:43.996000</t>
  </si>
  <si>
    <t>01:14:33.996000</t>
  </si>
  <si>
    <t>01:14:47.996000</t>
  </si>
  <si>
    <t>KICK MALO OPP 004</t>
  </si>
  <si>
    <t>01:42:36.252000</t>
  </si>
  <si>
    <t>01:42:26.252000</t>
  </si>
  <si>
    <t>01:42:40.252000</t>
  </si>
  <si>
    <t>00:53:43.647000</t>
  </si>
  <si>
    <t>00:53:33.647000</t>
  </si>
  <si>
    <t>00:53:47.647000</t>
  </si>
  <si>
    <t>01:13:14.329000</t>
  </si>
  <si>
    <t>01:13:04.329000</t>
  </si>
  <si>
    <t>01:13:18.329000</t>
  </si>
  <si>
    <t>00:24:08.574000</t>
  </si>
  <si>
    <t>00:23:58.574000</t>
  </si>
  <si>
    <t>00:24:12.574000</t>
  </si>
  <si>
    <t>00:32:33.840000</t>
  </si>
  <si>
    <t>00:32:23.840000</t>
  </si>
  <si>
    <t>00:32:37.840000</t>
  </si>
  <si>
    <t>00:14:14.135000</t>
  </si>
  <si>
    <t>00:14:04.135000</t>
  </si>
  <si>
    <t>00:14:18.135000</t>
  </si>
  <si>
    <t>00:32:25.175000</t>
  </si>
  <si>
    <t>00:32:39.175000</t>
  </si>
  <si>
    <t>00:26:03.699000</t>
  </si>
  <si>
    <t>00:25:53.699000</t>
  </si>
  <si>
    <t>00:26:07.699000</t>
  </si>
  <si>
    <t>01:56:52.207000</t>
  </si>
  <si>
    <t>01:56:42.207000</t>
  </si>
  <si>
    <t>01:56:56.207000</t>
  </si>
  <si>
    <t>00:53:52.256000</t>
  </si>
  <si>
    <t>00:53:42.256000</t>
  </si>
  <si>
    <t>00:53:56.256000</t>
  </si>
  <si>
    <t>SANCION</t>
  </si>
  <si>
    <t>ROJA OUR 001</t>
  </si>
  <si>
    <t>01:48:58.258000</t>
  </si>
  <si>
    <t>01:48:48.258000</t>
  </si>
  <si>
    <t>01:49:02.258000</t>
  </si>
  <si>
    <t xml:space="preserve">20-Player 20 </t>
  </si>
  <si>
    <t>AMARILLA OUR 001</t>
  </si>
  <si>
    <t>00:29:11.907000</t>
  </si>
  <si>
    <t>00:29:01.907000</t>
  </si>
  <si>
    <t>00:29:16.907000</t>
  </si>
  <si>
    <t>AMARILLA OUR 002</t>
  </si>
  <si>
    <t>00:50:27.287000</t>
  </si>
  <si>
    <t>00:50:17.287000</t>
  </si>
  <si>
    <t>00:50:32.287000</t>
  </si>
  <si>
    <t xml:space="preserve">6-Player 6 </t>
  </si>
  <si>
    <t>AMARILLA OPP 001</t>
  </si>
  <si>
    <t>00:45:37.463000</t>
  </si>
  <si>
    <t>00:45:27.463000</t>
  </si>
  <si>
    <t>00:45:42.463000</t>
  </si>
  <si>
    <t>ROJA OPP 001</t>
  </si>
  <si>
    <t>00:45:32.378000</t>
  </si>
  <si>
    <t>00:45:22.378000</t>
  </si>
  <si>
    <t>00:45:37.378000</t>
  </si>
  <si>
    <t>ROJA OPP 002</t>
  </si>
  <si>
    <t>01:07:47.037000</t>
  </si>
  <si>
    <t>01:07:37.037000</t>
  </si>
  <si>
    <t>01:07:52.037000</t>
  </si>
  <si>
    <t>00:41:36.221000</t>
  </si>
  <si>
    <t>00:41:26.221000</t>
  </si>
  <si>
    <t>00:41:41.221000</t>
  </si>
  <si>
    <t>SITUACION</t>
  </si>
  <si>
    <t>TRANSICION</t>
  </si>
  <si>
    <t>PENAL OUR 001</t>
  </si>
  <si>
    <t>00:11:44.020000</t>
  </si>
  <si>
    <t>00:11:34.020000</t>
  </si>
  <si>
    <t>00:11:54.020000</t>
  </si>
  <si>
    <t>JUEGO_GENERAL</t>
  </si>
  <si>
    <t>DEFENSA</t>
  </si>
  <si>
    <t>PENAL OUR 002</t>
  </si>
  <si>
    <t>00:12:06.691000</t>
  </si>
  <si>
    <t>00:11:56.691000</t>
  </si>
  <si>
    <t>00:12:16.691000</t>
  </si>
  <si>
    <t>PENAL OUR 003</t>
  </si>
  <si>
    <t>00:25:10.851000</t>
  </si>
  <si>
    <t>00:25:00.851000</t>
  </si>
  <si>
    <t>00:25:20.851000</t>
  </si>
  <si>
    <t>ENPUJE_ANGULO_SCRUM</t>
  </si>
  <si>
    <t>PENAL OUR 004</t>
  </si>
  <si>
    <t>00:27:21.854000</t>
  </si>
  <si>
    <t>00:27:11.854000</t>
  </si>
  <si>
    <t>00:27:31.854000</t>
  </si>
  <si>
    <t>FORMACION_FIJA</t>
  </si>
  <si>
    <t>PENAL OUR 005</t>
  </si>
  <si>
    <t>00:38:15.019000</t>
  </si>
  <si>
    <t>00:38:05.019000</t>
  </si>
  <si>
    <t>00:38:25.019000</t>
  </si>
  <si>
    <t>DIVING_RUCK</t>
  </si>
  <si>
    <t>PENAL OUR 006</t>
  </si>
  <si>
    <t>00:49:35.338000</t>
  </si>
  <si>
    <t>00:49:25.338000</t>
  </si>
  <si>
    <t>00:49:45.338000</t>
  </si>
  <si>
    <t>OFFSIDE</t>
  </si>
  <si>
    <t>PENAL OUR 007</t>
  </si>
  <si>
    <t>00:51:47.096000</t>
  </si>
  <si>
    <t>00:51:37.096000</t>
  </si>
  <si>
    <t>00:51:57.096000</t>
  </si>
  <si>
    <t>ATAQUE</t>
  </si>
  <si>
    <t>PENAL OUR 008</t>
  </si>
  <si>
    <t>01:12:33.862000</t>
  </si>
  <si>
    <t>01:12:23.862000</t>
  </si>
  <si>
    <t>01:12:43.862000</t>
  </si>
  <si>
    <t>PENAL OUR 009</t>
  </si>
  <si>
    <t>01:30:05.253000</t>
  </si>
  <si>
    <t>01:29:55.253000</t>
  </si>
  <si>
    <t>01:30:15.253000</t>
  </si>
  <si>
    <t>OFF_FEET</t>
  </si>
  <si>
    <t>PENAL OUR 010</t>
  </si>
  <si>
    <t>01:30:08.215000</t>
  </si>
  <si>
    <t>01:29:58.215000</t>
  </si>
  <si>
    <t>01:30:18.215000</t>
  </si>
  <si>
    <t>DISCONFORMIDAD</t>
  </si>
  <si>
    <t>PENAL OUR 011</t>
  </si>
  <si>
    <t>01:47:07</t>
  </si>
  <si>
    <t>01:46:57</t>
  </si>
  <si>
    <t>01:47:17</t>
  </si>
  <si>
    <t>CARGA TARDIA</t>
  </si>
  <si>
    <t>PENAL OUR 012</t>
  </si>
  <si>
    <t>01:52:32.941000</t>
  </si>
  <si>
    <t>01:52:22.941000</t>
  </si>
  <si>
    <t>01:52:42.941000</t>
  </si>
  <si>
    <t>PENAL OUR 013</t>
  </si>
  <si>
    <t>01:55:32.548000</t>
  </si>
  <si>
    <t>01:55:22.548000</t>
  </si>
  <si>
    <t>01:55:42.548000</t>
  </si>
  <si>
    <t>NOT_REALISING_BC</t>
  </si>
  <si>
    <t>PENAL OPP 001</t>
  </si>
  <si>
    <t>00:15:28.145000</t>
  </si>
  <si>
    <t>00:15:18.145000</t>
  </si>
  <si>
    <t>00:15:38.145000</t>
  </si>
  <si>
    <t>PENAL OPP 002</t>
  </si>
  <si>
    <t>00:19:52.375000</t>
  </si>
  <si>
    <t>00:19:42.375000</t>
  </si>
  <si>
    <t>00:20:02.375000</t>
  </si>
  <si>
    <t>PENAL OPP 003</t>
  </si>
  <si>
    <t>00:32:16.160000</t>
  </si>
  <si>
    <t>00:32:06.160000</t>
  </si>
  <si>
    <t>00:32:26.160000</t>
  </si>
  <si>
    <t>PENAL OPP 004</t>
  </si>
  <si>
    <t>00:44:23.209000</t>
  </si>
  <si>
    <t>00:44:13.209000</t>
  </si>
  <si>
    <t>00:44:33.209000</t>
  </si>
  <si>
    <t>PENAL OPP 005</t>
  </si>
  <si>
    <t>01:10:34.884000</t>
  </si>
  <si>
    <t>01:10:24.884000</t>
  </si>
  <si>
    <t>01:10:44.884000</t>
  </si>
  <si>
    <t>PENAL OPP 006</t>
  </si>
  <si>
    <t>01:16:23.956000</t>
  </si>
  <si>
    <t>01:16:13.956000</t>
  </si>
  <si>
    <t>01:16:33.956000</t>
  </si>
  <si>
    <t>PENAL OPP 007</t>
  </si>
  <si>
    <t>01:26:12.865000</t>
  </si>
  <si>
    <t>01:26:02.865000</t>
  </si>
  <si>
    <t>01:26:22.865000</t>
  </si>
  <si>
    <t>HOLDING</t>
  </si>
  <si>
    <t>PENAL OPP 008</t>
  </si>
  <si>
    <t>01:50:49.454000</t>
  </si>
  <si>
    <t>01:50:39.454000</t>
  </si>
  <si>
    <t>01:50:59.454000</t>
  </si>
  <si>
    <t>PENAL OPP 009</t>
  </si>
  <si>
    <t>01:53:10.798000</t>
  </si>
  <si>
    <t>01:53:00.798000</t>
  </si>
  <si>
    <t>01:53:20.798000</t>
  </si>
  <si>
    <t>00:07:34.337000</t>
  </si>
  <si>
    <t>00:07:24.337000</t>
  </si>
  <si>
    <t>00:07:44.337000</t>
  </si>
  <si>
    <t>00:24:46.129000</t>
  </si>
  <si>
    <t>00:24:36.129000</t>
  </si>
  <si>
    <t>00:24:56.129000</t>
  </si>
  <si>
    <t>TACKLE</t>
  </si>
  <si>
    <t>00:26:45.020000</t>
  </si>
  <si>
    <t>00:26:35.020000</t>
  </si>
  <si>
    <t>00:26:55.020000</t>
  </si>
  <si>
    <t>SIDE_ENTRY</t>
  </si>
  <si>
    <t>00:28:56.746000</t>
  </si>
  <si>
    <t>00:28:46.746000</t>
  </si>
  <si>
    <t>00:29:06.746000</t>
  </si>
  <si>
    <t>00:31:38.819000</t>
  </si>
  <si>
    <t>00:31:28.819000</t>
  </si>
  <si>
    <t>00:31:48.819000</t>
  </si>
  <si>
    <t>00:50:20.723000</t>
  </si>
  <si>
    <t>00:50:10.723000</t>
  </si>
  <si>
    <t>00:50:30.723000</t>
  </si>
  <si>
    <t>01:04:46.672000</t>
  </si>
  <si>
    <t>01:04:36.672000</t>
  </si>
  <si>
    <t>01:04:56.672000</t>
  </si>
  <si>
    <t>01:09:03.671000</t>
  </si>
  <si>
    <t>01:08:53.671000</t>
  </si>
  <si>
    <t>01:09:13.671000</t>
  </si>
  <si>
    <t>01:10:29.902000</t>
  </si>
  <si>
    <t>01:10:19.902000</t>
  </si>
  <si>
    <t>01:10:39.902000</t>
  </si>
  <si>
    <t>01:25:30.445000</t>
  </si>
  <si>
    <t>01:25:20.445000</t>
  </si>
  <si>
    <t>01:25:40.445000</t>
  </si>
  <si>
    <t>OBSTRUCCION</t>
  </si>
  <si>
    <t>01:28:19.881000</t>
  </si>
  <si>
    <t>01:28:09.881000</t>
  </si>
  <si>
    <t>01:28:29.881000</t>
  </si>
  <si>
    <t>01:30:01.285000</t>
  </si>
  <si>
    <t>01:29:51.285000</t>
  </si>
  <si>
    <t>01:30:11.285000</t>
  </si>
  <si>
    <t>01:42:18.873000</t>
  </si>
  <si>
    <t>01:42:08.873000</t>
  </si>
  <si>
    <t>01:42:28.873000</t>
  </si>
  <si>
    <t>00:17:47.800000</t>
  </si>
  <si>
    <t>00:17:37.800000</t>
  </si>
  <si>
    <t>00:17:57.800000</t>
  </si>
  <si>
    <t>00:40:04.998000</t>
  </si>
  <si>
    <t>00:39:54.998000</t>
  </si>
  <si>
    <t>00:40:14.998000</t>
  </si>
  <si>
    <t>00:45:31.427000</t>
  </si>
  <si>
    <t>00:45:21.427000</t>
  </si>
  <si>
    <t>00:45:41.427000</t>
  </si>
  <si>
    <t>00:46:57.845000</t>
  </si>
  <si>
    <t>00:46:47.845000</t>
  </si>
  <si>
    <t>00:47:07.845000</t>
  </si>
  <si>
    <t>00:50:12.064000</t>
  </si>
  <si>
    <t>01:20:11.674000</t>
  </si>
  <si>
    <t>01:20:01.674000</t>
  </si>
  <si>
    <t>01:20:21.674000</t>
  </si>
  <si>
    <t>KNOCK_ON+OFF_SIDE</t>
  </si>
  <si>
    <t>01:21:38.720000</t>
  </si>
  <si>
    <t>01:21:28.720000</t>
  </si>
  <si>
    <t>01:21:48.720000</t>
  </si>
  <si>
    <t>01:36:07.389000</t>
  </si>
  <si>
    <t>01:35:57.389000</t>
  </si>
  <si>
    <t>01:36:17.389000</t>
  </si>
  <si>
    <t>01:41:03.707000</t>
  </si>
  <si>
    <t>01:40:53.707000</t>
  </si>
  <si>
    <t>01:41:13.707000</t>
  </si>
  <si>
    <t>PENAL OPP 010</t>
  </si>
  <si>
    <t>01:43:45.850000</t>
  </si>
  <si>
    <t>01:43:35.850000</t>
  </si>
  <si>
    <t>01:43:55.850000</t>
  </si>
  <si>
    <t>PENAL OPP 011</t>
  </si>
  <si>
    <t>01:45:35.726000</t>
  </si>
  <si>
    <t>01:45:25.726000</t>
  </si>
  <si>
    <t>01:45:45.726000</t>
  </si>
  <si>
    <t>00:12:53.360000</t>
  </si>
  <si>
    <t>00:12:43.360000</t>
  </si>
  <si>
    <t>00:13:03.360000</t>
  </si>
  <si>
    <t>00:17:43.887000</t>
  </si>
  <si>
    <t>00:17:33.887000</t>
  </si>
  <si>
    <t>00:17:53.887000</t>
  </si>
  <si>
    <t>DERRUMBRE_SCRUM</t>
  </si>
  <si>
    <t>00:23:44.728000</t>
  </si>
  <si>
    <t>00:23:34.728000</t>
  </si>
  <si>
    <t>00:23:54.728000</t>
  </si>
  <si>
    <t>00:29:12.702000</t>
  </si>
  <si>
    <t>00:29:02.702000</t>
  </si>
  <si>
    <t>00:29:22.702000</t>
  </si>
  <si>
    <t>00:40:02.500000</t>
  </si>
  <si>
    <t>00:39:52.500000</t>
  </si>
  <si>
    <t>00:40:12.500000</t>
  </si>
  <si>
    <t>01:18:21.764000</t>
  </si>
  <si>
    <t>01:18:11.764000</t>
  </si>
  <si>
    <t>01:18:31.764000</t>
  </si>
  <si>
    <t>01:32:59.352000</t>
  </si>
  <si>
    <t>01:32:49.352000</t>
  </si>
  <si>
    <t>01:33:09.352000</t>
  </si>
  <si>
    <t>01:46:17.242000</t>
  </si>
  <si>
    <t>01:46:07.242000</t>
  </si>
  <si>
    <t>01:46:27.242000</t>
  </si>
  <si>
    <t>01:48:00.879000</t>
  </si>
  <si>
    <t>01:47:50.879000</t>
  </si>
  <si>
    <t>01:48:10.879000</t>
  </si>
  <si>
    <t>01:53:02.971000</t>
  </si>
  <si>
    <t>01:52:52.971000</t>
  </si>
  <si>
    <t>01:53:12.971000</t>
  </si>
  <si>
    <t>00:25:00.278000</t>
  </si>
  <si>
    <t>00:26:07.005000</t>
  </si>
  <si>
    <t>00:25:57.005000</t>
  </si>
  <si>
    <t>00:26:17.005000</t>
  </si>
  <si>
    <t>00:38:54.878000</t>
  </si>
  <si>
    <t>00:38:44.878000</t>
  </si>
  <si>
    <t>00:39:04.878000</t>
  </si>
  <si>
    <t>01:29:10.323000</t>
  </si>
  <si>
    <t>01:29:00.323000</t>
  </si>
  <si>
    <t>01:29:20.323000</t>
  </si>
  <si>
    <t>01:43:24.811000</t>
  </si>
  <si>
    <t>01:43:14.811000</t>
  </si>
  <si>
    <t>01:43:34.811000</t>
  </si>
  <si>
    <t>01:57:30.396000</t>
  </si>
  <si>
    <t>01:57:20.396000</t>
  </si>
  <si>
    <t>01:57:40.396000</t>
  </si>
  <si>
    <t>02:00:15.728000</t>
  </si>
  <si>
    <t>02:00:05.728000</t>
  </si>
  <si>
    <t>02:00:25.728000</t>
  </si>
  <si>
    <t>02:01:45.582000</t>
  </si>
  <si>
    <t>02:01:35.582000</t>
  </si>
  <si>
    <t>02:01:55.582000</t>
  </si>
  <si>
    <t>00:01:35.106000</t>
  </si>
  <si>
    <t>00:01:25.106000</t>
  </si>
  <si>
    <t>00:01:45.106000</t>
  </si>
  <si>
    <t>00:02:52.864000</t>
  </si>
  <si>
    <t>00:02:42.864000</t>
  </si>
  <si>
    <t>00:03:02.864000</t>
  </si>
  <si>
    <t>00:07:18.719000</t>
  </si>
  <si>
    <t>00:07:08.719000</t>
  </si>
  <si>
    <t>00:07:28.719000</t>
  </si>
  <si>
    <t>00:10:15.782000</t>
  </si>
  <si>
    <t>00:10:05.782000</t>
  </si>
  <si>
    <t>00:10:25.782000</t>
  </si>
  <si>
    <t>00:12:00.068000</t>
  </si>
  <si>
    <t>00:11:50.068000</t>
  </si>
  <si>
    <t>00:12:10.068000</t>
  </si>
  <si>
    <t>00:12:54.057000</t>
  </si>
  <si>
    <t>00:12:44.057000</t>
  </si>
  <si>
    <t>00:13:04.057000</t>
  </si>
  <si>
    <t>00:16:07.254000</t>
  </si>
  <si>
    <t>00:15:57.254000</t>
  </si>
  <si>
    <t>00:16:17.254000</t>
  </si>
  <si>
    <t>00:17:04.490000</t>
  </si>
  <si>
    <t>00:16:54.490000</t>
  </si>
  <si>
    <t>00:17:14.490000</t>
  </si>
  <si>
    <t>00:20:08.421000</t>
  </si>
  <si>
    <t>00:19:58.421000</t>
  </si>
  <si>
    <t>00:20:18.421000</t>
  </si>
  <si>
    <t>00:22:23.347000</t>
  </si>
  <si>
    <t>00:22:13.347000</t>
  </si>
  <si>
    <t>00:22:33.347000</t>
  </si>
  <si>
    <t>00:24:06.984000</t>
  </si>
  <si>
    <t>00:23:56.984000</t>
  </si>
  <si>
    <t>00:24:16.984000</t>
  </si>
  <si>
    <t>00:26:08.691000</t>
  </si>
  <si>
    <t>00:25:58.691000</t>
  </si>
  <si>
    <t>00:26:18.691000</t>
  </si>
  <si>
    <t>00:28:49.873000</t>
  </si>
  <si>
    <t>00:28:39.873000</t>
  </si>
  <si>
    <t>00:28:59.873000</t>
  </si>
  <si>
    <t>PENAL OUR 014</t>
  </si>
  <si>
    <t>00:33:41.002000</t>
  </si>
  <si>
    <t>00:33:31.002000</t>
  </si>
  <si>
    <t>00:33:51.002000</t>
  </si>
  <si>
    <t>PENAL OUR 015</t>
  </si>
  <si>
    <t>00:35:56.614000</t>
  </si>
  <si>
    <t>00:35:46.614000</t>
  </si>
  <si>
    <t>00:36:06.614000</t>
  </si>
  <si>
    <t>PENAL OUR 016</t>
  </si>
  <si>
    <t>01:07:31.537000</t>
  </si>
  <si>
    <t>01:07:21.537000</t>
  </si>
  <si>
    <t>01:07:41.537000</t>
  </si>
  <si>
    <t>PENAL OUR 017</t>
  </si>
  <si>
    <t>01:08:55.281000</t>
  </si>
  <si>
    <t>01:08:45.281000</t>
  </si>
  <si>
    <t>01:09:05.281000</t>
  </si>
  <si>
    <t>PENAL OUR 018</t>
  </si>
  <si>
    <t>01:17:01.206000</t>
  </si>
  <si>
    <t>01:16:51.206000</t>
  </si>
  <si>
    <t>01:17:11.206000</t>
  </si>
  <si>
    <t>PENAL OUR 019</t>
  </si>
  <si>
    <t>01:23:36.003000</t>
  </si>
  <si>
    <t>01:23:26.003000</t>
  </si>
  <si>
    <t>01:23:46.003000</t>
  </si>
  <si>
    <t>PENAL OUR 020</t>
  </si>
  <si>
    <t>01:25:27.769000</t>
  </si>
  <si>
    <t>01:25:17.769000</t>
  </si>
  <si>
    <t>01:25:37.769000</t>
  </si>
  <si>
    <t>PENAL OUR 021</t>
  </si>
  <si>
    <t>01:28:15.763000</t>
  </si>
  <si>
    <t>01:28:05.763000</t>
  </si>
  <si>
    <t>01:28:25.763000</t>
  </si>
  <si>
    <t>PENAL OUR 022</t>
  </si>
  <si>
    <t>01:34:55.967000</t>
  </si>
  <si>
    <t>01:34:45.967000</t>
  </si>
  <si>
    <t>01:35:05.967000</t>
  </si>
  <si>
    <t>PENAL OUR 023</t>
  </si>
  <si>
    <t>01:36:43.218000</t>
  </si>
  <si>
    <t>01:36:33.218000</t>
  </si>
  <si>
    <t>01:36:53.218000</t>
  </si>
  <si>
    <t>PENAL OUR 024</t>
  </si>
  <si>
    <t>01:38:19.717000</t>
  </si>
  <si>
    <t>01:38:09.717000</t>
  </si>
  <si>
    <t>01:38:29.717000</t>
  </si>
  <si>
    <t>00:14:43.292000</t>
  </si>
  <si>
    <t>00:14:33.292000</t>
  </si>
  <si>
    <t>00:14:53.292000</t>
  </si>
  <si>
    <t>00:29:46.733000</t>
  </si>
  <si>
    <t>00:29:36.733000</t>
  </si>
  <si>
    <t>00:29:56.733000</t>
  </si>
  <si>
    <t>00:42:26.521000</t>
  </si>
  <si>
    <t>00:42:16.521000</t>
  </si>
  <si>
    <t>00:42:36.521000</t>
  </si>
  <si>
    <t>01:06:01.052000</t>
  </si>
  <si>
    <t>01:05:51.052000</t>
  </si>
  <si>
    <t>01:06:11.052000</t>
  </si>
  <si>
    <t>INCONDUCTA</t>
  </si>
  <si>
    <t>01:12:44.702000</t>
  </si>
  <si>
    <t>01:12:34.702000</t>
  </si>
  <si>
    <t>01:12:54.702000</t>
  </si>
  <si>
    <t>01:20:15.817000</t>
  </si>
  <si>
    <t>01:20:05.817000</t>
  </si>
  <si>
    <t>01:20:25.817000</t>
  </si>
  <si>
    <t>01:22:32.281000</t>
  </si>
  <si>
    <t>01:22:22.281000</t>
  </si>
  <si>
    <t>01:22:42.281000</t>
  </si>
  <si>
    <t>01:32:34.940000</t>
  </si>
  <si>
    <t>01:32:24.940000</t>
  </si>
  <si>
    <t>01:32:44.940000</t>
  </si>
  <si>
    <t>01:40:59.588000</t>
  </si>
  <si>
    <t>01:40:49.588000</t>
  </si>
  <si>
    <t>01:41:09.588000</t>
  </si>
  <si>
    <t>01:45:43.446000</t>
  </si>
  <si>
    <t>01:45:33.446000</t>
  </si>
  <si>
    <t>01:45:53.446000</t>
  </si>
  <si>
    <t>01:46:59.777000</t>
  </si>
  <si>
    <t>01:46:49.777000</t>
  </si>
  <si>
    <t>01:47:09.777000</t>
  </si>
  <si>
    <t>PENAL OPP 012</t>
  </si>
  <si>
    <t>01:48:16.109000</t>
  </si>
  <si>
    <t>01:48:06.109000</t>
  </si>
  <si>
    <t>01:48:26.109000</t>
  </si>
  <si>
    <t>00:15:14.610000</t>
  </si>
  <si>
    <t>00:15:04.610000</t>
  </si>
  <si>
    <t>00:15:24.610000</t>
  </si>
  <si>
    <t>00:23:32.505000</t>
  </si>
  <si>
    <t>00:23:22.505000</t>
  </si>
  <si>
    <t>00:23:42.505000</t>
  </si>
  <si>
    <t>00:24:31.611000</t>
  </si>
  <si>
    <t>00:24:21.611000</t>
  </si>
  <si>
    <t>00:24:41.611000</t>
  </si>
  <si>
    <t>00:25:57.339000</t>
  </si>
  <si>
    <t>00:25:47.339000</t>
  </si>
  <si>
    <t>00:26:07.339000</t>
  </si>
  <si>
    <t>00:45:03.840000</t>
  </si>
  <si>
    <t>00:44:53.840000</t>
  </si>
  <si>
    <t>00:45:13.840000</t>
  </si>
  <si>
    <t>00:46:57.777000</t>
  </si>
  <si>
    <t>00:46:47.777000</t>
  </si>
  <si>
    <t>00:47:07.777000</t>
  </si>
  <si>
    <t>00:54:33.882000</t>
  </si>
  <si>
    <t>00:54:23.882000</t>
  </si>
  <si>
    <t>00:54:43.882000</t>
  </si>
  <si>
    <t>00:56:02.631000</t>
  </si>
  <si>
    <t>00:55:52.631000</t>
  </si>
  <si>
    <t>00:56:12.631000</t>
  </si>
  <si>
    <t>01:16:58.571000</t>
  </si>
  <si>
    <t>01:16:48.571000</t>
  </si>
  <si>
    <t>01:17:08.571000</t>
  </si>
  <si>
    <t>01:41:56.519000</t>
  </si>
  <si>
    <t>01:41:46.519000</t>
  </si>
  <si>
    <t>01:42:06.519000</t>
  </si>
  <si>
    <t>00:12:34.475000</t>
  </si>
  <si>
    <t>00:12:24.475000</t>
  </si>
  <si>
    <t>00:12:44.475000</t>
  </si>
  <si>
    <t>00:17:21.928000</t>
  </si>
  <si>
    <t>00:17:11.928000</t>
  </si>
  <si>
    <t>00:17:31.928000</t>
  </si>
  <si>
    <t>00:21:54.555000</t>
  </si>
  <si>
    <t>00:21:44.555000</t>
  </si>
  <si>
    <t>00:22:04.555000</t>
  </si>
  <si>
    <t>00:30:50.523000</t>
  </si>
  <si>
    <t>00:30:40.523000</t>
  </si>
  <si>
    <t>00:31:00.523000</t>
  </si>
  <si>
    <t>00:33:30.876000</t>
  </si>
  <si>
    <t>00:33:20.876000</t>
  </si>
  <si>
    <t>00:33:40.876000</t>
  </si>
  <si>
    <t>00:37:16.026000</t>
  </si>
  <si>
    <t>00:37:06.026000</t>
  </si>
  <si>
    <t>00:37:26.026000</t>
  </si>
  <si>
    <t>00:41:18.956000</t>
  </si>
  <si>
    <t>00:41:08.956000</t>
  </si>
  <si>
    <t>00:41:28.956000</t>
  </si>
  <si>
    <t>00:42:53.423000</t>
  </si>
  <si>
    <t>00:42:43.423000</t>
  </si>
  <si>
    <t>00:43:03.423000</t>
  </si>
  <si>
    <t>00:49:01.422000</t>
  </si>
  <si>
    <t>00:48:51.422000</t>
  </si>
  <si>
    <t>00:49:11.422000</t>
  </si>
  <si>
    <t>01:35:35.183000</t>
  </si>
  <si>
    <t>01:35:25.183000</t>
  </si>
  <si>
    <t>01:35:45.183000</t>
  </si>
  <si>
    <t>02:05:33.528000</t>
  </si>
  <si>
    <t>02:05:23.528000</t>
  </si>
  <si>
    <t>02:05:43.528000</t>
  </si>
  <si>
    <t>ACERCAR</t>
  </si>
  <si>
    <t>ALEJAR</t>
  </si>
  <si>
    <t>Alineación</t>
  </si>
  <si>
    <t>00:07:52.083000</t>
  </si>
  <si>
    <t>00:00:00</t>
  </si>
  <si>
    <t>00:01:00.016000</t>
  </si>
  <si>
    <t>00:09:04.657000</t>
  </si>
  <si>
    <t>TACKLE OUR 001</t>
  </si>
  <si>
    <t>00:08:17.269000</t>
  </si>
  <si>
    <t>00:08:14.269000</t>
  </si>
  <si>
    <t>00:08:18.269000</t>
  </si>
  <si>
    <t>TACKLE OUR 002</t>
  </si>
  <si>
    <t>00:08:25.844000</t>
  </si>
  <si>
    <t>00:08:22.844000</t>
  </si>
  <si>
    <t>00:08:26.844000</t>
  </si>
  <si>
    <t>TACKLE OUR 003</t>
  </si>
  <si>
    <t>00:10:23.381000</t>
  </si>
  <si>
    <t>00:10:20.381000</t>
  </si>
  <si>
    <t>00:10:24.381000</t>
  </si>
  <si>
    <t>TACKLE OUR 004</t>
  </si>
  <si>
    <t>00:10:37.645000</t>
  </si>
  <si>
    <t>00:10:34.645000</t>
  </si>
  <si>
    <t>00:10:38.645000</t>
  </si>
  <si>
    <t>TACKLE OUR 005</t>
  </si>
  <si>
    <t>00:10:41.638000</t>
  </si>
  <si>
    <t>00:10:38.638000</t>
  </si>
  <si>
    <t>00:10:42.638000</t>
  </si>
  <si>
    <t>TACKLE OUR 006</t>
  </si>
  <si>
    <t>00:11:39.910000</t>
  </si>
  <si>
    <t>00:11:36.910000</t>
  </si>
  <si>
    <t>00:11:40.910000</t>
  </si>
  <si>
    <t>TACKLE OUR 007</t>
  </si>
  <si>
    <t>00:11:49.854000</t>
  </si>
  <si>
    <t>00:11:46.854000</t>
  </si>
  <si>
    <t>00:11:50.854000</t>
  </si>
  <si>
    <t>TACKLE OUR 008</t>
  </si>
  <si>
    <t>00:11:53.427000</t>
  </si>
  <si>
    <t>00:11:50.427000</t>
  </si>
  <si>
    <t>00:11:54.427000</t>
  </si>
  <si>
    <t>TACKLE OUR 009</t>
  </si>
  <si>
    <t>00:11:57.709000</t>
  </si>
  <si>
    <t>00:11:54.709000</t>
  </si>
  <si>
    <t>00:11:58.709000</t>
  </si>
  <si>
    <t>TACKLE OUR 010</t>
  </si>
  <si>
    <t>00:12:05.380000</t>
  </si>
  <si>
    <t>00:12:02.380000</t>
  </si>
  <si>
    <t>00:12:06.380000</t>
  </si>
  <si>
    <t>TACKLE OUR 011</t>
  </si>
  <si>
    <t>00:12:10.154000</t>
  </si>
  <si>
    <t>00:12:07.154000</t>
  </si>
  <si>
    <t>00:12:11.154000</t>
  </si>
  <si>
    <t>TACKLE OUR 012</t>
  </si>
  <si>
    <t>00:12:16.726000</t>
  </si>
  <si>
    <t>00:12:13.726000</t>
  </si>
  <si>
    <t>00:12:17.726000</t>
  </si>
  <si>
    <t>TACKLE OUR 013</t>
  </si>
  <si>
    <t>00:13:18.021000</t>
  </si>
  <si>
    <t>00:13:15.021000</t>
  </si>
  <si>
    <t>00:13:19.021000</t>
  </si>
  <si>
    <t>TACKLE OUR 014</t>
  </si>
  <si>
    <t>00:13:22.536000</t>
  </si>
  <si>
    <t>00:13:19.536000</t>
  </si>
  <si>
    <t>00:13:23.536000</t>
  </si>
  <si>
    <t>TACKLE OUR 015</t>
  </si>
  <si>
    <t>00:13:29.220000</t>
  </si>
  <si>
    <t>00:13:26.220000</t>
  </si>
  <si>
    <t>00:13:30.220000</t>
  </si>
  <si>
    <t>TACKLE OUR 016</t>
  </si>
  <si>
    <t>00:13:32.419000</t>
  </si>
  <si>
    <t>00:13:29.419000</t>
  </si>
  <si>
    <t>00:13:33.419000</t>
  </si>
  <si>
    <t>TACKLE OUR 017</t>
  </si>
  <si>
    <t>00:13:38.077000</t>
  </si>
  <si>
    <t>00:13:35.077000</t>
  </si>
  <si>
    <t>00:13:39.077000</t>
  </si>
  <si>
    <t>TACKLE OUR 018</t>
  </si>
  <si>
    <t>00:13:44.359000</t>
  </si>
  <si>
    <t>00:13:41.359000</t>
  </si>
  <si>
    <t>00:13:45.359000</t>
  </si>
  <si>
    <t>TACKLE OUR 019</t>
  </si>
  <si>
    <t>00:13:49.197000</t>
  </si>
  <si>
    <t>00:13:46.197000</t>
  </si>
  <si>
    <t>00:13:50.197000</t>
  </si>
  <si>
    <t>TACKLE OUR 020</t>
  </si>
  <si>
    <t>00:13:58.776000</t>
  </si>
  <si>
    <t>00:13:55.776000</t>
  </si>
  <si>
    <t>00:13:59.776000</t>
  </si>
  <si>
    <t>TACKLE OUR 021</t>
  </si>
  <si>
    <t>00:14:05.927000</t>
  </si>
  <si>
    <t>00:14:02.927000</t>
  </si>
  <si>
    <t>00:14:06.927000</t>
  </si>
  <si>
    <t>TACKLE OUR 022</t>
  </si>
  <si>
    <t>00:15:23.269000</t>
  </si>
  <si>
    <t>00:15:20.269000</t>
  </si>
  <si>
    <t>00:15:24.269000</t>
  </si>
  <si>
    <t>TACKLE OUR 023</t>
  </si>
  <si>
    <t>00:23:02.417000</t>
  </si>
  <si>
    <t>00:22:59.417000</t>
  </si>
  <si>
    <t>00:23:03.417000</t>
  </si>
  <si>
    <t>TACKLE OUR 024</t>
  </si>
  <si>
    <t>00:24:54.614000</t>
  </si>
  <si>
    <t>00:24:51.614000</t>
  </si>
  <si>
    <t>00:24:55.614000</t>
  </si>
  <si>
    <t>TACKLE OUR 025</t>
  </si>
  <si>
    <t>00:24:59.333000</t>
  </si>
  <si>
    <t>00:24:56.333000</t>
  </si>
  <si>
    <t>00:25:00.333000</t>
  </si>
  <si>
    <t>TACKLE OUR 026</t>
  </si>
  <si>
    <t>00:25:06.975000</t>
  </si>
  <si>
    <t>00:25:03.975000</t>
  </si>
  <si>
    <t>00:25:07.975000</t>
  </si>
  <si>
    <t>TACKLE OUR 027</t>
  </si>
  <si>
    <t>00:28:39.057000</t>
  </si>
  <si>
    <t>00:28:36.057000</t>
  </si>
  <si>
    <t>00:28:40.057000</t>
  </si>
  <si>
    <t>TACKLE OUR 028</t>
  </si>
  <si>
    <t>00:28:42.942000</t>
  </si>
  <si>
    <t>00:28:39.942000</t>
  </si>
  <si>
    <t>00:28:43.942000</t>
  </si>
  <si>
    <t>TACKLE OUR 029</t>
  </si>
  <si>
    <t>00:28:55.030000</t>
  </si>
  <si>
    <t>00:28:52.030000</t>
  </si>
  <si>
    <t>00:28:56.030000</t>
  </si>
  <si>
    <t>TACKLE OUR 030</t>
  </si>
  <si>
    <t>00:29:38.324000</t>
  </si>
  <si>
    <t>00:29:35.324000</t>
  </si>
  <si>
    <t>00:29:39.324000</t>
  </si>
  <si>
    <t>TACKLE OUR 031</t>
  </si>
  <si>
    <t>00:35:59.708000</t>
  </si>
  <si>
    <t>00:35:56.708000</t>
  </si>
  <si>
    <t>00:36:00.708000</t>
  </si>
  <si>
    <t>TACKLE OUR 032</t>
  </si>
  <si>
    <t>00:37:08.954000</t>
  </si>
  <si>
    <t>00:37:05.954000</t>
  </si>
  <si>
    <t>00:37:09.954000</t>
  </si>
  <si>
    <t>TACKLE OUR 033</t>
  </si>
  <si>
    <t>00:37:29.651000</t>
  </si>
  <si>
    <t>00:37:26.651000</t>
  </si>
  <si>
    <t>00:37:30.651000</t>
  </si>
  <si>
    <t>TACKLE OUR 034</t>
  </si>
  <si>
    <t>00:37:34.714000</t>
  </si>
  <si>
    <t>00:37:31.714000</t>
  </si>
  <si>
    <t>00:37:35.714000</t>
  </si>
  <si>
    <t>TACKLE OUR 035</t>
  </si>
  <si>
    <t>00:37:41.880000</t>
  </si>
  <si>
    <t>00:37:38.880000</t>
  </si>
  <si>
    <t>00:37:42.880000</t>
  </si>
  <si>
    <t>TACKLE OUR 036</t>
  </si>
  <si>
    <t>00:37:47.072000</t>
  </si>
  <si>
    <t>00:37:44.072000</t>
  </si>
  <si>
    <t>00:37:48.072000</t>
  </si>
  <si>
    <t>TACKLE OUR 037</t>
  </si>
  <si>
    <t>00:37:55.802000</t>
  </si>
  <si>
    <t>00:37:52.802000</t>
  </si>
  <si>
    <t>00:37:56.802000</t>
  </si>
  <si>
    <t>TACKLE OUR 038</t>
  </si>
  <si>
    <t>00:38:03.443000</t>
  </si>
  <si>
    <t>00:38:00.443000</t>
  </si>
  <si>
    <t>00:38:04.443000</t>
  </si>
  <si>
    <t>TACKLE OUR 039</t>
  </si>
  <si>
    <t>00:38:09.496000</t>
  </si>
  <si>
    <t>00:38:06.496000</t>
  </si>
  <si>
    <t>00:38:10.496000</t>
  </si>
  <si>
    <t>TACKLE OUR 040</t>
  </si>
  <si>
    <t>00:39:19.214000</t>
  </si>
  <si>
    <t>00:39:16.214000</t>
  </si>
  <si>
    <t>00:39:20.214000</t>
  </si>
  <si>
    <t>TACKLE OUR 041</t>
  </si>
  <si>
    <t>00:39:30.324000</t>
  </si>
  <si>
    <t>00:39:27.324000</t>
  </si>
  <si>
    <t>00:39:31.324000</t>
  </si>
  <si>
    <t>TACKLE OUR 042</t>
  </si>
  <si>
    <t>00:39:42.898000</t>
  </si>
  <si>
    <t>00:39:39.898000</t>
  </si>
  <si>
    <t>00:39:43.898000</t>
  </si>
  <si>
    <t>TACKLE OUR 043</t>
  </si>
  <si>
    <t>00:39:47.286000</t>
  </si>
  <si>
    <t>00:39:44.286000</t>
  </si>
  <si>
    <t>00:39:48.286000</t>
  </si>
  <si>
    <t>TACKLE OUR 044</t>
  </si>
  <si>
    <t>00:39:52.091000</t>
  </si>
  <si>
    <t>00:39:49.091000</t>
  </si>
  <si>
    <t>00:39:53.091000</t>
  </si>
  <si>
    <t>TACKLE OUR 045</t>
  </si>
  <si>
    <t>00:40:04.174000</t>
  </si>
  <si>
    <t>00:40:01.174000</t>
  </si>
  <si>
    <t>00:40:05.174000</t>
  </si>
  <si>
    <t>TACKLE OUR 046</t>
  </si>
  <si>
    <t>00:40:09.560000</t>
  </si>
  <si>
    <t>00:40:06.560000</t>
  </si>
  <si>
    <t>00:40:10.560000</t>
  </si>
  <si>
    <t>TACKLE OUR 047</t>
  </si>
  <si>
    <t>00:40:15.817000</t>
  </si>
  <si>
    <t>00:40:12.817000</t>
  </si>
  <si>
    <t>00:40:16.817000</t>
  </si>
  <si>
    <t>TACKLE OUR 048</t>
  </si>
  <si>
    <t>00:42:48.130000</t>
  </si>
  <si>
    <t>00:42:45.130000</t>
  </si>
  <si>
    <t>00:42:49.130000</t>
  </si>
  <si>
    <t>TACKLE OUR 049</t>
  </si>
  <si>
    <t>00:42:56.291000</t>
  </si>
  <si>
    <t>00:42:53.291000</t>
  </si>
  <si>
    <t>00:42:57.291000</t>
  </si>
  <si>
    <t>TACKLE OUR 050</t>
  </si>
  <si>
    <t>00:43:04.001000</t>
  </si>
  <si>
    <t>00:43:01.001000</t>
  </si>
  <si>
    <t>00:43:05.001000</t>
  </si>
  <si>
    <t>TACKLE OUR 051</t>
  </si>
  <si>
    <t>00:43:11.969000</t>
  </si>
  <si>
    <t>00:43:08.969000</t>
  </si>
  <si>
    <t>00:43:12.969000</t>
  </si>
  <si>
    <t>TACKLE OUR 052</t>
  </si>
  <si>
    <t>00:43:18.203000</t>
  </si>
  <si>
    <t>00:43:15.203000</t>
  </si>
  <si>
    <t>00:43:19.203000</t>
  </si>
  <si>
    <t>TACKLE OUR 053</t>
  </si>
  <si>
    <t>00:48:28.659000</t>
  </si>
  <si>
    <t>00:48:25.659000</t>
  </si>
  <si>
    <t>00:48:29.659000</t>
  </si>
  <si>
    <t>TACKLE OUR 054</t>
  </si>
  <si>
    <t>00:52:32.573000</t>
  </si>
  <si>
    <t>00:52:29.573000</t>
  </si>
  <si>
    <t>00:52:33.573000</t>
  </si>
  <si>
    <t>TACKLE OUR 055</t>
  </si>
  <si>
    <t>00:52:41.145000</t>
  </si>
  <si>
    <t>00:52:38.145000</t>
  </si>
  <si>
    <t>00:52:42.145000</t>
  </si>
  <si>
    <t>TACKLE OUR 056</t>
  </si>
  <si>
    <t>00:52:46.929000</t>
  </si>
  <si>
    <t>00:52:43.929000</t>
  </si>
  <si>
    <t>00:52:47.929000</t>
  </si>
  <si>
    <t>TACKLE OUR 057</t>
  </si>
  <si>
    <t>00:52:51.751000</t>
  </si>
  <si>
    <t>00:52:48.751000</t>
  </si>
  <si>
    <t>00:52:52.751000</t>
  </si>
  <si>
    <t>TACKLE OUR 058</t>
  </si>
  <si>
    <t>00:52:57.194000</t>
  </si>
  <si>
    <t>00:52:54.194000</t>
  </si>
  <si>
    <t>00:52:58.194000</t>
  </si>
  <si>
    <t>TACKLE OUR 059</t>
  </si>
  <si>
    <t>01:08:29.080000</t>
  </si>
  <si>
    <t>01:08:26.080000</t>
  </si>
  <si>
    <t>01:08:30.080000</t>
  </si>
  <si>
    <t>TACKLE OUR 060</t>
  </si>
  <si>
    <t>01:19:26.980000</t>
  </si>
  <si>
    <t>01:19:23.980000</t>
  </si>
  <si>
    <t>01:19:27.980000</t>
  </si>
  <si>
    <t>TACKLE OUR 061</t>
  </si>
  <si>
    <t>01:19:33.278000</t>
  </si>
  <si>
    <t>01:19:30.278000</t>
  </si>
  <si>
    <t>01:19:34.278000</t>
  </si>
  <si>
    <t>TACKLE OUR 062</t>
  </si>
  <si>
    <t>01:19:41.767000</t>
  </si>
  <si>
    <t>01:19:38.767000</t>
  </si>
  <si>
    <t>01:19:42.767000</t>
  </si>
  <si>
    <t>TACKLE OUR 063</t>
  </si>
  <si>
    <t>01:22:40.199000</t>
  </si>
  <si>
    <t>01:22:37.199000</t>
  </si>
  <si>
    <t>01:22:41.199000</t>
  </si>
  <si>
    <t>TACKLE OUR 064</t>
  </si>
  <si>
    <t>01:22:50.932000</t>
  </si>
  <si>
    <t>01:22:47.932000</t>
  </si>
  <si>
    <t>01:22:51.932000</t>
  </si>
  <si>
    <t>TACKLE OUR 065</t>
  </si>
  <si>
    <t>01:22:59.279000</t>
  </si>
  <si>
    <t>01:22:56.279000</t>
  </si>
  <si>
    <t>01:23:00.279000</t>
  </si>
  <si>
    <t>TACKLE OUR 066</t>
  </si>
  <si>
    <t>01:24:49.542000</t>
  </si>
  <si>
    <t>01:24:46.542000</t>
  </si>
  <si>
    <t>01:24:50.542000</t>
  </si>
  <si>
    <t>TACKLE OUR 067</t>
  </si>
  <si>
    <t>01:25:03.347000</t>
  </si>
  <si>
    <t>01:25:00.347000</t>
  </si>
  <si>
    <t>01:25:04.347000</t>
  </si>
  <si>
    <t>TACKLE OUR 068</t>
  </si>
  <si>
    <t>01:25:03.658000</t>
  </si>
  <si>
    <t>01:25:00.658000</t>
  </si>
  <si>
    <t>01:25:04.658000</t>
  </si>
  <si>
    <t>TACKLE OUR 069</t>
  </si>
  <si>
    <t>01:25:11.433000</t>
  </si>
  <si>
    <t>01:25:08.433000</t>
  </si>
  <si>
    <t>01:25:12.433000</t>
  </si>
  <si>
    <t>TACKLE OUR 070</t>
  </si>
  <si>
    <t>01:25:15.709000</t>
  </si>
  <si>
    <t>01:25:12.709000</t>
  </si>
  <si>
    <t>01:25:16.709000</t>
  </si>
  <si>
    <t>TACKLE OUR 071</t>
  </si>
  <si>
    <t>01:25:22.026000</t>
  </si>
  <si>
    <t>01:25:19.026000</t>
  </si>
  <si>
    <t>01:25:23.026000</t>
  </si>
  <si>
    <t>TACKLE OUR 072</t>
  </si>
  <si>
    <t>01:25:32.757000</t>
  </si>
  <si>
    <t>01:25:29.757000</t>
  </si>
  <si>
    <t>01:25:33.757000</t>
  </si>
  <si>
    <t>TACKLE OUR 073</t>
  </si>
  <si>
    <t>01:25:41.651000</t>
  </si>
  <si>
    <t>01:25:38.651000</t>
  </si>
  <si>
    <t>01:25:42.651000</t>
  </si>
  <si>
    <t>TACKLE OUR 074</t>
  </si>
  <si>
    <t>01:25:50.446000</t>
  </si>
  <si>
    <t>01:25:47.446000</t>
  </si>
  <si>
    <t>01:25:51.446000</t>
  </si>
  <si>
    <t>TACKLE OUR 075</t>
  </si>
  <si>
    <t>01:25:56.228000</t>
  </si>
  <si>
    <t>01:25:53.228000</t>
  </si>
  <si>
    <t>01:25:57.228000</t>
  </si>
  <si>
    <t>TACKLE OUR 076</t>
  </si>
  <si>
    <t>01:26:07.403000</t>
  </si>
  <si>
    <t>01:26:04.403000</t>
  </si>
  <si>
    <t>01:26:08.403000</t>
  </si>
  <si>
    <t>TACKLE OUR 077</t>
  </si>
  <si>
    <t>01:29:14.595000</t>
  </si>
  <si>
    <t>01:29:11.595000</t>
  </si>
  <si>
    <t>01:29:15.595000</t>
  </si>
  <si>
    <t>TACKLE OUR 078</t>
  </si>
  <si>
    <t>01:30:54.558000</t>
  </si>
  <si>
    <t>01:30:51.558000</t>
  </si>
  <si>
    <t>01:30:55.558000</t>
  </si>
  <si>
    <t>TACKLE OUR 079</t>
  </si>
  <si>
    <t>01:31:07.917000</t>
  </si>
  <si>
    <t>01:31:04.917000</t>
  </si>
  <si>
    <t>01:31:08.917000</t>
  </si>
  <si>
    <t>TACKLE OUR 080</t>
  </si>
  <si>
    <t>01:34:55.690000</t>
  </si>
  <si>
    <t>01:34:52.690000</t>
  </si>
  <si>
    <t>01:34:56.690000</t>
  </si>
  <si>
    <t>TACKLE OUR 081</t>
  </si>
  <si>
    <t>01:35:02.095000</t>
  </si>
  <si>
    <t>01:34:59.095000</t>
  </si>
  <si>
    <t>01:35:03.095000</t>
  </si>
  <si>
    <t>TACKLE OUR 082</t>
  </si>
  <si>
    <t>01:35:22.878000</t>
  </si>
  <si>
    <t>01:35:19.878000</t>
  </si>
  <si>
    <t>01:35:23.878000</t>
  </si>
  <si>
    <t>TACKLE OUR 083</t>
  </si>
  <si>
    <t>01:35:28.282000</t>
  </si>
  <si>
    <t>01:35:32.282000</t>
  </si>
  <si>
    <t>TACKLE OUR 084</t>
  </si>
  <si>
    <t>01:40:51.558000</t>
  </si>
  <si>
    <t>01:40:48.558000</t>
  </si>
  <si>
    <t>01:40:52.558000</t>
  </si>
  <si>
    <t>TACKLE OUR 085</t>
  </si>
  <si>
    <t>01:41:00.075000</t>
  </si>
  <si>
    <t>01:40:57.075000</t>
  </si>
  <si>
    <t>01:41:01.075000</t>
  </si>
  <si>
    <t>TACKLE OUR 086</t>
  </si>
  <si>
    <t>01:46:32.546000</t>
  </si>
  <si>
    <t>01:46:29.546000</t>
  </si>
  <si>
    <t>01:46:33.546000</t>
  </si>
  <si>
    <t>TACKLE OUR 087</t>
  </si>
  <si>
    <t>01:46:34.870000</t>
  </si>
  <si>
    <t>01:46:31.870000</t>
  </si>
  <si>
    <t>01:46:35.870000</t>
  </si>
  <si>
    <t>TACKLE OUR 088</t>
  </si>
  <si>
    <t>01:46:44.101000</t>
  </si>
  <si>
    <t>01:46:41.101000</t>
  </si>
  <si>
    <t>01:46:45.101000</t>
  </si>
  <si>
    <t>TACKLE OUR 089</t>
  </si>
  <si>
    <t>01:47:03.997000</t>
  </si>
  <si>
    <t>01:47:00.997000</t>
  </si>
  <si>
    <t>01:47:04.997000</t>
  </si>
  <si>
    <t>TACKLE OUR 090</t>
  </si>
  <si>
    <t>01:49:51.120000</t>
  </si>
  <si>
    <t>01:49:48.120000</t>
  </si>
  <si>
    <t>01:49:52.120000</t>
  </si>
  <si>
    <t>TACKLE OUR 091</t>
  </si>
  <si>
    <t>01:50:02.890000</t>
  </si>
  <si>
    <t>01:49:59.890000</t>
  </si>
  <si>
    <t>01:50:03.890000</t>
  </si>
  <si>
    <t>TACKLE OUR 092</t>
  </si>
  <si>
    <t>01:50:08.929000</t>
  </si>
  <si>
    <t>01:50:05.929000</t>
  </si>
  <si>
    <t>01:50:09.929000</t>
  </si>
  <si>
    <t>TACKLE OUR 093</t>
  </si>
  <si>
    <t>01:50:18.206000</t>
  </si>
  <si>
    <t>01:50:15.206000</t>
  </si>
  <si>
    <t>01:50:19.206000</t>
  </si>
  <si>
    <t>TACKLE OUR 094</t>
  </si>
  <si>
    <t>01:50:24.740000</t>
  </si>
  <si>
    <t>01:50:21.740000</t>
  </si>
  <si>
    <t>01:50:25.740000</t>
  </si>
  <si>
    <t>TACKLE OUR 095</t>
  </si>
  <si>
    <t>01:50:30.274000</t>
  </si>
  <si>
    <t>01:50:27.274000</t>
  </si>
  <si>
    <t>01:50:31.274000</t>
  </si>
  <si>
    <t>TACKLE OUR 096</t>
  </si>
  <si>
    <t>01:50:37.631000</t>
  </si>
  <si>
    <t>01:50:34.631000</t>
  </si>
  <si>
    <t>01:50:38.631000</t>
  </si>
  <si>
    <t>TACKLE OUR 097</t>
  </si>
  <si>
    <t>01:50:43.102000</t>
  </si>
  <si>
    <t>01:50:40.102000</t>
  </si>
  <si>
    <t>01:50:44.102000</t>
  </si>
  <si>
    <t>TACKLE OUR 098</t>
  </si>
  <si>
    <t>01:52:01.528000</t>
  </si>
  <si>
    <t>01:51:58.528000</t>
  </si>
  <si>
    <t>01:52:02.528000</t>
  </si>
  <si>
    <t>TACKLE OUR 099</t>
  </si>
  <si>
    <t>01:52:06.850000</t>
  </si>
  <si>
    <t>01:52:03.850000</t>
  </si>
  <si>
    <t>01:52:07.850000</t>
  </si>
  <si>
    <t>TACKLE OUR 100</t>
  </si>
  <si>
    <t>01:52:10.099000</t>
  </si>
  <si>
    <t>01:52:07.099000</t>
  </si>
  <si>
    <t>01:52:11.099000</t>
  </si>
  <si>
    <t>TACKLE OUR 101</t>
  </si>
  <si>
    <t>01:52:15.441000</t>
  </si>
  <si>
    <t>01:52:12.441000</t>
  </si>
  <si>
    <t>01:52:16.441000</t>
  </si>
  <si>
    <t>TACKLE OUR 102</t>
  </si>
  <si>
    <t>01:52:26.495000</t>
  </si>
  <si>
    <t>01:52:23.495000</t>
  </si>
  <si>
    <t>01:52:27.495000</t>
  </si>
  <si>
    <t>TACKLE OUR 103</t>
  </si>
  <si>
    <t>01:52:41.934000</t>
  </si>
  <si>
    <t>01:52:38.934000</t>
  </si>
  <si>
    <t>01:52:42.934000</t>
  </si>
  <si>
    <t>TACKLE OUR 104</t>
  </si>
  <si>
    <t>01:52:47.532000</t>
  </si>
  <si>
    <t>01:52:44.532000</t>
  </si>
  <si>
    <t>01:52:48.532000</t>
  </si>
  <si>
    <t>TACKLE OUR 105</t>
  </si>
  <si>
    <t>01:52:56.041000</t>
  </si>
  <si>
    <t>01:52:53.041000</t>
  </si>
  <si>
    <t>01:52:57.041000</t>
  </si>
  <si>
    <t>TACKLE OUR 106</t>
  </si>
  <si>
    <t>01:53:04.426000</t>
  </si>
  <si>
    <t>01:53:01.426000</t>
  </si>
  <si>
    <t>01:53:05.426000</t>
  </si>
  <si>
    <t>TACKLE OUR 107</t>
  </si>
  <si>
    <t>01:54:06.785000</t>
  </si>
  <si>
    <t>01:54:03.785000</t>
  </si>
  <si>
    <t>01:54:07.785000</t>
  </si>
  <si>
    <t>TACKLE OUR 108</t>
  </si>
  <si>
    <t>01:55:05.795000</t>
  </si>
  <si>
    <t>01:55:02.795000</t>
  </si>
  <si>
    <t>01:55:06.795000</t>
  </si>
  <si>
    <t>TACKLE OUR 109</t>
  </si>
  <si>
    <t>01:55:13.574000</t>
  </si>
  <si>
    <t>01:55:10.574000</t>
  </si>
  <si>
    <t>01:55:14.574000</t>
  </si>
  <si>
    <t>TACKLE OUR 110</t>
  </si>
  <si>
    <t>01:55:19.592000</t>
  </si>
  <si>
    <t>01:55:16.592000</t>
  </si>
  <si>
    <t>01:55:20.592000</t>
  </si>
  <si>
    <t>TACKLE OUR 111</t>
  </si>
  <si>
    <t>01:55:25.489000</t>
  </si>
  <si>
    <t>01:55:22.489000</t>
  </si>
  <si>
    <t>01:55:26.489000</t>
  </si>
  <si>
    <t>TACKLE OUR 112</t>
  </si>
  <si>
    <t>01:55:27.362000</t>
  </si>
  <si>
    <t>01:55:24.362000</t>
  </si>
  <si>
    <t>01:55:28.362000</t>
  </si>
  <si>
    <t>TACKLE OUR 113</t>
  </si>
  <si>
    <t>01:55:34.616000</t>
  </si>
  <si>
    <t>01:55:31.616000</t>
  </si>
  <si>
    <t>01:55:35.616000</t>
  </si>
  <si>
    <t>TACKLE OUR 114</t>
  </si>
  <si>
    <t>01:55:40.922000</t>
  </si>
  <si>
    <t>01:55:37.922000</t>
  </si>
  <si>
    <t>01:55:41.922000</t>
  </si>
  <si>
    <t>TACKLE OPP 001</t>
  </si>
  <si>
    <t>00:08:39.025000</t>
  </si>
  <si>
    <t>00:08:36.025000</t>
  </si>
  <si>
    <t>00:08:40.025000</t>
  </si>
  <si>
    <t>TACKLE OPP 002</t>
  </si>
  <si>
    <t>00:08:49.021000</t>
  </si>
  <si>
    <t>00:08:46.021000</t>
  </si>
  <si>
    <t>00:08:50.021000</t>
  </si>
  <si>
    <t>TACKLE OPP 003</t>
  </si>
  <si>
    <t>00:08:55.236000</t>
  </si>
  <si>
    <t>00:08:52.236000</t>
  </si>
  <si>
    <t>00:08:56.236000</t>
  </si>
  <si>
    <t>TACKLE OPP 004</t>
  </si>
  <si>
    <t>00:08:56.112000</t>
  </si>
  <si>
    <t>00:08:53.112000</t>
  </si>
  <si>
    <t>00:08:57.112000</t>
  </si>
  <si>
    <t>TACKLE OPP 005</t>
  </si>
  <si>
    <t>00:08:58.389000</t>
  </si>
  <si>
    <t>00:08:55.389000</t>
  </si>
  <si>
    <t>00:08:59.389000</t>
  </si>
  <si>
    <t>TACKLE OPP 006</t>
  </si>
  <si>
    <t>00:16:38.490000</t>
  </si>
  <si>
    <t>00:16:35.490000</t>
  </si>
  <si>
    <t>00:16:39.490000</t>
  </si>
  <si>
    <t>TACKLE OPP 007</t>
  </si>
  <si>
    <t>00:16:46.202000</t>
  </si>
  <si>
    <t>00:16:43.202000</t>
  </si>
  <si>
    <t>00:16:47.202000</t>
  </si>
  <si>
    <t>TACKLE OPP 008</t>
  </si>
  <si>
    <t>00:16:51.236000</t>
  </si>
  <si>
    <t>00:16:48.236000</t>
  </si>
  <si>
    <t>00:16:52.236000</t>
  </si>
  <si>
    <t>TACKLE OPP 009</t>
  </si>
  <si>
    <t>00:16:54.924000</t>
  </si>
  <si>
    <t>00:16:51.924000</t>
  </si>
  <si>
    <t>00:16:55.924000</t>
  </si>
  <si>
    <t>TACKLE OPP 010</t>
  </si>
  <si>
    <t>00:17:01.481000</t>
  </si>
  <si>
    <t>00:16:58.481000</t>
  </si>
  <si>
    <t>00:17:02.481000</t>
  </si>
  <si>
    <t>TACKLE OPP 011</t>
  </si>
  <si>
    <t>00:17:12.123000</t>
  </si>
  <si>
    <t>00:17:09.123000</t>
  </si>
  <si>
    <t>00:17:13.123000</t>
  </si>
  <si>
    <t>TACKLE OPP 012</t>
  </si>
  <si>
    <t>00:17:18.835000</t>
  </si>
  <si>
    <t>00:17:15.835000</t>
  </si>
  <si>
    <t>00:17:19.835000</t>
  </si>
  <si>
    <t>TACKLE OPP 013</t>
  </si>
  <si>
    <t>00:17:26.601000</t>
  </si>
  <si>
    <t>00:17:23.601000</t>
  </si>
  <si>
    <t>00:17:27.601000</t>
  </si>
  <si>
    <t>TACKLE OPP 014</t>
  </si>
  <si>
    <t>00:17:29.909000</t>
  </si>
  <si>
    <t>00:17:26.909000</t>
  </si>
  <si>
    <t>00:17:30.909000</t>
  </si>
  <si>
    <t>TACKLE OPP 015</t>
  </si>
  <si>
    <t>00:17:37.480000</t>
  </si>
  <si>
    <t>00:17:34.480000</t>
  </si>
  <si>
    <t>00:17:38.480000</t>
  </si>
  <si>
    <t>TACKLE OPP 016</t>
  </si>
  <si>
    <t>00:17:46.887000</t>
  </si>
  <si>
    <t>00:17:47.887000</t>
  </si>
  <si>
    <t>TACKLE OPP 017</t>
  </si>
  <si>
    <t>00:17:52.145000</t>
  </si>
  <si>
    <t>00:17:49.145000</t>
  </si>
  <si>
    <t>00:17:53.145000</t>
  </si>
  <si>
    <t>TACKLE OPP 018</t>
  </si>
  <si>
    <t>00:17:58.486000</t>
  </si>
  <si>
    <t>00:17:55.486000</t>
  </si>
  <si>
    <t>00:17:59.486000</t>
  </si>
  <si>
    <t>TACKLE OPP 019</t>
  </si>
  <si>
    <t>00:18:06.127000</t>
  </si>
  <si>
    <t>00:18:03.127000</t>
  </si>
  <si>
    <t>00:18:07.127000</t>
  </si>
  <si>
    <t>TACKLE OPP 020</t>
  </si>
  <si>
    <t>00:18:12.927000</t>
  </si>
  <si>
    <t>00:18:09.927000</t>
  </si>
  <si>
    <t>00:18:13.927000</t>
  </si>
  <si>
    <t>TACKLE OPP 021</t>
  </si>
  <si>
    <t>00:18:17.719000</t>
  </si>
  <si>
    <t>00:18:14.719000</t>
  </si>
  <si>
    <t>00:18:18.719000</t>
  </si>
  <si>
    <t>TACKLE OPP 022</t>
  </si>
  <si>
    <t>00:18:18.049000</t>
  </si>
  <si>
    <t>00:18:15.049000</t>
  </si>
  <si>
    <t>00:18:19.049000</t>
  </si>
  <si>
    <t>TACKLE OPP 023</t>
  </si>
  <si>
    <t>00:18:26.705000</t>
  </si>
  <si>
    <t>00:18:23.705000</t>
  </si>
  <si>
    <t>00:18:27.705000</t>
  </si>
  <si>
    <t>TACKLE OPP 024</t>
  </si>
  <si>
    <t>00:19:45.384000</t>
  </si>
  <si>
    <t>00:19:42.384000</t>
  </si>
  <si>
    <t>00:19:46.384000</t>
  </si>
  <si>
    <t>TACKLE OPP 025</t>
  </si>
  <si>
    <t>00:20:35.432000</t>
  </si>
  <si>
    <t>00:20:32.432000</t>
  </si>
  <si>
    <t>00:20:36.432000</t>
  </si>
  <si>
    <t>TACKLE OPP 026</t>
  </si>
  <si>
    <t>00:29:10.831000</t>
  </si>
  <si>
    <t>00:29:07.831000</t>
  </si>
  <si>
    <t>00:29:11.831000</t>
  </si>
  <si>
    <t>TACKLE OPP 027</t>
  </si>
  <si>
    <t>00:29:20.598000</t>
  </si>
  <si>
    <t>00:29:17.598000</t>
  </si>
  <si>
    <t>00:29:21.598000</t>
  </si>
  <si>
    <t>TACKLE OPP 028</t>
  </si>
  <si>
    <t>00:29:54.976000</t>
  </si>
  <si>
    <t>00:29:51.976000</t>
  </si>
  <si>
    <t>00:29:55.976000</t>
  </si>
  <si>
    <t>TACKLE OPP 029</t>
  </si>
  <si>
    <t>00:30:00.815000</t>
  </si>
  <si>
    <t>00:29:57.815000</t>
  </si>
  <si>
    <t>00:30:01.815000</t>
  </si>
  <si>
    <t>TACKLE OPP 030</t>
  </si>
  <si>
    <t>00:30:11.540000</t>
  </si>
  <si>
    <t>00:30:08.540000</t>
  </si>
  <si>
    <t>00:30:12.540000</t>
  </si>
  <si>
    <t>TACKLE OPP 031</t>
  </si>
  <si>
    <t>00:30:16.897000</t>
  </si>
  <si>
    <t>00:30:13.897000</t>
  </si>
  <si>
    <t>00:30:17.897000</t>
  </si>
  <si>
    <t>TACKLE OPP 032</t>
  </si>
  <si>
    <t>00:30:24.276000</t>
  </si>
  <si>
    <t>00:30:21.276000</t>
  </si>
  <si>
    <t>00:30:25.276000</t>
  </si>
  <si>
    <t>TACKLE OPP 033</t>
  </si>
  <si>
    <t>00:30:28.282000</t>
  </si>
  <si>
    <t>00:30:25.282000</t>
  </si>
  <si>
    <t>00:30:29.282000</t>
  </si>
  <si>
    <t>TACKLE OPP 034</t>
  </si>
  <si>
    <t>00:30:50.098000</t>
  </si>
  <si>
    <t>00:30:47.098000</t>
  </si>
  <si>
    <t>00:30:51.098000</t>
  </si>
  <si>
    <t>TACKLE OPP 035</t>
  </si>
  <si>
    <t>00:30:53.306000</t>
  </si>
  <si>
    <t>00:30:50.306000</t>
  </si>
  <si>
    <t>00:30:54.306000</t>
  </si>
  <si>
    <t>TACKLE OPP 036</t>
  </si>
  <si>
    <t>00:31:06.268000</t>
  </si>
  <si>
    <t>00:31:03.268000</t>
  </si>
  <si>
    <t>00:31:07.268000</t>
  </si>
  <si>
    <t>TACKLE OPP 037</t>
  </si>
  <si>
    <t>00:31:15.439000</t>
  </si>
  <si>
    <t>00:31:12.439000</t>
  </si>
  <si>
    <t>00:31:16.439000</t>
  </si>
  <si>
    <t>TACKLE OPP 038</t>
  </si>
  <si>
    <t>00:31:19.926000</t>
  </si>
  <si>
    <t>00:31:16.926000</t>
  </si>
  <si>
    <t>00:31:20.926000</t>
  </si>
  <si>
    <t>TACKLE OPP 039</t>
  </si>
  <si>
    <t>00:31:28.251000</t>
  </si>
  <si>
    <t>00:31:25.251000</t>
  </si>
  <si>
    <t>00:31:29.251000</t>
  </si>
  <si>
    <t>TACKLE OPP 040</t>
  </si>
  <si>
    <t>00:31:38.787000</t>
  </si>
  <si>
    <t>00:31:35.787000</t>
  </si>
  <si>
    <t>TACKLE OPP 041</t>
  </si>
  <si>
    <t>00:31:50.047000</t>
  </si>
  <si>
    <t>00:31:47.047000</t>
  </si>
  <si>
    <t>00:31:51.047000</t>
  </si>
  <si>
    <t>TACKLE OPP 042</t>
  </si>
  <si>
    <t>00:31:56.694000</t>
  </si>
  <si>
    <t>00:31:53.694000</t>
  </si>
  <si>
    <t>00:31:57.694000</t>
  </si>
  <si>
    <t>TACKLE OPP 043</t>
  </si>
  <si>
    <t>00:32:02.685000</t>
  </si>
  <si>
    <t>00:31:59.685000</t>
  </si>
  <si>
    <t>00:32:03.685000</t>
  </si>
  <si>
    <t>TACKLE OPP 044</t>
  </si>
  <si>
    <t>00:32:11.329000</t>
  </si>
  <si>
    <t>00:32:08.329000</t>
  </si>
  <si>
    <t>00:32:12.329000</t>
  </si>
  <si>
    <t>TACKLE OPP 045</t>
  </si>
  <si>
    <t>00:32:21.489000</t>
  </si>
  <si>
    <t>00:32:18.489000</t>
  </si>
  <si>
    <t>00:32:22.489000</t>
  </si>
  <si>
    <t>TACKLE OPP 046</t>
  </si>
  <si>
    <t>00:32:28.220000</t>
  </si>
  <si>
    <t>00:32:25.220000</t>
  </si>
  <si>
    <t>00:32:29.220000</t>
  </si>
  <si>
    <t>TACKLE OPP 047</t>
  </si>
  <si>
    <t>00:32:31.036000</t>
  </si>
  <si>
    <t>00:32:28.036000</t>
  </si>
  <si>
    <t>00:32:32.036000</t>
  </si>
  <si>
    <t>TACKLE OPP 048</t>
  </si>
  <si>
    <t>00:33:21.531000</t>
  </si>
  <si>
    <t>00:33:18.531000</t>
  </si>
  <si>
    <t>00:33:22.531000</t>
  </si>
  <si>
    <t>TACKLE OPP 049</t>
  </si>
  <si>
    <t>00:33:27.980000</t>
  </si>
  <si>
    <t>00:33:24.980000</t>
  </si>
  <si>
    <t>00:33:28.980000</t>
  </si>
  <si>
    <t>TACKLE OPP 050</t>
  </si>
  <si>
    <t>00:33:36.296000</t>
  </si>
  <si>
    <t>00:33:33.296000</t>
  </si>
  <si>
    <t>00:33:37.296000</t>
  </si>
  <si>
    <t>TACKLE OPP 051</t>
  </si>
  <si>
    <t>00:33:42.308000</t>
  </si>
  <si>
    <t>00:33:39.308000</t>
  </si>
  <si>
    <t>00:33:43.308000</t>
  </si>
  <si>
    <t>TACKLE OPP 052</t>
  </si>
  <si>
    <t>00:35:10.447000</t>
  </si>
  <si>
    <t>00:35:07.447000</t>
  </si>
  <si>
    <t>00:35:11.447000</t>
  </si>
  <si>
    <t>TACKLE OPP 053</t>
  </si>
  <si>
    <t>00:35:21.943000</t>
  </si>
  <si>
    <t>00:35:18.943000</t>
  </si>
  <si>
    <t>00:35:22.943000</t>
  </si>
  <si>
    <t>TACKLE OPP 054</t>
  </si>
  <si>
    <t>00:45:27.766000</t>
  </si>
  <si>
    <t>00:45:24.766000</t>
  </si>
  <si>
    <t>00:45:28.766000</t>
  </si>
  <si>
    <t>TACKLE OPP 055</t>
  </si>
  <si>
    <t>00:45:33.824000</t>
  </si>
  <si>
    <t>00:45:30.824000</t>
  </si>
  <si>
    <t>00:45:34.824000</t>
  </si>
  <si>
    <t>TACKLE OPP 056</t>
  </si>
  <si>
    <t>00:45:42.774000</t>
  </si>
  <si>
    <t>00:45:39.774000</t>
  </si>
  <si>
    <t>00:45:43.774000</t>
  </si>
  <si>
    <t>TACKLE OPP 057</t>
  </si>
  <si>
    <t>00:45:46.209000</t>
  </si>
  <si>
    <t>00:45:43.209000</t>
  </si>
  <si>
    <t>00:45:47.209000</t>
  </si>
  <si>
    <t>TACKLE OPP 058</t>
  </si>
  <si>
    <t>00:45:52.157000</t>
  </si>
  <si>
    <t>00:45:49.157000</t>
  </si>
  <si>
    <t>00:45:53.157000</t>
  </si>
  <si>
    <t>TACKLE OPP 059</t>
  </si>
  <si>
    <t>00:48:04.737000</t>
  </si>
  <si>
    <t>00:48:01.737000</t>
  </si>
  <si>
    <t>00:48:05.737000</t>
  </si>
  <si>
    <t>TACKLE OPP 060</t>
  </si>
  <si>
    <t>00:48:14.636000</t>
  </si>
  <si>
    <t>00:48:11.636000</t>
  </si>
  <si>
    <t>00:48:15.636000</t>
  </si>
  <si>
    <t>TACKLE OPP 061</t>
  </si>
  <si>
    <t>01:07:29.031000</t>
  </si>
  <si>
    <t>01:07:26.031000</t>
  </si>
  <si>
    <t>01:07:30.031000</t>
  </si>
  <si>
    <t>TACKLE OPP 062</t>
  </si>
  <si>
    <t>01:08:54.736000</t>
  </si>
  <si>
    <t>01:08:51.736000</t>
  </si>
  <si>
    <t>01:08:55.736000</t>
  </si>
  <si>
    <t>TACKLE OPP 063</t>
  </si>
  <si>
    <t>01:09:03.575000</t>
  </si>
  <si>
    <t>01:09:00.575000</t>
  </si>
  <si>
    <t>01:09:04.575000</t>
  </si>
  <si>
    <t>TACKLE OPP 064</t>
  </si>
  <si>
    <t>01:09:13.125000</t>
  </si>
  <si>
    <t>01:09:10.125000</t>
  </si>
  <si>
    <t>01:09:14.125000</t>
  </si>
  <si>
    <t>TACKLE OPP 065</t>
  </si>
  <si>
    <t>01:09:21.636000</t>
  </si>
  <si>
    <t>01:09:18.636000</t>
  </si>
  <si>
    <t>01:09:22.636000</t>
  </si>
  <si>
    <t>TACKLE OPP 066</t>
  </si>
  <si>
    <t>01:09:24.951000</t>
  </si>
  <si>
    <t>01:09:21.951000</t>
  </si>
  <si>
    <t>01:09:25.951000</t>
  </si>
  <si>
    <t>TACKLE OPP 067</t>
  </si>
  <si>
    <t>01:09:30.519000</t>
  </si>
  <si>
    <t>01:09:27.519000</t>
  </si>
  <si>
    <t>01:09:31.519000</t>
  </si>
  <si>
    <t>TACKLE OPP 068</t>
  </si>
  <si>
    <t>01:09:37.931000</t>
  </si>
  <si>
    <t>01:09:34.931000</t>
  </si>
  <si>
    <t>01:09:38.931000</t>
  </si>
  <si>
    <t>TACKLE OPP 069</t>
  </si>
  <si>
    <t>01:09:42.790000</t>
  </si>
  <si>
    <t>01:09:39.790000</t>
  </si>
  <si>
    <t>01:09:43.790000</t>
  </si>
  <si>
    <t>TACKLE OPP 070</t>
  </si>
  <si>
    <t>01:09:47.881000</t>
  </si>
  <si>
    <t>01:09:44.881000</t>
  </si>
  <si>
    <t>01:09:48.881000</t>
  </si>
  <si>
    <t>TACKLE OPP 071</t>
  </si>
  <si>
    <t>01:09:54.368000</t>
  </si>
  <si>
    <t>01:09:51.368000</t>
  </si>
  <si>
    <t>01:09:55.368000</t>
  </si>
  <si>
    <t>TACKLE OPP 072</t>
  </si>
  <si>
    <t>01:10:08.555000</t>
  </si>
  <si>
    <t>01:10:05.555000</t>
  </si>
  <si>
    <t>01:10:09.555000</t>
  </si>
  <si>
    <t>TACKLE OPP 073</t>
  </si>
  <si>
    <t>01:10:11.826000</t>
  </si>
  <si>
    <t>01:10:08.826000</t>
  </si>
  <si>
    <t>01:10:12.826000</t>
  </si>
  <si>
    <t>TACKLE OPP 074</t>
  </si>
  <si>
    <t>01:10:28.115000</t>
  </si>
  <si>
    <t>01:10:25.115000</t>
  </si>
  <si>
    <t>01:10:29.115000</t>
  </si>
  <si>
    <t>TACKLE OPP 075</t>
  </si>
  <si>
    <t>01:11:25.305000</t>
  </si>
  <si>
    <t>01:11:22.305000</t>
  </si>
  <si>
    <t>01:11:26.305000</t>
  </si>
  <si>
    <t>TACKLE OPP 076</t>
  </si>
  <si>
    <t>01:15:30.760000</t>
  </si>
  <si>
    <t>01:15:27.760000</t>
  </si>
  <si>
    <t>01:15:31.760000</t>
  </si>
  <si>
    <t>TACKLE OPP 077</t>
  </si>
  <si>
    <t>01:15:38.188000</t>
  </si>
  <si>
    <t>01:15:35.188000</t>
  </si>
  <si>
    <t>01:15:39.188000</t>
  </si>
  <si>
    <t>TACKLE OPP 078</t>
  </si>
  <si>
    <t>01:15:51.890000</t>
  </si>
  <si>
    <t>01:15:48.890000</t>
  </si>
  <si>
    <t>01:15:52.890000</t>
  </si>
  <si>
    <t>TACKLE OPP 079</t>
  </si>
  <si>
    <t>01:15:56.874000</t>
  </si>
  <si>
    <t>01:15:53.874000</t>
  </si>
  <si>
    <t>01:15:57.874000</t>
  </si>
  <si>
    <t>TACKLE OPP 080</t>
  </si>
  <si>
    <t>01:16:03.394000</t>
  </si>
  <si>
    <t>01:16:00.394000</t>
  </si>
  <si>
    <t>01:16:04.394000</t>
  </si>
  <si>
    <t>TACKLE OPP 081</t>
  </si>
  <si>
    <t>01:16:12.481000</t>
  </si>
  <si>
    <t>01:16:09.481000</t>
  </si>
  <si>
    <t>01:16:13.481000</t>
  </si>
  <si>
    <t>TACKLE OPP 082</t>
  </si>
  <si>
    <t>01:16:19.811000</t>
  </si>
  <si>
    <t>01:16:16.811000</t>
  </si>
  <si>
    <t>01:16:20.811000</t>
  </si>
  <si>
    <t>TACKLE OPP 083</t>
  </si>
  <si>
    <t>01:17:58.883000</t>
  </si>
  <si>
    <t>01:17:55.883000</t>
  </si>
  <si>
    <t>01:17:59.883000</t>
  </si>
  <si>
    <t>TACKLE OPP 084</t>
  </si>
  <si>
    <t>01:18:03.936000</t>
  </si>
  <si>
    <t>01:18:00.936000</t>
  </si>
  <si>
    <t>01:18:04.936000</t>
  </si>
  <si>
    <t>TACKLE OPP 085</t>
  </si>
  <si>
    <t>01:18:08.738000</t>
  </si>
  <si>
    <t>01:18:05.738000</t>
  </si>
  <si>
    <t>01:18:09.738000</t>
  </si>
  <si>
    <t>TACKLE OPP 086</t>
  </si>
  <si>
    <t>01:19:11.706000</t>
  </si>
  <si>
    <t>01:19:08.706000</t>
  </si>
  <si>
    <t>01:19:12.706000</t>
  </si>
  <si>
    <t>TACKLE OPP 087</t>
  </si>
  <si>
    <t>01:21:30.818000</t>
  </si>
  <si>
    <t>01:21:27.818000</t>
  </si>
  <si>
    <t>01:21:31.818000</t>
  </si>
  <si>
    <t>TACKLE OPP 088</t>
  </si>
  <si>
    <t>01:21:42.573000</t>
  </si>
  <si>
    <t>01:21:39.573000</t>
  </si>
  <si>
    <t>01:21:43.573000</t>
  </si>
  <si>
    <t>TACKLE OPP 089</t>
  </si>
  <si>
    <t>01:23:11.832000</t>
  </si>
  <si>
    <t>01:23:08.832000</t>
  </si>
  <si>
    <t>01:23:12.832000</t>
  </si>
  <si>
    <t>TACKLE OPP 090</t>
  </si>
  <si>
    <t>01:23:29.393000</t>
  </si>
  <si>
    <t>01:23:30.393000</t>
  </si>
  <si>
    <t>TACKLE OPP 091</t>
  </si>
  <si>
    <t>01:29:21.755000</t>
  </si>
  <si>
    <t>01:29:18.755000</t>
  </si>
  <si>
    <t>01:29:22.755000</t>
  </si>
  <si>
    <t>TACKLE OPP 092</t>
  </si>
  <si>
    <t>01:29:31.358000</t>
  </si>
  <si>
    <t>01:29:28.358000</t>
  </si>
  <si>
    <t>01:29:32.358000</t>
  </si>
  <si>
    <t>TACKLE OPP 093</t>
  </si>
  <si>
    <t>01:29:45.614000</t>
  </si>
  <si>
    <t>01:29:42.614000</t>
  </si>
  <si>
    <t>01:29:46.614000</t>
  </si>
  <si>
    <t>TACKLE OPP 094</t>
  </si>
  <si>
    <t>01:29:51.169000</t>
  </si>
  <si>
    <t>01:29:48.169000</t>
  </si>
  <si>
    <t>01:29:52.169000</t>
  </si>
  <si>
    <t>TACKLE OPP 095</t>
  </si>
  <si>
    <t>01:30:06.389000</t>
  </si>
  <si>
    <t>01:30:03.389000</t>
  </si>
  <si>
    <t>01:30:07.389000</t>
  </si>
  <si>
    <t>TACKLE OPP 096</t>
  </si>
  <si>
    <t>01:32:41.722000</t>
  </si>
  <si>
    <t>01:32:38.722000</t>
  </si>
  <si>
    <t>01:32:42.722000</t>
  </si>
  <si>
    <t>TACKLE OPP 097</t>
  </si>
  <si>
    <t>01:34:36.271000</t>
  </si>
  <si>
    <t>01:34:33.271000</t>
  </si>
  <si>
    <t>01:34:37.271000</t>
  </si>
  <si>
    <t>TACKLE OPP 098</t>
  </si>
  <si>
    <t>01:34:46.048000</t>
  </si>
  <si>
    <t>01:34:43.048000</t>
  </si>
  <si>
    <t>01:34:47.048000</t>
  </si>
  <si>
    <t>TACKLE OPP 099</t>
  </si>
  <si>
    <t>01:34:51.810000</t>
  </si>
  <si>
    <t>01:34:48.810000</t>
  </si>
  <si>
    <t>01:34:52.810000</t>
  </si>
  <si>
    <t>TACKLE OPP 100</t>
  </si>
  <si>
    <t>01:35:25.251000</t>
  </si>
  <si>
    <t>01:35:22.251000</t>
  </si>
  <si>
    <t>01:35:26.251000</t>
  </si>
  <si>
    <t>TACKLE OPP 101</t>
  </si>
  <si>
    <t>01:37:31.900000</t>
  </si>
  <si>
    <t>01:37:28.900000</t>
  </si>
  <si>
    <t>01:37:32.900000</t>
  </si>
  <si>
    <t>TACKLE OPP 102</t>
  </si>
  <si>
    <t>01:37:46.035000</t>
  </si>
  <si>
    <t>01:37:43.035000</t>
  </si>
  <si>
    <t>01:37:47.035000</t>
  </si>
  <si>
    <t>TACKLE OPP 103</t>
  </si>
  <si>
    <t>01:38:54.111000</t>
  </si>
  <si>
    <t>01:38:51.111000</t>
  </si>
  <si>
    <t>01:38:55.111000</t>
  </si>
  <si>
    <t>TACKLE OPP 104</t>
  </si>
  <si>
    <t>01:39:08.438000</t>
  </si>
  <si>
    <t>01:39:05.438000</t>
  </si>
  <si>
    <t>01:39:09.438000</t>
  </si>
  <si>
    <t>TACKLE OPP 105</t>
  </si>
  <si>
    <t>01:39:19.342000</t>
  </si>
  <si>
    <t>01:39:16.342000</t>
  </si>
  <si>
    <t>01:39:20.342000</t>
  </si>
  <si>
    <t>TACKLE OPP 106</t>
  </si>
  <si>
    <t>01:39:28.788000</t>
  </si>
  <si>
    <t>01:39:25.788000</t>
  </si>
  <si>
    <t>01:39:29.788000</t>
  </si>
  <si>
    <t>TACKLE OPP 107</t>
  </si>
  <si>
    <t>01:41:49.936000</t>
  </si>
  <si>
    <t>01:41:46.936000</t>
  </si>
  <si>
    <t>01:41:50.936000</t>
  </si>
  <si>
    <t>TACKLE OPP 108</t>
  </si>
  <si>
    <t>01:42:10.458000</t>
  </si>
  <si>
    <t>01:42:07.458000</t>
  </si>
  <si>
    <t>01:42:11.458000</t>
  </si>
  <si>
    <t>TACKLE OPP 109</t>
  </si>
  <si>
    <t>01:42:14.806000</t>
  </si>
  <si>
    <t>01:42:11.806000</t>
  </si>
  <si>
    <t>01:42:15.806000</t>
  </si>
  <si>
    <t>TACKLE OPP 110</t>
  </si>
  <si>
    <t>01:42:22.795000</t>
  </si>
  <si>
    <t>01:42:19.795000</t>
  </si>
  <si>
    <t>01:42:23.795000</t>
  </si>
  <si>
    <t>TACKLE OPP 111</t>
  </si>
  <si>
    <t>01:43:58.684000</t>
  </si>
  <si>
    <t>01:43:55.684000</t>
  </si>
  <si>
    <t>01:43:59.684000</t>
  </si>
  <si>
    <t>TACKLE OPP 112</t>
  </si>
  <si>
    <t>01:44:08.503000</t>
  </si>
  <si>
    <t>01:44:05.503000</t>
  </si>
  <si>
    <t>01:44:09.503000</t>
  </si>
  <si>
    <t>TACKLE OPP 113</t>
  </si>
  <si>
    <t>01:44:19.013000</t>
  </si>
  <si>
    <t>01:44:16.013000</t>
  </si>
  <si>
    <t>01:44:20.013000</t>
  </si>
  <si>
    <t>TACKLE OPP 114</t>
  </si>
  <si>
    <t>01:44:30.283000</t>
  </si>
  <si>
    <t>01:44:27.283000</t>
  </si>
  <si>
    <t>01:44:31.283000</t>
  </si>
  <si>
    <t>TACKLE OPP 115</t>
  </si>
  <si>
    <t>01:44:38.169000</t>
  </si>
  <si>
    <t>01:44:35.169000</t>
  </si>
  <si>
    <t>01:44:39.169000</t>
  </si>
  <si>
    <t>TACKLE OPP 116</t>
  </si>
  <si>
    <t>01:44:46.808000</t>
  </si>
  <si>
    <t>01:44:43.808000</t>
  </si>
  <si>
    <t>01:44:47.808000</t>
  </si>
  <si>
    <t>TACKLE OPP 117</t>
  </si>
  <si>
    <t>01:44:50.984000</t>
  </si>
  <si>
    <t>01:44:47.984000</t>
  </si>
  <si>
    <t>01:44:51.984000</t>
  </si>
  <si>
    <t>TACKLE OPP 118</t>
  </si>
  <si>
    <t>01:46:50.606000</t>
  </si>
  <si>
    <t>01:46:47.606000</t>
  </si>
  <si>
    <t>01:46:51.606000</t>
  </si>
  <si>
    <t>TACKLE OPP 119</t>
  </si>
  <si>
    <t>01:51:36.765000</t>
  </si>
  <si>
    <t>01:51:33.765000</t>
  </si>
  <si>
    <t>01:51:37.765000</t>
  </si>
  <si>
    <t>TACKLE OPP 120</t>
  </si>
  <si>
    <t>01:51:43.974000</t>
  </si>
  <si>
    <t>01:51:40.974000</t>
  </si>
  <si>
    <t>01:51:44.974000</t>
  </si>
  <si>
    <t>TACKLE OPP 121</t>
  </si>
  <si>
    <t>01:52:02.254000</t>
  </si>
  <si>
    <t>01:51:59.254000</t>
  </si>
  <si>
    <t>01:52:03.254000</t>
  </si>
  <si>
    <t>TACKLE OPP 122</t>
  </si>
  <si>
    <t>01:54:42.932000</t>
  </si>
  <si>
    <t>01:54:39.932000</t>
  </si>
  <si>
    <t>01:54:43.932000</t>
  </si>
  <si>
    <t>00:06:11.133000</t>
  </si>
  <si>
    <t>00:06:08.133000</t>
  </si>
  <si>
    <t>00:06:12.133000</t>
  </si>
  <si>
    <t>00:06:19.575000</t>
  </si>
  <si>
    <t>00:06:16.575000</t>
  </si>
  <si>
    <t>00:06:20.575000</t>
  </si>
  <si>
    <t>00:06:46.724000</t>
  </si>
  <si>
    <t>00:06:43.724000</t>
  </si>
  <si>
    <t>00:06:47.724000</t>
  </si>
  <si>
    <t>00:06:58.093000</t>
  </si>
  <si>
    <t>00:06:55.093000</t>
  </si>
  <si>
    <t>00:06:59.093000</t>
  </si>
  <si>
    <t>00:07:06.355000</t>
  </si>
  <si>
    <t>00:07:03.355000</t>
  </si>
  <si>
    <t>00:07:07.355000</t>
  </si>
  <si>
    <t>00:07:15.773000</t>
  </si>
  <si>
    <t>00:07:12.773000</t>
  </si>
  <si>
    <t>00:07:16.773000</t>
  </si>
  <si>
    <t>00:08:37.277000</t>
  </si>
  <si>
    <t>00:08:34.277000</t>
  </si>
  <si>
    <t>00:08:38.277000</t>
  </si>
  <si>
    <t>00:08:48.143000</t>
  </si>
  <si>
    <t>00:08:45.143000</t>
  </si>
  <si>
    <t>00:08:49.143000</t>
  </si>
  <si>
    <t>00:08:54.773000</t>
  </si>
  <si>
    <t>00:08:51.773000</t>
  </si>
  <si>
    <t>00:08:55.773000</t>
  </si>
  <si>
    <t>00:08:59.956000</t>
  </si>
  <si>
    <t>00:08:56.956000</t>
  </si>
  <si>
    <t>00:09:00.956000</t>
  </si>
  <si>
    <t>00:09:07.258000</t>
  </si>
  <si>
    <t>00:09:04.258000</t>
  </si>
  <si>
    <t>00:09:08.258000</t>
  </si>
  <si>
    <t>00:09:13.450000</t>
  </si>
  <si>
    <t>00:09:10.450000</t>
  </si>
  <si>
    <t>00:09:14.450000</t>
  </si>
  <si>
    <t>00:09:17.058000</t>
  </si>
  <si>
    <t>00:09:14.058000</t>
  </si>
  <si>
    <t>00:09:18.058000</t>
  </si>
  <si>
    <t>00:09:23.165000</t>
  </si>
  <si>
    <t>00:09:20.165000</t>
  </si>
  <si>
    <t>00:09:24.165000</t>
  </si>
  <si>
    <t>00:09:26.170000</t>
  </si>
  <si>
    <t>00:09:23.170000</t>
  </si>
  <si>
    <t>00:09:27.170000</t>
  </si>
  <si>
    <t>00:09:27.422000</t>
  </si>
  <si>
    <t>00:09:24.422000</t>
  </si>
  <si>
    <t>00:09:28.422000</t>
  </si>
  <si>
    <t>00:11:24.810000</t>
  </si>
  <si>
    <t>00:11:21.810000</t>
  </si>
  <si>
    <t>00:11:25.810000</t>
  </si>
  <si>
    <t>00:11:42.189000</t>
  </si>
  <si>
    <t>00:11:39.189000</t>
  </si>
  <si>
    <t>00:11:43.189000</t>
  </si>
  <si>
    <t>00:12:09.008000</t>
  </si>
  <si>
    <t>00:12:06.008000</t>
  </si>
  <si>
    <t>00:12:10.008000</t>
  </si>
  <si>
    <t>00:15:35.290000</t>
  </si>
  <si>
    <t>00:15:32.290000</t>
  </si>
  <si>
    <t>00:15:36.290000</t>
  </si>
  <si>
    <t>00:15:49.677000</t>
  </si>
  <si>
    <t>00:15:46.677000</t>
  </si>
  <si>
    <t>00:15:50.677000</t>
  </si>
  <si>
    <t>00:21:55.277000</t>
  </si>
  <si>
    <t>00:21:52.277000</t>
  </si>
  <si>
    <t>00:21:56.277000</t>
  </si>
  <si>
    <t>00:22:04.124000</t>
  </si>
  <si>
    <t>00:22:01.124000</t>
  </si>
  <si>
    <t>00:22:05.124000</t>
  </si>
  <si>
    <t>00:22:13.138000</t>
  </si>
  <si>
    <t>00:22:10.138000</t>
  </si>
  <si>
    <t>00:22:14.138000</t>
  </si>
  <si>
    <t>00:22:14.197000</t>
  </si>
  <si>
    <t>00:22:11.197000</t>
  </si>
  <si>
    <t>00:22:15.197000</t>
  </si>
  <si>
    <t>00:22:15.273000</t>
  </si>
  <si>
    <t>00:22:12.273000</t>
  </si>
  <si>
    <t>00:22:16.273000</t>
  </si>
  <si>
    <t>00:22:16.560000</t>
  </si>
  <si>
    <t>00:22:13.560000</t>
  </si>
  <si>
    <t>00:22:17.560000</t>
  </si>
  <si>
    <t>00:23:55.317000</t>
  </si>
  <si>
    <t>00:23:52.317000</t>
  </si>
  <si>
    <t>00:23:56.317000</t>
  </si>
  <si>
    <t>00:24:02.978000</t>
  </si>
  <si>
    <t>00:23:59.978000</t>
  </si>
  <si>
    <t>00:24:03.978000</t>
  </si>
  <si>
    <t>00:24:22.542000</t>
  </si>
  <si>
    <t>00:24:19.542000</t>
  </si>
  <si>
    <t>00:24:23.542000</t>
  </si>
  <si>
    <t>00:24:30.234000</t>
  </si>
  <si>
    <t>00:24:27.234000</t>
  </si>
  <si>
    <t>00:24:31.234000</t>
  </si>
  <si>
    <t>00:24:40.057000</t>
  </si>
  <si>
    <t>00:24:37.057000</t>
  </si>
  <si>
    <t>00:24:41.057000</t>
  </si>
  <si>
    <t>00:26:53.830000</t>
  </si>
  <si>
    <t>00:26:50.830000</t>
  </si>
  <si>
    <t>00:26:54.830000</t>
  </si>
  <si>
    <t>00:27:10.763000</t>
  </si>
  <si>
    <t>00:27:07.763000</t>
  </si>
  <si>
    <t>00:27:11.763000</t>
  </si>
  <si>
    <t>00:30:41.413000</t>
  </si>
  <si>
    <t>00:30:38.413000</t>
  </si>
  <si>
    <t>00:30:42.413000</t>
  </si>
  <si>
    <t>00:38:18.913000</t>
  </si>
  <si>
    <t>00:38:15.913000</t>
  </si>
  <si>
    <t>00:38:19.913000</t>
  </si>
  <si>
    <t>00:50:16.922000</t>
  </si>
  <si>
    <t>00:50:13.922000</t>
  </si>
  <si>
    <t>00:50:17.922000</t>
  </si>
  <si>
    <t>00:51:41.249000</t>
  </si>
  <si>
    <t>00:51:38.249000</t>
  </si>
  <si>
    <t>00:51:42.249000</t>
  </si>
  <si>
    <t>00:51:51.261000</t>
  </si>
  <si>
    <t>00:51:48.261000</t>
  </si>
  <si>
    <t>00:51:52.261000</t>
  </si>
  <si>
    <t>00:51:54.034000</t>
  </si>
  <si>
    <t>00:51:51.034000</t>
  </si>
  <si>
    <t>00:51:55.034000</t>
  </si>
  <si>
    <t>00:52:04.037000</t>
  </si>
  <si>
    <t>00:52:01.037000</t>
  </si>
  <si>
    <t>00:52:05.037000</t>
  </si>
  <si>
    <t>01:03:56.413000</t>
  </si>
  <si>
    <t>01:03:53.413000</t>
  </si>
  <si>
    <t>01:03:57.413000</t>
  </si>
  <si>
    <t>01:06:36.282000</t>
  </si>
  <si>
    <t>01:06:33.282000</t>
  </si>
  <si>
    <t>01:06:37.282000</t>
  </si>
  <si>
    <t>01:06:42.411000</t>
  </si>
  <si>
    <t>01:06:39.411000</t>
  </si>
  <si>
    <t>01:06:43.411000</t>
  </si>
  <si>
    <t>01:08:56.729000</t>
  </si>
  <si>
    <t>01:08:53.729000</t>
  </si>
  <si>
    <t>01:08:57.729000</t>
  </si>
  <si>
    <t>01:09:04.512000</t>
  </si>
  <si>
    <t>01:09:01.512000</t>
  </si>
  <si>
    <t>01:09:05.512000</t>
  </si>
  <si>
    <t>01:10:12.629000</t>
  </si>
  <si>
    <t>01:10:09.629000</t>
  </si>
  <si>
    <t>01:10:13.629000</t>
  </si>
  <si>
    <t>01:10:20.821000</t>
  </si>
  <si>
    <t>01:10:17.821000</t>
  </si>
  <si>
    <t>01:10:21.821000</t>
  </si>
  <si>
    <t>01:10:28.519000</t>
  </si>
  <si>
    <t>01:10:25.519000</t>
  </si>
  <si>
    <t>01:10:29.519000</t>
  </si>
  <si>
    <t>01:14:15.087000</t>
  </si>
  <si>
    <t>01:14:12.087000</t>
  </si>
  <si>
    <t>01:14:16.087000</t>
  </si>
  <si>
    <t>01:14:29.463000</t>
  </si>
  <si>
    <t>01:14:26.463000</t>
  </si>
  <si>
    <t>01:14:30.463000</t>
  </si>
  <si>
    <t>01:14:40.695000</t>
  </si>
  <si>
    <t>01:14:37.695000</t>
  </si>
  <si>
    <t>01:14:41.695000</t>
  </si>
  <si>
    <t>01:15:16.820000</t>
  </si>
  <si>
    <t>01:15:13.820000</t>
  </si>
  <si>
    <t>01:15:17.820000</t>
  </si>
  <si>
    <t>01:15:20.205000</t>
  </si>
  <si>
    <t>01:15:17.205000</t>
  </si>
  <si>
    <t>01:15:21.205000</t>
  </si>
  <si>
    <t>01:15:27.880000</t>
  </si>
  <si>
    <t>01:15:24.880000</t>
  </si>
  <si>
    <t>01:15:28.880000</t>
  </si>
  <si>
    <t>01:15:36.161000</t>
  </si>
  <si>
    <t>01:15:33.161000</t>
  </si>
  <si>
    <t>01:15:37.161000</t>
  </si>
  <si>
    <t>01:15:47.910000</t>
  </si>
  <si>
    <t>01:15:44.910000</t>
  </si>
  <si>
    <t>01:15:48.910000</t>
  </si>
  <si>
    <t>01:15:52.570000</t>
  </si>
  <si>
    <t>01:15:49.570000</t>
  </si>
  <si>
    <t>01:15:53.570000</t>
  </si>
  <si>
    <t>01:18:56.097000</t>
  </si>
  <si>
    <t>01:18:53.097000</t>
  </si>
  <si>
    <t>01:18:57.097000</t>
  </si>
  <si>
    <t>01:19:03.299000</t>
  </si>
  <si>
    <t>01:19:00.299000</t>
  </si>
  <si>
    <t>01:19:04.299000</t>
  </si>
  <si>
    <t>01:20:14.879000</t>
  </si>
  <si>
    <t>01:20:11.879000</t>
  </si>
  <si>
    <t>01:20:15.879000</t>
  </si>
  <si>
    <t>01:21:20.150000</t>
  </si>
  <si>
    <t>01:21:17.150000</t>
  </si>
  <si>
    <t>01:21:21.150000</t>
  </si>
  <si>
    <t>01:21:33.304000</t>
  </si>
  <si>
    <t>01:21:30.304000</t>
  </si>
  <si>
    <t>01:21:34.304000</t>
  </si>
  <si>
    <t>01:29:46.920000</t>
  </si>
  <si>
    <t>01:29:43.920000</t>
  </si>
  <si>
    <t>01:29:47.920000</t>
  </si>
  <si>
    <t>01:29:52.807000</t>
  </si>
  <si>
    <t>01:29:49.807000</t>
  </si>
  <si>
    <t>01:29:53.807000</t>
  </si>
  <si>
    <t>01:30:04.992000</t>
  </si>
  <si>
    <t>01:30:01.992000</t>
  </si>
  <si>
    <t>01:30:05.992000</t>
  </si>
  <si>
    <t>01:30:08.497000</t>
  </si>
  <si>
    <t>01:30:05.497000</t>
  </si>
  <si>
    <t>01:30:09.497000</t>
  </si>
  <si>
    <t>01:30:13.957000</t>
  </si>
  <si>
    <t>01:30:10.957000</t>
  </si>
  <si>
    <t>01:30:14.957000</t>
  </si>
  <si>
    <t>01:31:36.453000</t>
  </si>
  <si>
    <t>01:31:33.453000</t>
  </si>
  <si>
    <t>01:31:37.453000</t>
  </si>
  <si>
    <t>01:33:15.465000</t>
  </si>
  <si>
    <t>01:33:12.465000</t>
  </si>
  <si>
    <t>01:33:16.465000</t>
  </si>
  <si>
    <t>01:33:27.641000</t>
  </si>
  <si>
    <t>01:33:24.641000</t>
  </si>
  <si>
    <t>01:33:28.641000</t>
  </si>
  <si>
    <t>01:33:40.336000</t>
  </si>
  <si>
    <t>01:33:37.336000</t>
  </si>
  <si>
    <t>01:33:41.336000</t>
  </si>
  <si>
    <t>01:33:53.545000</t>
  </si>
  <si>
    <t>01:33:50.545000</t>
  </si>
  <si>
    <t>01:33:54.545000</t>
  </si>
  <si>
    <t>01:33:57.067000</t>
  </si>
  <si>
    <t>01:33:54.067000</t>
  </si>
  <si>
    <t>01:33:58.067000</t>
  </si>
  <si>
    <t>01:35:32.605000</t>
  </si>
  <si>
    <t>01:35:29.605000</t>
  </si>
  <si>
    <t>01:35:33.605000</t>
  </si>
  <si>
    <t>01:35:43.459000</t>
  </si>
  <si>
    <t>01:35:40.459000</t>
  </si>
  <si>
    <t>01:35:44.459000</t>
  </si>
  <si>
    <t>01:35:56.459000</t>
  </si>
  <si>
    <t>01:35:53.459000</t>
  </si>
  <si>
    <t>01:35:57.459000</t>
  </si>
  <si>
    <t>01:36:00.925000</t>
  </si>
  <si>
    <t>01:35:57.925000</t>
  </si>
  <si>
    <t>01:36:01.925000</t>
  </si>
  <si>
    <t>01:36:06.570000</t>
  </si>
  <si>
    <t>01:36:03.570000</t>
  </si>
  <si>
    <t>01:36:07.570000</t>
  </si>
  <si>
    <t>01:40:01.623000</t>
  </si>
  <si>
    <t>01:39:58.623000</t>
  </si>
  <si>
    <t>01:40:02.623000</t>
  </si>
  <si>
    <t>01:40:17.097000</t>
  </si>
  <si>
    <t>01:40:14.097000</t>
  </si>
  <si>
    <t>01:40:18.097000</t>
  </si>
  <si>
    <t>01:40:28.199000</t>
  </si>
  <si>
    <t>01:40:25.199000</t>
  </si>
  <si>
    <t>01:40:29.199000</t>
  </si>
  <si>
    <t>01:40:36.661000</t>
  </si>
  <si>
    <t>01:40:33.661000</t>
  </si>
  <si>
    <t>01:40:37.661000</t>
  </si>
  <si>
    <t>01:40:45.801000</t>
  </si>
  <si>
    <t>01:40:42.801000</t>
  </si>
  <si>
    <t>01:40:46.801000</t>
  </si>
  <si>
    <t>01:40:57.722000</t>
  </si>
  <si>
    <t>01:40:54.722000</t>
  </si>
  <si>
    <t>01:40:58.722000</t>
  </si>
  <si>
    <t>01:41:04.529000</t>
  </si>
  <si>
    <t>01:41:01.529000</t>
  </si>
  <si>
    <t>01:41:05.529000</t>
  </si>
  <si>
    <t>01:41:47.685000</t>
  </si>
  <si>
    <t>01:41:44.685000</t>
  </si>
  <si>
    <t>01:41:48.685000</t>
  </si>
  <si>
    <t>01:41:49.692000</t>
  </si>
  <si>
    <t>01:41:46.692000</t>
  </si>
  <si>
    <t>01:41:50.692000</t>
  </si>
  <si>
    <t>01:41:57.198000</t>
  </si>
  <si>
    <t>01:41:54.198000</t>
  </si>
  <si>
    <t>01:41:58.198000</t>
  </si>
  <si>
    <t>01:45:08.281000</t>
  </si>
  <si>
    <t>01:45:05.281000</t>
  </si>
  <si>
    <t>01:45:09.281000</t>
  </si>
  <si>
    <t>01:45:21.962000</t>
  </si>
  <si>
    <t>01:45:18.962000</t>
  </si>
  <si>
    <t>01:45:22.962000</t>
  </si>
  <si>
    <t>00:06:33.141000</t>
  </si>
  <si>
    <t>00:06:30.141000</t>
  </si>
  <si>
    <t>00:06:34.141000</t>
  </si>
  <si>
    <t>00:11:11.207000</t>
  </si>
  <si>
    <t>00:11:08.207000</t>
  </si>
  <si>
    <t>00:11:12.207000</t>
  </si>
  <si>
    <t>00:11:53.506000</t>
  </si>
  <si>
    <t>00:11:50.506000</t>
  </si>
  <si>
    <t>00:11:54.506000</t>
  </si>
  <si>
    <t>00:12:52.268000</t>
  </si>
  <si>
    <t>00:12:49.268000</t>
  </si>
  <si>
    <t>00:12:53.268000</t>
  </si>
  <si>
    <t>00:13:01.362000</t>
  </si>
  <si>
    <t>00:12:58.362000</t>
  </si>
  <si>
    <t>00:13:02.362000</t>
  </si>
  <si>
    <t>00:13:13.963000</t>
  </si>
  <si>
    <t>00:13:10.963000</t>
  </si>
  <si>
    <t>00:13:14.963000</t>
  </si>
  <si>
    <t>00:15:06.346000</t>
  </si>
  <si>
    <t>00:15:03.346000</t>
  </si>
  <si>
    <t>00:15:07.346000</t>
  </si>
  <si>
    <t>00:15:22.079000</t>
  </si>
  <si>
    <t>00:15:19.079000</t>
  </si>
  <si>
    <t>00:15:23.079000</t>
  </si>
  <si>
    <t>00:17:20.065000</t>
  </si>
  <si>
    <t>00:17:17.065000</t>
  </si>
  <si>
    <t>00:17:21.065000</t>
  </si>
  <si>
    <t>00:17:27.771000</t>
  </si>
  <si>
    <t>00:17:24.771000</t>
  </si>
  <si>
    <t>00:17:28.771000</t>
  </si>
  <si>
    <t>00:17:36.262000</t>
  </si>
  <si>
    <t>00:17:33.262000</t>
  </si>
  <si>
    <t>00:17:37.262000</t>
  </si>
  <si>
    <t>00:17:43.746000</t>
  </si>
  <si>
    <t>00:17:40.746000</t>
  </si>
  <si>
    <t>00:17:44.746000</t>
  </si>
  <si>
    <t>00:17:56.381000</t>
  </si>
  <si>
    <t>00:17:53.381000</t>
  </si>
  <si>
    <t>00:17:57.381000</t>
  </si>
  <si>
    <t>00:19:14.578000</t>
  </si>
  <si>
    <t>00:19:11.578000</t>
  </si>
  <si>
    <t>00:19:15.578000</t>
  </si>
  <si>
    <t>00:21:01.239000</t>
  </si>
  <si>
    <t>00:20:58.239000</t>
  </si>
  <si>
    <t>00:21:02.239000</t>
  </si>
  <si>
    <t>00:21:09.902000</t>
  </si>
  <si>
    <t>00:21:06.902000</t>
  </si>
  <si>
    <t>00:21:10.902000</t>
  </si>
  <si>
    <t>00:21:17.219000</t>
  </si>
  <si>
    <t>00:21:14.219000</t>
  </si>
  <si>
    <t>00:21:18.219000</t>
  </si>
  <si>
    <t>00:21:25.072000</t>
  </si>
  <si>
    <t>00:21:22.072000</t>
  </si>
  <si>
    <t>00:21:26.072000</t>
  </si>
  <si>
    <t>00:21:39.616000</t>
  </si>
  <si>
    <t>00:21:36.616000</t>
  </si>
  <si>
    <t>00:21:40.616000</t>
  </si>
  <si>
    <t>00:33:23.201000</t>
  </si>
  <si>
    <t>00:33:20.201000</t>
  </si>
  <si>
    <t>00:33:24.201000</t>
  </si>
  <si>
    <t>00:36:05.091000</t>
  </si>
  <si>
    <t>00:36:02.091000</t>
  </si>
  <si>
    <t>00:36:06.091000</t>
  </si>
  <si>
    <t>00:36:11.976000</t>
  </si>
  <si>
    <t>00:36:08.976000</t>
  </si>
  <si>
    <t>00:36:12.976000</t>
  </si>
  <si>
    <t>00:36:19.842000</t>
  </si>
  <si>
    <t>00:36:16.842000</t>
  </si>
  <si>
    <t>00:36:20.842000</t>
  </si>
  <si>
    <t>00:39:11.448000</t>
  </si>
  <si>
    <t>00:39:08.448000</t>
  </si>
  <si>
    <t>00:39:12.448000</t>
  </si>
  <si>
    <t>00:39:18.097000</t>
  </si>
  <si>
    <t>00:39:15.097000</t>
  </si>
  <si>
    <t>00:39:19.097000</t>
  </si>
  <si>
    <t>00:39:25.454000</t>
  </si>
  <si>
    <t>00:39:22.454000</t>
  </si>
  <si>
    <t>00:39:26.454000</t>
  </si>
  <si>
    <t>00:39:31.193000</t>
  </si>
  <si>
    <t>00:39:28.193000</t>
  </si>
  <si>
    <t>00:39:32.193000</t>
  </si>
  <si>
    <t>00:39:37.064000</t>
  </si>
  <si>
    <t>00:39:34.064000</t>
  </si>
  <si>
    <t>00:39:38.064000</t>
  </si>
  <si>
    <t>00:39:44.716000</t>
  </si>
  <si>
    <t>00:39:41.716000</t>
  </si>
  <si>
    <t>00:39:45.716000</t>
  </si>
  <si>
    <t>00:39:45.608000</t>
  </si>
  <si>
    <t>00:39:42.608000</t>
  </si>
  <si>
    <t>00:39:46.608000</t>
  </si>
  <si>
    <t>00:39:53.902000</t>
  </si>
  <si>
    <t>00:39:50.902000</t>
  </si>
  <si>
    <t>00:39:54.902000</t>
  </si>
  <si>
    <t>00:40:00.735000</t>
  </si>
  <si>
    <t>00:39:57.735000</t>
  </si>
  <si>
    <t>00:40:01.735000</t>
  </si>
  <si>
    <t>00:41:22.682000</t>
  </si>
  <si>
    <t>00:41:19.682000</t>
  </si>
  <si>
    <t>00:41:23.682000</t>
  </si>
  <si>
    <t>00:41:25.791000</t>
  </si>
  <si>
    <t>00:41:22.791000</t>
  </si>
  <si>
    <t>00:41:26.791000</t>
  </si>
  <si>
    <t>00:41:35.403000</t>
  </si>
  <si>
    <t>00:41:32.403000</t>
  </si>
  <si>
    <t>00:41:36.403000</t>
  </si>
  <si>
    <t>00:41:45.635000</t>
  </si>
  <si>
    <t>00:41:42.635000</t>
  </si>
  <si>
    <t>00:41:46.635000</t>
  </si>
  <si>
    <t>00:41:55.181000</t>
  </si>
  <si>
    <t>00:41:52.181000</t>
  </si>
  <si>
    <t>00:41:56.181000</t>
  </si>
  <si>
    <t>00:42:03.047000</t>
  </si>
  <si>
    <t>00:42:00.047000</t>
  </si>
  <si>
    <t>00:42:04.047000</t>
  </si>
  <si>
    <t>01:03:41.304000</t>
  </si>
  <si>
    <t>01:03:38.304000</t>
  </si>
  <si>
    <t>01:03:42.304000</t>
  </si>
  <si>
    <t>01:04:16.851000</t>
  </si>
  <si>
    <t>01:04:13.851000</t>
  </si>
  <si>
    <t>01:04:17.851000</t>
  </si>
  <si>
    <t>01:04:22.499000</t>
  </si>
  <si>
    <t>01:04:19.499000</t>
  </si>
  <si>
    <t>01:04:23.499000</t>
  </si>
  <si>
    <t>01:04:27.806000</t>
  </si>
  <si>
    <t>01:04:24.806000</t>
  </si>
  <si>
    <t>01:04:28.806000</t>
  </si>
  <si>
    <t>01:04:30.487000</t>
  </si>
  <si>
    <t>01:04:27.487000</t>
  </si>
  <si>
    <t>01:04:31.487000</t>
  </si>
  <si>
    <t>01:04:38.679000</t>
  </si>
  <si>
    <t>01:04:35.679000</t>
  </si>
  <si>
    <t>01:04:39.679000</t>
  </si>
  <si>
    <t>01:07:35.694000</t>
  </si>
  <si>
    <t>01:07:32.694000</t>
  </si>
  <si>
    <t>01:07:36.694000</t>
  </si>
  <si>
    <t>01:07:41.134000</t>
  </si>
  <si>
    <t>01:07:38.134000</t>
  </si>
  <si>
    <t>01:07:42.134000</t>
  </si>
  <si>
    <t>01:12:21.299000</t>
  </si>
  <si>
    <t>01:12:18.299000</t>
  </si>
  <si>
    <t>01:12:22.299000</t>
  </si>
  <si>
    <t>01:12:27.947000</t>
  </si>
  <si>
    <t>01:12:24.947000</t>
  </si>
  <si>
    <t>01:12:28.947000</t>
  </si>
  <si>
    <t>01:16:12.141000</t>
  </si>
  <si>
    <t>01:16:09.141000</t>
  </si>
  <si>
    <t>01:16:13.141000</t>
  </si>
  <si>
    <t>01:16:22.115000</t>
  </si>
  <si>
    <t>01:16:19.115000</t>
  </si>
  <si>
    <t>01:16:23.115000</t>
  </si>
  <si>
    <t>01:16:33.639000</t>
  </si>
  <si>
    <t>01:16:30.639000</t>
  </si>
  <si>
    <t>01:16:34.639000</t>
  </si>
  <si>
    <t>01:16:35.612000</t>
  </si>
  <si>
    <t>01:16:32.612000</t>
  </si>
  <si>
    <t>01:16:36.612000</t>
  </si>
  <si>
    <t>01:18:22.696000</t>
  </si>
  <si>
    <t>01:18:19.696000</t>
  </si>
  <si>
    <t>01:18:23.696000</t>
  </si>
  <si>
    <t>01:18:25.177000</t>
  </si>
  <si>
    <t>01:18:22.177000</t>
  </si>
  <si>
    <t>01:18:26.177000</t>
  </si>
  <si>
    <t>01:18:32.080000</t>
  </si>
  <si>
    <t>01:18:29.080000</t>
  </si>
  <si>
    <t>01:18:33.080000</t>
  </si>
  <si>
    <t>01:18:36.775000</t>
  </si>
  <si>
    <t>01:18:33.775000</t>
  </si>
  <si>
    <t>01:18:37.775000</t>
  </si>
  <si>
    <t>01:37:57.669000</t>
  </si>
  <si>
    <t>01:37:54.669000</t>
  </si>
  <si>
    <t>01:37:58.669000</t>
  </si>
  <si>
    <t>01:38:08.264000</t>
  </si>
  <si>
    <t>01:38:05.264000</t>
  </si>
  <si>
    <t>01:38:09.264000</t>
  </si>
  <si>
    <t>01:42:49.513000</t>
  </si>
  <si>
    <t>01:42:46.513000</t>
  </si>
  <si>
    <t>01:42:50.513000</t>
  </si>
  <si>
    <t>01:42:58.903000</t>
  </si>
  <si>
    <t>01:42:55.903000</t>
  </si>
  <si>
    <t>01:42:59.903000</t>
  </si>
  <si>
    <t>01:43:06.805000</t>
  </si>
  <si>
    <t>01:43:03.805000</t>
  </si>
  <si>
    <t>01:43:07.805000</t>
  </si>
  <si>
    <t>01:43:12.728000</t>
  </si>
  <si>
    <t>01:43:09.728000</t>
  </si>
  <si>
    <t>01:43:13.728000</t>
  </si>
  <si>
    <t>01:43:20.170000</t>
  </si>
  <si>
    <t>01:43:17.170000</t>
  </si>
  <si>
    <t>01:43:21.170000</t>
  </si>
  <si>
    <t>01:43:30.787000</t>
  </si>
  <si>
    <t>01:43:27.787000</t>
  </si>
  <si>
    <t>01:43:31.787000</t>
  </si>
  <si>
    <t>01:43:38.855000</t>
  </si>
  <si>
    <t>01:43:35.855000</t>
  </si>
  <si>
    <t>01:43:39.855000</t>
  </si>
  <si>
    <t>01:43:50.015000</t>
  </si>
  <si>
    <t>01:43:47.015000</t>
  </si>
  <si>
    <t>01:43:51.015000</t>
  </si>
  <si>
    <t>00:01:41.886000</t>
  </si>
  <si>
    <t>00:01:38.886000</t>
  </si>
  <si>
    <t>00:01:42.886000</t>
  </si>
  <si>
    <t>00:01:52.820000</t>
  </si>
  <si>
    <t>00:01:49.820000</t>
  </si>
  <si>
    <t>00:01:53.820000</t>
  </si>
  <si>
    <t>00:03:55.138000</t>
  </si>
  <si>
    <t>00:03:52.138000</t>
  </si>
  <si>
    <t>00:03:56.138000</t>
  </si>
  <si>
    <t>00:08:19.993000</t>
  </si>
  <si>
    <t>00:08:16.993000</t>
  </si>
  <si>
    <t>00:08:20.993000</t>
  </si>
  <si>
    <t>00:08:28.855000</t>
  </si>
  <si>
    <t>00:08:25.855000</t>
  </si>
  <si>
    <t>00:08:29.855000</t>
  </si>
  <si>
    <t>00:08:43.624000</t>
  </si>
  <si>
    <t>00:08:40.624000</t>
  </si>
  <si>
    <t>00:08:44.624000</t>
  </si>
  <si>
    <t>00:08:47.906000</t>
  </si>
  <si>
    <t>00:08:44.906000</t>
  </si>
  <si>
    <t>00:08:48.906000</t>
  </si>
  <si>
    <t>00:11:55.968000</t>
  </si>
  <si>
    <t>00:11:52.968000</t>
  </si>
  <si>
    <t>00:11:56.968000</t>
  </si>
  <si>
    <t>00:17:02.045000</t>
  </si>
  <si>
    <t>00:16:59.045000</t>
  </si>
  <si>
    <t>00:17:03.045000</t>
  </si>
  <si>
    <t>00:23:16.392000</t>
  </si>
  <si>
    <t>00:23:13.392000</t>
  </si>
  <si>
    <t>00:23:17.392000</t>
  </si>
  <si>
    <t>00:25:56.668000</t>
  </si>
  <si>
    <t>00:25:53.668000</t>
  </si>
  <si>
    <t>00:25:57.668000</t>
  </si>
  <si>
    <t>00:26:02.133000</t>
  </si>
  <si>
    <t>00:25:59.133000</t>
  </si>
  <si>
    <t>00:26:03.133000</t>
  </si>
  <si>
    <t>00:28:34.822000</t>
  </si>
  <si>
    <t>00:28:31.822000</t>
  </si>
  <si>
    <t>00:28:35.822000</t>
  </si>
  <si>
    <t>00:28:37.655000</t>
  </si>
  <si>
    <t>00:28:34.655000</t>
  </si>
  <si>
    <t>00:28:38.655000</t>
  </si>
  <si>
    <t>00:31:14.768000</t>
  </si>
  <si>
    <t>00:31:11.768000</t>
  </si>
  <si>
    <t>00:31:15.768000</t>
  </si>
  <si>
    <t>00:31:22.989000</t>
  </si>
  <si>
    <t>00:31:19.989000</t>
  </si>
  <si>
    <t>00:31:23.989000</t>
  </si>
  <si>
    <t>00:33:13.912000</t>
  </si>
  <si>
    <t>00:33:10.912000</t>
  </si>
  <si>
    <t>00:33:14.912000</t>
  </si>
  <si>
    <t>00:33:21.663000</t>
  </si>
  <si>
    <t>00:33:18.663000</t>
  </si>
  <si>
    <t>00:33:22.663000</t>
  </si>
  <si>
    <t>00:33:32.695000</t>
  </si>
  <si>
    <t>00:33:29.695000</t>
  </si>
  <si>
    <t>00:33:33.695000</t>
  </si>
  <si>
    <t>00:33:41.644000</t>
  </si>
  <si>
    <t>00:33:38.644000</t>
  </si>
  <si>
    <t>00:33:42.644000</t>
  </si>
  <si>
    <t>00:35:51.705000</t>
  </si>
  <si>
    <t>00:35:48.705000</t>
  </si>
  <si>
    <t>00:35:52.705000</t>
  </si>
  <si>
    <t>00:39:04.322000</t>
  </si>
  <si>
    <t>00:39:01.322000</t>
  </si>
  <si>
    <t>00:39:05.322000</t>
  </si>
  <si>
    <t>01:02:28.692000</t>
  </si>
  <si>
    <t>01:02:25.692000</t>
  </si>
  <si>
    <t>01:02:29.692000</t>
  </si>
  <si>
    <t>01:02:42.205000</t>
  </si>
  <si>
    <t>01:02:39.205000</t>
  </si>
  <si>
    <t>01:02:43.205000</t>
  </si>
  <si>
    <t>01:02:44.698000</t>
  </si>
  <si>
    <t>01:02:41.698000</t>
  </si>
  <si>
    <t>01:02:45.698000</t>
  </si>
  <si>
    <t>01:02:51.078000</t>
  </si>
  <si>
    <t>01:02:48.078000</t>
  </si>
  <si>
    <t>01:02:52.078000</t>
  </si>
  <si>
    <t>01:03:06.815000</t>
  </si>
  <si>
    <t>01:03:03.815000</t>
  </si>
  <si>
    <t>01:03:07.815000</t>
  </si>
  <si>
    <t>01:07:27.120000</t>
  </si>
  <si>
    <t>01:07:24.120000</t>
  </si>
  <si>
    <t>01:07:28.120000</t>
  </si>
  <si>
    <t>01:08:44.341000</t>
  </si>
  <si>
    <t>01:08:41.341000</t>
  </si>
  <si>
    <t>01:08:45.341000</t>
  </si>
  <si>
    <t>01:08:49.219000</t>
  </si>
  <si>
    <t>01:08:46.219000</t>
  </si>
  <si>
    <t>01:08:50.219000</t>
  </si>
  <si>
    <t>01:08:56.872000</t>
  </si>
  <si>
    <t>01:08:53.872000</t>
  </si>
  <si>
    <t>01:08:57.872000</t>
  </si>
  <si>
    <t>01:09:01.267000</t>
  </si>
  <si>
    <t>01:08:58.267000</t>
  </si>
  <si>
    <t>01:09:02.267000</t>
  </si>
  <si>
    <t>01:09:04.378000</t>
  </si>
  <si>
    <t>01:09:01.378000</t>
  </si>
  <si>
    <t>01:09:05.378000</t>
  </si>
  <si>
    <t>01:10:59.953000</t>
  </si>
  <si>
    <t>01:10:56.953000</t>
  </si>
  <si>
    <t>01:11:00.953000</t>
  </si>
  <si>
    <t>01:11:10.239000</t>
  </si>
  <si>
    <t>01:11:07.239000</t>
  </si>
  <si>
    <t>01:11:11.239000</t>
  </si>
  <si>
    <t>01:12:18.868000</t>
  </si>
  <si>
    <t>01:12:15.868000</t>
  </si>
  <si>
    <t>01:12:19.868000</t>
  </si>
  <si>
    <t>01:12:28.084000</t>
  </si>
  <si>
    <t>01:12:25.084000</t>
  </si>
  <si>
    <t>01:12:29.084000</t>
  </si>
  <si>
    <t>01:12:33.016000</t>
  </si>
  <si>
    <t>01:12:30.016000</t>
  </si>
  <si>
    <t>01:12:34.016000</t>
  </si>
  <si>
    <t>01:12:43.581000</t>
  </si>
  <si>
    <t>01:12:40.581000</t>
  </si>
  <si>
    <t>01:12:44.581000</t>
  </si>
  <si>
    <t>01:14:26.997000</t>
  </si>
  <si>
    <t>01:14:23.997000</t>
  </si>
  <si>
    <t>01:14:27.997000</t>
  </si>
  <si>
    <t>01:14:41.948000</t>
  </si>
  <si>
    <t>01:14:38.948000</t>
  </si>
  <si>
    <t>01:14:42.948000</t>
  </si>
  <si>
    <t>01:14:48.046000</t>
  </si>
  <si>
    <t>01:14:45.046000</t>
  </si>
  <si>
    <t>01:14:49.046000</t>
  </si>
  <si>
    <t>01:23:26.259000</t>
  </si>
  <si>
    <t>01:23:23.259000</t>
  </si>
  <si>
    <t>01:23:27.259000</t>
  </si>
  <si>
    <t>01:23:36.443000</t>
  </si>
  <si>
    <t>01:23:33.443000</t>
  </si>
  <si>
    <t>01:23:37.443000</t>
  </si>
  <si>
    <t>01:27:17.541000</t>
  </si>
  <si>
    <t>01:27:14.541000</t>
  </si>
  <si>
    <t>01:27:18.541000</t>
  </si>
  <si>
    <t>01:27:45.675000</t>
  </si>
  <si>
    <t>01:27:42.675000</t>
  </si>
  <si>
    <t>01:27:46.675000</t>
  </si>
  <si>
    <t>01:28:02.377000</t>
  </si>
  <si>
    <t>01:27:59.377000</t>
  </si>
  <si>
    <t>01:28:03.377000</t>
  </si>
  <si>
    <t>01:28:07.995000</t>
  </si>
  <si>
    <t>01:28:04.995000</t>
  </si>
  <si>
    <t>01:28:08.995000</t>
  </si>
  <si>
    <t>01:28:13.746000</t>
  </si>
  <si>
    <t>01:28:10.746000</t>
  </si>
  <si>
    <t>01:28:14.746000</t>
  </si>
  <si>
    <t>01:33:31.119000</t>
  </si>
  <si>
    <t>01:33:28.119000</t>
  </si>
  <si>
    <t>01:33:32.119000</t>
  </si>
  <si>
    <t>01:35:01.198000</t>
  </si>
  <si>
    <t>01:34:58.198000</t>
  </si>
  <si>
    <t>01:35:02.198000</t>
  </si>
  <si>
    <t>01:35:10.028000</t>
  </si>
  <si>
    <t>01:35:07.028000</t>
  </si>
  <si>
    <t>01:35:11.028000</t>
  </si>
  <si>
    <t>01:35:14.593000</t>
  </si>
  <si>
    <t>01:35:11.593000</t>
  </si>
  <si>
    <t>01:35:15.593000</t>
  </si>
  <si>
    <t>01:38:08.269000</t>
  </si>
  <si>
    <t>01:38:05.269000</t>
  </si>
  <si>
    <t>01:38:09.269000</t>
  </si>
  <si>
    <t>01:40:39.086000</t>
  </si>
  <si>
    <t>01:40:36.086000</t>
  </si>
  <si>
    <t>01:40:40.086000</t>
  </si>
  <si>
    <t>01:40:42.865000</t>
  </si>
  <si>
    <t>01:40:43.865000</t>
  </si>
  <si>
    <t>01:40:52.618000</t>
  </si>
  <si>
    <t>01:40:49.618000</t>
  </si>
  <si>
    <t>01:40:53.618000</t>
  </si>
  <si>
    <t>01:42:44.623000</t>
  </si>
  <si>
    <t>01:42:41.623000</t>
  </si>
  <si>
    <t>01:42:45.623000</t>
  </si>
  <si>
    <t>01:42:51.920000</t>
  </si>
  <si>
    <t>01:42:48.920000</t>
  </si>
  <si>
    <t>01:42:52.920000</t>
  </si>
  <si>
    <t>01:42:59.751000</t>
  </si>
  <si>
    <t>01:42:56.751000</t>
  </si>
  <si>
    <t>01:43:00.751000</t>
  </si>
  <si>
    <t>01:45:03.618000</t>
  </si>
  <si>
    <t>01:45:00.618000</t>
  </si>
  <si>
    <t>01:45:04.618000</t>
  </si>
  <si>
    <t>01:48:06.989000</t>
  </si>
  <si>
    <t>01:48:03.989000</t>
  </si>
  <si>
    <t>01:48:07.989000</t>
  </si>
  <si>
    <t>01:50:00.232000</t>
  </si>
  <si>
    <t>01:49:57.232000</t>
  </si>
  <si>
    <t>01:50:01.232000</t>
  </si>
  <si>
    <t>01:50:06.772000</t>
  </si>
  <si>
    <t>01:50:03.772000</t>
  </si>
  <si>
    <t>01:50:07.772000</t>
  </si>
  <si>
    <t>00:02:54.639000</t>
  </si>
  <si>
    <t>00:02:51.639000</t>
  </si>
  <si>
    <t>00:02:55.639000</t>
  </si>
  <si>
    <t>00:06:19.682000</t>
  </si>
  <si>
    <t>00:06:16.682000</t>
  </si>
  <si>
    <t>00:06:20.682000</t>
  </si>
  <si>
    <t>00:06:30.943000</t>
  </si>
  <si>
    <t>00:06:27.943000</t>
  </si>
  <si>
    <t>00:06:31.943000</t>
  </si>
  <si>
    <t>00:06:40.358000</t>
  </si>
  <si>
    <t>00:06:37.358000</t>
  </si>
  <si>
    <t>00:06:41.358000</t>
  </si>
  <si>
    <t>00:09:00.191000</t>
  </si>
  <si>
    <t>00:08:57.191000</t>
  </si>
  <si>
    <t>00:09:01.191000</t>
  </si>
  <si>
    <t>00:13:31.225000</t>
  </si>
  <si>
    <t>00:13:28.225000</t>
  </si>
  <si>
    <t>00:13:32.225000</t>
  </si>
  <si>
    <t>00:13:40.870000</t>
  </si>
  <si>
    <t>00:13:37.870000</t>
  </si>
  <si>
    <t>00:13:41.870000</t>
  </si>
  <si>
    <t>00:13:49.073000</t>
  </si>
  <si>
    <t>00:13:46.073000</t>
  </si>
  <si>
    <t>00:13:50.073000</t>
  </si>
  <si>
    <t>00:13:50.170000</t>
  </si>
  <si>
    <t>00:13:54.170000</t>
  </si>
  <si>
    <t>00:16:01.947000</t>
  </si>
  <si>
    <t>00:15:58.947000</t>
  </si>
  <si>
    <t>00:16:02.947000</t>
  </si>
  <si>
    <t>00:16:10.461000</t>
  </si>
  <si>
    <t>00:16:07.461000</t>
  </si>
  <si>
    <t>00:16:11.461000</t>
  </si>
  <si>
    <t>00:17:01.236000</t>
  </si>
  <si>
    <t>00:16:58.236000</t>
  </si>
  <si>
    <t>00:17:02.236000</t>
  </si>
  <si>
    <t>00:17:50.339000</t>
  </si>
  <si>
    <t>00:17:47.339000</t>
  </si>
  <si>
    <t>00:17:51.339000</t>
  </si>
  <si>
    <t>00:17:57.578000</t>
  </si>
  <si>
    <t>00:17:54.578000</t>
  </si>
  <si>
    <t>00:17:58.578000</t>
  </si>
  <si>
    <t>00:18:07.286000</t>
  </si>
  <si>
    <t>00:18:04.286000</t>
  </si>
  <si>
    <t>00:18:08.286000</t>
  </si>
  <si>
    <t>00:18:12.212000</t>
  </si>
  <si>
    <t>00:18:09.212000</t>
  </si>
  <si>
    <t>00:18:13.212000</t>
  </si>
  <si>
    <t>00:18:21.737000</t>
  </si>
  <si>
    <t>00:18:18.737000</t>
  </si>
  <si>
    <t>00:18:22.737000</t>
  </si>
  <si>
    <t>00:20:04.822000</t>
  </si>
  <si>
    <t>00:20:01.822000</t>
  </si>
  <si>
    <t>00:20:05.822000</t>
  </si>
  <si>
    <t>00:22:23.021000</t>
  </si>
  <si>
    <t>00:22:20.021000</t>
  </si>
  <si>
    <t>00:22:24.021000</t>
  </si>
  <si>
    <t>00:24:09.520000</t>
  </si>
  <si>
    <t>00:24:06.520000</t>
  </si>
  <si>
    <t>00:24:10.520000</t>
  </si>
  <si>
    <t>00:28:47.011000</t>
  </si>
  <si>
    <t>00:28:44.011000</t>
  </si>
  <si>
    <t>00:28:48.011000</t>
  </si>
  <si>
    <t>00:39:55.240000</t>
  </si>
  <si>
    <t>00:39:52.240000</t>
  </si>
  <si>
    <t>00:39:56.240000</t>
  </si>
  <si>
    <t>00:40:00.972000</t>
  </si>
  <si>
    <t>00:39:57.972000</t>
  </si>
  <si>
    <t>00:40:01.972000</t>
  </si>
  <si>
    <t>00:40:10.448000</t>
  </si>
  <si>
    <t>00:40:07.448000</t>
  </si>
  <si>
    <t>00:40:11.448000</t>
  </si>
  <si>
    <t>00:40:20.733000</t>
  </si>
  <si>
    <t>00:40:17.733000</t>
  </si>
  <si>
    <t>00:40:21.733000</t>
  </si>
  <si>
    <t>00:41:52.802000</t>
  </si>
  <si>
    <t>00:41:49.802000</t>
  </si>
  <si>
    <t>00:41:53.802000</t>
  </si>
  <si>
    <t>00:42:00.851000</t>
  </si>
  <si>
    <t>00:41:57.851000</t>
  </si>
  <si>
    <t>00:42:01.851000</t>
  </si>
  <si>
    <t>00:42:10.653000</t>
  </si>
  <si>
    <t>00:42:07.653000</t>
  </si>
  <si>
    <t>00:42:11.653000</t>
  </si>
  <si>
    <t>00:42:16.971000</t>
  </si>
  <si>
    <t>00:42:13.971000</t>
  </si>
  <si>
    <t>00:42:17.971000</t>
  </si>
  <si>
    <t>00:42:21.716000</t>
  </si>
  <si>
    <t>00:42:18.716000</t>
  </si>
  <si>
    <t>00:42:22.716000</t>
  </si>
  <si>
    <t>01:04:36.991000</t>
  </si>
  <si>
    <t>01:04:33.991000</t>
  </si>
  <si>
    <t>01:04:37.991000</t>
  </si>
  <si>
    <t>01:07:07.691000</t>
  </si>
  <si>
    <t>01:07:04.691000</t>
  </si>
  <si>
    <t>01:07:08.691000</t>
  </si>
  <si>
    <t>01:07:14.035000</t>
  </si>
  <si>
    <t>01:07:11.035000</t>
  </si>
  <si>
    <t>01:07:15.035000</t>
  </si>
  <si>
    <t>01:11:25.421000</t>
  </si>
  <si>
    <t>01:11:22.421000</t>
  </si>
  <si>
    <t>01:11:26.421000</t>
  </si>
  <si>
    <t>01:15:59.868000</t>
  </si>
  <si>
    <t>01:15:56.868000</t>
  </si>
  <si>
    <t>01:16:00.868000</t>
  </si>
  <si>
    <t>01:16:11.999000</t>
  </si>
  <si>
    <t>01:16:08.999000</t>
  </si>
  <si>
    <t>01:16:12.999000</t>
  </si>
  <si>
    <t>01:16:58.016000</t>
  </si>
  <si>
    <t>01:16:55.016000</t>
  </si>
  <si>
    <t>01:16:59.016000</t>
  </si>
  <si>
    <t>01:20:22.371000</t>
  </si>
  <si>
    <t>01:20:19.371000</t>
  </si>
  <si>
    <t>01:20:23.371000</t>
  </si>
  <si>
    <t>01:20:31.059000</t>
  </si>
  <si>
    <t>01:20:28.059000</t>
  </si>
  <si>
    <t>01:20:32.059000</t>
  </si>
  <si>
    <t>01:22:26.794000</t>
  </si>
  <si>
    <t>01:22:23.794000</t>
  </si>
  <si>
    <t>01:22:27.794000</t>
  </si>
  <si>
    <t>01:27:30.269000</t>
  </si>
  <si>
    <t>01:27:27.269000</t>
  </si>
  <si>
    <t>01:27:31.269000</t>
  </si>
  <si>
    <t>01:27:33.062000</t>
  </si>
  <si>
    <t>01:27:30.062000</t>
  </si>
  <si>
    <t>01:27:34.062000</t>
  </si>
  <si>
    <t>01:44:28.804000</t>
  </si>
  <si>
    <t>01:44:25.804000</t>
  </si>
  <si>
    <t>01:44:29.804000</t>
  </si>
  <si>
    <t>01:44:36.183000</t>
  </si>
  <si>
    <t>01:44:33.183000</t>
  </si>
  <si>
    <t>01:44:37.183000</t>
  </si>
  <si>
    <t>01:44:45.050000</t>
  </si>
  <si>
    <t>01:44:42.050000</t>
  </si>
  <si>
    <t>01:44:46.050000</t>
  </si>
  <si>
    <t>01:44:58.602000</t>
  </si>
  <si>
    <t>01:44:55.602000</t>
  </si>
  <si>
    <t>01:44:59.602000</t>
  </si>
  <si>
    <t>01:45:19.725000</t>
  </si>
  <si>
    <t>01:45:16.725000</t>
  </si>
  <si>
    <t>01:45:20.725000</t>
  </si>
  <si>
    <t>01:45:26.957000</t>
  </si>
  <si>
    <t>01:45:23.957000</t>
  </si>
  <si>
    <t>01:45:27.957000</t>
  </si>
  <si>
    <t>01:45:37.171000</t>
  </si>
  <si>
    <t>01:45:34.171000</t>
  </si>
  <si>
    <t>01:45:38.171000</t>
  </si>
  <si>
    <t>01:45:39.835000</t>
  </si>
  <si>
    <t>01:45:36.835000</t>
  </si>
  <si>
    <t>01:45:40.835000</t>
  </si>
  <si>
    <t>01:48:00.934000</t>
  </si>
  <si>
    <t>01:47:57.934000</t>
  </si>
  <si>
    <t>01:48:01.934000</t>
  </si>
  <si>
    <t>01:48:09.124000</t>
  </si>
  <si>
    <t>01:48:06.124000</t>
  </si>
  <si>
    <t>01:48:10.124000</t>
  </si>
  <si>
    <t>OPP(50 a IG) 001</t>
  </si>
  <si>
    <t>OPP(50 a IG) 002</t>
  </si>
  <si>
    <t>00:14:09.712000</t>
  </si>
  <si>
    <t>OPP(50 a IG) 003</t>
  </si>
  <si>
    <t>00:23:38.418000</t>
  </si>
  <si>
    <t>00:23:43.943000</t>
  </si>
  <si>
    <t>OPP(50 a IG) 004</t>
  </si>
  <si>
    <t>OPP(50 a IG) 005</t>
  </si>
  <si>
    <t>OPP(50 a IG) 006</t>
  </si>
  <si>
    <t>00:36:05.147000</t>
  </si>
  <si>
    <t>OPP(50 a IG) 007</t>
  </si>
  <si>
    <t>00:36:55.307000</t>
  </si>
  <si>
    <t>00:38:18.800000</t>
  </si>
  <si>
    <t>OPP(50 a IG) 008</t>
  </si>
  <si>
    <t>00:40:21.221000</t>
  </si>
  <si>
    <t>OPP(50 a IG) 009</t>
  </si>
  <si>
    <t>00:42:44.468000</t>
  </si>
  <si>
    <t>00:43:26.962000</t>
  </si>
  <si>
    <t>OPP(50 a IG) 010</t>
  </si>
  <si>
    <t>OPP(50 a IG) 011</t>
  </si>
  <si>
    <t>OPP(50 a IG) 012</t>
  </si>
  <si>
    <t>OPP(50 a IG) 013</t>
  </si>
  <si>
    <t>01:19:56.127000</t>
  </si>
  <si>
    <t>OPP(50 a IG) 014</t>
  </si>
  <si>
    <t>OPP(50 a IG) 015</t>
  </si>
  <si>
    <t>01:26:09.316000</t>
  </si>
  <si>
    <t>OPP(50 a IG) 016</t>
  </si>
  <si>
    <t>OPP(50 a IG) 017</t>
  </si>
  <si>
    <t>01:31:17.096000</t>
  </si>
  <si>
    <t>OPP(50 a IG) 018</t>
  </si>
  <si>
    <t>01:46:27.334000</t>
  </si>
  <si>
    <t>01:46:51.303000</t>
  </si>
  <si>
    <t>OPP(50 a IG) 019</t>
  </si>
  <si>
    <t>OPP(50 a IG) 020</t>
  </si>
  <si>
    <t>01:50:49.604000</t>
  </si>
  <si>
    <t>OPP(50 a IG) 021</t>
  </si>
  <si>
    <t>01:52:36.210000</t>
  </si>
  <si>
    <t>OPP(50 a IG) 022</t>
  </si>
  <si>
    <t>01:52:10.130000</t>
  </si>
  <si>
    <t>01:53:09.358000</t>
  </si>
  <si>
    <t>OPP(50 a IG) 023</t>
  </si>
  <si>
    <t>01:54:11.951000</t>
  </si>
  <si>
    <t>OPP(50 a IG) 024</t>
  </si>
  <si>
    <t>01:55:40.930000</t>
  </si>
  <si>
    <t>OPP(50 a IG) 025</t>
  </si>
  <si>
    <t>01:56:12.501000</t>
  </si>
  <si>
    <t>OUR(50 a IG) 001</t>
  </si>
  <si>
    <t>OUR(50 a IG) 002</t>
  </si>
  <si>
    <t>OUR(50 a IG) 003</t>
  </si>
  <si>
    <t>00:16:13.091000</t>
  </si>
  <si>
    <t>00:18:29.813000</t>
  </si>
  <si>
    <t>OUR(50 a IG) 004</t>
  </si>
  <si>
    <t>OUR(50 a IG) 005</t>
  </si>
  <si>
    <t>OUR(50 a IG) 006</t>
  </si>
  <si>
    <t>OUR(50 a IG) 007</t>
  </si>
  <si>
    <t>OUR(50 a IG) 008</t>
  </si>
  <si>
    <t>OUR(50 a IG) 009</t>
  </si>
  <si>
    <t>00:51:50.369000</t>
  </si>
  <si>
    <t>OUR(50 a IG) 010</t>
  </si>
  <si>
    <t>OUR(50 a IG) 011</t>
  </si>
  <si>
    <t>OUR(50 a IG) 012</t>
  </si>
  <si>
    <t>01:11:34.222000</t>
  </si>
  <si>
    <t>OUR(50 a IG) 013</t>
  </si>
  <si>
    <t>01:16:32.031000</t>
  </si>
  <si>
    <t>OUR(50 a IG) 014</t>
  </si>
  <si>
    <t>OUR(50 a IG) 015</t>
  </si>
  <si>
    <t>OUR(50 a IG) 016</t>
  </si>
  <si>
    <t>01:32:59.748000</t>
  </si>
  <si>
    <t>OUR(50 a IG) 017</t>
  </si>
  <si>
    <t>OUR(50 a IG) 018</t>
  </si>
  <si>
    <t>OUR(50 a IG) 019</t>
  </si>
  <si>
    <t>OUR(50 a IG) 020</t>
  </si>
  <si>
    <t>OUR(50 a IG) 021</t>
  </si>
  <si>
    <t>01:44:52.103000</t>
  </si>
  <si>
    <t>00:01:16.446000</t>
  </si>
  <si>
    <t>00:01:45.206000</t>
  </si>
  <si>
    <t>00:02:42.198000</t>
  </si>
  <si>
    <t>00:03:06.947000</t>
  </si>
  <si>
    <t>00:03:38.976000</t>
  </si>
  <si>
    <t>00:03:55.612000</t>
  </si>
  <si>
    <t>00:08:38.186000</t>
  </si>
  <si>
    <t>00:08:57.516000</t>
  </si>
  <si>
    <t>00:10:17.166000</t>
  </si>
  <si>
    <t>00:25:49.897000</t>
  </si>
  <si>
    <t>00:25:57.571000</t>
  </si>
  <si>
    <t>00:26:01.848000</t>
  </si>
  <si>
    <t>00:26:07.251000</t>
  </si>
  <si>
    <t>00:29:53.201000</t>
  </si>
  <si>
    <t>00:31:23.056000</t>
  </si>
  <si>
    <t>00:33:17.922000</t>
  </si>
  <si>
    <t>00:33:48.229000</t>
  </si>
  <si>
    <t>00:35:34.725000</t>
  </si>
  <si>
    <t>00:35:55.271000</t>
  </si>
  <si>
    <t>00:37:07.713000</t>
  </si>
  <si>
    <t>01:03:00.466000</t>
  </si>
  <si>
    <t>01:09:12.258000</t>
  </si>
  <si>
    <t>01:12:11.989000</t>
  </si>
  <si>
    <t>01:12:47.829000</t>
  </si>
  <si>
    <t>01:14:50.928000</t>
  </si>
  <si>
    <t>01:15:53.678000</t>
  </si>
  <si>
    <t>01:23:34.257000</t>
  </si>
  <si>
    <t>01:25:24.156000</t>
  </si>
  <si>
    <t>01:25:29.879000</t>
  </si>
  <si>
    <t>01:27:32.470000</t>
  </si>
  <si>
    <t>01:28:17.806000</t>
  </si>
  <si>
    <t>01:30:14.707000</t>
  </si>
  <si>
    <t>01:35:16.822000</t>
  </si>
  <si>
    <t>01:38:31.323000</t>
  </si>
  <si>
    <t>01:41:00.301000</t>
  </si>
  <si>
    <t>OPP(50 a IG) 026</t>
  </si>
  <si>
    <t>01:43:03.448000</t>
  </si>
  <si>
    <t>OPP(50 a IG) 027</t>
  </si>
  <si>
    <t>01:50:08.651000</t>
  </si>
  <si>
    <t>00:06:36.582000</t>
  </si>
  <si>
    <t>00:11:51.828000</t>
  </si>
  <si>
    <t>00:12:00.338000</t>
  </si>
  <si>
    <t>00:12:39.684000</t>
  </si>
  <si>
    <t>00:12:56.110000</t>
  </si>
  <si>
    <t>00:13:20.814000</t>
  </si>
  <si>
    <t>00:13:24.778000</t>
  </si>
  <si>
    <t>00:13:53.205000</t>
  </si>
  <si>
    <t>00:16:11.533000</t>
  </si>
  <si>
    <t>00:17:05.415000</t>
  </si>
  <si>
    <t>00:18:29.756000</t>
  </si>
  <si>
    <t>00:22:25.826000</t>
  </si>
  <si>
    <t>00:24:14.466000</t>
  </si>
  <si>
    <t>00:39:54.116000</t>
  </si>
  <si>
    <t>00:40:26.064000</t>
  </si>
  <si>
    <t>00:41:09.424000</t>
  </si>
  <si>
    <t>00:41:17.255000</t>
  </si>
  <si>
    <t>00:42:26.358000</t>
  </si>
  <si>
    <t>01:16:22.386000</t>
  </si>
  <si>
    <t>01:17:00.973000</t>
  </si>
  <si>
    <t>01:19:57.846000</t>
  </si>
  <si>
    <t>01:20:31.845000</t>
  </si>
  <si>
    <t>01:32:31.160000</t>
  </si>
  <si>
    <t>01:32:36.096000</t>
  </si>
  <si>
    <t>01:33:31.559000</t>
  </si>
  <si>
    <t>OUR(50 a IG) 022</t>
  </si>
  <si>
    <t>01:34:16.463000</t>
  </si>
  <si>
    <t>OUR(50 a IG) 023</t>
  </si>
  <si>
    <t>01:45:12.035000</t>
  </si>
  <si>
    <t>OUR(50 a IG) 024</t>
  </si>
  <si>
    <t>01:45:18.142000</t>
  </si>
  <si>
    <t>OUR(50 a IG) 025</t>
  </si>
  <si>
    <t>01:45:44.073000</t>
  </si>
  <si>
    <t>OUR(50 a IG) 026</t>
  </si>
  <si>
    <t>01:46:57.850000</t>
  </si>
  <si>
    <t>01:47:08.900000</t>
  </si>
  <si>
    <t>OUR(50 a IG) 027</t>
  </si>
  <si>
    <t>01:48:12.933000</t>
  </si>
  <si>
    <t>OUR(50 a IG) 028</t>
  </si>
  <si>
    <t>01:49:57.545000</t>
  </si>
  <si>
    <t>OUR (IG a 50) 001</t>
  </si>
  <si>
    <t>OUR (IG a 50) 002</t>
  </si>
  <si>
    <t>OUR (IG a 50) 003</t>
  </si>
  <si>
    <t>00:19:45.845000</t>
  </si>
  <si>
    <t>00:19:44.845000</t>
  </si>
  <si>
    <t>00:19:52.120000</t>
  </si>
  <si>
    <t>OUR (IG a 50) 004</t>
  </si>
  <si>
    <t>OUR (IG a 50) 005</t>
  </si>
  <si>
    <t>00:29:08.066000</t>
  </si>
  <si>
    <t>00:29:40.860000</t>
  </si>
  <si>
    <t>OUR (IG a 50) 006</t>
  </si>
  <si>
    <t>00:35:08.716000</t>
  </si>
  <si>
    <t>00:35:07.716000</t>
  </si>
  <si>
    <t>00:35:36.187000</t>
  </si>
  <si>
    <t>OUR (IG a 50) 007</t>
  </si>
  <si>
    <t>OUR (IG a 50) 008</t>
  </si>
  <si>
    <t>OUR (IG a 50) 009</t>
  </si>
  <si>
    <t>00:48:38.812000</t>
  </si>
  <si>
    <t>00:48:49.624000</t>
  </si>
  <si>
    <t>OUR (IG a 50) 010</t>
  </si>
  <si>
    <t>OUR (IG a 50) 011</t>
  </si>
  <si>
    <t>OUR (IG a 50) 012</t>
  </si>
  <si>
    <t>01:08:42.661000</t>
  </si>
  <si>
    <t>01:08:51.253000</t>
  </si>
  <si>
    <t>OUR (IG a 50) 013</t>
  </si>
  <si>
    <t>01:10:19.595000</t>
  </si>
  <si>
    <t>OUR (IG a 50) 014</t>
  </si>
  <si>
    <t>OUR (IG a 50) 015</t>
  </si>
  <si>
    <t>OUR (IG a 50) 016</t>
  </si>
  <si>
    <t>OUR (IG a 50) 017</t>
  </si>
  <si>
    <t>01:19:01.873000</t>
  </si>
  <si>
    <t>01:19:27.760000</t>
  </si>
  <si>
    <t>OUR (IG a 50) 018</t>
  </si>
  <si>
    <t>OUR (IG a 50) 019</t>
  </si>
  <si>
    <t>OUR (IG a 50) 020</t>
  </si>
  <si>
    <t>01:29:25.981000</t>
  </si>
  <si>
    <t>01:29:24.981000</t>
  </si>
  <si>
    <t>01:29:31.639000</t>
  </si>
  <si>
    <t>OUR (IG a 50) 021</t>
  </si>
  <si>
    <t>01:31:54.345000</t>
  </si>
  <si>
    <t>01:32:10.231000</t>
  </si>
  <si>
    <t>OUR (IG a 50) 022</t>
  </si>
  <si>
    <t>01:32:31.520000</t>
  </si>
  <si>
    <t>01:32:55.529000</t>
  </si>
  <si>
    <t>OUR (IG a 50) 023</t>
  </si>
  <si>
    <t>OUR (IG a 50) 024</t>
  </si>
  <si>
    <t>OUR (IG a 50) 025</t>
  </si>
  <si>
    <t>OUR (IG a 50) 026</t>
  </si>
  <si>
    <t>OUR (IG a 50) 027</t>
  </si>
  <si>
    <t>OUR (IG a 50) 028</t>
  </si>
  <si>
    <t>OUR (IG a 50) 029</t>
  </si>
  <si>
    <t>OUR (IG a 50) 030</t>
  </si>
  <si>
    <t>OUR (IG a 50) 031</t>
  </si>
  <si>
    <t>OPP(IG a 50) 001</t>
  </si>
  <si>
    <t>00:08:12.324000</t>
  </si>
  <si>
    <t>00:08:37.697000</t>
  </si>
  <si>
    <t>OPP(IG a 50) 002</t>
  </si>
  <si>
    <t>OPP(IG a 50) 003</t>
  </si>
  <si>
    <t>00:15:16.827000</t>
  </si>
  <si>
    <t>00:15:29.263000</t>
  </si>
  <si>
    <t>OPP(IG a 50) 004</t>
  </si>
  <si>
    <t>00:21:32.380000</t>
  </si>
  <si>
    <t>OPP(IG a 50) 005</t>
  </si>
  <si>
    <t>00:22:15.631000</t>
  </si>
  <si>
    <t>OPP(IG a 50) 007</t>
  </si>
  <si>
    <t>00:23:09.944000</t>
  </si>
  <si>
    <t>OPP(IG a 50) 006</t>
  </si>
  <si>
    <t>OPP(IG a 50) 008</t>
  </si>
  <si>
    <t>00:28:30.715000</t>
  </si>
  <si>
    <t>00:29:11.062000</t>
  </si>
  <si>
    <t>OPP(IG a 50) 009</t>
  </si>
  <si>
    <t>00:29:50.864000</t>
  </si>
  <si>
    <t>OPP(IG a 50) 010</t>
  </si>
  <si>
    <t>00:47:25.991000</t>
  </si>
  <si>
    <t>OPP(IG a 50) 011</t>
  </si>
  <si>
    <t>00:48:41.993000</t>
  </si>
  <si>
    <t>OPP(IG a 50) 012</t>
  </si>
  <si>
    <t>OPP(IG a 50) 013</t>
  </si>
  <si>
    <t>OPP(IG a 50) 014</t>
  </si>
  <si>
    <t>OPP(IG a 50) 015</t>
  </si>
  <si>
    <t>OPP(IG a 50) 016</t>
  </si>
  <si>
    <t>01:12:22.053000</t>
  </si>
  <si>
    <t>OPP(IG a 50) 017</t>
  </si>
  <si>
    <t>01:12:37.622000</t>
  </si>
  <si>
    <t>OPP(IG a 50) 018</t>
  </si>
  <si>
    <t>OPP(IG a 50) 019</t>
  </si>
  <si>
    <t>OPP(IG a 50) 020</t>
  </si>
  <si>
    <t>01:33:54.186000</t>
  </si>
  <si>
    <t>OPP(IG a 50) 021</t>
  </si>
  <si>
    <t>OPP(IG a 50) 022</t>
  </si>
  <si>
    <t>OPP(IG a 50) 023</t>
  </si>
  <si>
    <t>OPP(IG a 50) 024</t>
  </si>
  <si>
    <t>01:38:10.781000</t>
  </si>
  <si>
    <t>OPP(IG a 50) 025</t>
  </si>
  <si>
    <t>OPP(IG a 50) 026</t>
  </si>
  <si>
    <t>OPP(IG a 50) 027</t>
  </si>
  <si>
    <t>OPP(IG a 50) 028</t>
  </si>
  <si>
    <t>OPP(IG a 50) 029</t>
  </si>
  <si>
    <t>00:08:35.517000</t>
  </si>
  <si>
    <t>00:08:39.954000</t>
  </si>
  <si>
    <t>00:08:56.516000</t>
  </si>
  <si>
    <t>00:09:14.418000</t>
  </si>
  <si>
    <t>00:09:24.832000</t>
  </si>
  <si>
    <t>00:09:23.832000</t>
  </si>
  <si>
    <t>00:09:28.754000</t>
  </si>
  <si>
    <t>00:13:19.321000</t>
  </si>
  <si>
    <t>00:13:27.263000</t>
  </si>
  <si>
    <t>00:19:57.442000</t>
  </si>
  <si>
    <t>00:19:56.442000</t>
  </si>
  <si>
    <t>00:20:09.090000</t>
  </si>
  <si>
    <t>00:25:56.571000</t>
  </si>
  <si>
    <t>00:28:42.348000</t>
  </si>
  <si>
    <t>00:28:54.585000</t>
  </si>
  <si>
    <t>00:30:46.676000</t>
  </si>
  <si>
    <t>00:30:59.542000</t>
  </si>
  <si>
    <t>00:32:48.620000</t>
  </si>
  <si>
    <t>00:32:58.992000</t>
  </si>
  <si>
    <t>00:39:56.521000</t>
  </si>
  <si>
    <t>00:39:58.958000</t>
  </si>
  <si>
    <t>01:02:28.893000</t>
  </si>
  <si>
    <t>01:04:21.133000</t>
  </si>
  <si>
    <t>01:04:35.616000</t>
  </si>
  <si>
    <t>01:04:45.844000</t>
  </si>
  <si>
    <t>01:07:03.330000</t>
  </si>
  <si>
    <t>01:07:16.316000</t>
  </si>
  <si>
    <t>01:11:20.713000</t>
  </si>
  <si>
    <t>01:11:28.776000</t>
  </si>
  <si>
    <t>01:14:13.378000</t>
  </si>
  <si>
    <t>01:14:49.928000</t>
  </si>
  <si>
    <t>01:14:57.634000</t>
  </si>
  <si>
    <t>01:15:52.678000</t>
  </si>
  <si>
    <t>01:16:30.210000</t>
  </si>
  <si>
    <t>01:16:53.208000</t>
  </si>
  <si>
    <t>01:16:52.208000</t>
  </si>
  <si>
    <t>01:22:21.870000</t>
  </si>
  <si>
    <t>01:22:20.870000</t>
  </si>
  <si>
    <t>01:22:32.353000</t>
  </si>
  <si>
    <t>01:25:09.202000</t>
  </si>
  <si>
    <t>01:27:21.982000</t>
  </si>
  <si>
    <t>01:41:53.836000</t>
  </si>
  <si>
    <t>01:42:02.372000</t>
  </si>
  <si>
    <t>01:44:18.627000</t>
  </si>
  <si>
    <t>01:45:19.760000</t>
  </si>
  <si>
    <t>00:05:24.693000</t>
  </si>
  <si>
    <t>00:05:29.781000</t>
  </si>
  <si>
    <t>00:07:19.735000</t>
  </si>
  <si>
    <t>00:08:33.085000</t>
  </si>
  <si>
    <t>00:14:46.600000</t>
  </si>
  <si>
    <t>00:23:22.027000</t>
  </si>
  <si>
    <t>00:27:39.054000</t>
  </si>
  <si>
    <t>00:27:42.023000</t>
  </si>
  <si>
    <t>00:28:39.833000</t>
  </si>
  <si>
    <t>00:38:58.495000</t>
  </si>
  <si>
    <t>00:39:16.404000</t>
  </si>
  <si>
    <t>00:39:46.688000</t>
  </si>
  <si>
    <t>00:39:51.439000</t>
  </si>
  <si>
    <t>00:40:31.806000</t>
  </si>
  <si>
    <t>00:41:02.026000</t>
  </si>
  <si>
    <t>01:02:14.425000</t>
  </si>
  <si>
    <t>01:07:35.208000</t>
  </si>
  <si>
    <t>01:16:53.245000</t>
  </si>
  <si>
    <t>01:25:01.577000</t>
  </si>
  <si>
    <t>01:27:04.365000</t>
  </si>
  <si>
    <t>01:31:58.561000</t>
  </si>
  <si>
    <t>01:33:44.464000</t>
  </si>
  <si>
    <t>OPP(IG a 50) 030</t>
  </si>
  <si>
    <t>OPP(IG a 50) 031</t>
  </si>
  <si>
    <t>LANZA OUR 002</t>
  </si>
  <si>
    <t>LANZA OUR 003</t>
  </si>
  <si>
    <t>LANZA OUR 004</t>
  </si>
  <si>
    <t>LANZA OUR 006</t>
  </si>
  <si>
    <t>LANZA OUR 007</t>
  </si>
  <si>
    <t>LANZA OUR 008</t>
  </si>
  <si>
    <t>LANZA OUR 010</t>
  </si>
  <si>
    <t>LANZA OUR 012</t>
  </si>
  <si>
    <t>LANZA OUR 013</t>
  </si>
  <si>
    <t>LANZA OUR 014</t>
  </si>
  <si>
    <t>LANZA OUR 015</t>
  </si>
  <si>
    <t>LANZA OUR 016</t>
  </si>
  <si>
    <t>LANZA OUR 018</t>
  </si>
  <si>
    <t>LANZA OUR 019</t>
  </si>
  <si>
    <t>LANZA OUR 021</t>
  </si>
  <si>
    <t>LANZA OUR 022</t>
  </si>
  <si>
    <t>LANZA OUR 024</t>
  </si>
  <si>
    <t>LANZA OUR 026</t>
  </si>
  <si>
    <t>LANZA OUR 028</t>
  </si>
  <si>
    <t>LANZA OUR 029</t>
  </si>
  <si>
    <t>LANZA OUR 030</t>
  </si>
  <si>
    <t>LANZA OPP 001</t>
  </si>
  <si>
    <t>LANZA OPP 002</t>
  </si>
  <si>
    <t>LANZA OPP 003</t>
  </si>
  <si>
    <t>LANZA OPP 004</t>
  </si>
  <si>
    <t>LANZA OPP 005</t>
  </si>
  <si>
    <t>LANZA OPP 006</t>
  </si>
  <si>
    <t>LANZA OPP 007</t>
  </si>
  <si>
    <t>LANZA OPP 008</t>
  </si>
  <si>
    <t>LANZA OPP 010</t>
  </si>
  <si>
    <t>LANZA OPP 011</t>
  </si>
  <si>
    <t>LANZA OPP 014</t>
  </si>
  <si>
    <t>LANZA OPP 015</t>
  </si>
  <si>
    <t>LANZA OPP 016</t>
  </si>
  <si>
    <t>LANZA OPP 017</t>
  </si>
  <si>
    <t>LANZA OPP 018</t>
  </si>
  <si>
    <t>LANZA OPP 019</t>
  </si>
  <si>
    <t>LANZA OPP 020</t>
  </si>
  <si>
    <t>LANZA OPP 021</t>
  </si>
  <si>
    <t>LANZA OPP 024</t>
  </si>
  <si>
    <t>LANZA OPP 025</t>
  </si>
  <si>
    <t>RECU</t>
  </si>
  <si>
    <t>LANZA OPP 026</t>
  </si>
  <si>
    <t>LANZA OUR 001</t>
  </si>
  <si>
    <t>LANZA OUR 005</t>
  </si>
  <si>
    <t>LANZA OUR 009</t>
  </si>
  <si>
    <t>LANZA OUR 011</t>
  </si>
  <si>
    <t>LANZA OUR 017</t>
  </si>
  <si>
    <t>LANZA OUR 020</t>
  </si>
  <si>
    <t>LANZA OUR 023</t>
  </si>
  <si>
    <t>LANZA OPP 009</t>
  </si>
  <si>
    <t>LANZA OPP 012</t>
  </si>
  <si>
    <t>LANZA OPP 013</t>
  </si>
  <si>
    <t>LANZA OPP 022</t>
  </si>
  <si>
    <t>LANZA OPP 023</t>
  </si>
  <si>
    <t>LANZA OUR 025</t>
  </si>
  <si>
    <t>LANZA OUR 027</t>
  </si>
  <si>
    <t>LANZA OPP 027</t>
  </si>
  <si>
    <t>DROP OUR 001</t>
  </si>
  <si>
    <t>PASE OUR 001</t>
  </si>
  <si>
    <t>00:08:50.741000</t>
  </si>
  <si>
    <t>00:08:47.741000</t>
  </si>
  <si>
    <t>00:08:51.741000</t>
  </si>
  <si>
    <t>PASE OUR 002</t>
  </si>
  <si>
    <t>00:09:01.630000</t>
  </si>
  <si>
    <t>00:08:58.630000</t>
  </si>
  <si>
    <t>00:09:02.630000</t>
  </si>
  <si>
    <t>PASE OUR 003</t>
  </si>
  <si>
    <t>00:10:43.300000</t>
  </si>
  <si>
    <t>00:10:40.300000</t>
  </si>
  <si>
    <t>00:10:44.300000</t>
  </si>
  <si>
    <t>PASE OUR 004</t>
  </si>
  <si>
    <t>00:16:43.901000</t>
  </si>
  <si>
    <t>00:16:40.901000</t>
  </si>
  <si>
    <t>00:16:44.901000</t>
  </si>
  <si>
    <t>PASE OUR 005</t>
  </si>
  <si>
    <t>PASE OUR 006</t>
  </si>
  <si>
    <t>00:17:29.580000</t>
  </si>
  <si>
    <t>00:17:26.580000</t>
  </si>
  <si>
    <t>00:17:30.580000</t>
  </si>
  <si>
    <t>PASE OUR 007</t>
  </si>
  <si>
    <t>00:17:48.147000</t>
  </si>
  <si>
    <t>00:17:45.147000</t>
  </si>
  <si>
    <t>00:17:49.147000</t>
  </si>
  <si>
    <t>PASE OUR 008</t>
  </si>
  <si>
    <t>00:17:52.937000</t>
  </si>
  <si>
    <t>00:17:49.937000</t>
  </si>
  <si>
    <t>00:17:53.937000</t>
  </si>
  <si>
    <t>PASE OUR 009</t>
  </si>
  <si>
    <t>00:18:13.152000</t>
  </si>
  <si>
    <t>00:18:10.152000</t>
  </si>
  <si>
    <t>00:18:14.152000</t>
  </si>
  <si>
    <t>PASE OUR 010</t>
  </si>
  <si>
    <t>00:18:19.483000</t>
  </si>
  <si>
    <t>00:18:16.483000</t>
  </si>
  <si>
    <t>00:18:20.483000</t>
  </si>
  <si>
    <t>PASE OUR 011</t>
  </si>
  <si>
    <t>00:18:24.676000</t>
  </si>
  <si>
    <t>00:18:21.676000</t>
  </si>
  <si>
    <t>00:18:25.676000</t>
  </si>
  <si>
    <t>PASE OUR 012</t>
  </si>
  <si>
    <t>00:20:33.078000</t>
  </si>
  <si>
    <t>00:20:30.078000</t>
  </si>
  <si>
    <t>00:20:34.078000</t>
  </si>
  <si>
    <t>PASE OUR 013</t>
  </si>
  <si>
    <t>00:20:34.095000</t>
  </si>
  <si>
    <t>00:20:31.095000</t>
  </si>
  <si>
    <t>00:20:35.095000</t>
  </si>
  <si>
    <t>PASE OUR 014</t>
  </si>
  <si>
    <t>00:20:38.545000</t>
  </si>
  <si>
    <t>00:20:35.545000</t>
  </si>
  <si>
    <t>00:20:39.545000</t>
  </si>
  <si>
    <t>PASE OUR 015</t>
  </si>
  <si>
    <t>00:20:40.040000</t>
  </si>
  <si>
    <t>00:20:37.040000</t>
  </si>
  <si>
    <t>00:20:41.040000</t>
  </si>
  <si>
    <t>PASE OUR 016</t>
  </si>
  <si>
    <t>00:29:17.887000</t>
  </si>
  <si>
    <t>00:29:14.887000</t>
  </si>
  <si>
    <t>00:29:18.887000</t>
  </si>
  <si>
    <t>PASE OUR 017</t>
  </si>
  <si>
    <t>00:29:49.405000</t>
  </si>
  <si>
    <t>00:29:46.405000</t>
  </si>
  <si>
    <t>00:29:50.405000</t>
  </si>
  <si>
    <t>PASE OUR 018</t>
  </si>
  <si>
    <t>00:29:53.614000</t>
  </si>
  <si>
    <t>00:29:50.614000</t>
  </si>
  <si>
    <t>00:29:54.614000</t>
  </si>
  <si>
    <t>PASE OUR 019</t>
  </si>
  <si>
    <t>00:30:05.462000</t>
  </si>
  <si>
    <t>00:30:02.462000</t>
  </si>
  <si>
    <t>00:30:06.462000</t>
  </si>
  <si>
    <t>PASE OUR 020</t>
  </si>
  <si>
    <t>00:30:13.086000</t>
  </si>
  <si>
    <t>00:30:10.086000</t>
  </si>
  <si>
    <t>00:30:14.086000</t>
  </si>
  <si>
    <t>PASE OUR 021</t>
  </si>
  <si>
    <t>00:30:17.947000</t>
  </si>
  <si>
    <t>00:30:14.947000</t>
  </si>
  <si>
    <t>00:30:18.947000</t>
  </si>
  <si>
    <t>PASE OUR 022</t>
  </si>
  <si>
    <t>00:30:25.429000</t>
  </si>
  <si>
    <t>00:30:22.429000</t>
  </si>
  <si>
    <t>00:30:26.429000</t>
  </si>
  <si>
    <t>PASE OUR 023</t>
  </si>
  <si>
    <t>00:30:40.955000</t>
  </si>
  <si>
    <t>00:30:37.955000</t>
  </si>
  <si>
    <t>00:30:41.955000</t>
  </si>
  <si>
    <t>PASE OUR 024</t>
  </si>
  <si>
    <t>00:30:51.786000</t>
  </si>
  <si>
    <t>00:30:48.786000</t>
  </si>
  <si>
    <t>00:30:52.786000</t>
  </si>
  <si>
    <t>PASE OUR 025</t>
  </si>
  <si>
    <t>00:31:02.077000</t>
  </si>
  <si>
    <t>00:31:03.077000</t>
  </si>
  <si>
    <t>PASE OUR 026</t>
  </si>
  <si>
    <t>00:31:09.554000</t>
  </si>
  <si>
    <t>00:31:06.554000</t>
  </si>
  <si>
    <t>00:31:10.554000</t>
  </si>
  <si>
    <t>PASE OUR 027</t>
  </si>
  <si>
    <t>00:31:15.921000</t>
  </si>
  <si>
    <t>00:31:12.921000</t>
  </si>
  <si>
    <t>00:31:16.921000</t>
  </si>
  <si>
    <t>PASE OUR 028</t>
  </si>
  <si>
    <t>00:31:35.253000</t>
  </si>
  <si>
    <t>00:31:32.253000</t>
  </si>
  <si>
    <t>00:31:36.253000</t>
  </si>
  <si>
    <t>PASE OUR 029</t>
  </si>
  <si>
    <t>00:32:32.291000</t>
  </si>
  <si>
    <t>00:32:29.291000</t>
  </si>
  <si>
    <t>00:32:33.291000</t>
  </si>
  <si>
    <t>PASE OUR 030</t>
  </si>
  <si>
    <t>00:35:15.165000</t>
  </si>
  <si>
    <t>00:35:12.165000</t>
  </si>
  <si>
    <t>00:35:16.165000</t>
  </si>
  <si>
    <t>PASE OUR 031</t>
  </si>
  <si>
    <t>00:45:19.724000</t>
  </si>
  <si>
    <t>00:45:16.724000</t>
  </si>
  <si>
    <t>00:45:20.724000</t>
  </si>
  <si>
    <t>PASE OUR 032</t>
  </si>
  <si>
    <t>00:45:22.980000</t>
  </si>
  <si>
    <t>00:45:19.980000</t>
  </si>
  <si>
    <t>00:45:23.980000</t>
  </si>
  <si>
    <t>PASE OUR 033</t>
  </si>
  <si>
    <t>00:45:29.042000</t>
  </si>
  <si>
    <t>00:45:26.042000</t>
  </si>
  <si>
    <t>00:45:30.042000</t>
  </si>
  <si>
    <t>PASE OUR 034</t>
  </si>
  <si>
    <t>00:45:34.548000</t>
  </si>
  <si>
    <t>00:45:31.548000</t>
  </si>
  <si>
    <t>00:45:35.548000</t>
  </si>
  <si>
    <t>PASE OUR 035</t>
  </si>
  <si>
    <t>00:45:35.405000</t>
  </si>
  <si>
    <t>00:45:32.405000</t>
  </si>
  <si>
    <t>00:45:36.405000</t>
  </si>
  <si>
    <t>PASE OUR 036</t>
  </si>
  <si>
    <t>00:45:42.927000</t>
  </si>
  <si>
    <t>00:45:39.927000</t>
  </si>
  <si>
    <t>00:45:43.927000</t>
  </si>
  <si>
    <t>PASE OUR 037</t>
  </si>
  <si>
    <t>00:45:47.631000</t>
  </si>
  <si>
    <t>00:45:44.631000</t>
  </si>
  <si>
    <t>00:45:48.631000</t>
  </si>
  <si>
    <t>PASE OUR 038</t>
  </si>
  <si>
    <t>00:45:49.001000</t>
  </si>
  <si>
    <t>00:45:46.001000</t>
  </si>
  <si>
    <t>00:45:50.001000</t>
  </si>
  <si>
    <t>PASE OUR 039</t>
  </si>
  <si>
    <t>00:48:00.052000</t>
  </si>
  <si>
    <t>00:47:57.052000</t>
  </si>
  <si>
    <t>00:48:01.052000</t>
  </si>
  <si>
    <t>PASE OUR 040</t>
  </si>
  <si>
    <t>00:48:00.894000</t>
  </si>
  <si>
    <t>00:47:57.894000</t>
  </si>
  <si>
    <t>00:48:01.894000</t>
  </si>
  <si>
    <t>PASE OUR 041</t>
  </si>
  <si>
    <t>00:48:01.773000</t>
  </si>
  <si>
    <t>00:47:58.773000</t>
  </si>
  <si>
    <t>00:48:02.773000</t>
  </si>
  <si>
    <t>PASE OUR 042</t>
  </si>
  <si>
    <t>00:48:07.726000</t>
  </si>
  <si>
    <t>00:48:04.726000</t>
  </si>
  <si>
    <t>00:48:08.726000</t>
  </si>
  <si>
    <t>PASE OUR 043</t>
  </si>
  <si>
    <t>00:48:18.630000</t>
  </si>
  <si>
    <t>00:48:15.630000</t>
  </si>
  <si>
    <t>00:48:19.630000</t>
  </si>
  <si>
    <t>PASE OUR 044</t>
  </si>
  <si>
    <t>01:08:43.111000</t>
  </si>
  <si>
    <t>01:08:40.111000</t>
  </si>
  <si>
    <t>01:08:44.111000</t>
  </si>
  <si>
    <t>PASE OUR 045</t>
  </si>
  <si>
    <t>01:08:49.184000</t>
  </si>
  <si>
    <t>01:08:46.184000</t>
  </si>
  <si>
    <t>01:08:50.184000</t>
  </si>
  <si>
    <t>PASE OUR 046</t>
  </si>
  <si>
    <t>01:08:58.550000</t>
  </si>
  <si>
    <t>01:08:55.550000</t>
  </si>
  <si>
    <t>01:08:59.550000</t>
  </si>
  <si>
    <t>PASE OUR 047</t>
  </si>
  <si>
    <t>01:09:06.227000</t>
  </si>
  <si>
    <t>01:09:03.227000</t>
  </si>
  <si>
    <t>01:09:07.227000</t>
  </si>
  <si>
    <t>PASE OUR 048</t>
  </si>
  <si>
    <t>01:09:07.649000</t>
  </si>
  <si>
    <t>01:09:04.649000</t>
  </si>
  <si>
    <t>01:09:08.649000</t>
  </si>
  <si>
    <t>PASE OUR 049</t>
  </si>
  <si>
    <t>01:09:16.655000</t>
  </si>
  <si>
    <t>01:09:13.655000</t>
  </si>
  <si>
    <t>01:09:17.655000</t>
  </si>
  <si>
    <t>PASE OUR 050</t>
  </si>
  <si>
    <t>01:09:26.743000</t>
  </si>
  <si>
    <t>01:09:23.743000</t>
  </si>
  <si>
    <t>01:09:27.743000</t>
  </si>
  <si>
    <t>PASE OUR 051</t>
  </si>
  <si>
    <t>01:09:27.218000</t>
  </si>
  <si>
    <t>01:09:24.218000</t>
  </si>
  <si>
    <t>01:09:28.218000</t>
  </si>
  <si>
    <t>PASE OUR 052</t>
  </si>
  <si>
    <t>01:09:31.772000</t>
  </si>
  <si>
    <t>01:09:28.772000</t>
  </si>
  <si>
    <t>01:09:32.772000</t>
  </si>
  <si>
    <t>PASE OUR 053</t>
  </si>
  <si>
    <t>01:09:32.910000</t>
  </si>
  <si>
    <t>01:09:29.910000</t>
  </si>
  <si>
    <t>01:09:33.910000</t>
  </si>
  <si>
    <t>PASE OUR 054</t>
  </si>
  <si>
    <t>01:09:43.513000</t>
  </si>
  <si>
    <t>01:09:40.513000</t>
  </si>
  <si>
    <t>01:09:44.513000</t>
  </si>
  <si>
    <t>PASE OUR 055</t>
  </si>
  <si>
    <t>01:09:48.760000</t>
  </si>
  <si>
    <t>01:09:45.760000</t>
  </si>
  <si>
    <t>01:09:49.760000</t>
  </si>
  <si>
    <t>PASE OUR 056</t>
  </si>
  <si>
    <t>01:09:49.455000</t>
  </si>
  <si>
    <t>01:09:46.455000</t>
  </si>
  <si>
    <t>01:09:50.455000</t>
  </si>
  <si>
    <t>PASE OUR 057</t>
  </si>
  <si>
    <t>01:09:55.486000</t>
  </si>
  <si>
    <t>01:09:52.486000</t>
  </si>
  <si>
    <t>01:09:56.486000</t>
  </si>
  <si>
    <t>PASE OUR 058</t>
  </si>
  <si>
    <t>01:09:57.177000</t>
  </si>
  <si>
    <t>01:09:54.177000</t>
  </si>
  <si>
    <t>01:09:58.177000</t>
  </si>
  <si>
    <t>PASE OUR 059</t>
  </si>
  <si>
    <t>01:09:58.608000</t>
  </si>
  <si>
    <t>01:09:55.608000</t>
  </si>
  <si>
    <t>01:09:59.608000</t>
  </si>
  <si>
    <t>PASE OUR 060</t>
  </si>
  <si>
    <t>01:09:59.955000</t>
  </si>
  <si>
    <t>01:09:56.955000</t>
  </si>
  <si>
    <t>01:10:00.955000</t>
  </si>
  <si>
    <t>PASE OUR 061</t>
  </si>
  <si>
    <t>01:10:10.676000</t>
  </si>
  <si>
    <t>01:10:07.676000</t>
  </si>
  <si>
    <t>01:10:11.676000</t>
  </si>
  <si>
    <t>PASE OUR 062</t>
  </si>
  <si>
    <t>01:10:26.120000</t>
  </si>
  <si>
    <t>01:10:23.120000</t>
  </si>
  <si>
    <t>01:10:27.120000</t>
  </si>
  <si>
    <t>PASE OUR 063</t>
  </si>
  <si>
    <t>01:11:21.562000</t>
  </si>
  <si>
    <t>01:11:18.562000</t>
  </si>
  <si>
    <t>01:11:22.562000</t>
  </si>
  <si>
    <t>PASE OUR 064</t>
  </si>
  <si>
    <t>01:12:29.286000</t>
  </si>
  <si>
    <t>01:12:26.286000</t>
  </si>
  <si>
    <t>01:12:30.286000</t>
  </si>
  <si>
    <t>PASE OUR 065</t>
  </si>
  <si>
    <t>01:15:20.433000</t>
  </si>
  <si>
    <t>01:15:17.433000</t>
  </si>
  <si>
    <t>01:15:21.433000</t>
  </si>
  <si>
    <t>PASE OUR 066</t>
  </si>
  <si>
    <t>01:15:23.471000</t>
  </si>
  <si>
    <t>01:15:20.471000</t>
  </si>
  <si>
    <t>01:15:24.471000</t>
  </si>
  <si>
    <t>PASE OUR 067</t>
  </si>
  <si>
    <t>01:15:33.624000</t>
  </si>
  <si>
    <t>01:15:30.624000</t>
  </si>
  <si>
    <t>01:15:34.624000</t>
  </si>
  <si>
    <t>PASE OUR 068</t>
  </si>
  <si>
    <t>01:15:41.821000</t>
  </si>
  <si>
    <t>01:15:38.821000</t>
  </si>
  <si>
    <t>01:15:42.821000</t>
  </si>
  <si>
    <t>PASE OUR 069</t>
  </si>
  <si>
    <t>01:15:44.210000</t>
  </si>
  <si>
    <t>01:15:41.210000</t>
  </si>
  <si>
    <t>01:15:45.210000</t>
  </si>
  <si>
    <t>PASE OUR 070</t>
  </si>
  <si>
    <t>01:15:47.984000</t>
  </si>
  <si>
    <t>01:15:44.984000</t>
  </si>
  <si>
    <t>01:15:48.984000</t>
  </si>
  <si>
    <t>PASE OUR 071</t>
  </si>
  <si>
    <t>PASE OUR 072</t>
  </si>
  <si>
    <t>01:15:52.941000</t>
  </si>
  <si>
    <t>01:15:49.941000</t>
  </si>
  <si>
    <t>01:15:53.941000</t>
  </si>
  <si>
    <t>PASE OUR 073</t>
  </si>
  <si>
    <t>01:15:57.474000</t>
  </si>
  <si>
    <t>01:15:54.474000</t>
  </si>
  <si>
    <t>01:15:58.474000</t>
  </si>
  <si>
    <t>PASE OUR 074</t>
  </si>
  <si>
    <t>01:15:58.571000</t>
  </si>
  <si>
    <t>01:15:55.571000</t>
  </si>
  <si>
    <t>01:15:59.571000</t>
  </si>
  <si>
    <t>PASE OUR 075</t>
  </si>
  <si>
    <t>01:16:14.866000</t>
  </si>
  <si>
    <t>01:16:11.866000</t>
  </si>
  <si>
    <t>01:16:15.866000</t>
  </si>
  <si>
    <t>PASE OUR 076</t>
  </si>
  <si>
    <t>01:18:00.951000</t>
  </si>
  <si>
    <t>01:17:57.951000</t>
  </si>
  <si>
    <t>01:18:01.951000</t>
  </si>
  <si>
    <t>PASE OUR 077</t>
  </si>
  <si>
    <t>01:19:03.889000</t>
  </si>
  <si>
    <t>01:19:00.889000</t>
  </si>
  <si>
    <t>01:19:04.889000</t>
  </si>
  <si>
    <t>PASE OUR 078</t>
  </si>
  <si>
    <t>01:19:04.761000</t>
  </si>
  <si>
    <t>01:19:01.761000</t>
  </si>
  <si>
    <t>01:19:05.761000</t>
  </si>
  <si>
    <t>PASE OUR 079</t>
  </si>
  <si>
    <t>01:21:27.788000</t>
  </si>
  <si>
    <t>01:21:24.788000</t>
  </si>
  <si>
    <t>01:21:28.788000</t>
  </si>
  <si>
    <t>PASE OUR 080</t>
  </si>
  <si>
    <t>01:21:33.854000</t>
  </si>
  <si>
    <t>01:21:30.854000</t>
  </si>
  <si>
    <t>01:21:34.854000</t>
  </si>
  <si>
    <t>PASE OUR 081</t>
  </si>
  <si>
    <t>01:21:45.700000</t>
  </si>
  <si>
    <t>01:21:42.700000</t>
  </si>
  <si>
    <t>01:21:46.700000</t>
  </si>
  <si>
    <t>PASE OUR 082</t>
  </si>
  <si>
    <t>01:23:14.266000</t>
  </si>
  <si>
    <t>01:23:11.266000</t>
  </si>
  <si>
    <t>01:23:15.266000</t>
  </si>
  <si>
    <t>PASE OUR 083</t>
  </si>
  <si>
    <t>01:23:16.549000</t>
  </si>
  <si>
    <t>01:23:13.549000</t>
  </si>
  <si>
    <t>01:23:17.549000</t>
  </si>
  <si>
    <t>PASE OUR 084</t>
  </si>
  <si>
    <t>01:23:20.538000</t>
  </si>
  <si>
    <t>01:23:17.538000</t>
  </si>
  <si>
    <t>01:23:21.538000</t>
  </si>
  <si>
    <t>PASE OUR 085</t>
  </si>
  <si>
    <t>01:29:26.132000</t>
  </si>
  <si>
    <t>01:29:23.132000</t>
  </si>
  <si>
    <t>01:29:27.132000</t>
  </si>
  <si>
    <t>PASE OUR 086</t>
  </si>
  <si>
    <t>01:29:27.994000</t>
  </si>
  <si>
    <t>01:29:24.994000</t>
  </si>
  <si>
    <t>01:29:28.994000</t>
  </si>
  <si>
    <t>PASE OUR 087</t>
  </si>
  <si>
    <t>01:29:34.774000</t>
  </si>
  <si>
    <t>01:29:31.774000</t>
  </si>
  <si>
    <t>01:29:35.774000</t>
  </si>
  <si>
    <t>PASE OUR 088</t>
  </si>
  <si>
    <t>01:29:40.100000</t>
  </si>
  <si>
    <t>01:29:37.100000</t>
  </si>
  <si>
    <t>01:29:41.100000</t>
  </si>
  <si>
    <t>PASE OUR 089</t>
  </si>
  <si>
    <t>01:29:41.159000</t>
  </si>
  <si>
    <t>01:29:38.159000</t>
  </si>
  <si>
    <t>01:29:42.159000</t>
  </si>
  <si>
    <t>PASE OUR 090</t>
  </si>
  <si>
    <t>01:29:43.489000</t>
  </si>
  <si>
    <t>01:29:40.489000</t>
  </si>
  <si>
    <t>01:29:44.489000</t>
  </si>
  <si>
    <t>PASE OUR 091</t>
  </si>
  <si>
    <t>01:29:47.022000</t>
  </si>
  <si>
    <t>01:29:44.022000</t>
  </si>
  <si>
    <t>01:29:48.022000</t>
  </si>
  <si>
    <t>PASE OUR 092</t>
  </si>
  <si>
    <t>01:29:54.444000</t>
  </si>
  <si>
    <t>01:29:51.444000</t>
  </si>
  <si>
    <t>01:29:55.444000</t>
  </si>
  <si>
    <t>PASE OUR 093</t>
  </si>
  <si>
    <t>01:32:03.677000</t>
  </si>
  <si>
    <t>01:32:00.677000</t>
  </si>
  <si>
    <t>01:32:04.677000</t>
  </si>
  <si>
    <t>PASE OUR 094</t>
  </si>
  <si>
    <t>01:32:36.121000</t>
  </si>
  <si>
    <t>01:32:33.121000</t>
  </si>
  <si>
    <t>01:32:37.121000</t>
  </si>
  <si>
    <t>PASE OUR 095</t>
  </si>
  <si>
    <t>01:32:45.927000</t>
  </si>
  <si>
    <t>01:32:42.927000</t>
  </si>
  <si>
    <t>01:32:46.927000</t>
  </si>
  <si>
    <t>PASE OUR 096</t>
  </si>
  <si>
    <t>01:32:53.710000</t>
  </si>
  <si>
    <t>01:32:50.710000</t>
  </si>
  <si>
    <t>01:32:54.710000</t>
  </si>
  <si>
    <t>PASE OUR 097</t>
  </si>
  <si>
    <t>01:34:25.432000</t>
  </si>
  <si>
    <t>01:34:22.432000</t>
  </si>
  <si>
    <t>01:34:26.432000</t>
  </si>
  <si>
    <t>PASE OUR 098</t>
  </si>
  <si>
    <t>01:34:26.759000</t>
  </si>
  <si>
    <t>01:34:23.759000</t>
  </si>
  <si>
    <t>01:34:27.759000</t>
  </si>
  <si>
    <t>PASE OUR 099</t>
  </si>
  <si>
    <t>01:34:27.627000</t>
  </si>
  <si>
    <t>01:34:24.627000</t>
  </si>
  <si>
    <t>01:34:28.627000</t>
  </si>
  <si>
    <t>PASE OUR 100</t>
  </si>
  <si>
    <t>01:34:29.440000</t>
  </si>
  <si>
    <t>01:34:26.440000</t>
  </si>
  <si>
    <t>01:34:30.440000</t>
  </si>
  <si>
    <t>PASE OUR 101</t>
  </si>
  <si>
    <t>01:34:31.348000</t>
  </si>
  <si>
    <t>01:34:28.348000</t>
  </si>
  <si>
    <t>01:34:32.348000</t>
  </si>
  <si>
    <t>PASE OUR 102</t>
  </si>
  <si>
    <t>01:34:39.562000</t>
  </si>
  <si>
    <t>01:34:36.562000</t>
  </si>
  <si>
    <t>01:34:40.562000</t>
  </si>
  <si>
    <t>PASE OUR 103</t>
  </si>
  <si>
    <t>01:34:40.640000</t>
  </si>
  <si>
    <t>01:34:37.640000</t>
  </si>
  <si>
    <t>01:34:41.640000</t>
  </si>
  <si>
    <t>PASE OUR 104</t>
  </si>
  <si>
    <t>01:34:47.573000</t>
  </si>
  <si>
    <t>01:34:44.573000</t>
  </si>
  <si>
    <t>01:34:48.573000</t>
  </si>
  <si>
    <t>PASE OUR 105</t>
  </si>
  <si>
    <t>01:34:52.922000</t>
  </si>
  <si>
    <t>01:34:49.922000</t>
  </si>
  <si>
    <t>01:34:53.922000</t>
  </si>
  <si>
    <t>PASE OUR 106</t>
  </si>
  <si>
    <t>01:34:53.818000</t>
  </si>
  <si>
    <t>01:34:50.818000</t>
  </si>
  <si>
    <t>01:34:54.818000</t>
  </si>
  <si>
    <t>PASE OUR 107</t>
  </si>
  <si>
    <t>01:35:16.971000</t>
  </si>
  <si>
    <t>01:35:13.971000</t>
  </si>
  <si>
    <t>01:35:17.971000</t>
  </si>
  <si>
    <t>PASE OUR 108</t>
  </si>
  <si>
    <t>01:35:22.137000</t>
  </si>
  <si>
    <t>01:35:19.137000</t>
  </si>
  <si>
    <t>01:35:23.137000</t>
  </si>
  <si>
    <t>PASE OUR 109</t>
  </si>
  <si>
    <t>01:37:23.447000</t>
  </si>
  <si>
    <t>01:37:20.447000</t>
  </si>
  <si>
    <t>01:37:24.447000</t>
  </si>
  <si>
    <t>PASE OUR 110</t>
  </si>
  <si>
    <t>01:37:25.354000</t>
  </si>
  <si>
    <t>01:37:22.354000</t>
  </si>
  <si>
    <t>01:37:26.354000</t>
  </si>
  <si>
    <t>PASE OUR 111</t>
  </si>
  <si>
    <t>01:37:32.780000</t>
  </si>
  <si>
    <t>01:37:29.780000</t>
  </si>
  <si>
    <t>01:37:33.780000</t>
  </si>
  <si>
    <t>PASE OUR 112</t>
  </si>
  <si>
    <t>01:37:34.303000</t>
  </si>
  <si>
    <t>01:37:31.303000</t>
  </si>
  <si>
    <t>01:37:35.303000</t>
  </si>
  <si>
    <t>PASE OUR 113</t>
  </si>
  <si>
    <t>01:37:35.320000</t>
  </si>
  <si>
    <t>01:37:32.320000</t>
  </si>
  <si>
    <t>01:37:36.320000</t>
  </si>
  <si>
    <t>PASE OUR 114</t>
  </si>
  <si>
    <t>01:38:40.202000</t>
  </si>
  <si>
    <t>01:38:37.202000</t>
  </si>
  <si>
    <t>01:38:41.202000</t>
  </si>
  <si>
    <t>PASE OUR 115</t>
  </si>
  <si>
    <t>01:38:42.130000</t>
  </si>
  <si>
    <t>01:38:39.130000</t>
  </si>
  <si>
    <t>01:38:43.130000</t>
  </si>
  <si>
    <t>PASE OUR 116</t>
  </si>
  <si>
    <t>01:39:23.828000</t>
  </si>
  <si>
    <t>01:39:20.828000</t>
  </si>
  <si>
    <t>01:39:24.828000</t>
  </si>
  <si>
    <t>PASE OUR 117</t>
  </si>
  <si>
    <t>01:39:29.039000</t>
  </si>
  <si>
    <t>01:39:26.039000</t>
  </si>
  <si>
    <t>01:39:30.039000</t>
  </si>
  <si>
    <t>PASE OUR 118</t>
  </si>
  <si>
    <t>01:41:41.633000</t>
  </si>
  <si>
    <t>01:41:38.633000</t>
  </si>
  <si>
    <t>01:41:42.633000</t>
  </si>
  <si>
    <t>PASE OUR 119</t>
  </si>
  <si>
    <t>01:41:42.339000</t>
  </si>
  <si>
    <t>01:41:39.339000</t>
  </si>
  <si>
    <t>01:41:43.339000</t>
  </si>
  <si>
    <t>PASE OUR 120</t>
  </si>
  <si>
    <t>01:42:14.253000</t>
  </si>
  <si>
    <t>01:42:11.253000</t>
  </si>
  <si>
    <t>01:42:15.253000</t>
  </si>
  <si>
    <t>PASE OUR 121</t>
  </si>
  <si>
    <t>01:42:15.684000</t>
  </si>
  <si>
    <t>01:42:12.684000</t>
  </si>
  <si>
    <t>01:42:16.684000</t>
  </si>
  <si>
    <t>PASE OUR 122</t>
  </si>
  <si>
    <t>01:42:20.075000</t>
  </si>
  <si>
    <t>01:42:17.075000</t>
  </si>
  <si>
    <t>01:42:21.075000</t>
  </si>
  <si>
    <t>PASE OUR 123</t>
  </si>
  <si>
    <t>01:43:51.232000</t>
  </si>
  <si>
    <t>01:43:48.232000</t>
  </si>
  <si>
    <t>01:43:52.232000</t>
  </si>
  <si>
    <t>PASE OUR 124</t>
  </si>
  <si>
    <t>01:44:03.668000</t>
  </si>
  <si>
    <t>01:44:00.668000</t>
  </si>
  <si>
    <t>01:44:04.668000</t>
  </si>
  <si>
    <t>PASE OUR 125</t>
  </si>
  <si>
    <t>01:44:04.944000</t>
  </si>
  <si>
    <t>01:44:01.944000</t>
  </si>
  <si>
    <t>01:44:05.944000</t>
  </si>
  <si>
    <t>PASE OUR 126</t>
  </si>
  <si>
    <t>01:44:12.843000</t>
  </si>
  <si>
    <t>01:44:09.843000</t>
  </si>
  <si>
    <t>01:44:13.843000</t>
  </si>
  <si>
    <t>PASE OUR 127</t>
  </si>
  <si>
    <t>01:44:13.806000</t>
  </si>
  <si>
    <t>01:44:10.806000</t>
  </si>
  <si>
    <t>01:44:14.806000</t>
  </si>
  <si>
    <t>PASE OUR 128</t>
  </si>
  <si>
    <t>01:44:21.306000</t>
  </si>
  <si>
    <t>01:44:18.306000</t>
  </si>
  <si>
    <t>01:44:22.306000</t>
  </si>
  <si>
    <t>PASE OUR 129</t>
  </si>
  <si>
    <t>01:44:22.762000</t>
  </si>
  <si>
    <t>01:44:19.762000</t>
  </si>
  <si>
    <t>01:44:23.762000</t>
  </si>
  <si>
    <t>PASE OUR 130</t>
  </si>
  <si>
    <t>01:44:24.396000</t>
  </si>
  <si>
    <t>01:44:21.396000</t>
  </si>
  <si>
    <t>01:44:25.396000</t>
  </si>
  <si>
    <t>PASE OUR 131</t>
  </si>
  <si>
    <t>01:46:53.539000</t>
  </si>
  <si>
    <t>01:46:50.539000</t>
  </si>
  <si>
    <t>01:46:54.539000</t>
  </si>
  <si>
    <t>PASE OUR 132</t>
  </si>
  <si>
    <t>01:46:55.645000</t>
  </si>
  <si>
    <t>01:46:52.645000</t>
  </si>
  <si>
    <t>01:46:56.645000</t>
  </si>
  <si>
    <t>PASE OUR 133</t>
  </si>
  <si>
    <t>01:51:31.792000</t>
  </si>
  <si>
    <t>01:51:28.792000</t>
  </si>
  <si>
    <t>01:51:32.792000</t>
  </si>
  <si>
    <t>PASE OUR 134</t>
  </si>
  <si>
    <t>01:51:40.059000</t>
  </si>
  <si>
    <t>01:51:37.059000</t>
  </si>
  <si>
    <t>01:51:41.059000</t>
  </si>
  <si>
    <t>PASE OUR 135</t>
  </si>
  <si>
    <t>01:54:01.991000</t>
  </si>
  <si>
    <t>01:53:58.991000</t>
  </si>
  <si>
    <t>01:54:02.991000</t>
  </si>
  <si>
    <t>PASE OUR 136</t>
  </si>
  <si>
    <t>01:54:38.637000</t>
  </si>
  <si>
    <t>01:54:35.637000</t>
  </si>
  <si>
    <t>01:54:39.637000</t>
  </si>
  <si>
    <t>PASE OUR 137</t>
  </si>
  <si>
    <t>01:54:40.042000</t>
  </si>
  <si>
    <t>01:54:37.042000</t>
  </si>
  <si>
    <t>01:54:41.042000</t>
  </si>
  <si>
    <t>PASE OPP 001</t>
  </si>
  <si>
    <t>00:08:20.884000</t>
  </si>
  <si>
    <t>00:08:17.884000</t>
  </si>
  <si>
    <t>00:08:21.884000</t>
  </si>
  <si>
    <t>PASE OPP 002</t>
  </si>
  <si>
    <t>00:10:25.394000</t>
  </si>
  <si>
    <t>00:10:22.394000</t>
  </si>
  <si>
    <t>00:10:26.394000</t>
  </si>
  <si>
    <t>PASE OPP 003</t>
  </si>
  <si>
    <t>00:10:37.886000</t>
  </si>
  <si>
    <t>00:10:34.886000</t>
  </si>
  <si>
    <t>00:10:38.886000</t>
  </si>
  <si>
    <t>PASE OPP 004</t>
  </si>
  <si>
    <t>00:10:39.315000</t>
  </si>
  <si>
    <t>00:10:36.315000</t>
  </si>
  <si>
    <t>00:10:40.315000</t>
  </si>
  <si>
    <t>PASE OPP 005</t>
  </si>
  <si>
    <t>00:11:44.732000</t>
  </si>
  <si>
    <t>00:11:41.732000</t>
  </si>
  <si>
    <t>00:11:45.732000</t>
  </si>
  <si>
    <t>PASE OPP 006</t>
  </si>
  <si>
    <t>00:11:50.415000</t>
  </si>
  <si>
    <t>00:11:47.415000</t>
  </si>
  <si>
    <t>00:11:51.415000</t>
  </si>
  <si>
    <t>PASE OPP 007</t>
  </si>
  <si>
    <t>00:11:54.193000</t>
  </si>
  <si>
    <t>00:11:51.193000</t>
  </si>
  <si>
    <t>00:11:55.193000</t>
  </si>
  <si>
    <t>PASE OPP 008</t>
  </si>
  <si>
    <t>00:11:56.049000</t>
  </si>
  <si>
    <t>00:11:53.049000</t>
  </si>
  <si>
    <t>00:11:57.049000</t>
  </si>
  <si>
    <t>PASE OPP 009</t>
  </si>
  <si>
    <t>00:12:00.282000</t>
  </si>
  <si>
    <t>00:11:57.282000</t>
  </si>
  <si>
    <t>00:12:01.282000</t>
  </si>
  <si>
    <t>PASE OPP 010</t>
  </si>
  <si>
    <t>00:12:01.160000</t>
  </si>
  <si>
    <t>00:11:58.160000</t>
  </si>
  <si>
    <t>00:12:02.160000</t>
  </si>
  <si>
    <t>PASE OPP 011</t>
  </si>
  <si>
    <t>00:12:07.261000</t>
  </si>
  <si>
    <t>00:12:04.261000</t>
  </si>
  <si>
    <t>00:12:08.261000</t>
  </si>
  <si>
    <t>PASE OPP 012</t>
  </si>
  <si>
    <t>00:12:11.660000</t>
  </si>
  <si>
    <t>00:12:08.660000</t>
  </si>
  <si>
    <t>00:12:12.660000</t>
  </si>
  <si>
    <t>PASE OPP 013</t>
  </si>
  <si>
    <t>00:12:13.819000</t>
  </si>
  <si>
    <t>00:12:10.819000</t>
  </si>
  <si>
    <t>00:12:14.819000</t>
  </si>
  <si>
    <t>PASE OPP 014</t>
  </si>
  <si>
    <t>00:13:13.326000</t>
  </si>
  <si>
    <t>00:13:10.326000</t>
  </si>
  <si>
    <t>00:13:14.326000</t>
  </si>
  <si>
    <t>PASE OPP 015</t>
  </si>
  <si>
    <t>00:13:20.892000</t>
  </si>
  <si>
    <t>00:13:17.892000</t>
  </si>
  <si>
    <t>00:13:21.892000</t>
  </si>
  <si>
    <t>PASE OPP 016</t>
  </si>
  <si>
    <t>PASE OPP 017</t>
  </si>
  <si>
    <t>00:22:53.971000</t>
  </si>
  <si>
    <t>00:22:50.971000</t>
  </si>
  <si>
    <t>00:22:54.971000</t>
  </si>
  <si>
    <t>PASE OPP 018</t>
  </si>
  <si>
    <t>00:22:56.136000</t>
  </si>
  <si>
    <t>00:22:53.136000</t>
  </si>
  <si>
    <t>00:22:57.136000</t>
  </si>
  <si>
    <t>PASE OPP 019</t>
  </si>
  <si>
    <t>00:22:57.743000</t>
  </si>
  <si>
    <t>00:22:54.743000</t>
  </si>
  <si>
    <t>00:22:58.743000</t>
  </si>
  <si>
    <t>PASE OPP 020</t>
  </si>
  <si>
    <t>00:23:00.646000</t>
  </si>
  <si>
    <t>00:22:57.646000</t>
  </si>
  <si>
    <t>00:23:01.646000</t>
  </si>
  <si>
    <t>PASE OPP 021</t>
  </si>
  <si>
    <t>00:24:57.608000</t>
  </si>
  <si>
    <t>00:24:54.608000</t>
  </si>
  <si>
    <t>00:24:58.608000</t>
  </si>
  <si>
    <t>PASE OPP 022</t>
  </si>
  <si>
    <t>00:25:02.734000</t>
  </si>
  <si>
    <t>00:24:59.734000</t>
  </si>
  <si>
    <t>00:25:03.734000</t>
  </si>
  <si>
    <t>PASE OPP 023</t>
  </si>
  <si>
    <t>00:25:10.269000</t>
  </si>
  <si>
    <t>00:25:07.269000</t>
  </si>
  <si>
    <t>00:25:11.269000</t>
  </si>
  <si>
    <t>PASE OPP 024</t>
  </si>
  <si>
    <t>00:27:24.222000</t>
  </si>
  <si>
    <t>00:27:21.222000</t>
  </si>
  <si>
    <t>00:27:25.222000</t>
  </si>
  <si>
    <t>PASE OPP 025</t>
  </si>
  <si>
    <t>00:27:25.184000</t>
  </si>
  <si>
    <t>00:27:22.184000</t>
  </si>
  <si>
    <t>00:27:26.184000</t>
  </si>
  <si>
    <t>PASE OPP 026</t>
  </si>
  <si>
    <t>00:28:41.283000</t>
  </si>
  <si>
    <t>00:28:38.283000</t>
  </si>
  <si>
    <t>00:28:42.283000</t>
  </si>
  <si>
    <t>PASE OPP 027</t>
  </si>
  <si>
    <t>00:28:45.757000</t>
  </si>
  <si>
    <t>00:28:42.757000</t>
  </si>
  <si>
    <t>00:28:46.757000</t>
  </si>
  <si>
    <t>PASE OPP 028</t>
  </si>
  <si>
    <t>00:28:49.235000</t>
  </si>
  <si>
    <t>00:28:46.235000</t>
  </si>
  <si>
    <t>00:28:50.235000</t>
  </si>
  <si>
    <t>PASE OPP 029</t>
  </si>
  <si>
    <t>00:28:50.197000</t>
  </si>
  <si>
    <t>00:28:47.197000</t>
  </si>
  <si>
    <t>00:28:51.197000</t>
  </si>
  <si>
    <t>PASE OPP 030</t>
  </si>
  <si>
    <t>00:28:58.058000</t>
  </si>
  <si>
    <t>00:28:55.058000</t>
  </si>
  <si>
    <t>00:28:59.058000</t>
  </si>
  <si>
    <t>PASE OPP 031</t>
  </si>
  <si>
    <t>00:29:46.883000</t>
  </si>
  <si>
    <t>00:29:43.883000</t>
  </si>
  <si>
    <t>00:29:47.883000</t>
  </si>
  <si>
    <t>PASE OPP 032</t>
  </si>
  <si>
    <t>00:35:48.267000</t>
  </si>
  <si>
    <t>00:35:45.267000</t>
  </si>
  <si>
    <t>00:35:49.267000</t>
  </si>
  <si>
    <t>PASE OPP 033</t>
  </si>
  <si>
    <t>00:35:49.351000</t>
  </si>
  <si>
    <t>00:35:46.351000</t>
  </si>
  <si>
    <t>00:35:50.351000</t>
  </si>
  <si>
    <t>PASE OPP 034</t>
  </si>
  <si>
    <t>00:35:50.801000</t>
  </si>
  <si>
    <t>00:35:47.801000</t>
  </si>
  <si>
    <t>00:35:51.801000</t>
  </si>
  <si>
    <t>PASE OPP 035</t>
  </si>
  <si>
    <t>00:35:56.117000</t>
  </si>
  <si>
    <t>00:35:53.117000</t>
  </si>
  <si>
    <t>00:35:57.117000</t>
  </si>
  <si>
    <t>PASE OPP 036</t>
  </si>
  <si>
    <t>00:35:56.918000</t>
  </si>
  <si>
    <t>00:35:53.918000</t>
  </si>
  <si>
    <t>00:35:57.918000</t>
  </si>
  <si>
    <t>PASE OPP 037</t>
  </si>
  <si>
    <t>00:37:00.949000</t>
  </si>
  <si>
    <t>00:36:57.949000</t>
  </si>
  <si>
    <t>00:37:01.949000</t>
  </si>
  <si>
    <t>PASE OPP 038</t>
  </si>
  <si>
    <t>00:37:02.211000</t>
  </si>
  <si>
    <t>00:36:59.211000</t>
  </si>
  <si>
    <t>00:37:03.211000</t>
  </si>
  <si>
    <t>PASE OPP 039</t>
  </si>
  <si>
    <t>00:37:04.444000</t>
  </si>
  <si>
    <t>00:37:01.444000</t>
  </si>
  <si>
    <t>00:37:05.444000</t>
  </si>
  <si>
    <t>PASE OPP 040</t>
  </si>
  <si>
    <t>00:37:12.085000</t>
  </si>
  <si>
    <t>00:37:09.085000</t>
  </si>
  <si>
    <t>00:37:13.085000</t>
  </si>
  <si>
    <t>PASE OPP 041</t>
  </si>
  <si>
    <t>00:37:15.547000</t>
  </si>
  <si>
    <t>00:37:12.547000</t>
  </si>
  <si>
    <t>00:37:16.547000</t>
  </si>
  <si>
    <t>PASE OPP 042</t>
  </si>
  <si>
    <t>00:37:18.186000</t>
  </si>
  <si>
    <t>00:37:15.186000</t>
  </si>
  <si>
    <t>00:37:19.186000</t>
  </si>
  <si>
    <t>PASE OPP 043</t>
  </si>
  <si>
    <t>00:37:19.343000</t>
  </si>
  <si>
    <t>00:37:16.343000</t>
  </si>
  <si>
    <t>00:37:20.343000</t>
  </si>
  <si>
    <t>PASE OPP 044</t>
  </si>
  <si>
    <t>00:37:22.292000</t>
  </si>
  <si>
    <t>00:37:19.292000</t>
  </si>
  <si>
    <t>00:37:23.292000</t>
  </si>
  <si>
    <t>PASE OPP 045</t>
  </si>
  <si>
    <t>00:37:23.968000</t>
  </si>
  <si>
    <t>00:37:20.968000</t>
  </si>
  <si>
    <t>00:37:24.968000</t>
  </si>
  <si>
    <t>PASE OPP 046</t>
  </si>
  <si>
    <t>00:37:30.601000</t>
  </si>
  <si>
    <t>00:37:27.601000</t>
  </si>
  <si>
    <t>00:37:31.601000</t>
  </si>
  <si>
    <t>PASE OPP 047</t>
  </si>
  <si>
    <t>00:37:37.201000</t>
  </si>
  <si>
    <t>00:37:34.201000</t>
  </si>
  <si>
    <t>00:37:38.201000</t>
  </si>
  <si>
    <t>PASE OPP 048</t>
  </si>
  <si>
    <t>00:37:50.775000</t>
  </si>
  <si>
    <t>00:37:47.775000</t>
  </si>
  <si>
    <t>00:37:51.775000</t>
  </si>
  <si>
    <t>PASE OPP 049</t>
  </si>
  <si>
    <t>00:37:56.970000</t>
  </si>
  <si>
    <t>00:37:53.970000</t>
  </si>
  <si>
    <t>00:37:57.970000</t>
  </si>
  <si>
    <t>PASE OPP 050</t>
  </si>
  <si>
    <t>00:37:58.028000</t>
  </si>
  <si>
    <t>00:37:55.028000</t>
  </si>
  <si>
    <t>00:37:59.028000</t>
  </si>
  <si>
    <t>PASE OPP 051</t>
  </si>
  <si>
    <t>00:37:59.119000</t>
  </si>
  <si>
    <t>00:37:56.119000</t>
  </si>
  <si>
    <t>00:38:00.119000</t>
  </si>
  <si>
    <t>PASE OPP 052</t>
  </si>
  <si>
    <t>00:38:05.808000</t>
  </si>
  <si>
    <t>00:38:02.808000</t>
  </si>
  <si>
    <t>00:38:06.808000</t>
  </si>
  <si>
    <t>PASE OPP 053</t>
  </si>
  <si>
    <t>00:42:50.404000</t>
  </si>
  <si>
    <t>00:42:47.404000</t>
  </si>
  <si>
    <t>00:42:51.404000</t>
  </si>
  <si>
    <t>PASE OPP 054</t>
  </si>
  <si>
    <t>00:42:56.406000</t>
  </si>
  <si>
    <t>00:42:53.406000</t>
  </si>
  <si>
    <t>00:42:57.406000</t>
  </si>
  <si>
    <t>PASE OPP 055</t>
  </si>
  <si>
    <t>00:42:57.242000</t>
  </si>
  <si>
    <t>00:42:54.242000</t>
  </si>
  <si>
    <t>00:42:58.242000</t>
  </si>
  <si>
    <t>PASE OPP 056</t>
  </si>
  <si>
    <t>00:42:58.376000</t>
  </si>
  <si>
    <t>00:42:55.376000</t>
  </si>
  <si>
    <t>00:42:59.376000</t>
  </si>
  <si>
    <t>PASE OPP 057</t>
  </si>
  <si>
    <t>00:43:05.187000</t>
  </si>
  <si>
    <t>00:43:02.187000</t>
  </si>
  <si>
    <t>00:43:06.187000</t>
  </si>
  <si>
    <t>PASE OPP 058</t>
  </si>
  <si>
    <t>00:43:12.124000</t>
  </si>
  <si>
    <t>00:43:09.124000</t>
  </si>
  <si>
    <t>00:43:13.124000</t>
  </si>
  <si>
    <t>PASE OPP 059</t>
  </si>
  <si>
    <t>00:43:12.592000</t>
  </si>
  <si>
    <t>00:43:09.592000</t>
  </si>
  <si>
    <t>00:43:13.592000</t>
  </si>
  <si>
    <t>PASE OPP 060</t>
  </si>
  <si>
    <t>00:47:17.067000</t>
  </si>
  <si>
    <t>00:47:14.067000</t>
  </si>
  <si>
    <t>00:47:18.067000</t>
  </si>
  <si>
    <t>PASE OPP 061</t>
  </si>
  <si>
    <t>00:48:32.717000</t>
  </si>
  <si>
    <t>00:48:29.717000</t>
  </si>
  <si>
    <t>00:48:33.717000</t>
  </si>
  <si>
    <t>PASE OPP 062</t>
  </si>
  <si>
    <t>00:48:34.157000</t>
  </si>
  <si>
    <t>00:48:31.157000</t>
  </si>
  <si>
    <t>00:48:35.157000</t>
  </si>
  <si>
    <t>PASE OPP 063</t>
  </si>
  <si>
    <t>00:52:26.314000</t>
  </si>
  <si>
    <t>00:52:23.314000</t>
  </si>
  <si>
    <t>00:52:27.314000</t>
  </si>
  <si>
    <t>PASE OPP 064</t>
  </si>
  <si>
    <t>00:52:47.325000</t>
  </si>
  <si>
    <t>00:52:44.325000</t>
  </si>
  <si>
    <t>00:52:48.325000</t>
  </si>
  <si>
    <t>PASE OPP 065</t>
  </si>
  <si>
    <t>00:52:52.388000</t>
  </si>
  <si>
    <t>00:52:49.388000</t>
  </si>
  <si>
    <t>00:52:53.388000</t>
  </si>
  <si>
    <t>PASE OPP 066</t>
  </si>
  <si>
    <t>01:08:23.217000</t>
  </si>
  <si>
    <t>01:08:20.217000</t>
  </si>
  <si>
    <t>01:08:24.217000</t>
  </si>
  <si>
    <t>PASE OPP 067</t>
  </si>
  <si>
    <t>01:08:23.865000</t>
  </si>
  <si>
    <t>01:08:20.865000</t>
  </si>
  <si>
    <t>01:08:24.865000</t>
  </si>
  <si>
    <t>PASE OPP 068</t>
  </si>
  <si>
    <t>01:08:26.390000</t>
  </si>
  <si>
    <t>01:08:23.390000</t>
  </si>
  <si>
    <t>01:08:27.390000</t>
  </si>
  <si>
    <t>PASE OPP 069</t>
  </si>
  <si>
    <t>01:10:13.682000</t>
  </si>
  <si>
    <t>01:10:10.682000</t>
  </si>
  <si>
    <t>01:10:14.682000</t>
  </si>
  <si>
    <t>PASE OPP 070</t>
  </si>
  <si>
    <t>01:10:27.111000</t>
  </si>
  <si>
    <t>01:10:24.111000</t>
  </si>
  <si>
    <t>01:10:28.111000</t>
  </si>
  <si>
    <t>PASE OPP 071</t>
  </si>
  <si>
    <t>01:12:14.975000</t>
  </si>
  <si>
    <t>01:12:11.975000</t>
  </si>
  <si>
    <t>01:12:15.975000</t>
  </si>
  <si>
    <t>PASE OPP 072</t>
  </si>
  <si>
    <t>01:14:20.243000</t>
  </si>
  <si>
    <t>01:14:17.243000</t>
  </si>
  <si>
    <t>01:14:21.243000</t>
  </si>
  <si>
    <t>PASE OPP 073</t>
  </si>
  <si>
    <t>01:14:21.121000</t>
  </si>
  <si>
    <t>01:14:18.121000</t>
  </si>
  <si>
    <t>01:14:22.121000</t>
  </si>
  <si>
    <t>PASE OPP 074</t>
  </si>
  <si>
    <t>01:14:22.794000</t>
  </si>
  <si>
    <t>01:14:19.794000</t>
  </si>
  <si>
    <t>01:14:23.794000</t>
  </si>
  <si>
    <t>PASE OPP 075</t>
  </si>
  <si>
    <t>01:14:23.106000</t>
  </si>
  <si>
    <t>01:14:20.106000</t>
  </si>
  <si>
    <t>01:14:24.106000</t>
  </si>
  <si>
    <t>PASE OPP 076</t>
  </si>
  <si>
    <t>01:14:26.111000</t>
  </si>
  <si>
    <t>01:14:23.111000</t>
  </si>
  <si>
    <t>01:14:27.111000</t>
  </si>
  <si>
    <t>PASE OPP 077</t>
  </si>
  <si>
    <t>01:19:31.405000</t>
  </si>
  <si>
    <t>01:19:28.405000</t>
  </si>
  <si>
    <t>01:19:32.405000</t>
  </si>
  <si>
    <t>PASE OPP 078</t>
  </si>
  <si>
    <t>01:19:34.546000</t>
  </si>
  <si>
    <t>01:19:31.546000</t>
  </si>
  <si>
    <t>01:19:35.546000</t>
  </si>
  <si>
    <t>PASE OPP 079</t>
  </si>
  <si>
    <t>01:19:35.313000</t>
  </si>
  <si>
    <t>01:19:32.313000</t>
  </si>
  <si>
    <t>01:19:36.313000</t>
  </si>
  <si>
    <t>PASE OPP 080</t>
  </si>
  <si>
    <t>01:19:36.615000</t>
  </si>
  <si>
    <t>01:19:33.615000</t>
  </si>
  <si>
    <t>01:19:37.615000</t>
  </si>
  <si>
    <t>PASE OPP 081</t>
  </si>
  <si>
    <t>01:22:34.200000</t>
  </si>
  <si>
    <t>01:22:31.200000</t>
  </si>
  <si>
    <t>01:22:35.200000</t>
  </si>
  <si>
    <t>PASE OPP 082</t>
  </si>
  <si>
    <t>01:22:36.348000</t>
  </si>
  <si>
    <t>01:22:33.348000</t>
  </si>
  <si>
    <t>01:22:37.348000</t>
  </si>
  <si>
    <t>PASE OPP 083</t>
  </si>
  <si>
    <t>01:22:37.747000</t>
  </si>
  <si>
    <t>01:22:34.747000</t>
  </si>
  <si>
    <t>01:22:38.747000</t>
  </si>
  <si>
    <t>PASE OPP 084</t>
  </si>
  <si>
    <t>01:22:52.361000</t>
  </si>
  <si>
    <t>01:22:49.361000</t>
  </si>
  <si>
    <t>01:22:53.361000</t>
  </si>
  <si>
    <t>PASE OPP 085</t>
  </si>
  <si>
    <t>01:23:11.439000</t>
  </si>
  <si>
    <t>01:23:08.439000</t>
  </si>
  <si>
    <t>01:23:12.439000</t>
  </si>
  <si>
    <t>PASE OPP 086</t>
  </si>
  <si>
    <t>01:24:59.209000</t>
  </si>
  <si>
    <t>01:24:56.209000</t>
  </si>
  <si>
    <t>01:25:00.209000</t>
  </si>
  <si>
    <t>PASE OPP 087</t>
  </si>
  <si>
    <t>01:25:05.862000</t>
  </si>
  <si>
    <t>01:25:02.862000</t>
  </si>
  <si>
    <t>01:25:06.862000</t>
  </si>
  <si>
    <t>PASE OPP 088</t>
  </si>
  <si>
    <t>01:25:17.856000</t>
  </si>
  <si>
    <t>01:25:14.856000</t>
  </si>
  <si>
    <t>01:25:18.856000</t>
  </si>
  <si>
    <t>PASE OPP 089</t>
  </si>
  <si>
    <t>01:25:26.753000</t>
  </si>
  <si>
    <t>01:25:23.753000</t>
  </si>
  <si>
    <t>01:25:27.753000</t>
  </si>
  <si>
    <t>PASE OPP 090</t>
  </si>
  <si>
    <t>01:25:28.569000</t>
  </si>
  <si>
    <t>01:25:25.569000</t>
  </si>
  <si>
    <t>01:25:29.569000</t>
  </si>
  <si>
    <t>PASE OPP 091</t>
  </si>
  <si>
    <t>01:25:36.903000</t>
  </si>
  <si>
    <t>01:25:33.903000</t>
  </si>
  <si>
    <t>01:25:37.903000</t>
  </si>
  <si>
    <t>PASE OPP 092</t>
  </si>
  <si>
    <t>01:25:57.588000</t>
  </si>
  <si>
    <t>01:25:54.588000</t>
  </si>
  <si>
    <t>01:25:58.588000</t>
  </si>
  <si>
    <t>PASE OPP 093</t>
  </si>
  <si>
    <t>01:25:58.989000</t>
  </si>
  <si>
    <t>01:25:55.989000</t>
  </si>
  <si>
    <t>01:25:59.989000</t>
  </si>
  <si>
    <t>PASE OPP 094</t>
  </si>
  <si>
    <t>01:26:00.197000</t>
  </si>
  <si>
    <t>01:25:57.197000</t>
  </si>
  <si>
    <t>01:26:01.197000</t>
  </si>
  <si>
    <t>PASE OPP 095</t>
  </si>
  <si>
    <t>01:29:07.255000</t>
  </si>
  <si>
    <t>01:29:04.255000</t>
  </si>
  <si>
    <t>01:29:08.255000</t>
  </si>
  <si>
    <t>PASE OPP 096</t>
  </si>
  <si>
    <t>01:29:08.574000</t>
  </si>
  <si>
    <t>01:29:05.574000</t>
  </si>
  <si>
    <t>01:29:09.574000</t>
  </si>
  <si>
    <t>PASE OPP 097</t>
  </si>
  <si>
    <t>01:29:10.339000</t>
  </si>
  <si>
    <t>01:29:07.339000</t>
  </si>
  <si>
    <t>01:29:11.339000</t>
  </si>
  <si>
    <t>PASE OPP 098</t>
  </si>
  <si>
    <t>01:29:16.140000</t>
  </si>
  <si>
    <t>01:29:13.140000</t>
  </si>
  <si>
    <t>01:29:17.140000</t>
  </si>
  <si>
    <t>PASE OPP 099</t>
  </si>
  <si>
    <t>01:31:04.019000</t>
  </si>
  <si>
    <t>01:31:01.019000</t>
  </si>
  <si>
    <t>01:31:05.019000</t>
  </si>
  <si>
    <t>PASE OPP 100</t>
  </si>
  <si>
    <t>01:31:09.537000</t>
  </si>
  <si>
    <t>01:31:06.537000</t>
  </si>
  <si>
    <t>01:31:10.537000</t>
  </si>
  <si>
    <t>PASE OPP 101</t>
  </si>
  <si>
    <t>01:33:43.853000</t>
  </si>
  <si>
    <t>01:33:40.853000</t>
  </si>
  <si>
    <t>01:33:44.853000</t>
  </si>
  <si>
    <t>PASE OPP 102</t>
  </si>
  <si>
    <t>01:33:45.659000</t>
  </si>
  <si>
    <t>01:33:42.659000</t>
  </si>
  <si>
    <t>01:33:46.659000</t>
  </si>
  <si>
    <t>PASE OPP 103</t>
  </si>
  <si>
    <t>01:33:46.693000</t>
  </si>
  <si>
    <t>01:33:43.693000</t>
  </si>
  <si>
    <t>01:33:47.693000</t>
  </si>
  <si>
    <t>PASE OPP 104</t>
  </si>
  <si>
    <t>01:33:48.422000</t>
  </si>
  <si>
    <t>01:33:45.422000</t>
  </si>
  <si>
    <t>01:33:49.422000</t>
  </si>
  <si>
    <t>PASE OPP 105</t>
  </si>
  <si>
    <t>01:34:57.318000</t>
  </si>
  <si>
    <t>01:34:54.318000</t>
  </si>
  <si>
    <t>01:34:58.318000</t>
  </si>
  <si>
    <t>PASE OPP 106</t>
  </si>
  <si>
    <t>01:35:04.493000</t>
  </si>
  <si>
    <t>01:35:01.493000</t>
  </si>
  <si>
    <t>01:35:05.493000</t>
  </si>
  <si>
    <t>PASE OPP 107</t>
  </si>
  <si>
    <t>01:35:29.210000</t>
  </si>
  <si>
    <t>01:35:26.210000</t>
  </si>
  <si>
    <t>01:35:30.210000</t>
  </si>
  <si>
    <t>PASE OPP 108</t>
  </si>
  <si>
    <t>01:35:32.383000</t>
  </si>
  <si>
    <t>01:35:29.383000</t>
  </si>
  <si>
    <t>01:35:33.383000</t>
  </si>
  <si>
    <t>PASE OPP 109</t>
  </si>
  <si>
    <t>01:38:59.400000</t>
  </si>
  <si>
    <t>01:38:56.400000</t>
  </si>
  <si>
    <t>01:39:00.400000</t>
  </si>
  <si>
    <t>PASE OPP 110</t>
  </si>
  <si>
    <t>01:39:03.147000</t>
  </si>
  <si>
    <t>01:39:00.147000</t>
  </si>
  <si>
    <t>01:39:04.147000</t>
  </si>
  <si>
    <t>PASE OPP 111</t>
  </si>
  <si>
    <t>01:40:43.874000</t>
  </si>
  <si>
    <t>01:40:40.874000</t>
  </si>
  <si>
    <t>01:40:44.874000</t>
  </si>
  <si>
    <t>PASE OPP 112</t>
  </si>
  <si>
    <t>01:40:57.629000</t>
  </si>
  <si>
    <t>01:40:54.629000</t>
  </si>
  <si>
    <t>01:40:58.629000</t>
  </si>
  <si>
    <t>PASE OPP 113</t>
  </si>
  <si>
    <t>01:46:30.040000</t>
  </si>
  <si>
    <t>01:46:27.040000</t>
  </si>
  <si>
    <t>01:46:31.040000</t>
  </si>
  <si>
    <t>PASE OPP 114</t>
  </si>
  <si>
    <t>01:46:33.845000</t>
  </si>
  <si>
    <t>01:46:30.845000</t>
  </si>
  <si>
    <t>01:46:34.845000</t>
  </si>
  <si>
    <t>PASE OPP 115</t>
  </si>
  <si>
    <t>01:46:38.854000</t>
  </si>
  <si>
    <t>01:46:35.854000</t>
  </si>
  <si>
    <t>01:46:39.854000</t>
  </si>
  <si>
    <t>PASE OPP 116</t>
  </si>
  <si>
    <t>01:46:40.016000</t>
  </si>
  <si>
    <t>01:46:37.016000</t>
  </si>
  <si>
    <t>01:46:41.016000</t>
  </si>
  <si>
    <t>PASE OPP 117</t>
  </si>
  <si>
    <t>PASE OPP 118</t>
  </si>
  <si>
    <t>01:47:06.533000</t>
  </si>
  <si>
    <t>01:47:03.533000</t>
  </si>
  <si>
    <t>01:47:07.533000</t>
  </si>
  <si>
    <t>PASE OPP 119</t>
  </si>
  <si>
    <t>01:49:54.579000</t>
  </si>
  <si>
    <t>01:49:51.579000</t>
  </si>
  <si>
    <t>01:49:55.579000</t>
  </si>
  <si>
    <t>PASE OPP 120</t>
  </si>
  <si>
    <t>01:49:58.113000</t>
  </si>
  <si>
    <t>01:49:55.113000</t>
  </si>
  <si>
    <t>01:49:59.113000</t>
  </si>
  <si>
    <t>PASE OPP 121</t>
  </si>
  <si>
    <t>01:50:06.318000</t>
  </si>
  <si>
    <t>01:50:03.318000</t>
  </si>
  <si>
    <t>01:50:07.318000</t>
  </si>
  <si>
    <t>PASE OPP 122</t>
  </si>
  <si>
    <t>01:50:06.715000</t>
  </si>
  <si>
    <t>01:50:03.715000</t>
  </si>
  <si>
    <t>01:50:07.715000</t>
  </si>
  <si>
    <t>PASE OPP 123</t>
  </si>
  <si>
    <t>01:50:07.291000</t>
  </si>
  <si>
    <t>01:50:04.291000</t>
  </si>
  <si>
    <t>01:50:08.291000</t>
  </si>
  <si>
    <t>PASE OPP 124</t>
  </si>
  <si>
    <t>01:50:12.360000</t>
  </si>
  <si>
    <t>01:50:09.360000</t>
  </si>
  <si>
    <t>01:50:13.360000</t>
  </si>
  <si>
    <t>PASE OPP 125</t>
  </si>
  <si>
    <t>01:50:13.974000</t>
  </si>
  <si>
    <t>01:50:10.974000</t>
  </si>
  <si>
    <t>01:50:14.974000</t>
  </si>
  <si>
    <t>PASE OPP 126</t>
  </si>
  <si>
    <t>01:50:18.861000</t>
  </si>
  <si>
    <t>01:50:15.861000</t>
  </si>
  <si>
    <t>01:50:19.861000</t>
  </si>
  <si>
    <t>PASE OPP 127</t>
  </si>
  <si>
    <t>01:50:19.670000</t>
  </si>
  <si>
    <t>01:50:16.670000</t>
  </si>
  <si>
    <t>01:50:20.670000</t>
  </si>
  <si>
    <t>PASE OPP 128</t>
  </si>
  <si>
    <t>01:50:25.946000</t>
  </si>
  <si>
    <t>01:50:22.946000</t>
  </si>
  <si>
    <t>01:50:26.946000</t>
  </si>
  <si>
    <t>PASE OPP 129</t>
  </si>
  <si>
    <t>01:50:34.353000</t>
  </si>
  <si>
    <t>01:50:31.353000</t>
  </si>
  <si>
    <t>01:50:35.353000</t>
  </si>
  <si>
    <t>PASE OPP 130</t>
  </si>
  <si>
    <t>01:50:38.453000</t>
  </si>
  <si>
    <t>01:50:35.453000</t>
  </si>
  <si>
    <t>01:50:39.453000</t>
  </si>
  <si>
    <t>PASE OPP 131</t>
  </si>
  <si>
    <t>01:50:41.143000</t>
  </si>
  <si>
    <t>01:50:38.143000</t>
  </si>
  <si>
    <t>01:50:42.143000</t>
  </si>
  <si>
    <t>PASE OPP 132</t>
  </si>
  <si>
    <t>01:52:02.865000</t>
  </si>
  <si>
    <t>01:51:59.865000</t>
  </si>
  <si>
    <t>01:52:03.865000</t>
  </si>
  <si>
    <t>PASE OPP 133</t>
  </si>
  <si>
    <t>01:52:04.409000</t>
  </si>
  <si>
    <t>01:52:01.409000</t>
  </si>
  <si>
    <t>01:52:05.409000</t>
  </si>
  <si>
    <t>PASE OPP 134</t>
  </si>
  <si>
    <t>01:52:05.202000</t>
  </si>
  <si>
    <t>01:52:02.202000</t>
  </si>
  <si>
    <t>01:52:06.202000</t>
  </si>
  <si>
    <t>PASE OPP 135</t>
  </si>
  <si>
    <t>01:52:08.239000</t>
  </si>
  <si>
    <t>01:52:05.239000</t>
  </si>
  <si>
    <t>01:52:09.239000</t>
  </si>
  <si>
    <t>PASE OPP 136</t>
  </si>
  <si>
    <t>01:52:16.859000</t>
  </si>
  <si>
    <t>01:52:13.859000</t>
  </si>
  <si>
    <t>01:52:17.859000</t>
  </si>
  <si>
    <t>PASE OPP 137</t>
  </si>
  <si>
    <t>01:52:17.794000</t>
  </si>
  <si>
    <t>01:52:14.794000</t>
  </si>
  <si>
    <t>01:52:18.794000</t>
  </si>
  <si>
    <t>PASE OPP 138</t>
  </si>
  <si>
    <t>01:52:23.950000</t>
  </si>
  <si>
    <t>01:52:20.950000</t>
  </si>
  <si>
    <t>01:52:24.950000</t>
  </si>
  <si>
    <t>PASE OPP 139</t>
  </si>
  <si>
    <t>01:52:43.038000</t>
  </si>
  <si>
    <t>01:52:40.038000</t>
  </si>
  <si>
    <t>01:52:44.038000</t>
  </si>
  <si>
    <t>PASE OPP 140</t>
  </si>
  <si>
    <t>01:52:43.677000</t>
  </si>
  <si>
    <t>01:52:40.677000</t>
  </si>
  <si>
    <t>01:52:44.677000</t>
  </si>
  <si>
    <t>PASE OPP 141</t>
  </si>
  <si>
    <t>01:52:50.793000</t>
  </si>
  <si>
    <t>01:52:47.793000</t>
  </si>
  <si>
    <t>01:52:51.793000</t>
  </si>
  <si>
    <t>PASE OPP 142</t>
  </si>
  <si>
    <t>01:52:51.275000</t>
  </si>
  <si>
    <t>01:52:48.275000</t>
  </si>
  <si>
    <t>01:52:52.275000</t>
  </si>
  <si>
    <t>PASE OPP 143</t>
  </si>
  <si>
    <t>01:52:53.875000</t>
  </si>
  <si>
    <t>01:52:50.875000</t>
  </si>
  <si>
    <t>01:52:54.875000</t>
  </si>
  <si>
    <t>PASE OPP 144</t>
  </si>
  <si>
    <t>01:52:59.353000</t>
  </si>
  <si>
    <t>01:52:56.353000</t>
  </si>
  <si>
    <t>01:53:00.353000</t>
  </si>
  <si>
    <t>PASE OPP 145</t>
  </si>
  <si>
    <t>01:54:58.183000</t>
  </si>
  <si>
    <t>01:54:55.183000</t>
  </si>
  <si>
    <t>01:54:59.183000</t>
  </si>
  <si>
    <t>PASE OPP 146</t>
  </si>
  <si>
    <t>01:54:59.857000</t>
  </si>
  <si>
    <t>01:54:56.857000</t>
  </si>
  <si>
    <t>01:55:00.857000</t>
  </si>
  <si>
    <t>PASE OPP 147</t>
  </si>
  <si>
    <t>01:55:01.745000</t>
  </si>
  <si>
    <t>01:54:58.745000</t>
  </si>
  <si>
    <t>01:55:02.745000</t>
  </si>
  <si>
    <t>PASE OPP 148</t>
  </si>
  <si>
    <t>01:55:07.007000</t>
  </si>
  <si>
    <t>01:55:04.007000</t>
  </si>
  <si>
    <t>01:55:08.007000</t>
  </si>
  <si>
    <t>PASE OPP 149</t>
  </si>
  <si>
    <t>01:55:07.855000</t>
  </si>
  <si>
    <t>01:55:04.855000</t>
  </si>
  <si>
    <t>01:55:08.855000</t>
  </si>
  <si>
    <t>PASE OPP 150</t>
  </si>
  <si>
    <t>01:55:14.770000</t>
  </si>
  <si>
    <t>01:55:11.770000</t>
  </si>
  <si>
    <t>01:55:15.770000</t>
  </si>
  <si>
    <t>PASE OPP 151</t>
  </si>
  <si>
    <t>01:55:15.263000</t>
  </si>
  <si>
    <t>01:55:12.263000</t>
  </si>
  <si>
    <t>01:55:16.263000</t>
  </si>
  <si>
    <t>PASE OPP 152</t>
  </si>
  <si>
    <t>01:55:20.709000</t>
  </si>
  <si>
    <t>01:55:17.709000</t>
  </si>
  <si>
    <t>01:55:21.709000</t>
  </si>
  <si>
    <t>PASE OPP 153</t>
  </si>
  <si>
    <t>01:55:36.196000</t>
  </si>
  <si>
    <t>01:55:33.196000</t>
  </si>
  <si>
    <t>01:55:37.196000</t>
  </si>
  <si>
    <t>00:06:28.102000</t>
  </si>
  <si>
    <t>00:06:25.102000</t>
  </si>
  <si>
    <t>00:06:29.102000</t>
  </si>
  <si>
    <t>00:11:13.571000</t>
  </si>
  <si>
    <t>00:11:10.571000</t>
  </si>
  <si>
    <t>00:11:14.571000</t>
  </si>
  <si>
    <t>00:11:45.960000</t>
  </si>
  <si>
    <t>00:11:42.960000</t>
  </si>
  <si>
    <t>00:11:46.960000</t>
  </si>
  <si>
    <t>00:11:55.678000</t>
  </si>
  <si>
    <t>00:11:52.678000</t>
  </si>
  <si>
    <t>00:11:56.678000</t>
  </si>
  <si>
    <t>00:12:49.359000</t>
  </si>
  <si>
    <t>00:12:46.359000</t>
  </si>
  <si>
    <t>00:12:50.359000</t>
  </si>
  <si>
    <t>00:12:57.351000</t>
  </si>
  <si>
    <t>00:12:54.351000</t>
  </si>
  <si>
    <t>00:12:58.351000</t>
  </si>
  <si>
    <t>00:13:16.497000</t>
  </si>
  <si>
    <t>00:13:13.497000</t>
  </si>
  <si>
    <t>00:13:17.497000</t>
  </si>
  <si>
    <t>00:13:18.311000</t>
  </si>
  <si>
    <t>00:13:15.311000</t>
  </si>
  <si>
    <t>00:13:19.311000</t>
  </si>
  <si>
    <t>00:13:23.636000</t>
  </si>
  <si>
    <t>00:13:20.636000</t>
  </si>
  <si>
    <t>00:13:24.636000</t>
  </si>
  <si>
    <t>00:17:31.925000</t>
  </si>
  <si>
    <t>00:17:28.925000</t>
  </si>
  <si>
    <t>00:17:32.925000</t>
  </si>
  <si>
    <t>00:17:33.866000</t>
  </si>
  <si>
    <t>00:17:30.866000</t>
  </si>
  <si>
    <t>00:17:34.866000</t>
  </si>
  <si>
    <t>00:17:40.983000</t>
  </si>
  <si>
    <t>00:17:37.983000</t>
  </si>
  <si>
    <t>00:17:41.983000</t>
  </si>
  <si>
    <t>00:17:49.404000</t>
  </si>
  <si>
    <t>00:17:46.404000</t>
  </si>
  <si>
    <t>00:17:50.404000</t>
  </si>
  <si>
    <t>00:17:50.520000</t>
  </si>
  <si>
    <t>00:17:47.520000</t>
  </si>
  <si>
    <t>00:17:51.520000</t>
  </si>
  <si>
    <t>00:19:12.386000</t>
  </si>
  <si>
    <t>00:19:09.386000</t>
  </si>
  <si>
    <t>00:19:13.386000</t>
  </si>
  <si>
    <t>00:20:59.753000</t>
  </si>
  <si>
    <t>00:20:56.753000</t>
  </si>
  <si>
    <t>00:21:00.753000</t>
  </si>
  <si>
    <t>00:21:02.362000</t>
  </si>
  <si>
    <t>00:20:59.362000</t>
  </si>
  <si>
    <t>00:21:03.362000</t>
  </si>
  <si>
    <t>00:21:12.695000</t>
  </si>
  <si>
    <t>00:21:09.695000</t>
  </si>
  <si>
    <t>00:21:13.695000</t>
  </si>
  <si>
    <t>00:21:21.178000</t>
  </si>
  <si>
    <t>00:21:18.178000</t>
  </si>
  <si>
    <t>00:21:22.178000</t>
  </si>
  <si>
    <t>00:21:26.798000</t>
  </si>
  <si>
    <t>00:21:23.798000</t>
  </si>
  <si>
    <t>00:21:27.798000</t>
  </si>
  <si>
    <t>00:35:58.839000</t>
  </si>
  <si>
    <t>00:35:55.839000</t>
  </si>
  <si>
    <t>00:35:59.839000</t>
  </si>
  <si>
    <t>00:36:01.128000</t>
  </si>
  <si>
    <t>00:35:58.128000</t>
  </si>
  <si>
    <t>00:36:02.128000</t>
  </si>
  <si>
    <t>00:36:03.854000</t>
  </si>
  <si>
    <t>00:36:00.854000</t>
  </si>
  <si>
    <t>00:36:04.854000</t>
  </si>
  <si>
    <t>00:36:08.866000</t>
  </si>
  <si>
    <t>00:36:05.866000</t>
  </si>
  <si>
    <t>00:36:09.866000</t>
  </si>
  <si>
    <t>00:36:17.736000</t>
  </si>
  <si>
    <t>00:36:14.736000</t>
  </si>
  <si>
    <t>00:36:18.736000</t>
  </si>
  <si>
    <t>00:36:27.959000</t>
  </si>
  <si>
    <t>00:36:24.959000</t>
  </si>
  <si>
    <t>00:36:28.959000</t>
  </si>
  <si>
    <t>00:36:30.119000</t>
  </si>
  <si>
    <t>00:36:27.119000</t>
  </si>
  <si>
    <t>00:36:31.119000</t>
  </si>
  <si>
    <t>00:36:32.266000</t>
  </si>
  <si>
    <t>00:36:29.266000</t>
  </si>
  <si>
    <t>00:36:33.266000</t>
  </si>
  <si>
    <t>00:36:33.067000</t>
  </si>
  <si>
    <t>00:36:30.067000</t>
  </si>
  <si>
    <t>00:36:34.067000</t>
  </si>
  <si>
    <t>00:39:07.391000</t>
  </si>
  <si>
    <t>00:39:04.391000</t>
  </si>
  <si>
    <t>00:39:08.391000</t>
  </si>
  <si>
    <t>00:39:08.645000</t>
  </si>
  <si>
    <t>00:39:05.645000</t>
  </si>
  <si>
    <t>00:39:09.645000</t>
  </si>
  <si>
    <t>00:39:13.266000</t>
  </si>
  <si>
    <t>00:39:10.266000</t>
  </si>
  <si>
    <t>00:39:14.266000</t>
  </si>
  <si>
    <t>00:39:20.174000</t>
  </si>
  <si>
    <t>00:39:17.174000</t>
  </si>
  <si>
    <t>00:39:21.174000</t>
  </si>
  <si>
    <t>00:39:23.163000</t>
  </si>
  <si>
    <t>00:39:20.163000</t>
  </si>
  <si>
    <t>00:39:24.163000</t>
  </si>
  <si>
    <t>00:39:26.688000</t>
  </si>
  <si>
    <t>00:39:23.688000</t>
  </si>
  <si>
    <t>00:39:27.688000</t>
  </si>
  <si>
    <t>00:39:33.097000</t>
  </si>
  <si>
    <t>00:39:30.097000</t>
  </si>
  <si>
    <t>00:39:34.097000</t>
  </si>
  <si>
    <t>00:39:34.587000</t>
  </si>
  <si>
    <t>00:39:31.587000</t>
  </si>
  <si>
    <t>00:39:35.587000</t>
  </si>
  <si>
    <t>00:39:40.283000</t>
  </si>
  <si>
    <t>00:39:37.283000</t>
  </si>
  <si>
    <t>00:39:41.283000</t>
  </si>
  <si>
    <t>00:39:41.407000</t>
  </si>
  <si>
    <t>00:39:38.407000</t>
  </si>
  <si>
    <t>00:39:42.407000</t>
  </si>
  <si>
    <t>00:39:42.835000</t>
  </si>
  <si>
    <t>00:39:39.835000</t>
  </si>
  <si>
    <t>00:39:43.835000</t>
  </si>
  <si>
    <t>00:39:50.894000</t>
  </si>
  <si>
    <t>00:39:47.894000</t>
  </si>
  <si>
    <t>00:39:51.894000</t>
  </si>
  <si>
    <t>00:39:57.182000</t>
  </si>
  <si>
    <t>00:39:54.182000</t>
  </si>
  <si>
    <t>00:39:58.182000</t>
  </si>
  <si>
    <t>00:41:38.456000</t>
  </si>
  <si>
    <t>00:41:35.456000</t>
  </si>
  <si>
    <t>00:41:39.456000</t>
  </si>
  <si>
    <t>00:41:39.842000</t>
  </si>
  <si>
    <t>00:41:36.842000</t>
  </si>
  <si>
    <t>00:41:40.842000</t>
  </si>
  <si>
    <t>00:53:37.782000</t>
  </si>
  <si>
    <t>00:53:34.782000</t>
  </si>
  <si>
    <t>00:53:38.782000</t>
  </si>
  <si>
    <t>01:03:42.191000</t>
  </si>
  <si>
    <t>01:03:39.191000</t>
  </si>
  <si>
    <t>01:03:43.191000</t>
  </si>
  <si>
    <t>01:04:11.566000</t>
  </si>
  <si>
    <t>01:04:08.566000</t>
  </si>
  <si>
    <t>01:04:12.566000</t>
  </si>
  <si>
    <t>01:04:18.328000</t>
  </si>
  <si>
    <t>01:04:15.328000</t>
  </si>
  <si>
    <t>01:04:19.328000</t>
  </si>
  <si>
    <t>01:04:25.008000</t>
  </si>
  <si>
    <t>01:04:22.008000</t>
  </si>
  <si>
    <t>01:04:26.008000</t>
  </si>
  <si>
    <t>01:04:28.609000</t>
  </si>
  <si>
    <t>01:04:25.609000</t>
  </si>
  <si>
    <t>01:04:29.609000</t>
  </si>
  <si>
    <t>01:04:34.942000</t>
  </si>
  <si>
    <t>01:04:31.942000</t>
  </si>
  <si>
    <t>01:04:35.942000</t>
  </si>
  <si>
    <t>01:04:36.141000</t>
  </si>
  <si>
    <t>01:04:33.141000</t>
  </si>
  <si>
    <t>01:04:37.141000</t>
  </si>
  <si>
    <t>01:04:36.738000</t>
  </si>
  <si>
    <t>01:04:33.738000</t>
  </si>
  <si>
    <t>01:04:37.738000</t>
  </si>
  <si>
    <t>01:07:30.154000</t>
  </si>
  <si>
    <t>01:07:27.154000</t>
  </si>
  <si>
    <t>01:07:31.154000</t>
  </si>
  <si>
    <t>01:07:31.583000</t>
  </si>
  <si>
    <t>01:07:28.583000</t>
  </si>
  <si>
    <t>01:07:32.583000</t>
  </si>
  <si>
    <t>01:07:38.306000</t>
  </si>
  <si>
    <t>01:07:35.306000</t>
  </si>
  <si>
    <t>01:07:39.306000</t>
  </si>
  <si>
    <t>01:07:42.643000</t>
  </si>
  <si>
    <t>01:07:39.643000</t>
  </si>
  <si>
    <t>01:07:43.643000</t>
  </si>
  <si>
    <t>01:07:45.606000</t>
  </si>
  <si>
    <t>01:07:42.606000</t>
  </si>
  <si>
    <t>01:07:46.606000</t>
  </si>
  <si>
    <t>01:12:22.908000</t>
  </si>
  <si>
    <t>01:12:19.908000</t>
  </si>
  <si>
    <t>01:12:23.908000</t>
  </si>
  <si>
    <t>01:12:29.512000</t>
  </si>
  <si>
    <t>01:12:26.512000</t>
  </si>
  <si>
    <t>01:12:30.512000</t>
  </si>
  <si>
    <t>01:13:07.523000</t>
  </si>
  <si>
    <t>01:13:04.523000</t>
  </si>
  <si>
    <t>01:13:08.523000</t>
  </si>
  <si>
    <t>01:16:13.696000</t>
  </si>
  <si>
    <t>01:16:10.696000</t>
  </si>
  <si>
    <t>01:16:14.696000</t>
  </si>
  <si>
    <t>01:16:15.355000</t>
  </si>
  <si>
    <t>01:16:12.355000</t>
  </si>
  <si>
    <t>01:16:16.355000</t>
  </si>
  <si>
    <t>01:16:17.425000</t>
  </si>
  <si>
    <t>01:16:14.425000</t>
  </si>
  <si>
    <t>01:16:18.425000</t>
  </si>
  <si>
    <t>01:16:30.306000</t>
  </si>
  <si>
    <t>01:16:27.306000</t>
  </si>
  <si>
    <t>01:16:31.306000</t>
  </si>
  <si>
    <t>01:18:27.322000</t>
  </si>
  <si>
    <t>01:18:24.322000</t>
  </si>
  <si>
    <t>01:18:28.322000</t>
  </si>
  <si>
    <t>01:18:39.329000</t>
  </si>
  <si>
    <t>01:18:36.329000</t>
  </si>
  <si>
    <t>01:18:40.329000</t>
  </si>
  <si>
    <t>01:18:40.998000</t>
  </si>
  <si>
    <t>01:18:37.998000</t>
  </si>
  <si>
    <t>01:18:41.998000</t>
  </si>
  <si>
    <t>01:18:42.939000</t>
  </si>
  <si>
    <t>01:18:39.939000</t>
  </si>
  <si>
    <t>01:18:43.939000</t>
  </si>
  <si>
    <t>01:19:14.331000</t>
  </si>
  <si>
    <t>01:19:11.331000</t>
  </si>
  <si>
    <t>01:19:15.331000</t>
  </si>
  <si>
    <t>01:31:47.632000</t>
  </si>
  <si>
    <t>01:31:44.632000</t>
  </si>
  <si>
    <t>01:31:48.632000</t>
  </si>
  <si>
    <t>01:37:52.567000</t>
  </si>
  <si>
    <t>01:37:49.567000</t>
  </si>
  <si>
    <t>01:37:53.567000</t>
  </si>
  <si>
    <t>01:37:56.061000</t>
  </si>
  <si>
    <t>01:38:00.061000</t>
  </si>
  <si>
    <t>01:38:00.730000</t>
  </si>
  <si>
    <t>01:37:57.730000</t>
  </si>
  <si>
    <t>01:38:01.730000</t>
  </si>
  <si>
    <t>01:42:51.734000</t>
  </si>
  <si>
    <t>01:42:48.734000</t>
  </si>
  <si>
    <t>01:42:52.734000</t>
  </si>
  <si>
    <t>01:42:53.240000</t>
  </si>
  <si>
    <t>01:42:50.240000</t>
  </si>
  <si>
    <t>01:42:54.240000</t>
  </si>
  <si>
    <t>01:43:01.155000</t>
  </si>
  <si>
    <t>01:42:58.155000</t>
  </si>
  <si>
    <t>01:43:02.155000</t>
  </si>
  <si>
    <t>01:43:08.630000</t>
  </si>
  <si>
    <t>01:43:05.630000</t>
  </si>
  <si>
    <t>01:43:09.630000</t>
  </si>
  <si>
    <t>01:43:16.981000</t>
  </si>
  <si>
    <t>01:43:13.981000</t>
  </si>
  <si>
    <t>01:43:17.981000</t>
  </si>
  <si>
    <t>01:43:22.458000</t>
  </si>
  <si>
    <t>01:43:19.458000</t>
  </si>
  <si>
    <t>01:43:23.458000</t>
  </si>
  <si>
    <t>01:43:28.864000</t>
  </si>
  <si>
    <t>01:43:25.864000</t>
  </si>
  <si>
    <t>01:43:29.864000</t>
  </si>
  <si>
    <t>01:43:34.580000</t>
  </si>
  <si>
    <t>01:43:31.580000</t>
  </si>
  <si>
    <t>01:43:35.580000</t>
  </si>
  <si>
    <t>01:43:43.646000</t>
  </si>
  <si>
    <t>01:43:40.646000</t>
  </si>
  <si>
    <t>01:43:44.646000</t>
  </si>
  <si>
    <t>01:43:46.401000</t>
  </si>
  <si>
    <t>01:43:43.401000</t>
  </si>
  <si>
    <t>01:43:47.401000</t>
  </si>
  <si>
    <t>01:43:48.139000</t>
  </si>
  <si>
    <t>01:43:45.139000</t>
  </si>
  <si>
    <t>01:43:49.139000</t>
  </si>
  <si>
    <t>01:43:53.279000</t>
  </si>
  <si>
    <t>01:43:50.279000</t>
  </si>
  <si>
    <t>01:43:54.279000</t>
  </si>
  <si>
    <t>01:45:24.718000</t>
  </si>
  <si>
    <t>01:45:21.718000</t>
  </si>
  <si>
    <t>01:45:25.718000</t>
  </si>
  <si>
    <t>01:45:34.677000</t>
  </si>
  <si>
    <t>01:45:31.677000</t>
  </si>
  <si>
    <t>01:45:35.677000</t>
  </si>
  <si>
    <t>00:06:13.103000</t>
  </si>
  <si>
    <t>00:06:10.103000</t>
  </si>
  <si>
    <t>00:06:14.103000</t>
  </si>
  <si>
    <t>00:06:15.735000</t>
  </si>
  <si>
    <t>00:06:12.735000</t>
  </si>
  <si>
    <t>00:06:16.735000</t>
  </si>
  <si>
    <t>00:06:20.775000</t>
  </si>
  <si>
    <t>00:06:17.775000</t>
  </si>
  <si>
    <t>00:06:21.775000</t>
  </si>
  <si>
    <t>00:06:40.535000</t>
  </si>
  <si>
    <t>00:06:37.535000</t>
  </si>
  <si>
    <t>00:06:41.535000</t>
  </si>
  <si>
    <t>00:06:51.650000</t>
  </si>
  <si>
    <t>00:06:48.650000</t>
  </si>
  <si>
    <t>00:06:52.650000</t>
  </si>
  <si>
    <t>00:06:55.017000</t>
  </si>
  <si>
    <t>00:06:52.017000</t>
  </si>
  <si>
    <t>00:06:56.017000</t>
  </si>
  <si>
    <t>00:07:02.457000</t>
  </si>
  <si>
    <t>00:06:59.457000</t>
  </si>
  <si>
    <t>00:07:03.457000</t>
  </si>
  <si>
    <t>00:07:14.289000</t>
  </si>
  <si>
    <t>00:07:11.289000</t>
  </si>
  <si>
    <t>00:07:15.289000</t>
  </si>
  <si>
    <t>00:08:33.076000</t>
  </si>
  <si>
    <t>00:08:30.076000</t>
  </si>
  <si>
    <t>00:08:34.076000</t>
  </si>
  <si>
    <t>00:08:34.824000</t>
  </si>
  <si>
    <t>00:08:31.824000</t>
  </si>
  <si>
    <t>00:08:35.824000</t>
  </si>
  <si>
    <t>00:08:40.780000</t>
  </si>
  <si>
    <t>00:08:37.780000</t>
  </si>
  <si>
    <t>00:08:41.780000</t>
  </si>
  <si>
    <t>00:08:52.836000</t>
  </si>
  <si>
    <t>00:08:49.836000</t>
  </si>
  <si>
    <t>00:08:53.836000</t>
  </si>
  <si>
    <t>00:08:57.465000</t>
  </si>
  <si>
    <t>00:08:54.465000</t>
  </si>
  <si>
    <t>00:08:58.465000</t>
  </si>
  <si>
    <t>00:09:02.012000</t>
  </si>
  <si>
    <t>00:08:59.012000</t>
  </si>
  <si>
    <t>00:09:03.012000</t>
  </si>
  <si>
    <t>00:09:09.132000</t>
  </si>
  <si>
    <t>00:09:06.132000</t>
  </si>
  <si>
    <t>00:09:10.132000</t>
  </si>
  <si>
    <t>00:09:16.035000</t>
  </si>
  <si>
    <t>00:09:13.035000</t>
  </si>
  <si>
    <t>00:09:17.035000</t>
  </si>
  <si>
    <t>00:09:19.488000</t>
  </si>
  <si>
    <t>00:09:16.488000</t>
  </si>
  <si>
    <t>00:09:20.488000</t>
  </si>
  <si>
    <t>00:09:19.968000</t>
  </si>
  <si>
    <t>00:09:16.968000</t>
  </si>
  <si>
    <t>00:09:20.968000</t>
  </si>
  <si>
    <t>00:09:21.425000</t>
  </si>
  <si>
    <t>00:09:18.425000</t>
  </si>
  <si>
    <t>00:09:22.425000</t>
  </si>
  <si>
    <t>00:09:24.884000</t>
  </si>
  <si>
    <t>00:09:21.884000</t>
  </si>
  <si>
    <t>00:09:25.884000</t>
  </si>
  <si>
    <t>00:11:32.142000</t>
  </si>
  <si>
    <t>00:11:29.142000</t>
  </si>
  <si>
    <t>00:11:33.142000</t>
  </si>
  <si>
    <t>00:12:04.507000</t>
  </si>
  <si>
    <t>00:12:01.507000</t>
  </si>
  <si>
    <t>00:12:05.507000</t>
  </si>
  <si>
    <t>00:15:37.762000</t>
  </si>
  <si>
    <t>00:15:34.762000</t>
  </si>
  <si>
    <t>00:15:38.762000</t>
  </si>
  <si>
    <t>00:21:43.937000</t>
  </si>
  <si>
    <t>00:21:40.937000</t>
  </si>
  <si>
    <t>00:21:44.937000</t>
  </si>
  <si>
    <t>00:21:46.545000</t>
  </si>
  <si>
    <t>00:21:43.545000</t>
  </si>
  <si>
    <t>00:21:47.545000</t>
  </si>
  <si>
    <t>00:21:47.986000</t>
  </si>
  <si>
    <t>00:21:44.986000</t>
  </si>
  <si>
    <t>00:21:48.986000</t>
  </si>
  <si>
    <t>00:21:50.211000</t>
  </si>
  <si>
    <t>00:21:47.211000</t>
  </si>
  <si>
    <t>00:21:51.211000</t>
  </si>
  <si>
    <t>00:21:56.555000</t>
  </si>
  <si>
    <t>00:21:53.555000</t>
  </si>
  <si>
    <t>00:21:57.555000</t>
  </si>
  <si>
    <t>00:22:06.347000</t>
  </si>
  <si>
    <t>00:22:03.347000</t>
  </si>
  <si>
    <t>00:22:07.347000</t>
  </si>
  <si>
    <t>00:22:08.127000</t>
  </si>
  <si>
    <t>00:22:05.127000</t>
  </si>
  <si>
    <t>00:22:09.127000</t>
  </si>
  <si>
    <t>00:22:09.468000</t>
  </si>
  <si>
    <t>00:22:06.468000</t>
  </si>
  <si>
    <t>00:22:10.468000</t>
  </si>
  <si>
    <t>00:23:59.757000</t>
  </si>
  <si>
    <t>00:23:56.757000</t>
  </si>
  <si>
    <t>00:24:00.757000</t>
  </si>
  <si>
    <t>00:24:22.362000</t>
  </si>
  <si>
    <t>00:24:19.362000</t>
  </si>
  <si>
    <t>00:24:23.362000</t>
  </si>
  <si>
    <t>00:24:25.935000</t>
  </si>
  <si>
    <t>00:24:22.935000</t>
  </si>
  <si>
    <t>00:24:26.935000</t>
  </si>
  <si>
    <t>00:24:27.596000</t>
  </si>
  <si>
    <t>00:24:24.596000</t>
  </si>
  <si>
    <t>00:24:28.596000</t>
  </si>
  <si>
    <t>00:24:35.026000</t>
  </si>
  <si>
    <t>00:24:32.026000</t>
  </si>
  <si>
    <t>00:24:36.026000</t>
  </si>
  <si>
    <t>00:26:51.263000</t>
  </si>
  <si>
    <t>00:26:48.263000</t>
  </si>
  <si>
    <t>00:26:52.263000</t>
  </si>
  <si>
    <t>00:27:02.440000</t>
  </si>
  <si>
    <t>00:26:59.440000</t>
  </si>
  <si>
    <t>00:27:03.440000</t>
  </si>
  <si>
    <t>00:27:14.199000</t>
  </si>
  <si>
    <t>00:27:11.199000</t>
  </si>
  <si>
    <t>00:27:15.199000</t>
  </si>
  <si>
    <t>00:30:36.025000</t>
  </si>
  <si>
    <t>00:30:33.025000</t>
  </si>
  <si>
    <t>00:30:37.025000</t>
  </si>
  <si>
    <t>00:30:38.060000</t>
  </si>
  <si>
    <t>00:30:35.060000</t>
  </si>
  <si>
    <t>00:30:39.060000</t>
  </si>
  <si>
    <t>00:33:14.094000</t>
  </si>
  <si>
    <t>00:33:11.094000</t>
  </si>
  <si>
    <t>00:33:15.094000</t>
  </si>
  <si>
    <t>00:38:16.786000</t>
  </si>
  <si>
    <t>00:38:13.786000</t>
  </si>
  <si>
    <t>00:38:17.786000</t>
  </si>
  <si>
    <t>00:50:11.472000</t>
  </si>
  <si>
    <t>00:50:08.472000</t>
  </si>
  <si>
    <t>00:50:12.472000</t>
  </si>
  <si>
    <t>00:51:35.022000</t>
  </si>
  <si>
    <t>00:51:32.022000</t>
  </si>
  <si>
    <t>00:51:36.022000</t>
  </si>
  <si>
    <t>00:51:35.506000</t>
  </si>
  <si>
    <t>00:51:32.506000</t>
  </si>
  <si>
    <t>00:51:36.506000</t>
  </si>
  <si>
    <t>00:51:37.229000</t>
  </si>
  <si>
    <t>00:51:34.229000</t>
  </si>
  <si>
    <t>00:51:38.229000</t>
  </si>
  <si>
    <t>00:51:38.353000</t>
  </si>
  <si>
    <t>00:51:35.353000</t>
  </si>
  <si>
    <t>00:51:39.353000</t>
  </si>
  <si>
    <t>00:51:43.008000</t>
  </si>
  <si>
    <t>00:51:40.008000</t>
  </si>
  <si>
    <t>00:51:44.008000</t>
  </si>
  <si>
    <t>00:51:44.681000</t>
  </si>
  <si>
    <t>00:51:41.681000</t>
  </si>
  <si>
    <t>00:51:45.681000</t>
  </si>
  <si>
    <t>00:51:59.372000</t>
  </si>
  <si>
    <t>00:51:56.372000</t>
  </si>
  <si>
    <t>00:52:00.372000</t>
  </si>
  <si>
    <t>01:04:03.208000</t>
  </si>
  <si>
    <t>01:04:00.208000</t>
  </si>
  <si>
    <t>01:04:04.208000</t>
  </si>
  <si>
    <t>01:04:05.285000</t>
  </si>
  <si>
    <t>01:04:02.285000</t>
  </si>
  <si>
    <t>01:04:06.285000</t>
  </si>
  <si>
    <t>01:04:09.966000</t>
  </si>
  <si>
    <t>01:04:06.966000</t>
  </si>
  <si>
    <t>01:04:10.966000</t>
  </si>
  <si>
    <t>01:06:38.295000</t>
  </si>
  <si>
    <t>01:06:35.295000</t>
  </si>
  <si>
    <t>01:06:39.295000</t>
  </si>
  <si>
    <t>01:06:39.551000</t>
  </si>
  <si>
    <t>01:06:36.551000</t>
  </si>
  <si>
    <t>01:06:40.551000</t>
  </si>
  <si>
    <t>01:08:49.290000</t>
  </si>
  <si>
    <t>01:08:46.290000</t>
  </si>
  <si>
    <t>01:08:50.290000</t>
  </si>
  <si>
    <t>01:08:52.077000</t>
  </si>
  <si>
    <t>01:08:49.077000</t>
  </si>
  <si>
    <t>01:08:53.077000</t>
  </si>
  <si>
    <t>01:08:59.491000</t>
  </si>
  <si>
    <t>01:08:56.491000</t>
  </si>
  <si>
    <t>01:09:00.491000</t>
  </si>
  <si>
    <t>01:10:13.820000</t>
  </si>
  <si>
    <t>01:10:10.820000</t>
  </si>
  <si>
    <t>01:10:14.820000</t>
  </si>
  <si>
    <t>01:10:14.787000</t>
  </si>
  <si>
    <t>01:10:11.787000</t>
  </si>
  <si>
    <t>01:10:15.787000</t>
  </si>
  <si>
    <t>01:10:21.043000</t>
  </si>
  <si>
    <t>01:10:18.043000</t>
  </si>
  <si>
    <t>01:10:22.043000</t>
  </si>
  <si>
    <t>01:10:22.595000</t>
  </si>
  <si>
    <t>01:10:23.595000</t>
  </si>
  <si>
    <t>01:14:11.197000</t>
  </si>
  <si>
    <t>01:14:08.197000</t>
  </si>
  <si>
    <t>01:14:12.197000</t>
  </si>
  <si>
    <t>01:14:13.300000</t>
  </si>
  <si>
    <t>01:14:10.300000</t>
  </si>
  <si>
    <t>01:14:14.300000</t>
  </si>
  <si>
    <t>01:14:20.789000</t>
  </si>
  <si>
    <t>01:14:17.789000</t>
  </si>
  <si>
    <t>01:14:21.789000</t>
  </si>
  <si>
    <t>01:14:22.060000</t>
  </si>
  <si>
    <t>01:14:19.060000</t>
  </si>
  <si>
    <t>01:14:23.060000</t>
  </si>
  <si>
    <t>01:14:32.548000</t>
  </si>
  <si>
    <t>01:14:29.548000</t>
  </si>
  <si>
    <t>01:14:33.548000</t>
  </si>
  <si>
    <t>01:14:42.776000</t>
  </si>
  <si>
    <t>01:14:39.776000</t>
  </si>
  <si>
    <t>01:14:43.776000</t>
  </si>
  <si>
    <t>01:15:08.759000</t>
  </si>
  <si>
    <t>01:15:05.759000</t>
  </si>
  <si>
    <t>01:15:09.759000</t>
  </si>
  <si>
    <t>01:15:21.682000</t>
  </si>
  <si>
    <t>01:15:18.682000</t>
  </si>
  <si>
    <t>01:15:22.682000</t>
  </si>
  <si>
    <t>01:15:23.090000</t>
  </si>
  <si>
    <t>01:15:20.090000</t>
  </si>
  <si>
    <t>01:15:24.090000</t>
  </si>
  <si>
    <t>01:15:34.275000</t>
  </si>
  <si>
    <t>01:15:31.275000</t>
  </si>
  <si>
    <t>01:15:35.275000</t>
  </si>
  <si>
    <t>01:15:38.356000</t>
  </si>
  <si>
    <t>01:15:35.356000</t>
  </si>
  <si>
    <t>01:15:39.356000</t>
  </si>
  <si>
    <t>01:15:39.643000</t>
  </si>
  <si>
    <t>01:15:36.643000</t>
  </si>
  <si>
    <t>01:15:40.643000</t>
  </si>
  <si>
    <t>01:15:51.049000</t>
  </si>
  <si>
    <t>01:15:48.049000</t>
  </si>
  <si>
    <t>01:15:52.049000</t>
  </si>
  <si>
    <t>01:18:57.053000</t>
  </si>
  <si>
    <t>01:18:54.053000</t>
  </si>
  <si>
    <t>01:18:58.053000</t>
  </si>
  <si>
    <t>01:18:58.847000</t>
  </si>
  <si>
    <t>01:18:55.847000</t>
  </si>
  <si>
    <t>01:18:59.847000</t>
  </si>
  <si>
    <t>01:19:06.119000</t>
  </si>
  <si>
    <t>01:19:03.119000</t>
  </si>
  <si>
    <t>01:19:07.119000</t>
  </si>
  <si>
    <t>01:20:07.252000</t>
  </si>
  <si>
    <t>01:20:04.252000</t>
  </si>
  <si>
    <t>01:20:08.252000</t>
  </si>
  <si>
    <t>01:20:08.172000</t>
  </si>
  <si>
    <t>01:20:05.172000</t>
  </si>
  <si>
    <t>01:20:09.172000</t>
  </si>
  <si>
    <t>01:20:09.025000</t>
  </si>
  <si>
    <t>01:20:06.025000</t>
  </si>
  <si>
    <t>01:20:10.025000</t>
  </si>
  <si>
    <t>01:20:10.588000</t>
  </si>
  <si>
    <t>01:20:07.588000</t>
  </si>
  <si>
    <t>01:20:11.588000</t>
  </si>
  <si>
    <t>01:21:18.555000</t>
  </si>
  <si>
    <t>01:21:15.555000</t>
  </si>
  <si>
    <t>01:21:19.555000</t>
  </si>
  <si>
    <t>01:21:29.133000</t>
  </si>
  <si>
    <t>01:21:26.133000</t>
  </si>
  <si>
    <t>01:21:30.133000</t>
  </si>
  <si>
    <t>01:25:25.937000</t>
  </si>
  <si>
    <t>01:25:22.937000</t>
  </si>
  <si>
    <t>01:25:26.937000</t>
  </si>
  <si>
    <t>01:25:26.938000</t>
  </si>
  <si>
    <t>01:25:23.938000</t>
  </si>
  <si>
    <t>01:25:27.938000</t>
  </si>
  <si>
    <t>01:25:29.765000</t>
  </si>
  <si>
    <t>01:25:26.765000</t>
  </si>
  <si>
    <t>01:25:30.765000</t>
  </si>
  <si>
    <t>01:25:33.303000</t>
  </si>
  <si>
    <t>01:25:30.303000</t>
  </si>
  <si>
    <t>01:25:34.303000</t>
  </si>
  <si>
    <t>01:26:46.725000</t>
  </si>
  <si>
    <t>01:26:43.725000</t>
  </si>
  <si>
    <t>01:26:47.725000</t>
  </si>
  <si>
    <t>01:26:48.987000</t>
  </si>
  <si>
    <t>01:26:45.987000</t>
  </si>
  <si>
    <t>01:26:49.987000</t>
  </si>
  <si>
    <t>01:29:42.055000</t>
  </si>
  <si>
    <t>01:29:39.055000</t>
  </si>
  <si>
    <t>01:29:43.055000</t>
  </si>
  <si>
    <t>01:29:48.125000</t>
  </si>
  <si>
    <t>01:29:45.125000</t>
  </si>
  <si>
    <t>01:29:49.125000</t>
  </si>
  <si>
    <t>01:29:54.725000</t>
  </si>
  <si>
    <t>01:29:51.725000</t>
  </si>
  <si>
    <t>01:29:55.725000</t>
  </si>
  <si>
    <t>01:30:10.190000</t>
  </si>
  <si>
    <t>01:30:07.190000</t>
  </si>
  <si>
    <t>01:30:11.190000</t>
  </si>
  <si>
    <t>01:30:11.757000</t>
  </si>
  <si>
    <t>01:30:08.757000</t>
  </si>
  <si>
    <t>01:30:12.757000</t>
  </si>
  <si>
    <t>01:33:08.995000</t>
  </si>
  <si>
    <t>01:33:05.995000</t>
  </si>
  <si>
    <t>01:33:09.995000</t>
  </si>
  <si>
    <t>01:33:11.511000</t>
  </si>
  <si>
    <t>01:33:08.511000</t>
  </si>
  <si>
    <t>01:33:12.511000</t>
  </si>
  <si>
    <t>01:33:21.214000</t>
  </si>
  <si>
    <t>01:33:18.214000</t>
  </si>
  <si>
    <t>01:33:22.214000</t>
  </si>
  <si>
    <t>01:33:31.701000</t>
  </si>
  <si>
    <t>01:33:28.701000</t>
  </si>
  <si>
    <t>01:33:32.701000</t>
  </si>
  <si>
    <t>01:33:35.540000</t>
  </si>
  <si>
    <t>01:33:32.540000</t>
  </si>
  <si>
    <t>01:33:36.540000</t>
  </si>
  <si>
    <t>01:33:46.293000</t>
  </si>
  <si>
    <t>01:33:43.293000</t>
  </si>
  <si>
    <t>01:33:47.293000</t>
  </si>
  <si>
    <t>01:35:39.098000</t>
  </si>
  <si>
    <t>01:35:36.098000</t>
  </si>
  <si>
    <t>01:35:40.098000</t>
  </si>
  <si>
    <t>01:35:41.158000</t>
  </si>
  <si>
    <t>01:35:38.158000</t>
  </si>
  <si>
    <t>01:35:42.158000</t>
  </si>
  <si>
    <t>01:35:48.437000</t>
  </si>
  <si>
    <t>01:35:45.437000</t>
  </si>
  <si>
    <t>01:35:49.437000</t>
  </si>
  <si>
    <t>01:35:50.360000</t>
  </si>
  <si>
    <t>01:35:47.360000</t>
  </si>
  <si>
    <t>01:35:51.360000</t>
  </si>
  <si>
    <t>01:40:00.023000</t>
  </si>
  <si>
    <t>01:39:57.023000</t>
  </si>
  <si>
    <t>01:40:01.023000</t>
  </si>
  <si>
    <t>01:40:06.118000</t>
  </si>
  <si>
    <t>01:40:03.118000</t>
  </si>
  <si>
    <t>01:40:07.118000</t>
  </si>
  <si>
    <t>01:40:07.957000</t>
  </si>
  <si>
    <t>01:40:04.957000</t>
  </si>
  <si>
    <t>01:40:08.957000</t>
  </si>
  <si>
    <t>01:40:13.136000</t>
  </si>
  <si>
    <t>01:40:10.136000</t>
  </si>
  <si>
    <t>01:40:14.136000</t>
  </si>
  <si>
    <t>01:40:14.484000</t>
  </si>
  <si>
    <t>01:40:11.484000</t>
  </si>
  <si>
    <t>01:40:15.484000</t>
  </si>
  <si>
    <t>01:40:23.520000</t>
  </si>
  <si>
    <t>01:40:20.520000</t>
  </si>
  <si>
    <t>01:40:24.520000</t>
  </si>
  <si>
    <t>01:40:31.362000</t>
  </si>
  <si>
    <t>01:40:28.362000</t>
  </si>
  <si>
    <t>01:40:32.362000</t>
  </si>
  <si>
    <t>01:40:39.185000</t>
  </si>
  <si>
    <t>01:40:36.185000</t>
  </si>
  <si>
    <t>01:40:40.185000</t>
  </si>
  <si>
    <t>01:40:51.400000</t>
  </si>
  <si>
    <t>01:40:48.400000</t>
  </si>
  <si>
    <t>01:40:52.400000</t>
  </si>
  <si>
    <t>01:41:38.767000</t>
  </si>
  <si>
    <t>01:41:35.767000</t>
  </si>
  <si>
    <t>01:41:39.767000</t>
  </si>
  <si>
    <t>01:41:52.922000</t>
  </si>
  <si>
    <t>01:41:49.922000</t>
  </si>
  <si>
    <t>01:41:53.922000</t>
  </si>
  <si>
    <t>01:41:59.555000</t>
  </si>
  <si>
    <t>01:41:56.555000</t>
  </si>
  <si>
    <t>01:42:00.555000</t>
  </si>
  <si>
    <t>01:42:06.271000</t>
  </si>
  <si>
    <t>01:42:03.271000</t>
  </si>
  <si>
    <t>01:42:07.271000</t>
  </si>
  <si>
    <t>01:45:03.525000</t>
  </si>
  <si>
    <t>01:45:00.525000</t>
  </si>
  <si>
    <t>01:45:04.525000</t>
  </si>
  <si>
    <t>01:45:12.787000</t>
  </si>
  <si>
    <t>01:45:09.787000</t>
  </si>
  <si>
    <t>01:45:13.787000</t>
  </si>
  <si>
    <t>01:45:14.269000</t>
  </si>
  <si>
    <t>01:45:11.269000</t>
  </si>
  <si>
    <t>01:45:15.269000</t>
  </si>
  <si>
    <t>00:06:24.793000</t>
  </si>
  <si>
    <t>00:06:21.793000</t>
  </si>
  <si>
    <t>00:06:25.793000</t>
  </si>
  <si>
    <t>00:06:33.828000</t>
  </si>
  <si>
    <t>00:06:30.828000</t>
  </si>
  <si>
    <t>00:06:34.828000</t>
  </si>
  <si>
    <t>00:08:57.175000</t>
  </si>
  <si>
    <t>00:08:54.175000</t>
  </si>
  <si>
    <t>00:08:58.175000</t>
  </si>
  <si>
    <t>00:09:05.517000</t>
  </si>
  <si>
    <t>00:09:02.517000</t>
  </si>
  <si>
    <t>00:09:06.517000</t>
  </si>
  <si>
    <t>00:13:21.165000</t>
  </si>
  <si>
    <t>00:13:18.165000</t>
  </si>
  <si>
    <t>00:13:22.165000</t>
  </si>
  <si>
    <t>00:13:25.601000</t>
  </si>
  <si>
    <t>00:13:22.601000</t>
  </si>
  <si>
    <t>00:13:26.601000</t>
  </si>
  <si>
    <t>00:13:35.850000</t>
  </si>
  <si>
    <t>00:13:32.850000</t>
  </si>
  <si>
    <t>00:13:36.850000</t>
  </si>
  <si>
    <t>00:13:45.093000</t>
  </si>
  <si>
    <t>00:13:42.093000</t>
  </si>
  <si>
    <t>00:13:46.093000</t>
  </si>
  <si>
    <t>00:13:52.211000</t>
  </si>
  <si>
    <t>00:13:49.211000</t>
  </si>
  <si>
    <t>00:13:53.211000</t>
  </si>
  <si>
    <t>00:16:03.990000</t>
  </si>
  <si>
    <t>00:16:00.990000</t>
  </si>
  <si>
    <t>00:16:04.990000</t>
  </si>
  <si>
    <t>00:16:12.398000</t>
  </si>
  <si>
    <t>00:16:09.398000</t>
  </si>
  <si>
    <t>00:16:13.398000</t>
  </si>
  <si>
    <t>00:18:16.245000</t>
  </si>
  <si>
    <t>00:18:13.245000</t>
  </si>
  <si>
    <t>00:18:17.245000</t>
  </si>
  <si>
    <t>00:22:10.137000</t>
  </si>
  <si>
    <t>00:22:07.137000</t>
  </si>
  <si>
    <t>00:22:11.137000</t>
  </si>
  <si>
    <t>00:22:16.317000</t>
  </si>
  <si>
    <t>00:22:13.317000</t>
  </si>
  <si>
    <t>00:22:17.317000</t>
  </si>
  <si>
    <t>00:24:03.438000</t>
  </si>
  <si>
    <t>00:24:00.438000</t>
  </si>
  <si>
    <t>00:24:04.438000</t>
  </si>
  <si>
    <t>00:24:07.503000</t>
  </si>
  <si>
    <t>00:24:04.503000</t>
  </si>
  <si>
    <t>00:24:08.503000</t>
  </si>
  <si>
    <t>00:30:51.291000</t>
  </si>
  <si>
    <t>00:30:48.291000</t>
  </si>
  <si>
    <t>00:30:52.291000</t>
  </si>
  <si>
    <t>00:30:56.718000</t>
  </si>
  <si>
    <t>00:30:53.718000</t>
  </si>
  <si>
    <t>00:30:57.718000</t>
  </si>
  <si>
    <t>00:32:52.985000</t>
  </si>
  <si>
    <t>00:32:49.985000</t>
  </si>
  <si>
    <t>00:32:53.985000</t>
  </si>
  <si>
    <t>00:39:49.240000</t>
  </si>
  <si>
    <t>00:39:46.240000</t>
  </si>
  <si>
    <t>00:39:50.240000</t>
  </si>
  <si>
    <t>00:39:50.247000</t>
  </si>
  <si>
    <t>00:39:47.247000</t>
  </si>
  <si>
    <t>00:39:51.247000</t>
  </si>
  <si>
    <t>00:39:59.545000</t>
  </si>
  <si>
    <t>00:39:56.545000</t>
  </si>
  <si>
    <t>00:40:00.545000</t>
  </si>
  <si>
    <t>00:40:07.111000</t>
  </si>
  <si>
    <t>00:40:04.111000</t>
  </si>
  <si>
    <t>00:40:08.111000</t>
  </si>
  <si>
    <t>00:40:14.886000</t>
  </si>
  <si>
    <t>00:40:11.886000</t>
  </si>
  <si>
    <t>00:40:15.886000</t>
  </si>
  <si>
    <t>00:40:22.252000</t>
  </si>
  <si>
    <t>00:40:19.252000</t>
  </si>
  <si>
    <t>00:40:23.252000</t>
  </si>
  <si>
    <t>00:40:23.270000</t>
  </si>
  <si>
    <t>00:40:20.270000</t>
  </si>
  <si>
    <t>00:40:24.270000</t>
  </si>
  <si>
    <t>00:41:48.672000</t>
  </si>
  <si>
    <t>00:41:45.672000</t>
  </si>
  <si>
    <t>00:41:49.672000</t>
  </si>
  <si>
    <t>00:41:55.379000</t>
  </si>
  <si>
    <t>00:41:52.379000</t>
  </si>
  <si>
    <t>00:41:56.379000</t>
  </si>
  <si>
    <t>00:42:03.741000</t>
  </si>
  <si>
    <t>00:42:00.741000</t>
  </si>
  <si>
    <t>00:42:04.741000</t>
  </si>
  <si>
    <t>00:42:06.485000</t>
  </si>
  <si>
    <t>00:42:03.485000</t>
  </si>
  <si>
    <t>00:42:07.485000</t>
  </si>
  <si>
    <t>00:42:11.774000</t>
  </si>
  <si>
    <t>00:42:08.774000</t>
  </si>
  <si>
    <t>00:42:12.774000</t>
  </si>
  <si>
    <t>00:42:18.307000</t>
  </si>
  <si>
    <t>00:42:15.307000</t>
  </si>
  <si>
    <t>00:42:19.307000</t>
  </si>
  <si>
    <t>01:04:23.580000</t>
  </si>
  <si>
    <t>01:04:20.580000</t>
  </si>
  <si>
    <t>01:04:24.580000</t>
  </si>
  <si>
    <t>01:07:01.855000</t>
  </si>
  <si>
    <t>01:06:58.855000</t>
  </si>
  <si>
    <t>01:07:02.855000</t>
  </si>
  <si>
    <t>01:07:04.746000</t>
  </si>
  <si>
    <t>01:07:01.746000</t>
  </si>
  <si>
    <t>01:07:05.746000</t>
  </si>
  <si>
    <t>01:07:10.059000</t>
  </si>
  <si>
    <t>01:07:07.059000</t>
  </si>
  <si>
    <t>01:07:11.059000</t>
  </si>
  <si>
    <t>01:07:16.707000</t>
  </si>
  <si>
    <t>01:07:13.707000</t>
  </si>
  <si>
    <t>01:07:17.707000</t>
  </si>
  <si>
    <t>01:14:15.207000</t>
  </si>
  <si>
    <t>01:14:12.207000</t>
  </si>
  <si>
    <t>01:14:16.207000</t>
  </si>
  <si>
    <t>01:14:16.202000</t>
  </si>
  <si>
    <t>01:14:13.202000</t>
  </si>
  <si>
    <t>01:14:17.202000</t>
  </si>
  <si>
    <t>01:14:50.493000</t>
  </si>
  <si>
    <t>01:14:47.493000</t>
  </si>
  <si>
    <t>01:14:51.493000</t>
  </si>
  <si>
    <t>01:14:55.067000</t>
  </si>
  <si>
    <t>01:14:52.067000</t>
  </si>
  <si>
    <t>01:14:56.067000</t>
  </si>
  <si>
    <t>01:15:56.452000</t>
  </si>
  <si>
    <t>01:15:53.452000</t>
  </si>
  <si>
    <t>01:15:57.452000</t>
  </si>
  <si>
    <t>01:16:07.096000</t>
  </si>
  <si>
    <t>01:16:04.096000</t>
  </si>
  <si>
    <t>01:16:08.096000</t>
  </si>
  <si>
    <t>01:16:13.755000</t>
  </si>
  <si>
    <t>01:16:10.755000</t>
  </si>
  <si>
    <t>01:16:14.755000</t>
  </si>
  <si>
    <t>01:16:15.371000</t>
  </si>
  <si>
    <t>01:16:12.371000</t>
  </si>
  <si>
    <t>01:16:16.371000</t>
  </si>
  <si>
    <t>01:16:16.711000</t>
  </si>
  <si>
    <t>01:16:13.711000</t>
  </si>
  <si>
    <t>01:16:17.711000</t>
  </si>
  <si>
    <t>01:16:36.265000</t>
  </si>
  <si>
    <t>01:16:33.265000</t>
  </si>
  <si>
    <t>01:16:37.265000</t>
  </si>
  <si>
    <t>01:25:13.408000</t>
  </si>
  <si>
    <t>01:25:10.408000</t>
  </si>
  <si>
    <t>01:25:14.408000</t>
  </si>
  <si>
    <t>01:42:00.456000</t>
  </si>
  <si>
    <t>01:41:57.456000</t>
  </si>
  <si>
    <t>01:42:01.456000</t>
  </si>
  <si>
    <t>01:44:20.874000</t>
  </si>
  <si>
    <t>01:44:17.874000</t>
  </si>
  <si>
    <t>01:44:21.874000</t>
  </si>
  <si>
    <t>01:44:22.525000</t>
  </si>
  <si>
    <t>01:44:19.525000</t>
  </si>
  <si>
    <t>01:44:23.525000</t>
  </si>
  <si>
    <t>01:44:23.703000</t>
  </si>
  <si>
    <t>01:44:20.703000</t>
  </si>
  <si>
    <t>01:44:24.703000</t>
  </si>
  <si>
    <t>01:44:25.053000</t>
  </si>
  <si>
    <t>01:44:22.053000</t>
  </si>
  <si>
    <t>01:44:26.053000</t>
  </si>
  <si>
    <t>01:44:26.630000</t>
  </si>
  <si>
    <t>01:44:23.630000</t>
  </si>
  <si>
    <t>01:44:27.630000</t>
  </si>
  <si>
    <t>01:44:32.583000</t>
  </si>
  <si>
    <t>01:44:29.583000</t>
  </si>
  <si>
    <t>01:44:33.583000</t>
  </si>
  <si>
    <t>01:44:39.589000</t>
  </si>
  <si>
    <t>01:44:36.589000</t>
  </si>
  <si>
    <t>01:44:40.589000</t>
  </si>
  <si>
    <t>01:44:41.929000</t>
  </si>
  <si>
    <t>01:44:38.929000</t>
  </si>
  <si>
    <t>01:44:42.929000</t>
  </si>
  <si>
    <t>01:44:46.888000</t>
  </si>
  <si>
    <t>01:44:43.888000</t>
  </si>
  <si>
    <t>01:44:47.888000</t>
  </si>
  <si>
    <t>01:44:50.717000</t>
  </si>
  <si>
    <t>01:44:47.717000</t>
  </si>
  <si>
    <t>01:44:51.717000</t>
  </si>
  <si>
    <t>01:45:29.130000</t>
  </si>
  <si>
    <t>01:45:26.130000</t>
  </si>
  <si>
    <t>01:45:30.130000</t>
  </si>
  <si>
    <t>01:45:31.165000</t>
  </si>
  <si>
    <t>01:45:28.165000</t>
  </si>
  <si>
    <t>01:45:32.165000</t>
  </si>
  <si>
    <t>01:45:32.773000</t>
  </si>
  <si>
    <t>01:45:29.773000</t>
  </si>
  <si>
    <t>01:45:33.773000</t>
  </si>
  <si>
    <t>01:47:01.939000</t>
  </si>
  <si>
    <t>01:46:58.939000</t>
  </si>
  <si>
    <t>01:47:02.939000</t>
  </si>
  <si>
    <t>01:47:03.339000</t>
  </si>
  <si>
    <t>01:47:00.339000</t>
  </si>
  <si>
    <t>01:47:04.339000</t>
  </si>
  <si>
    <t>01:47:05.034000</t>
  </si>
  <si>
    <t>01:47:02.034000</t>
  </si>
  <si>
    <t>01:47:06.034000</t>
  </si>
  <si>
    <t>01:47:57.156000</t>
  </si>
  <si>
    <t>01:47:54.156000</t>
  </si>
  <si>
    <t>01:47:58.156000</t>
  </si>
  <si>
    <t>01:47:58.552000</t>
  </si>
  <si>
    <t>01:47:55.552000</t>
  </si>
  <si>
    <t>01:47:59.552000</t>
  </si>
  <si>
    <t>01:48:04.662000</t>
  </si>
  <si>
    <t>01:48:01.662000</t>
  </si>
  <si>
    <t>01:48:05.662000</t>
  </si>
  <si>
    <t>01:49:51.947000</t>
  </si>
  <si>
    <t>01:49:48.947000</t>
  </si>
  <si>
    <t>01:49:52.947000</t>
  </si>
  <si>
    <t>01:49:55.207000</t>
  </si>
  <si>
    <t>01:49:52.207000</t>
  </si>
  <si>
    <t>01:49:56.207000</t>
  </si>
  <si>
    <t>00:01:41.160000</t>
  </si>
  <si>
    <t>00:01:38.160000</t>
  </si>
  <si>
    <t>00:01:42.160000</t>
  </si>
  <si>
    <t>00:01:48.540000</t>
  </si>
  <si>
    <t>00:01:45.540000</t>
  </si>
  <si>
    <t>00:01:49.540000</t>
  </si>
  <si>
    <t>00:02:57.495000</t>
  </si>
  <si>
    <t>00:02:54.495000</t>
  </si>
  <si>
    <t>00:02:58.495000</t>
  </si>
  <si>
    <t>00:03:46.594000</t>
  </si>
  <si>
    <t>00:03:43.594000</t>
  </si>
  <si>
    <t>00:03:47.594000</t>
  </si>
  <si>
    <t>00:08:14.684000</t>
  </si>
  <si>
    <t>00:08:11.684000</t>
  </si>
  <si>
    <t>00:08:15.684000</t>
  </si>
  <si>
    <t>00:08:22.757000</t>
  </si>
  <si>
    <t>00:08:19.757000</t>
  </si>
  <si>
    <t>00:08:23.757000</t>
  </si>
  <si>
    <t>00:08:45.101000</t>
  </si>
  <si>
    <t>00:08:42.101000</t>
  </si>
  <si>
    <t>00:08:46.101000</t>
  </si>
  <si>
    <t>00:25:58.035000</t>
  </si>
  <si>
    <t>00:25:55.035000</t>
  </si>
  <si>
    <t>00:25:59.035000</t>
  </si>
  <si>
    <t>00:28:39.097000</t>
  </si>
  <si>
    <t>00:28:36.097000</t>
  </si>
  <si>
    <t>00:28:40.097000</t>
  </si>
  <si>
    <t>00:31:08.825000</t>
  </si>
  <si>
    <t>00:31:05.825000</t>
  </si>
  <si>
    <t>00:31:09.825000</t>
  </si>
  <si>
    <t>00:31:17.709000</t>
  </si>
  <si>
    <t>00:31:14.709000</t>
  </si>
  <si>
    <t>00:31:18.709000</t>
  </si>
  <si>
    <t>00:33:05.094000</t>
  </si>
  <si>
    <t>00:33:02.094000</t>
  </si>
  <si>
    <t>00:33:06.094000</t>
  </si>
  <si>
    <t>00:33:10.969000</t>
  </si>
  <si>
    <t>00:33:07.969000</t>
  </si>
  <si>
    <t>00:33:11.969000</t>
  </si>
  <si>
    <t>00:33:15.913000</t>
  </si>
  <si>
    <t>00:33:12.913000</t>
  </si>
  <si>
    <t>00:33:16.913000</t>
  </si>
  <si>
    <t>00:33:25.337000</t>
  </si>
  <si>
    <t>00:33:22.337000</t>
  </si>
  <si>
    <t>00:33:26.337000</t>
  </si>
  <si>
    <t>00:33:34.945000</t>
  </si>
  <si>
    <t>00:33:31.945000</t>
  </si>
  <si>
    <t>00:33:35.945000</t>
  </si>
  <si>
    <t>00:33:44.525000</t>
  </si>
  <si>
    <t>00:33:41.525000</t>
  </si>
  <si>
    <t>00:33:45.525000</t>
  </si>
  <si>
    <t>00:35:37.836000</t>
  </si>
  <si>
    <t>00:35:34.836000</t>
  </si>
  <si>
    <t>00:35:38.836000</t>
  </si>
  <si>
    <t>00:35:38.925000</t>
  </si>
  <si>
    <t>00:35:35.925000</t>
  </si>
  <si>
    <t>00:35:39.925000</t>
  </si>
  <si>
    <t>00:35:43.277000</t>
  </si>
  <si>
    <t>00:35:40.277000</t>
  </si>
  <si>
    <t>00:35:44.277000</t>
  </si>
  <si>
    <t>00:35:44.819000</t>
  </si>
  <si>
    <t>00:35:41.819000</t>
  </si>
  <si>
    <t>00:35:45.819000</t>
  </si>
  <si>
    <t>00:35:47.918000</t>
  </si>
  <si>
    <t>00:35:44.918000</t>
  </si>
  <si>
    <t>00:35:48.918000</t>
  </si>
  <si>
    <t>00:39:01.038000</t>
  </si>
  <si>
    <t>00:38:58.038000</t>
  </si>
  <si>
    <t>00:39:02.038000</t>
  </si>
  <si>
    <t>01:02:39.806000</t>
  </si>
  <si>
    <t>01:02:36.806000</t>
  </si>
  <si>
    <t>01:02:40.806000</t>
  </si>
  <si>
    <t>01:02:48.247000</t>
  </si>
  <si>
    <t>01:02:45.247000</t>
  </si>
  <si>
    <t>01:02:49.247000</t>
  </si>
  <si>
    <t>01:02:53.685000</t>
  </si>
  <si>
    <t>01:02:50.685000</t>
  </si>
  <si>
    <t>01:02:54.685000</t>
  </si>
  <si>
    <t>01:02:56.068000</t>
  </si>
  <si>
    <t>01:02:53.068000</t>
  </si>
  <si>
    <t>01:02:57.068000</t>
  </si>
  <si>
    <t>01:02:58.682000</t>
  </si>
  <si>
    <t>01:02:55.682000</t>
  </si>
  <si>
    <t>01:02:59.682000</t>
  </si>
  <si>
    <t>01:08:45.128000</t>
  </si>
  <si>
    <t>01:08:42.128000</t>
  </si>
  <si>
    <t>01:08:46.128000</t>
  </si>
  <si>
    <t>01:08:50.225000</t>
  </si>
  <si>
    <t>01:08:47.225000</t>
  </si>
  <si>
    <t>01:08:51.225000</t>
  </si>
  <si>
    <t>01:08:58.369000</t>
  </si>
  <si>
    <t>01:08:55.369000</t>
  </si>
  <si>
    <t>01:08:59.369000</t>
  </si>
  <si>
    <t>01:09:02.898000</t>
  </si>
  <si>
    <t>01:08:59.898000</t>
  </si>
  <si>
    <t>01:09:03.898000</t>
  </si>
  <si>
    <t>01:09:07.780000</t>
  </si>
  <si>
    <t>01:09:04.780000</t>
  </si>
  <si>
    <t>01:09:08.780000</t>
  </si>
  <si>
    <t>01:09:08.787000</t>
  </si>
  <si>
    <t>01:09:05.787000</t>
  </si>
  <si>
    <t>01:09:09.787000</t>
  </si>
  <si>
    <t>01:11:05.445000</t>
  </si>
  <si>
    <t>01:11:02.445000</t>
  </si>
  <si>
    <t>01:11:06.445000</t>
  </si>
  <si>
    <t>01:12:19.101000</t>
  </si>
  <si>
    <t>01:12:16.101000</t>
  </si>
  <si>
    <t>01:12:20.101000</t>
  </si>
  <si>
    <t>01:12:31.061000</t>
  </si>
  <si>
    <t>01:12:28.061000</t>
  </si>
  <si>
    <t>01:12:32.061000</t>
  </si>
  <si>
    <t>01:12:36.680000</t>
  </si>
  <si>
    <t>01:12:33.680000</t>
  </si>
  <si>
    <t>01:12:37.680000</t>
  </si>
  <si>
    <t>01:12:38.259000</t>
  </si>
  <si>
    <t>01:12:35.259000</t>
  </si>
  <si>
    <t>01:12:39.259000</t>
  </si>
  <si>
    <t>01:14:30.271000</t>
  </si>
  <si>
    <t>01:14:27.271000</t>
  </si>
  <si>
    <t>01:14:31.271000</t>
  </si>
  <si>
    <t>01:14:33.868000</t>
  </si>
  <si>
    <t>01:14:30.868000</t>
  </si>
  <si>
    <t>01:14:34.868000</t>
  </si>
  <si>
    <t>01:14:42.086000</t>
  </si>
  <si>
    <t>01:14:39.086000</t>
  </si>
  <si>
    <t>01:14:43.086000</t>
  </si>
  <si>
    <t>01:14:44.552000</t>
  </si>
  <si>
    <t>01:14:41.552000</t>
  </si>
  <si>
    <t>01:14:45.552000</t>
  </si>
  <si>
    <t>01:14:49.215000</t>
  </si>
  <si>
    <t>01:14:46.215000</t>
  </si>
  <si>
    <t>01:14:50.215000</t>
  </si>
  <si>
    <t>01:15:46.942000</t>
  </si>
  <si>
    <t>01:15:43.942000</t>
  </si>
  <si>
    <t>01:15:47.942000</t>
  </si>
  <si>
    <t>01:15:47.966000</t>
  </si>
  <si>
    <t>01:15:44.966000</t>
  </si>
  <si>
    <t>01:15:48.966000</t>
  </si>
  <si>
    <t>01:16:50.690000</t>
  </si>
  <si>
    <t>01:16:47.690000</t>
  </si>
  <si>
    <t>01:16:51.690000</t>
  </si>
  <si>
    <t>01:23:25.390000</t>
  </si>
  <si>
    <t>01:23:22.390000</t>
  </si>
  <si>
    <t>01:23:26.390000</t>
  </si>
  <si>
    <t>01:27:34.766000</t>
  </si>
  <si>
    <t>01:27:31.766000</t>
  </si>
  <si>
    <t>01:27:35.766000</t>
  </si>
  <si>
    <t>01:27:34.994000</t>
  </si>
  <si>
    <t>01:27:31.994000</t>
  </si>
  <si>
    <t>01:27:35.994000</t>
  </si>
  <si>
    <t>01:27:36.451000</t>
  </si>
  <si>
    <t>01:27:33.451000</t>
  </si>
  <si>
    <t>01:27:37.451000</t>
  </si>
  <si>
    <t>01:27:51.007000</t>
  </si>
  <si>
    <t>01:27:48.007000</t>
  </si>
  <si>
    <t>01:27:52.007000</t>
  </si>
  <si>
    <t>01:27:52.739000</t>
  </si>
  <si>
    <t>01:27:49.739000</t>
  </si>
  <si>
    <t>01:27:53.739000</t>
  </si>
  <si>
    <t>01:27:55.556000</t>
  </si>
  <si>
    <t>01:27:52.556000</t>
  </si>
  <si>
    <t>01:27:56.556000</t>
  </si>
  <si>
    <t>01:28:01.188000</t>
  </si>
  <si>
    <t>01:27:58.188000</t>
  </si>
  <si>
    <t>01:28:02.188000</t>
  </si>
  <si>
    <t>01:28:03.916000</t>
  </si>
  <si>
    <t>01:28:00.916000</t>
  </si>
  <si>
    <t>01:28:04.916000</t>
  </si>
  <si>
    <t>01:28:08.194000</t>
  </si>
  <si>
    <t>01:28:05.194000</t>
  </si>
  <si>
    <t>01:28:09.194000</t>
  </si>
  <si>
    <t>01:35:02.270000</t>
  </si>
  <si>
    <t>01:34:59.270000</t>
  </si>
  <si>
    <t>01:35:03.270000</t>
  </si>
  <si>
    <t>01:35:03.693000</t>
  </si>
  <si>
    <t>01:35:00.693000</t>
  </si>
  <si>
    <t>01:35:04.693000</t>
  </si>
  <si>
    <t>01:35:06.482000</t>
  </si>
  <si>
    <t>01:35:03.482000</t>
  </si>
  <si>
    <t>01:35:07.482000</t>
  </si>
  <si>
    <t>01:35:11.158000</t>
  </si>
  <si>
    <t>01:35:08.158000</t>
  </si>
  <si>
    <t>01:35:12.158000</t>
  </si>
  <si>
    <t>01:40:48.408000</t>
  </si>
  <si>
    <t>01:40:45.408000</t>
  </si>
  <si>
    <t>01:40:49.408000</t>
  </si>
  <si>
    <t>01:40:53.608000</t>
  </si>
  <si>
    <t>01:40:50.608000</t>
  </si>
  <si>
    <t>01:40:54.608000</t>
  </si>
  <si>
    <t>01:42:36.653000</t>
  </si>
  <si>
    <t>01:42:33.653000</t>
  </si>
  <si>
    <t>01:42:37.653000</t>
  </si>
  <si>
    <t>01:42:37.698000</t>
  </si>
  <si>
    <t>01:42:34.698000</t>
  </si>
  <si>
    <t>01:42:38.698000</t>
  </si>
  <si>
    <t>01:42:39.398000</t>
  </si>
  <si>
    <t>01:42:36.398000</t>
  </si>
  <si>
    <t>01:42:40.398000</t>
  </si>
  <si>
    <t>01:42:45.114000</t>
  </si>
  <si>
    <t>01:42:42.114000</t>
  </si>
  <si>
    <t>01:42:46.114000</t>
  </si>
  <si>
    <t>01:42:46.887000</t>
  </si>
  <si>
    <t>01:42:43.887000</t>
  </si>
  <si>
    <t>01:42:47.887000</t>
  </si>
  <si>
    <t>01:42:48.879000</t>
  </si>
  <si>
    <t>01:42:45.879000</t>
  </si>
  <si>
    <t>01:42:49.879000</t>
  </si>
  <si>
    <t>01:42:53.692000</t>
  </si>
  <si>
    <t>01:42:50.692000</t>
  </si>
  <si>
    <t>01:42:54.692000</t>
  </si>
  <si>
    <t>01:42:58.509000</t>
  </si>
  <si>
    <t>01:42:55.509000</t>
  </si>
  <si>
    <t>01:42:59.509000</t>
  </si>
  <si>
    <t>01:45:01.789000</t>
  </si>
  <si>
    <t>01:44:58.789000</t>
  </si>
  <si>
    <t>01:45:02.789000</t>
  </si>
  <si>
    <t>01:50:01.185000</t>
  </si>
  <si>
    <t>01:49:58.185000</t>
  </si>
  <si>
    <t>01:50:02.185000</t>
  </si>
  <si>
    <t>CARRIES OUR 001</t>
  </si>
  <si>
    <t>00:08:47.111000</t>
  </si>
  <si>
    <t>00:08:40.111000</t>
  </si>
  <si>
    <t>00:08:57.111000</t>
  </si>
  <si>
    <t>CARRIES OUR 002</t>
  </si>
  <si>
    <t>00:08:52.140000</t>
  </si>
  <si>
    <t>00:08:45.140000</t>
  </si>
  <si>
    <t>00:09:02.140000</t>
  </si>
  <si>
    <t>CARRIES OUR 003</t>
  </si>
  <si>
    <t>00:09:05.432000</t>
  </si>
  <si>
    <t>00:08:58.432000</t>
  </si>
  <si>
    <t>00:09:15.432000</t>
  </si>
  <si>
    <t>CARRIES OUR 004</t>
  </si>
  <si>
    <t>00:16:26.424000</t>
  </si>
  <si>
    <t>00:16:19.424000</t>
  </si>
  <si>
    <t>00:16:36.424000</t>
  </si>
  <si>
    <t>CARRIES OUR 005</t>
  </si>
  <si>
    <t>00:16:36.733000</t>
  </si>
  <si>
    <t>00:16:29.733000</t>
  </si>
  <si>
    <t>00:16:46.733000</t>
  </si>
  <si>
    <t>CARRIES OUR 006</t>
  </si>
  <si>
    <t>00:16:45.805000</t>
  </si>
  <si>
    <t>00:16:38.805000</t>
  </si>
  <si>
    <t>00:16:55.805000</t>
  </si>
  <si>
    <t>CARRIES OUR 007</t>
  </si>
  <si>
    <t>00:16:48.055000</t>
  </si>
  <si>
    <t>00:16:41.055000</t>
  </si>
  <si>
    <t>00:16:58.055000</t>
  </si>
  <si>
    <t>CARRIES OUR 008</t>
  </si>
  <si>
    <t>00:16:52.030000</t>
  </si>
  <si>
    <t>00:16:45.030000</t>
  </si>
  <si>
    <t>00:17:02.030000</t>
  </si>
  <si>
    <t>CARRIES OUR 009</t>
  </si>
  <si>
    <t>00:17:00.696000</t>
  </si>
  <si>
    <t>00:16:53.696000</t>
  </si>
  <si>
    <t>00:17:10.696000</t>
  </si>
  <si>
    <t>CARRIES OUR 010</t>
  </si>
  <si>
    <t>00:17:05.090000</t>
  </si>
  <si>
    <t>00:16:58.090000</t>
  </si>
  <si>
    <t>00:17:15.090000</t>
  </si>
  <si>
    <t>CARRIES OUR 011</t>
  </si>
  <si>
    <t>00:17:11.835000</t>
  </si>
  <si>
    <t>00:17:28.835000</t>
  </si>
  <si>
    <t>CARRIES OUR 012</t>
  </si>
  <si>
    <t>00:17:22.590000</t>
  </si>
  <si>
    <t>00:17:15.590000</t>
  </si>
  <si>
    <t>00:17:32.590000</t>
  </si>
  <si>
    <t>CARRIES OUR 013</t>
  </si>
  <si>
    <t>00:17:37.238000</t>
  </si>
  <si>
    <t>00:17:30.238000</t>
  </si>
  <si>
    <t>00:17:47.238000</t>
  </si>
  <si>
    <t>CARRIES OUR 014</t>
  </si>
  <si>
    <t>00:17:43.249000</t>
  </si>
  <si>
    <t>00:17:36.249000</t>
  </si>
  <si>
    <t>00:17:53.249000</t>
  </si>
  <si>
    <t>CARRIES OUR 015</t>
  </si>
  <si>
    <t>00:17:49.414000</t>
  </si>
  <si>
    <t>00:17:42.414000</t>
  </si>
  <si>
    <t>00:17:59.414000</t>
  </si>
  <si>
    <t>CARRIES OUR 016</t>
  </si>
  <si>
    <t>00:17:55.368000</t>
  </si>
  <si>
    <t>00:17:48.368000</t>
  </si>
  <si>
    <t>00:18:05.368000</t>
  </si>
  <si>
    <t>CARRIES OUR 017</t>
  </si>
  <si>
    <t>00:18:04.285000</t>
  </si>
  <si>
    <t>00:17:57.285000</t>
  </si>
  <si>
    <t>00:18:14.285000</t>
  </si>
  <si>
    <t>CARRIES OUR 018</t>
  </si>
  <si>
    <t>00:18:10.845000</t>
  </si>
  <si>
    <t>00:18:03.845000</t>
  </si>
  <si>
    <t>00:18:20.845000</t>
  </si>
  <si>
    <t>CARRIES OUR 019</t>
  </si>
  <si>
    <t>00:18:15.328000</t>
  </si>
  <si>
    <t>00:18:08.328000</t>
  </si>
  <si>
    <t>00:18:25.328000</t>
  </si>
  <si>
    <t>CARRIES OUR 020</t>
  </si>
  <si>
    <t>00:18:15.101000</t>
  </si>
  <si>
    <t>00:18:32.101000</t>
  </si>
  <si>
    <t>CARRIES OUR 021</t>
  </si>
  <si>
    <t>00:18:25.340000</t>
  </si>
  <si>
    <t>00:18:18.340000</t>
  </si>
  <si>
    <t>00:18:35.340000</t>
  </si>
  <si>
    <t>CARRIES OUR 022</t>
  </si>
  <si>
    <t>00:19:44.556000</t>
  </si>
  <si>
    <t>00:19:37.556000</t>
  </si>
  <si>
    <t>00:19:54.556000</t>
  </si>
  <si>
    <t>CARRIES OUR 023</t>
  </si>
  <si>
    <t>00:20:28.432000</t>
  </si>
  <si>
    <t>00:20:45.432000</t>
  </si>
  <si>
    <t>CARRIES OUR 024</t>
  </si>
  <si>
    <t>00:20:31.545000</t>
  </si>
  <si>
    <t>00:20:48.545000</t>
  </si>
  <si>
    <t>CARRIES OUR 025</t>
  </si>
  <si>
    <t>00:29:12.285000</t>
  </si>
  <si>
    <t>00:29:05.285000</t>
  </si>
  <si>
    <t>00:29:22.285000</t>
  </si>
  <si>
    <t>CARRIES OUR 026</t>
  </si>
  <si>
    <t>00:29:19.621000</t>
  </si>
  <si>
    <t>00:29:12.621000</t>
  </si>
  <si>
    <t>00:29:29.621000</t>
  </si>
  <si>
    <t>CARRIES OUR 027</t>
  </si>
  <si>
    <t>00:29:55.800000</t>
  </si>
  <si>
    <t>00:29:48.800000</t>
  </si>
  <si>
    <t>00:30:05.800000</t>
  </si>
  <si>
    <t>CARRIES OUR 028</t>
  </si>
  <si>
    <t>00:30:08.580000</t>
  </si>
  <si>
    <t>00:30:01.580000</t>
  </si>
  <si>
    <t>00:30:18.580000</t>
  </si>
  <si>
    <t>CARRIES OUR 029</t>
  </si>
  <si>
    <t>00:30:14.124000</t>
  </si>
  <si>
    <t>00:30:07.124000</t>
  </si>
  <si>
    <t>00:30:24.124000</t>
  </si>
  <si>
    <t>CARRIES OUR 030</t>
  </si>
  <si>
    <t>00:30:19.334000</t>
  </si>
  <si>
    <t>00:30:12.334000</t>
  </si>
  <si>
    <t>00:30:29.334000</t>
  </si>
  <si>
    <t>CARRIES OUR 031</t>
  </si>
  <si>
    <t>00:30:25.798000</t>
  </si>
  <si>
    <t>00:30:18.798000</t>
  </si>
  <si>
    <t>00:30:35.798000</t>
  </si>
  <si>
    <t>CARRIES OUR 032</t>
  </si>
  <si>
    <t>00:30:42.901000</t>
  </si>
  <si>
    <t>00:30:35.901000</t>
  </si>
  <si>
    <t>00:30:52.901000</t>
  </si>
  <si>
    <t>CARRIES OUR 033</t>
  </si>
  <si>
    <t>00:30:55.427000</t>
  </si>
  <si>
    <t>00:30:48.427000</t>
  </si>
  <si>
    <t>00:31:05.427000</t>
  </si>
  <si>
    <t>CARRIES OUR 034</t>
  </si>
  <si>
    <t>00:31:02.454000</t>
  </si>
  <si>
    <t>00:30:55.454000</t>
  </si>
  <si>
    <t>00:31:12.454000</t>
  </si>
  <si>
    <t>CARRIES OUR 035</t>
  </si>
  <si>
    <t>00:31:12.892000</t>
  </si>
  <si>
    <t>00:31:05.892000</t>
  </si>
  <si>
    <t>00:31:22.892000</t>
  </si>
  <si>
    <t>CARRIES OUR 036</t>
  </si>
  <si>
    <t>00:31:17.340000</t>
  </si>
  <si>
    <t>00:31:10.340000</t>
  </si>
  <si>
    <t>00:31:27.340000</t>
  </si>
  <si>
    <t>CARRIES OUR 037</t>
  </si>
  <si>
    <t>00:31:21.525000</t>
  </si>
  <si>
    <t>00:31:14.525000</t>
  </si>
  <si>
    <t>00:31:31.525000</t>
  </si>
  <si>
    <t>CARRIES OUR 038</t>
  </si>
  <si>
    <t>00:31:31.302000</t>
  </si>
  <si>
    <t>00:31:24.302000</t>
  </si>
  <si>
    <t>00:31:41.302000</t>
  </si>
  <si>
    <t>CARRIES OUR 039</t>
  </si>
  <si>
    <t>00:31:41.453000</t>
  </si>
  <si>
    <t>00:31:34.453000</t>
  </si>
  <si>
    <t>00:31:51.453000</t>
  </si>
  <si>
    <t>CARRIES OUR 040</t>
  </si>
  <si>
    <t>00:31:47.568000</t>
  </si>
  <si>
    <t>00:31:40.568000</t>
  </si>
  <si>
    <t>00:31:57.568000</t>
  </si>
  <si>
    <t>CARRIES OUR 041</t>
  </si>
  <si>
    <t>00:31:53.818000</t>
  </si>
  <si>
    <t>00:31:46.818000</t>
  </si>
  <si>
    <t>00:32:03.818000</t>
  </si>
  <si>
    <t>CARRIES OUR 042</t>
  </si>
  <si>
    <t>00:31:59.896000</t>
  </si>
  <si>
    <t>00:31:52.896000</t>
  </si>
  <si>
    <t>00:32:09.896000</t>
  </si>
  <si>
    <t>CARRIES OUR 043</t>
  </si>
  <si>
    <t>00:32:05.494000</t>
  </si>
  <si>
    <t>00:31:58.494000</t>
  </si>
  <si>
    <t>00:32:15.494000</t>
  </si>
  <si>
    <t>CARRIES OUR 044</t>
  </si>
  <si>
    <t>00:32:14.289000</t>
  </si>
  <si>
    <t>00:32:07.289000</t>
  </si>
  <si>
    <t>00:32:24.289000</t>
  </si>
  <si>
    <t>CARRIES OUR 045</t>
  </si>
  <si>
    <t>00:32:24.775000</t>
  </si>
  <si>
    <t>00:32:17.775000</t>
  </si>
  <si>
    <t>00:32:34.775000</t>
  </si>
  <si>
    <t>CARRIES OUR 046</t>
  </si>
  <si>
    <t>00:32:24.036000</t>
  </si>
  <si>
    <t>00:32:41.036000</t>
  </si>
  <si>
    <t>CARRIES OUR 047</t>
  </si>
  <si>
    <t>00:33:21.136000</t>
  </si>
  <si>
    <t>00:33:14.136000</t>
  </si>
  <si>
    <t>00:33:31.136000</t>
  </si>
  <si>
    <t>CARRIES OUR 048</t>
  </si>
  <si>
    <t>00:33:25.554000</t>
  </si>
  <si>
    <t>00:33:18.554000</t>
  </si>
  <si>
    <t>00:33:35.554000</t>
  </si>
  <si>
    <t>CARRIES OUR 049</t>
  </si>
  <si>
    <t>00:33:33.575000</t>
  </si>
  <si>
    <t>00:33:26.575000</t>
  </si>
  <si>
    <t>00:33:43.575000</t>
  </si>
  <si>
    <t>CARRIES OUR 050</t>
  </si>
  <si>
    <t>00:33:39.500000</t>
  </si>
  <si>
    <t>00:33:32.500000</t>
  </si>
  <si>
    <t>00:33:49.500000</t>
  </si>
  <si>
    <t>CARRIES OUR 051</t>
  </si>
  <si>
    <t>00:35:07.862000</t>
  </si>
  <si>
    <t>00:35:00.862000</t>
  </si>
  <si>
    <t>00:35:17.862000</t>
  </si>
  <si>
    <t>CARRIES OUR 052</t>
  </si>
  <si>
    <t>00:35:19.147000</t>
  </si>
  <si>
    <t>00:35:12.147000</t>
  </si>
  <si>
    <t>00:35:29.147000</t>
  </si>
  <si>
    <t>CARRIES OUR 053</t>
  </si>
  <si>
    <t>00:45:23.911000</t>
  </si>
  <si>
    <t>00:45:16.911000</t>
  </si>
  <si>
    <t>00:45:33.911000</t>
  </si>
  <si>
    <t>CARRIES OUR 054</t>
  </si>
  <si>
    <t>00:45:30.372000</t>
  </si>
  <si>
    <t>00:45:23.372000</t>
  </si>
  <si>
    <t>00:45:40.372000</t>
  </si>
  <si>
    <t>CARRIES OUR 055</t>
  </si>
  <si>
    <t>00:45:37.023000</t>
  </si>
  <si>
    <t>00:45:30.023000</t>
  </si>
  <si>
    <t>00:45:47.023000</t>
  </si>
  <si>
    <t>CARRIES OUR 056</t>
  </si>
  <si>
    <t>00:45:44.437000</t>
  </si>
  <si>
    <t>00:45:37.437000</t>
  </si>
  <si>
    <t>00:45:54.437000</t>
  </si>
  <si>
    <t>CARRIES OUR 057</t>
  </si>
  <si>
    <t>00:48:03.830000</t>
  </si>
  <si>
    <t>00:47:56.830000</t>
  </si>
  <si>
    <t>00:48:13.830000</t>
  </si>
  <si>
    <t>CARRIES OUR 058</t>
  </si>
  <si>
    <t>00:48:11.674000</t>
  </si>
  <si>
    <t>00:48:04.674000</t>
  </si>
  <si>
    <t>00:48:21.674000</t>
  </si>
  <si>
    <t>CARRIES OUR 059</t>
  </si>
  <si>
    <t>00:48:41.499000</t>
  </si>
  <si>
    <t>00:48:34.499000</t>
  </si>
  <si>
    <t>00:48:51.499000</t>
  </si>
  <si>
    <t>CARRIES OUR 060</t>
  </si>
  <si>
    <t>00:52:27.937000</t>
  </si>
  <si>
    <t>00:52:20.937000</t>
  </si>
  <si>
    <t>00:52:37.937000</t>
  </si>
  <si>
    <t>CARRIES OUR 061</t>
  </si>
  <si>
    <t>01:07:26.360000</t>
  </si>
  <si>
    <t>01:07:19.360000</t>
  </si>
  <si>
    <t>01:07:36.360000</t>
  </si>
  <si>
    <t>CARRIES OUR 062</t>
  </si>
  <si>
    <t>01:08:31.219000</t>
  </si>
  <si>
    <t>01:08:24.219000</t>
  </si>
  <si>
    <t>01:08:41.219000</t>
  </si>
  <si>
    <t>CARRIES OUR 063</t>
  </si>
  <si>
    <t>01:08:42.184000</t>
  </si>
  <si>
    <t>01:08:59.184000</t>
  </si>
  <si>
    <t>CARRIES OUR 064</t>
  </si>
  <si>
    <t>01:09:01.425000</t>
  </si>
  <si>
    <t>01:08:54.425000</t>
  </si>
  <si>
    <t>01:09:11.425000</t>
  </si>
  <si>
    <t>CARRIES OUR 065</t>
  </si>
  <si>
    <t>01:09:10.675000</t>
  </si>
  <si>
    <t>01:09:03.675000</t>
  </si>
  <si>
    <t>01:09:20.675000</t>
  </si>
  <si>
    <t>CARRIES OUR 066</t>
  </si>
  <si>
    <t>01:09:18.093000</t>
  </si>
  <si>
    <t>01:09:11.093000</t>
  </si>
  <si>
    <t>01:09:28.093000</t>
  </si>
  <si>
    <t>CARRIES OUR 067</t>
  </si>
  <si>
    <t>01:09:22.206000</t>
  </si>
  <si>
    <t>01:09:15.206000</t>
  </si>
  <si>
    <t>01:09:32.206000</t>
  </si>
  <si>
    <t>CARRIES OUR 068</t>
  </si>
  <si>
    <t>01:09:30.344000</t>
  </si>
  <si>
    <t>01:09:23.344000</t>
  </si>
  <si>
    <t>01:09:40.344000</t>
  </si>
  <si>
    <t>CARRIES OUR 069</t>
  </si>
  <si>
    <t>01:09:34.417000</t>
  </si>
  <si>
    <t>01:09:27.417000</t>
  </si>
  <si>
    <t>01:09:44.417000</t>
  </si>
  <si>
    <t>CARRIES OUR 070</t>
  </si>
  <si>
    <t>01:09:39.827000</t>
  </si>
  <si>
    <t>01:09:32.827000</t>
  </si>
  <si>
    <t>01:09:49.827000</t>
  </si>
  <si>
    <t>CARRIES OUR 071</t>
  </si>
  <si>
    <t>01:09:44.967000</t>
  </si>
  <si>
    <t>01:09:37.967000</t>
  </si>
  <si>
    <t>01:09:54.967000</t>
  </si>
  <si>
    <t>CARRIES OUR 072</t>
  </si>
  <si>
    <t>01:09:51.132000</t>
  </si>
  <si>
    <t>01:09:44.132000</t>
  </si>
  <si>
    <t>01:10:01.132000</t>
  </si>
  <si>
    <t>CARRIES OUR 073</t>
  </si>
  <si>
    <t>01:10:02.090000</t>
  </si>
  <si>
    <t>01:09:55.090000</t>
  </si>
  <si>
    <t>01:10:12.090000</t>
  </si>
  <si>
    <t>CARRIES OUR 074</t>
  </si>
  <si>
    <t>01:10:10.040000</t>
  </si>
  <si>
    <t>01:10:03.040000</t>
  </si>
  <si>
    <t>01:10:20.040000</t>
  </si>
  <si>
    <t>CARRIES OUR 075</t>
  </si>
  <si>
    <t>01:10:24.100000</t>
  </si>
  <si>
    <t>01:10:17.100000</t>
  </si>
  <si>
    <t>01:10:34.100000</t>
  </si>
  <si>
    <t>CARRIES OUR 076</t>
  </si>
  <si>
    <t>01:11:22.513000</t>
  </si>
  <si>
    <t>01:11:15.513000</t>
  </si>
  <si>
    <t>01:11:32.513000</t>
  </si>
  <si>
    <t>CARRIES OUR 077</t>
  </si>
  <si>
    <t>01:12:28.162000</t>
  </si>
  <si>
    <t>01:12:21.162000</t>
  </si>
  <si>
    <t>01:12:38.162000</t>
  </si>
  <si>
    <t>CARRIES OUR 078</t>
  </si>
  <si>
    <t>01:15:29.729000</t>
  </si>
  <si>
    <t>01:15:22.729000</t>
  </si>
  <si>
    <t>01:15:39.729000</t>
  </si>
  <si>
    <t>CARRIES OUR 079</t>
  </si>
  <si>
    <t>01:15:35.639000</t>
  </si>
  <si>
    <t>01:15:28.639000</t>
  </si>
  <si>
    <t>01:15:45.639000</t>
  </si>
  <si>
    <t>CARRIES OUR 080</t>
  </si>
  <si>
    <t>01:15:39.547000</t>
  </si>
  <si>
    <t>01:15:32.547000</t>
  </si>
  <si>
    <t>01:15:49.547000</t>
  </si>
  <si>
    <t>CARRIES OUR 081</t>
  </si>
  <si>
    <t>01:15:49.982000</t>
  </si>
  <si>
    <t>01:15:42.982000</t>
  </si>
  <si>
    <t>01:15:59.982000</t>
  </si>
  <si>
    <t>CARRIES OUR 082</t>
  </si>
  <si>
    <t>01:15:55.111000</t>
  </si>
  <si>
    <t>01:15:48.111000</t>
  </si>
  <si>
    <t>01:16:05.111000</t>
  </si>
  <si>
    <t>CARRIES OUR 083</t>
  </si>
  <si>
    <t>01:16:02.031000</t>
  </si>
  <si>
    <t>01:15:55.031000</t>
  </si>
  <si>
    <t>01:16:12.031000</t>
  </si>
  <si>
    <t>CARRIES OUR 084</t>
  </si>
  <si>
    <t>01:16:07.847000</t>
  </si>
  <si>
    <t>01:16:00.847000</t>
  </si>
  <si>
    <t>01:16:17.847000</t>
  </si>
  <si>
    <t>CARRIES OUR 085</t>
  </si>
  <si>
    <t>01:16:17.882000</t>
  </si>
  <si>
    <t>01:16:10.882000</t>
  </si>
  <si>
    <t>01:16:27.882000</t>
  </si>
  <si>
    <t>CARRIES OUR 086</t>
  </si>
  <si>
    <t>01:16:23.257000</t>
  </si>
  <si>
    <t>01:16:16.257000</t>
  </si>
  <si>
    <t>01:16:33.257000</t>
  </si>
  <si>
    <t>CARRIES OUR 087</t>
  </si>
  <si>
    <t>01:17:57.820000</t>
  </si>
  <si>
    <t>01:17:50.820000</t>
  </si>
  <si>
    <t>01:18:07.820000</t>
  </si>
  <si>
    <t>CARRIES OUR 088</t>
  </si>
  <si>
    <t>01:18:01.261000</t>
  </si>
  <si>
    <t>01:17:54.261000</t>
  </si>
  <si>
    <t>01:18:11.261000</t>
  </si>
  <si>
    <t>CARRIES OUR 089</t>
  </si>
  <si>
    <t>01:18:06.342000</t>
  </si>
  <si>
    <t>01:17:59.342000</t>
  </si>
  <si>
    <t>01:18:16.342000</t>
  </si>
  <si>
    <t>CARRIES OUR 090</t>
  </si>
  <si>
    <t>01:19:07.857000</t>
  </si>
  <si>
    <t>01:19:00.857000</t>
  </si>
  <si>
    <t>01:19:17.857000</t>
  </si>
  <si>
    <t>CARRIES OUR 091</t>
  </si>
  <si>
    <t>01:21:27.612000</t>
  </si>
  <si>
    <t>01:21:20.612000</t>
  </si>
  <si>
    <t>01:21:37.612000</t>
  </si>
  <si>
    <t>CARRIES OUR 092</t>
  </si>
  <si>
    <t>01:21:29.229000</t>
  </si>
  <si>
    <t>01:21:22.229000</t>
  </si>
  <si>
    <t>01:21:39.229000</t>
  </si>
  <si>
    <t>CARRIES OUR 093</t>
  </si>
  <si>
    <t>01:21:39.963000</t>
  </si>
  <si>
    <t>01:21:32.963000</t>
  </si>
  <si>
    <t>01:21:49.963000</t>
  </si>
  <si>
    <t>CARRIES OUR 094</t>
  </si>
  <si>
    <t>01:23:11.111000</t>
  </si>
  <si>
    <t>01:23:04.111000</t>
  </si>
  <si>
    <t>01:23:21.111000</t>
  </si>
  <si>
    <t>CARRIES OUR 095</t>
  </si>
  <si>
    <t>01:23:17.990000</t>
  </si>
  <si>
    <t>01:23:10.990000</t>
  </si>
  <si>
    <t>01:23:27.990000</t>
  </si>
  <si>
    <t>CARRIES OUR 096</t>
  </si>
  <si>
    <t>01:23:26.429000</t>
  </si>
  <si>
    <t>01:23:19.429000</t>
  </si>
  <si>
    <t>01:23:36.429000</t>
  </si>
  <si>
    <t>CARRIES OUR 097</t>
  </si>
  <si>
    <t>01:29:22.895000</t>
  </si>
  <si>
    <t>01:29:15.895000</t>
  </si>
  <si>
    <t>01:29:32.895000</t>
  </si>
  <si>
    <t>CARRIES OUR 098</t>
  </si>
  <si>
    <t>01:29:29.509000</t>
  </si>
  <si>
    <t>01:29:22.509000</t>
  </si>
  <si>
    <t>01:29:39.509000</t>
  </si>
  <si>
    <t>CARRIES OUR 099</t>
  </si>
  <si>
    <t>01:29:38.411000</t>
  </si>
  <si>
    <t>01:29:31.411000</t>
  </si>
  <si>
    <t>01:29:48.411000</t>
  </si>
  <si>
    <t>CARRIES OUR 100</t>
  </si>
  <si>
    <t>01:29:44.695000</t>
  </si>
  <si>
    <t>01:29:37.695000</t>
  </si>
  <si>
    <t>01:29:54.695000</t>
  </si>
  <si>
    <t>CARRIES OUR 101</t>
  </si>
  <si>
    <t>01:29:49.077000</t>
  </si>
  <si>
    <t>01:29:42.077000</t>
  </si>
  <si>
    <t>01:29:59.077000</t>
  </si>
  <si>
    <t>CARRIES OUR 102</t>
  </si>
  <si>
    <t>01:29:55.437000</t>
  </si>
  <si>
    <t>01:29:48.437000</t>
  </si>
  <si>
    <t>01:30:05.437000</t>
  </si>
  <si>
    <t>CARRIES OUR 103</t>
  </si>
  <si>
    <t>01:29:58.949000</t>
  </si>
  <si>
    <t>01:29:51.949000</t>
  </si>
  <si>
    <t>01:30:08.949000</t>
  </si>
  <si>
    <t>CARRIES OUR 104</t>
  </si>
  <si>
    <t>01:32:39.895000</t>
  </si>
  <si>
    <t>01:32:32.895000</t>
  </si>
  <si>
    <t>01:32:49.895000</t>
  </si>
  <si>
    <t>CARRIES OUR 105</t>
  </si>
  <si>
    <t>01:34:32.572000</t>
  </si>
  <si>
    <t>01:34:25.572000</t>
  </si>
  <si>
    <t>01:34:42.572000</t>
  </si>
  <si>
    <t>CARRIES OUR 106</t>
  </si>
  <si>
    <t>01:34:41.659000</t>
  </si>
  <si>
    <t>01:34:34.659000</t>
  </si>
  <si>
    <t>01:34:51.659000</t>
  </si>
  <si>
    <t>CARRIES OUR 107</t>
  </si>
  <si>
    <t>01:34:48.657000</t>
  </si>
  <si>
    <t>01:34:41.657000</t>
  </si>
  <si>
    <t>01:34:58.657000</t>
  </si>
  <si>
    <t>CARRIES OUR 108</t>
  </si>
  <si>
    <t>01:37:40.084000</t>
  </si>
  <si>
    <t>01:37:33.084000</t>
  </si>
  <si>
    <t>01:37:50.084000</t>
  </si>
  <si>
    <t>CARRIES OUR 109</t>
  </si>
  <si>
    <t>01:38:45.313000</t>
  </si>
  <si>
    <t>01:38:38.313000</t>
  </si>
  <si>
    <t>01:38:55.313000</t>
  </si>
  <si>
    <t>CARRIES OUR 110</t>
  </si>
  <si>
    <t>01:39:04.970000</t>
  </si>
  <si>
    <t>01:38:57.970000</t>
  </si>
  <si>
    <t>01:39:14.970000</t>
  </si>
  <si>
    <t>CARRIES OUR 111</t>
  </si>
  <si>
    <t>01:39:12.387000</t>
  </si>
  <si>
    <t>01:39:05.387000</t>
  </si>
  <si>
    <t>01:39:22.387000</t>
  </si>
  <si>
    <t>CARRIES OUR 112</t>
  </si>
  <si>
    <t>01:39:26.550000</t>
  </si>
  <si>
    <t>01:39:19.550000</t>
  </si>
  <si>
    <t>01:39:36.550000</t>
  </si>
  <si>
    <t>CARRIES OUR 113</t>
  </si>
  <si>
    <t>01:40:46.432000</t>
  </si>
  <si>
    <t>01:40:39.432000</t>
  </si>
  <si>
    <t>01:40:56.432000</t>
  </si>
  <si>
    <t>CARRIES OUR 114</t>
  </si>
  <si>
    <t>01:41:45.854000</t>
  </si>
  <si>
    <t>01:41:38.854000</t>
  </si>
  <si>
    <t>01:41:55.854000</t>
  </si>
  <si>
    <t>CARRIES OUR 115</t>
  </si>
  <si>
    <t>01:42:06.262000</t>
  </si>
  <si>
    <t>01:41:59.262000</t>
  </si>
  <si>
    <t>01:42:16.262000</t>
  </si>
  <si>
    <t>CARRIES OUR 116</t>
  </si>
  <si>
    <t>01:42:07.253000</t>
  </si>
  <si>
    <t>01:42:24.253000</t>
  </si>
  <si>
    <t>CARRIES OUR 117</t>
  </si>
  <si>
    <t>01:43:56.099000</t>
  </si>
  <si>
    <t>01:43:49.099000</t>
  </si>
  <si>
    <t>01:44:06.099000</t>
  </si>
  <si>
    <t>CARRIES OUR 118</t>
  </si>
  <si>
    <t>01:44:01.189000</t>
  </si>
  <si>
    <t>01:43:54.189000</t>
  </si>
  <si>
    <t>01:44:11.189000</t>
  </si>
  <si>
    <t>CARRIES OUR 119</t>
  </si>
  <si>
    <t>01:44:16.620000</t>
  </si>
  <si>
    <t>01:44:09.620000</t>
  </si>
  <si>
    <t>01:44:26.620000</t>
  </si>
  <si>
    <t>CARRIES OUR 120</t>
  </si>
  <si>
    <t>01:44:25.633000</t>
  </si>
  <si>
    <t>01:44:18.633000</t>
  </si>
  <si>
    <t>01:44:35.633000</t>
  </si>
  <si>
    <t>CARRIES OUR 121</t>
  </si>
  <si>
    <t>01:44:33.445000</t>
  </si>
  <si>
    <t>01:44:26.445000</t>
  </si>
  <si>
    <t>01:44:43.445000</t>
  </si>
  <si>
    <t>CARRIES OUR 122</t>
  </si>
  <si>
    <t>01:44:42.660000</t>
  </si>
  <si>
    <t>01:44:35.660000</t>
  </si>
  <si>
    <t>01:44:52.660000</t>
  </si>
  <si>
    <t>CARRIES OUR 123</t>
  </si>
  <si>
    <t>01:44:48.013000</t>
  </si>
  <si>
    <t>01:44:41.013000</t>
  </si>
  <si>
    <t>01:44:58.013000</t>
  </si>
  <si>
    <t>CARRIES OUR 124</t>
  </si>
  <si>
    <t>01:46:35.983000</t>
  </si>
  <si>
    <t>01:46:28.983000</t>
  </si>
  <si>
    <t>01:46:45.983000</t>
  </si>
  <si>
    <t>CARRIES OUR 125</t>
  </si>
  <si>
    <t>01:46:49.094000</t>
  </si>
  <si>
    <t>01:46:42.094000</t>
  </si>
  <si>
    <t>01:46:59.094000</t>
  </si>
  <si>
    <t>CARRIES OUR 126</t>
  </si>
  <si>
    <t>01:51:34.059000</t>
  </si>
  <si>
    <t>01:51:27.059000</t>
  </si>
  <si>
    <t>01:51:44.059000</t>
  </si>
  <si>
    <t>CARRIES OUR 127</t>
  </si>
  <si>
    <t>01:51:40.529000</t>
  </si>
  <si>
    <t>01:51:33.529000</t>
  </si>
  <si>
    <t>01:51:50.529000</t>
  </si>
  <si>
    <t>CARRIES OUR 128</t>
  </si>
  <si>
    <t>01:54:04.855000</t>
  </si>
  <si>
    <t>01:53:57.855000</t>
  </si>
  <si>
    <t>01:54:14.855000</t>
  </si>
  <si>
    <t>CARRIES OUR 129</t>
  </si>
  <si>
    <t>01:54:41.239000</t>
  </si>
  <si>
    <t>01:54:34.239000</t>
  </si>
  <si>
    <t>01:54:51.239000</t>
  </si>
  <si>
    <t>CARRIES OPP 001</t>
  </si>
  <si>
    <t>00:10:17.803000</t>
  </si>
  <si>
    <t>00:10:10.803000</t>
  </si>
  <si>
    <t>00:10:27.803000</t>
  </si>
  <si>
    <t>CARRIES OPP 002</t>
  </si>
  <si>
    <t>00:10:26.573000</t>
  </si>
  <si>
    <t>00:10:19.573000</t>
  </si>
  <si>
    <t>00:10:36.573000</t>
  </si>
  <si>
    <t>CARRIES OPP 003</t>
  </si>
  <si>
    <t>00:10:40.915000</t>
  </si>
  <si>
    <t>00:10:33.915000</t>
  </si>
  <si>
    <t>00:10:50.915000</t>
  </si>
  <si>
    <t>CARRIES OPP 004</t>
  </si>
  <si>
    <t>00:11:36.677000</t>
  </si>
  <si>
    <t>00:11:29.677000</t>
  </si>
  <si>
    <t>00:11:46.677000</t>
  </si>
  <si>
    <t>CARRIES OPP 005</t>
  </si>
  <si>
    <t>00:11:47.093000</t>
  </si>
  <si>
    <t>00:11:40.093000</t>
  </si>
  <si>
    <t>00:11:57.093000</t>
  </si>
  <si>
    <t>CARRIES OPP 006</t>
  </si>
  <si>
    <t>00:11:45.927000</t>
  </si>
  <si>
    <t>00:12:02.927000</t>
  </si>
  <si>
    <t>CARRIES OPP 007</t>
  </si>
  <si>
    <t>00:11:56.921000</t>
  </si>
  <si>
    <t>00:11:49.921000</t>
  </si>
  <si>
    <t>00:12:06.921000</t>
  </si>
  <si>
    <t>CARRIES OPP 008</t>
  </si>
  <si>
    <t>00:12:04.569000</t>
  </si>
  <si>
    <t>00:11:57.569000</t>
  </si>
  <si>
    <t>00:12:14.569000</t>
  </si>
  <si>
    <t>CARRIES OPP 009</t>
  </si>
  <si>
    <t>00:12:10.921000</t>
  </si>
  <si>
    <t>00:12:03.921000</t>
  </si>
  <si>
    <t>00:12:20.921000</t>
  </si>
  <si>
    <t>CARRIES OPP 010</t>
  </si>
  <si>
    <t>00:12:14.916000</t>
  </si>
  <si>
    <t>00:12:07.916000</t>
  </si>
  <si>
    <t>00:12:24.916000</t>
  </si>
  <si>
    <t>CARRIES OPP 011</t>
  </si>
  <si>
    <t>00:12:59.774000</t>
  </si>
  <si>
    <t>00:12:52.774000</t>
  </si>
  <si>
    <t>00:13:09.774000</t>
  </si>
  <si>
    <t>CARRIES OPP 012</t>
  </si>
  <si>
    <t>00:13:17.933000</t>
  </si>
  <si>
    <t>00:13:10.933000</t>
  </si>
  <si>
    <t>00:13:27.933000</t>
  </si>
  <si>
    <t>CARRIES OPP 013</t>
  </si>
  <si>
    <t>00:13:25.768000</t>
  </si>
  <si>
    <t>00:13:18.768000</t>
  </si>
  <si>
    <t>00:13:35.768000</t>
  </si>
  <si>
    <t>CARRIES OPP 014</t>
  </si>
  <si>
    <t>00:13:26.818000</t>
  </si>
  <si>
    <t>00:13:19.818000</t>
  </si>
  <si>
    <t>00:13:36.818000</t>
  </si>
  <si>
    <t>CARRIES OPP 015</t>
  </si>
  <si>
    <t>00:13:30.094000</t>
  </si>
  <si>
    <t>00:13:23.094000</t>
  </si>
  <si>
    <t>00:13:40.094000</t>
  </si>
  <si>
    <t>CARRIES OPP 016</t>
  </si>
  <si>
    <t>00:13:34.412000</t>
  </si>
  <si>
    <t>00:13:27.412000</t>
  </si>
  <si>
    <t>00:13:44.412000</t>
  </si>
  <si>
    <t>CARRIES OPP 017</t>
  </si>
  <si>
    <t>00:13:37.359000</t>
  </si>
  <si>
    <t>00:13:54.359000</t>
  </si>
  <si>
    <t>CARRIES OPP 018</t>
  </si>
  <si>
    <t>00:13:47.165000</t>
  </si>
  <si>
    <t>00:13:40.165000</t>
  </si>
  <si>
    <t>00:13:57.165000</t>
  </si>
  <si>
    <t>CARRIES OPP 019</t>
  </si>
  <si>
    <t>00:13:56.720000</t>
  </si>
  <si>
    <t>00:13:49.720000</t>
  </si>
  <si>
    <t>00:14:06.720000</t>
  </si>
  <si>
    <t>CARRIES OPP 020</t>
  </si>
  <si>
    <t>00:14:03.029000</t>
  </si>
  <si>
    <t>00:13:56.029000</t>
  </si>
  <si>
    <t>00:14:13.029000</t>
  </si>
  <si>
    <t>CARRIES OPP 021</t>
  </si>
  <si>
    <t>00:15:23.577000</t>
  </si>
  <si>
    <t>00:15:16.577000</t>
  </si>
  <si>
    <t>00:15:33.577000</t>
  </si>
  <si>
    <t>CARRIES OPP 022</t>
  </si>
  <si>
    <t>00:23:02.001000</t>
  </si>
  <si>
    <t>00:22:55.001000</t>
  </si>
  <si>
    <t>00:23:12.001000</t>
  </si>
  <si>
    <t>CARRIES OPP 023</t>
  </si>
  <si>
    <t>00:24:49.073000</t>
  </si>
  <si>
    <t>00:24:42.073000</t>
  </si>
  <si>
    <t>00:24:59.073000</t>
  </si>
  <si>
    <t>CARRIES OPP 024</t>
  </si>
  <si>
    <t>00:24:50.608000</t>
  </si>
  <si>
    <t>00:25:07.608000</t>
  </si>
  <si>
    <t>CARRIES OPP 025</t>
  </si>
  <si>
    <t>00:25:03.582000</t>
  </si>
  <si>
    <t>00:24:56.582000</t>
  </si>
  <si>
    <t>00:25:13.582000</t>
  </si>
  <si>
    <t>CARRIES OPP 026</t>
  </si>
  <si>
    <t>00:28:40.606000</t>
  </si>
  <si>
    <t>00:28:33.606000</t>
  </si>
  <si>
    <t>00:28:50.606000</t>
  </si>
  <si>
    <t>CARRIES OPP 027</t>
  </si>
  <si>
    <t>00:28:51.615000</t>
  </si>
  <si>
    <t>00:28:44.615000</t>
  </si>
  <si>
    <t>00:29:01.615000</t>
  </si>
  <si>
    <t>CARRIES OPP 028</t>
  </si>
  <si>
    <t>00:28:59.776000</t>
  </si>
  <si>
    <t>00:28:52.776000</t>
  </si>
  <si>
    <t>00:29:09.776000</t>
  </si>
  <si>
    <t>CARRIES OPP 029</t>
  </si>
  <si>
    <t>00:29:39.396000</t>
  </si>
  <si>
    <t>00:29:32.396000</t>
  </si>
  <si>
    <t>00:29:49.396000</t>
  </si>
  <si>
    <t>CARRIES OPP 030</t>
  </si>
  <si>
    <t>00:29:43.454000</t>
  </si>
  <si>
    <t>00:29:36.454000</t>
  </si>
  <si>
    <t>00:29:53.454000</t>
  </si>
  <si>
    <t>CARRIES OPP 031</t>
  </si>
  <si>
    <t>00:35:53.697000</t>
  </si>
  <si>
    <t>00:35:46.697000</t>
  </si>
  <si>
    <t>00:36:03.697000</t>
  </si>
  <si>
    <t>CARRIES OPP 032</t>
  </si>
  <si>
    <t>00:36:01.376000</t>
  </si>
  <si>
    <t>00:35:54.376000</t>
  </si>
  <si>
    <t>00:36:11.376000</t>
  </si>
  <si>
    <t>CARRIES OPP 033</t>
  </si>
  <si>
    <t>00:37:07.318000</t>
  </si>
  <si>
    <t>00:37:00.318000</t>
  </si>
  <si>
    <t>00:37:17.318000</t>
  </si>
  <si>
    <t>CARRIES OPP 034</t>
  </si>
  <si>
    <t>00:37:16.755000</t>
  </si>
  <si>
    <t>00:37:09.755000</t>
  </si>
  <si>
    <t>00:37:26.755000</t>
  </si>
  <si>
    <t>CARRIES OPP 035</t>
  </si>
  <si>
    <t>00:37:21.159000</t>
  </si>
  <si>
    <t>00:37:14.159000</t>
  </si>
  <si>
    <t>00:37:31.159000</t>
  </si>
  <si>
    <t>CARRIES OPP 036</t>
  </si>
  <si>
    <t>00:37:27.939000</t>
  </si>
  <si>
    <t>00:37:20.939000</t>
  </si>
  <si>
    <t>00:37:37.939000</t>
  </si>
  <si>
    <t>CARRIES OPP 037</t>
  </si>
  <si>
    <t>00:37:33.550000</t>
  </si>
  <si>
    <t>00:37:26.550000</t>
  </si>
  <si>
    <t>00:37:43.550000</t>
  </si>
  <si>
    <t>CARRIES OPP 038</t>
  </si>
  <si>
    <t>00:37:39.678000</t>
  </si>
  <si>
    <t>00:37:32.678000</t>
  </si>
  <si>
    <t>00:37:49.678000</t>
  </si>
  <si>
    <t>CARRIES OPP 039</t>
  </si>
  <si>
    <t>00:37:51.853000</t>
  </si>
  <si>
    <t>00:37:44.853000</t>
  </si>
  <si>
    <t>00:38:01.853000</t>
  </si>
  <si>
    <t>CARRIES OPP 040</t>
  </si>
  <si>
    <t>00:38:01.334000</t>
  </si>
  <si>
    <t>00:37:54.334000</t>
  </si>
  <si>
    <t>00:38:11.334000</t>
  </si>
  <si>
    <t>CARRIES OPP 041</t>
  </si>
  <si>
    <t>00:38:07.484000</t>
  </si>
  <si>
    <t>00:38:00.484000</t>
  </si>
  <si>
    <t>00:38:17.484000</t>
  </si>
  <si>
    <t>CARRIES OPP 042</t>
  </si>
  <si>
    <t>00:39:08.542000</t>
  </si>
  <si>
    <t>00:39:01.542000</t>
  </si>
  <si>
    <t>00:39:18.542000</t>
  </si>
  <si>
    <t>CARRIES OPP 043</t>
  </si>
  <si>
    <t>00:39:11.219000</t>
  </si>
  <si>
    <t>00:39:04.219000</t>
  </si>
  <si>
    <t>00:39:21.219000</t>
  </si>
  <si>
    <t>CARRIES OPP 044</t>
  </si>
  <si>
    <t>00:39:20.886000</t>
  </si>
  <si>
    <t>00:39:13.886000</t>
  </si>
  <si>
    <t>00:39:30.886000</t>
  </si>
  <si>
    <t>CARRIES OPP 045</t>
  </si>
  <si>
    <t>00:39:27.063000</t>
  </si>
  <si>
    <t>00:39:20.063000</t>
  </si>
  <si>
    <t>00:39:37.063000</t>
  </si>
  <si>
    <t>CARRIES OPP 046</t>
  </si>
  <si>
    <t>00:39:39.295000</t>
  </si>
  <si>
    <t>00:39:32.295000</t>
  </si>
  <si>
    <t>00:39:49.295000</t>
  </si>
  <si>
    <t>CARRIES OPP 047</t>
  </si>
  <si>
    <t>00:39:40.286000</t>
  </si>
  <si>
    <t>00:39:57.286000</t>
  </si>
  <si>
    <t>CARRIES OPP 048</t>
  </si>
  <si>
    <t>00:39:49.853000</t>
  </si>
  <si>
    <t>00:39:42.853000</t>
  </si>
  <si>
    <t>00:39:59.853000</t>
  </si>
  <si>
    <t>CARRIES OPP 049</t>
  </si>
  <si>
    <t>00:40:01.763000</t>
  </si>
  <si>
    <t>00:39:54.763000</t>
  </si>
  <si>
    <t>00:40:11.763000</t>
  </si>
  <si>
    <t>CARRIES OPP 050</t>
  </si>
  <si>
    <t>00:40:06.258000</t>
  </si>
  <si>
    <t>00:39:59.258000</t>
  </si>
  <si>
    <t>00:40:16.258000</t>
  </si>
  <si>
    <t>CARRIES OPP 051</t>
  </si>
  <si>
    <t>00:40:13.371000</t>
  </si>
  <si>
    <t>00:40:06.371000</t>
  </si>
  <si>
    <t>00:40:23.371000</t>
  </si>
  <si>
    <t>CARRIES OPP 052</t>
  </si>
  <si>
    <t>00:42:45.184000</t>
  </si>
  <si>
    <t>00:42:38.184000</t>
  </si>
  <si>
    <t>00:42:55.184000</t>
  </si>
  <si>
    <t>CARRIES OPP 053</t>
  </si>
  <si>
    <t>00:42:51.967000</t>
  </si>
  <si>
    <t>00:42:44.967000</t>
  </si>
  <si>
    <t>00:43:01.967000</t>
  </si>
  <si>
    <t>CARRIES OPP 054</t>
  </si>
  <si>
    <t>00:43:00.560000</t>
  </si>
  <si>
    <t>00:42:53.560000</t>
  </si>
  <si>
    <t>00:43:10.560000</t>
  </si>
  <si>
    <t>CARRIES OPP 055</t>
  </si>
  <si>
    <t>00:43:09.818000</t>
  </si>
  <si>
    <t>00:43:02.818000</t>
  </si>
  <si>
    <t>00:43:19.818000</t>
  </si>
  <si>
    <t>CARRIES OPP 056</t>
  </si>
  <si>
    <t>00:43:15.688000</t>
  </si>
  <si>
    <t>00:43:08.688000</t>
  </si>
  <si>
    <t>00:43:25.688000</t>
  </si>
  <si>
    <t>CARRIES OPP 057</t>
  </si>
  <si>
    <t>00:52:25.573000</t>
  </si>
  <si>
    <t>00:52:42.573000</t>
  </si>
  <si>
    <t>CARRIES OPP 058</t>
  </si>
  <si>
    <t>00:52:34.145000</t>
  </si>
  <si>
    <t>00:52:51.145000</t>
  </si>
  <si>
    <t>CARRIES OPP 059</t>
  </si>
  <si>
    <t>00:52:44.516000</t>
  </si>
  <si>
    <t>00:52:37.516000</t>
  </si>
  <si>
    <t>00:52:54.516000</t>
  </si>
  <si>
    <t>CARRIES OPP 060</t>
  </si>
  <si>
    <t>00:52:48.449000</t>
  </si>
  <si>
    <t>00:52:41.449000</t>
  </si>
  <si>
    <t>00:52:58.449000</t>
  </si>
  <si>
    <t>CARRIES OPP 061</t>
  </si>
  <si>
    <t>00:52:54.184000</t>
  </si>
  <si>
    <t>00:52:47.184000</t>
  </si>
  <si>
    <t>00:53:04.184000</t>
  </si>
  <si>
    <t>CARRIES OPP 062</t>
  </si>
  <si>
    <t>01:08:27.592000</t>
  </si>
  <si>
    <t>01:08:20.592000</t>
  </si>
  <si>
    <t>01:08:37.592000</t>
  </si>
  <si>
    <t>CARRIES OPP 063</t>
  </si>
  <si>
    <t>01:14:24.062000</t>
  </si>
  <si>
    <t>01:14:17.062000</t>
  </si>
  <si>
    <t>01:14:34.062000</t>
  </si>
  <si>
    <t>CARRIES OPP 064</t>
  </si>
  <si>
    <t>01:19:27.846000</t>
  </si>
  <si>
    <t>01:19:20.846000</t>
  </si>
  <si>
    <t>01:19:37.846000</t>
  </si>
  <si>
    <t>CARRIES OPP 065</t>
  </si>
  <si>
    <t>01:19:31.733000</t>
  </si>
  <si>
    <t>01:19:24.733000</t>
  </si>
  <si>
    <t>01:19:41.733000</t>
  </si>
  <si>
    <t>CARRIES OPP 066</t>
  </si>
  <si>
    <t>01:19:38.218000</t>
  </si>
  <si>
    <t>01:19:31.218000</t>
  </si>
  <si>
    <t>01:19:48.218000</t>
  </si>
  <si>
    <t>CARRIES OPP 067</t>
  </si>
  <si>
    <t>01:22:39.043000</t>
  </si>
  <si>
    <t>01:22:32.043000</t>
  </si>
  <si>
    <t>01:22:49.043000</t>
  </si>
  <si>
    <t>CARRIES OPP 068</t>
  </si>
  <si>
    <t>01:22:47.318000</t>
  </si>
  <si>
    <t>01:22:40.318000</t>
  </si>
  <si>
    <t>01:22:57.318000</t>
  </si>
  <si>
    <t>CARRIES OPP 069</t>
  </si>
  <si>
    <t>01:22:57.210000</t>
  </si>
  <si>
    <t>01:22:50.210000</t>
  </si>
  <si>
    <t>01:23:07.210000</t>
  </si>
  <si>
    <t>CARRIES OPP 070</t>
  </si>
  <si>
    <t>01:24:48.175000</t>
  </si>
  <si>
    <t>01:24:41.175000</t>
  </si>
  <si>
    <t>01:24:58.175000</t>
  </si>
  <si>
    <t>CARRIES OPP 071</t>
  </si>
  <si>
    <t>01:24:56.347000</t>
  </si>
  <si>
    <t>01:25:13.347000</t>
  </si>
  <si>
    <t>CARRIES OPP 072</t>
  </si>
  <si>
    <t>01:25:05.532000</t>
  </si>
  <si>
    <t>01:24:58.532000</t>
  </si>
  <si>
    <t>01:25:15.532000</t>
  </si>
  <si>
    <t>CARRIES OPP 073</t>
  </si>
  <si>
    <t>01:25:06.929000</t>
  </si>
  <si>
    <t>01:24:59.929000</t>
  </si>
  <si>
    <t>01:25:16.929000</t>
  </si>
  <si>
    <t>CARRIES OPP 074</t>
  </si>
  <si>
    <t>01:25:12.860000</t>
  </si>
  <si>
    <t>01:25:05.860000</t>
  </si>
  <si>
    <t>01:25:22.860000</t>
  </si>
  <si>
    <t>CARRIES OPP 075</t>
  </si>
  <si>
    <t>01:25:18.963000</t>
  </si>
  <si>
    <t>01:25:11.963000</t>
  </si>
  <si>
    <t>01:25:28.963000</t>
  </si>
  <si>
    <t>CARRIES OPP 076</t>
  </si>
  <si>
    <t>01:25:24.663000</t>
  </si>
  <si>
    <t>01:25:17.663000</t>
  </si>
  <si>
    <t>01:25:34.663000</t>
  </si>
  <si>
    <t>CARRIES OPP 077</t>
  </si>
  <si>
    <t>01:25:31.013000</t>
  </si>
  <si>
    <t>01:25:24.013000</t>
  </si>
  <si>
    <t>01:25:41.013000</t>
  </si>
  <si>
    <t>CARRIES OPP 078</t>
  </si>
  <si>
    <t>01:25:37.854000</t>
  </si>
  <si>
    <t>01:25:30.854000</t>
  </si>
  <si>
    <t>01:25:47.854000</t>
  </si>
  <si>
    <t>CARRIES OPP 079</t>
  </si>
  <si>
    <t>01:25:47.091000</t>
  </si>
  <si>
    <t>01:25:40.091000</t>
  </si>
  <si>
    <t>01:25:57.091000</t>
  </si>
  <si>
    <t>CARRIES OPP 080</t>
  </si>
  <si>
    <t>01:25:52.924000</t>
  </si>
  <si>
    <t>01:25:45.924000</t>
  </si>
  <si>
    <t>01:26:02.924000</t>
  </si>
  <si>
    <t>CARRIES OPP 081</t>
  </si>
  <si>
    <t>01:26:02.962000</t>
  </si>
  <si>
    <t>01:25:55.962000</t>
  </si>
  <si>
    <t>01:26:12.962000</t>
  </si>
  <si>
    <t>CARRIES OPP 082</t>
  </si>
  <si>
    <t>01:29:12.528000</t>
  </si>
  <si>
    <t>01:29:05.528000</t>
  </si>
  <si>
    <t>01:29:22.528000</t>
  </si>
  <si>
    <t>CARRIES OPP 083</t>
  </si>
  <si>
    <t>01:31:06.759000</t>
  </si>
  <si>
    <t>01:30:59.759000</t>
  </si>
  <si>
    <t>01:31:16.759000</t>
  </si>
  <si>
    <t>CARRIES OPP 084</t>
  </si>
  <si>
    <t>01:34:59.968000</t>
  </si>
  <si>
    <t>01:34:52.968000</t>
  </si>
  <si>
    <t>01:35:09.968000</t>
  </si>
  <si>
    <t>CARRIES OPP 085</t>
  </si>
  <si>
    <t>01:35:06.408000</t>
  </si>
  <si>
    <t>01:34:59.408000</t>
  </si>
  <si>
    <t>01:35:16.408000</t>
  </si>
  <si>
    <t>CARRIES OPP 086</t>
  </si>
  <si>
    <t>01:40:57.816000</t>
  </si>
  <si>
    <t>01:40:50.816000</t>
  </si>
  <si>
    <t>01:41:07.816000</t>
  </si>
  <si>
    <t>CARRIES OPP 087</t>
  </si>
  <si>
    <t>01:49:52.779000</t>
  </si>
  <si>
    <t>01:49:45.779000</t>
  </si>
  <si>
    <t>01:50:02.779000</t>
  </si>
  <si>
    <t>CARRIES OPP 088</t>
  </si>
  <si>
    <t>01:49:56.304000</t>
  </si>
  <si>
    <t>01:49:49.304000</t>
  </si>
  <si>
    <t>01:50:06.304000</t>
  </si>
  <si>
    <t>CARRIES OPP 089</t>
  </si>
  <si>
    <t>01:50:03.857000</t>
  </si>
  <si>
    <t>01:49:56.857000</t>
  </si>
  <si>
    <t>01:50:13.857000</t>
  </si>
  <si>
    <t>CARRIES OPP 090</t>
  </si>
  <si>
    <t>01:50:10.913000</t>
  </si>
  <si>
    <t>01:50:03.913000</t>
  </si>
  <si>
    <t>01:50:20.913000</t>
  </si>
  <si>
    <t>CARRIES OPP 091</t>
  </si>
  <si>
    <t>01:50:15.549000</t>
  </si>
  <si>
    <t>01:50:08.549000</t>
  </si>
  <si>
    <t>01:50:25.549000</t>
  </si>
  <si>
    <t>CARRIES OPP 092</t>
  </si>
  <si>
    <t>01:50:22.017000</t>
  </si>
  <si>
    <t>01:50:15.017000</t>
  </si>
  <si>
    <t>01:50:32.017000</t>
  </si>
  <si>
    <t>CARRIES OPP 093</t>
  </si>
  <si>
    <t>01:50:27.832000</t>
  </si>
  <si>
    <t>01:50:20.832000</t>
  </si>
  <si>
    <t>01:50:37.832000</t>
  </si>
  <si>
    <t>CARRIES OPP 094</t>
  </si>
  <si>
    <t>01:50:30.631000</t>
  </si>
  <si>
    <t>01:50:47.631000</t>
  </si>
  <si>
    <t>CARRIES OPP 095</t>
  </si>
  <si>
    <t>01:50:43.788000</t>
  </si>
  <si>
    <t>01:50:36.788000</t>
  </si>
  <si>
    <t>01:50:53.788000</t>
  </si>
  <si>
    <t>CARRIES OPP 096</t>
  </si>
  <si>
    <t>01:51:56.988000</t>
  </si>
  <si>
    <t>01:51:49.988000</t>
  </si>
  <si>
    <t>01:52:06.988000</t>
  </si>
  <si>
    <t>CARRIES OPP 097</t>
  </si>
  <si>
    <t>01:52:12.769000</t>
  </si>
  <si>
    <t>01:52:05.769000</t>
  </si>
  <si>
    <t>01:52:22.769000</t>
  </si>
  <si>
    <t>CARRIES OPP 098</t>
  </si>
  <si>
    <t>01:52:15.952000</t>
  </si>
  <si>
    <t>01:52:08.952000</t>
  </si>
  <si>
    <t>01:52:25.952000</t>
  </si>
  <si>
    <t>CARRIES OPP 099</t>
  </si>
  <si>
    <t>01:52:29.169000</t>
  </si>
  <si>
    <t>01:52:22.169000</t>
  </si>
  <si>
    <t>01:52:39.169000</t>
  </si>
  <si>
    <t>CARRIES OPP 100</t>
  </si>
  <si>
    <t>01:52:38.164000</t>
  </si>
  <si>
    <t>01:52:31.164000</t>
  </si>
  <si>
    <t>01:52:48.164000</t>
  </si>
  <si>
    <t>CARRIES OPP 101</t>
  </si>
  <si>
    <t>01:52:46.174000</t>
  </si>
  <si>
    <t>01:52:39.174000</t>
  </si>
  <si>
    <t>01:52:56.174000</t>
  </si>
  <si>
    <t>CARRIES OPP 102</t>
  </si>
  <si>
    <t>01:52:57.926000</t>
  </si>
  <si>
    <t>01:52:50.926000</t>
  </si>
  <si>
    <t>01:53:07.926000</t>
  </si>
  <si>
    <t>CARRIES OPP 103</t>
  </si>
  <si>
    <t>01:53:01.906000</t>
  </si>
  <si>
    <t>01:52:54.906000</t>
  </si>
  <si>
    <t>01:53:11.906000</t>
  </si>
  <si>
    <t>CARRIES OPP 104</t>
  </si>
  <si>
    <t>01:55:03.552000</t>
  </si>
  <si>
    <t>01:54:56.552000</t>
  </si>
  <si>
    <t>01:55:13.552000</t>
  </si>
  <si>
    <t>CARRIES OPP 105</t>
  </si>
  <si>
    <t>01:55:09.648000</t>
  </si>
  <si>
    <t>01:55:02.648000</t>
  </si>
  <si>
    <t>01:55:19.648000</t>
  </si>
  <si>
    <t>CARRIES OPP 106</t>
  </si>
  <si>
    <t>01:55:16.329000</t>
  </si>
  <si>
    <t>01:55:09.329000</t>
  </si>
  <si>
    <t>01:55:26.329000</t>
  </si>
  <si>
    <t>CARRIES OPP 107</t>
  </si>
  <si>
    <t>01:55:22.767000</t>
  </si>
  <si>
    <t>01:55:15.767000</t>
  </si>
  <si>
    <t>01:55:32.767000</t>
  </si>
  <si>
    <t>CARRIES OPP 108</t>
  </si>
  <si>
    <t>01:55:28.352000</t>
  </si>
  <si>
    <t>01:55:21.352000</t>
  </si>
  <si>
    <t>01:55:38.352000</t>
  </si>
  <si>
    <t>CARRIES OPP 109</t>
  </si>
  <si>
    <t>01:55:32.945000</t>
  </si>
  <si>
    <t>01:55:25.945000</t>
  </si>
  <si>
    <t>01:55:42.945000</t>
  </si>
  <si>
    <t>CARRIES OPP 110</t>
  </si>
  <si>
    <t>01:55:38.016000</t>
  </si>
  <si>
    <t>01:55:31.016000</t>
  </si>
  <si>
    <t>01:55:48.016000</t>
  </si>
  <si>
    <t>00:15:13.179000</t>
  </si>
  <si>
    <t>00:15:06.179000</t>
  </si>
  <si>
    <t>00:15:23.179000</t>
  </si>
  <si>
    <t>00:17:16.629000</t>
  </si>
  <si>
    <t>00:17:09.629000</t>
  </si>
  <si>
    <t>00:17:26.629000</t>
  </si>
  <si>
    <t>00:17:24.507000</t>
  </si>
  <si>
    <t>00:17:17.507000</t>
  </si>
  <si>
    <t>00:17:34.507000</t>
  </si>
  <si>
    <t>00:17:34.842000</t>
  </si>
  <si>
    <t>00:17:27.842000</t>
  </si>
  <si>
    <t>00:17:44.842000</t>
  </si>
  <si>
    <t>00:17:39.364000</t>
  </si>
  <si>
    <t>00:17:32.364000</t>
  </si>
  <si>
    <t>00:17:49.364000</t>
  </si>
  <si>
    <t>00:17:51.821000</t>
  </si>
  <si>
    <t>00:17:44.821000</t>
  </si>
  <si>
    <t>00:18:01.821000</t>
  </si>
  <si>
    <t>00:19:00.279000</t>
  </si>
  <si>
    <t>00:18:53.279000</t>
  </si>
  <si>
    <t>00:19:10.279000</t>
  </si>
  <si>
    <t>00:19:11.097000</t>
  </si>
  <si>
    <t>00:19:04.097000</t>
  </si>
  <si>
    <t>00:19:21.097000</t>
  </si>
  <si>
    <t>00:20:57.343000</t>
  </si>
  <si>
    <t>00:20:50.343000</t>
  </si>
  <si>
    <t>00:21:07.343000</t>
  </si>
  <si>
    <t>00:21:07.092000</t>
  </si>
  <si>
    <t>00:21:00.092000</t>
  </si>
  <si>
    <t>00:21:17.092000</t>
  </si>
  <si>
    <t>00:21:15.623000</t>
  </si>
  <si>
    <t>00:21:08.623000</t>
  </si>
  <si>
    <t>00:21:25.623000</t>
  </si>
  <si>
    <t>00:21:22.701000</t>
  </si>
  <si>
    <t>00:21:15.701000</t>
  </si>
  <si>
    <t>00:21:32.701000</t>
  </si>
  <si>
    <t>00:21:30.965000</t>
  </si>
  <si>
    <t>00:21:23.965000</t>
  </si>
  <si>
    <t>00:21:40.965000</t>
  </si>
  <si>
    <t>00:33:20.630000</t>
  </si>
  <si>
    <t>00:33:13.630000</t>
  </si>
  <si>
    <t>00:33:30.630000</t>
  </si>
  <si>
    <t>00:36:02.675000</t>
  </si>
  <si>
    <t>00:35:55.675000</t>
  </si>
  <si>
    <t>00:36:12.675000</t>
  </si>
  <si>
    <t>00:36:10.841000</t>
  </si>
  <si>
    <t>00:36:03.841000</t>
  </si>
  <si>
    <t>00:36:20.841000</t>
  </si>
  <si>
    <t>00:36:10.736000</t>
  </si>
  <si>
    <t>00:36:27.736000</t>
  </si>
  <si>
    <t>00:36:23.950000</t>
  </si>
  <si>
    <t>00:36:16.950000</t>
  </si>
  <si>
    <t>00:36:33.950000</t>
  </si>
  <si>
    <t>00:39:10.004000</t>
  </si>
  <si>
    <t>00:39:03.004000</t>
  </si>
  <si>
    <t>00:39:20.004000</t>
  </si>
  <si>
    <t>00:39:16.335000</t>
  </si>
  <si>
    <t>00:39:09.335000</t>
  </si>
  <si>
    <t>00:39:26.335000</t>
  </si>
  <si>
    <t>00:39:28.318000</t>
  </si>
  <si>
    <t>00:39:21.318000</t>
  </si>
  <si>
    <t>00:39:38.318000</t>
  </si>
  <si>
    <t>00:39:52.658000</t>
  </si>
  <si>
    <t>00:39:45.658000</t>
  </si>
  <si>
    <t>00:40:02.658000</t>
  </si>
  <si>
    <t>00:39:58.832000</t>
  </si>
  <si>
    <t>00:39:51.832000</t>
  </si>
  <si>
    <t>00:40:08.832000</t>
  </si>
  <si>
    <t>00:41:15.768000</t>
  </si>
  <si>
    <t>00:41:08.768000</t>
  </si>
  <si>
    <t>00:41:25.768000</t>
  </si>
  <si>
    <t>00:41:27.719000</t>
  </si>
  <si>
    <t>00:41:20.719000</t>
  </si>
  <si>
    <t>00:41:37.719000</t>
  </si>
  <si>
    <t>00:41:32.091000</t>
  </si>
  <si>
    <t>00:41:25.091000</t>
  </si>
  <si>
    <t>00:41:42.091000</t>
  </si>
  <si>
    <t>00:41:54.385000</t>
  </si>
  <si>
    <t>00:41:47.385000</t>
  </si>
  <si>
    <t>00:42:04.385000</t>
  </si>
  <si>
    <t>00:41:58.207000</t>
  </si>
  <si>
    <t>00:41:51.207000</t>
  </si>
  <si>
    <t>00:42:08.207000</t>
  </si>
  <si>
    <t>00:47:04.585000</t>
  </si>
  <si>
    <t>00:46:57.585000</t>
  </si>
  <si>
    <t>00:47:14.585000</t>
  </si>
  <si>
    <t>00:50:13.723000</t>
  </si>
  <si>
    <t>00:50:06.723000</t>
  </si>
  <si>
    <t>00:50:23.723000</t>
  </si>
  <si>
    <t>01:03:38.723000</t>
  </si>
  <si>
    <t>01:03:31.723000</t>
  </si>
  <si>
    <t>01:03:48.723000</t>
  </si>
  <si>
    <t>01:04:16.399000</t>
  </si>
  <si>
    <t>01:04:09.399000</t>
  </si>
  <si>
    <t>01:04:26.399000</t>
  </si>
  <si>
    <t>01:04:20.725000</t>
  </si>
  <si>
    <t>01:04:13.725000</t>
  </si>
  <si>
    <t>01:04:30.725000</t>
  </si>
  <si>
    <t>01:04:26.833000</t>
  </si>
  <si>
    <t>01:04:19.833000</t>
  </si>
  <si>
    <t>01:04:36.833000</t>
  </si>
  <si>
    <t>01:04:32.596000</t>
  </si>
  <si>
    <t>01:04:25.596000</t>
  </si>
  <si>
    <t>01:04:42.596000</t>
  </si>
  <si>
    <t>01:07:33.757000</t>
  </si>
  <si>
    <t>01:07:26.757000</t>
  </si>
  <si>
    <t>01:07:43.757000</t>
  </si>
  <si>
    <t>01:07:39.805000</t>
  </si>
  <si>
    <t>01:07:32.805000</t>
  </si>
  <si>
    <t>01:07:49.805000</t>
  </si>
  <si>
    <t>01:12:19.719000</t>
  </si>
  <si>
    <t>01:12:12.719000</t>
  </si>
  <si>
    <t>01:12:29.719000</t>
  </si>
  <si>
    <t>01:12:26.025000</t>
  </si>
  <si>
    <t>01:12:19.025000</t>
  </si>
  <si>
    <t>01:12:36.025000</t>
  </si>
  <si>
    <t>01:15:14.520000</t>
  </si>
  <si>
    <t>01:15:07.520000</t>
  </si>
  <si>
    <t>01:15:24.520000</t>
  </si>
  <si>
    <t>01:16:10.371000</t>
  </si>
  <si>
    <t>01:16:03.371000</t>
  </si>
  <si>
    <t>01:16:20.371000</t>
  </si>
  <si>
    <t>01:16:24.028000</t>
  </si>
  <si>
    <t>01:16:17.028000</t>
  </si>
  <si>
    <t>01:16:34.028000</t>
  </si>
  <si>
    <t>01:16:31.480000</t>
  </si>
  <si>
    <t>01:16:24.480000</t>
  </si>
  <si>
    <t>01:16:41.480000</t>
  </si>
  <si>
    <t>01:16:38.412000</t>
  </si>
  <si>
    <t>01:16:31.412000</t>
  </si>
  <si>
    <t>01:16:48.412000</t>
  </si>
  <si>
    <t>01:18:18.553000</t>
  </si>
  <si>
    <t>01:18:11.553000</t>
  </si>
  <si>
    <t>01:18:28.553000</t>
  </si>
  <si>
    <t>01:18:30.062000</t>
  </si>
  <si>
    <t>01:18:23.062000</t>
  </si>
  <si>
    <t>01:18:40.062000</t>
  </si>
  <si>
    <t>01:18:34.707000</t>
  </si>
  <si>
    <t>01:18:27.707000</t>
  </si>
  <si>
    <t>01:18:44.707000</t>
  </si>
  <si>
    <t>01:18:44.979000</t>
  </si>
  <si>
    <t>01:18:37.979000</t>
  </si>
  <si>
    <t>01:18:54.979000</t>
  </si>
  <si>
    <t>01:18:49.097000</t>
  </si>
  <si>
    <t>01:19:06.097000</t>
  </si>
  <si>
    <t>01:22:42.353000</t>
  </si>
  <si>
    <t>01:22:35.353000</t>
  </si>
  <si>
    <t>01:22:52.353000</t>
  </si>
  <si>
    <t>01:31:46.151000</t>
  </si>
  <si>
    <t>01:31:39.151000</t>
  </si>
  <si>
    <t>01:31:56.151000</t>
  </si>
  <si>
    <t>01:37:55.358000</t>
  </si>
  <si>
    <t>01:37:48.358000</t>
  </si>
  <si>
    <t>01:38:05.358000</t>
  </si>
  <si>
    <t>01:38:02.894000</t>
  </si>
  <si>
    <t>01:37:55.894000</t>
  </si>
  <si>
    <t>01:38:12.894000</t>
  </si>
  <si>
    <t>01:38:10.989000</t>
  </si>
  <si>
    <t>01:38:03.989000</t>
  </si>
  <si>
    <t>01:38:20.989000</t>
  </si>
  <si>
    <t>01:42:45.550000</t>
  </si>
  <si>
    <t>01:42:38.550000</t>
  </si>
  <si>
    <t>01:42:55.550000</t>
  </si>
  <si>
    <t>01:42:55.739000</t>
  </si>
  <si>
    <t>01:42:48.739000</t>
  </si>
  <si>
    <t>01:43:05.739000</t>
  </si>
  <si>
    <t>01:43:03.054000</t>
  </si>
  <si>
    <t>01:42:56.054000</t>
  </si>
  <si>
    <t>01:43:13.054000</t>
  </si>
  <si>
    <t>01:43:10.565000</t>
  </si>
  <si>
    <t>01:43:03.565000</t>
  </si>
  <si>
    <t>01:43:20.565000</t>
  </si>
  <si>
    <t>01:43:14.636000</t>
  </si>
  <si>
    <t>01:43:07.636000</t>
  </si>
  <si>
    <t>01:43:24.636000</t>
  </si>
  <si>
    <t>01:43:26.650000</t>
  </si>
  <si>
    <t>01:43:19.650000</t>
  </si>
  <si>
    <t>01:43:36.650000</t>
  </si>
  <si>
    <t>01:43:36.815000</t>
  </si>
  <si>
    <t>01:43:29.815000</t>
  </si>
  <si>
    <t>01:43:46.815000</t>
  </si>
  <si>
    <t>01:45:34.015000</t>
  </si>
  <si>
    <t>01:45:27.015000</t>
  </si>
  <si>
    <t>01:45:44.015000</t>
  </si>
  <si>
    <t>00:06:09.539000</t>
  </si>
  <si>
    <t>00:06:02.539000</t>
  </si>
  <si>
    <t>00:06:19.539000</t>
  </si>
  <si>
    <t>00:06:17.698000</t>
  </si>
  <si>
    <t>00:06:10.698000</t>
  </si>
  <si>
    <t>00:06:27.698000</t>
  </si>
  <si>
    <t>00:06:45.062000</t>
  </si>
  <si>
    <t>00:06:38.062000</t>
  </si>
  <si>
    <t>00:06:55.062000</t>
  </si>
  <si>
    <t>00:07:00.147000</t>
  </si>
  <si>
    <t>00:06:53.147000</t>
  </si>
  <si>
    <t>00:07:10.147000</t>
  </si>
  <si>
    <t>00:07:04.277000</t>
  </si>
  <si>
    <t>00:06:57.277000</t>
  </si>
  <si>
    <t>00:07:14.277000</t>
  </si>
  <si>
    <t>00:07:14.612000</t>
  </si>
  <si>
    <t>00:07:07.612000</t>
  </si>
  <si>
    <t>00:07:24.612000</t>
  </si>
  <si>
    <t>00:08:35.927000</t>
  </si>
  <si>
    <t>00:08:28.927000</t>
  </si>
  <si>
    <t>00:08:45.927000</t>
  </si>
  <si>
    <t>00:08:42.653000</t>
  </si>
  <si>
    <t>00:08:35.653000</t>
  </si>
  <si>
    <t>00:08:52.653000</t>
  </si>
  <si>
    <t>00:08:53.753000</t>
  </si>
  <si>
    <t>00:08:46.753000</t>
  </si>
  <si>
    <t>00:09:03.753000</t>
  </si>
  <si>
    <t>00:08:58.107000</t>
  </si>
  <si>
    <t>00:08:51.107000</t>
  </si>
  <si>
    <t>00:09:08.107000</t>
  </si>
  <si>
    <t>00:09:03.295000</t>
  </si>
  <si>
    <t>00:08:56.295000</t>
  </si>
  <si>
    <t>00:09:13.295000</t>
  </si>
  <si>
    <t>00:09:06.450000</t>
  </si>
  <si>
    <t>00:09:23.450000</t>
  </si>
  <si>
    <t>00:09:09.035000</t>
  </si>
  <si>
    <t>00:09:26.035000</t>
  </si>
  <si>
    <t>00:11:22.926000</t>
  </si>
  <si>
    <t>00:11:15.926000</t>
  </si>
  <si>
    <t>00:11:32.926000</t>
  </si>
  <si>
    <t>00:11:38.407000</t>
  </si>
  <si>
    <t>00:11:31.407000</t>
  </si>
  <si>
    <t>00:11:48.407000</t>
  </si>
  <si>
    <t>00:13:31.882000</t>
  </si>
  <si>
    <t>00:13:24.882000</t>
  </si>
  <si>
    <t>00:13:41.882000</t>
  </si>
  <si>
    <t>00:15:32.320000</t>
  </si>
  <si>
    <t>00:15:25.320000</t>
  </si>
  <si>
    <t>00:15:42.320000</t>
  </si>
  <si>
    <t>00:15:48.015000</t>
  </si>
  <si>
    <t>00:15:41.015000</t>
  </si>
  <si>
    <t>00:15:58.015000</t>
  </si>
  <si>
    <t>00:22:00.019000</t>
  </si>
  <si>
    <t>00:21:53.019000</t>
  </si>
  <si>
    <t>00:22:12.932000</t>
  </si>
  <si>
    <t>00:22:05.932000</t>
  </si>
  <si>
    <t>00:22:22.932000</t>
  </si>
  <si>
    <t>00:23:50.752000</t>
  </si>
  <si>
    <t>00:23:43.752000</t>
  </si>
  <si>
    <t>00:24:00.752000</t>
  </si>
  <si>
    <t>00:24:20.311000</t>
  </si>
  <si>
    <t>00:24:13.311000</t>
  </si>
  <si>
    <t>00:24:30.311000</t>
  </si>
  <si>
    <t>00:24:31.683000</t>
  </si>
  <si>
    <t>00:24:24.683000</t>
  </si>
  <si>
    <t>00:24:41.683000</t>
  </si>
  <si>
    <t>00:24:37.860000</t>
  </si>
  <si>
    <t>00:24:30.860000</t>
  </si>
  <si>
    <t>00:24:47.860000</t>
  </si>
  <si>
    <t>00:26:43.901000</t>
  </si>
  <si>
    <t>00:26:36.901000</t>
  </si>
  <si>
    <t>00:26:53.901000</t>
  </si>
  <si>
    <t>00:26:57.092000</t>
  </si>
  <si>
    <t>00:26:50.092000</t>
  </si>
  <si>
    <t>00:27:07.092000</t>
  </si>
  <si>
    <t>00:27:06.221000</t>
  </si>
  <si>
    <t>00:26:59.221000</t>
  </si>
  <si>
    <t>00:27:16.221000</t>
  </si>
  <si>
    <t>00:27:16.509000</t>
  </si>
  <si>
    <t>00:27:09.509000</t>
  </si>
  <si>
    <t>00:27:26.509000</t>
  </si>
  <si>
    <t>00:30:39.649000</t>
  </si>
  <si>
    <t>00:30:32.649000</t>
  </si>
  <si>
    <t>00:30:49.649000</t>
  </si>
  <si>
    <t>00:33:07.783000</t>
  </si>
  <si>
    <t>00:33:00.783000</t>
  </si>
  <si>
    <t>00:33:17.783000</t>
  </si>
  <si>
    <t>00:33:15.919000</t>
  </si>
  <si>
    <t>00:33:08.919000</t>
  </si>
  <si>
    <t>00:33:25.919000</t>
  </si>
  <si>
    <t>00:36:37.618000</t>
  </si>
  <si>
    <t>00:36:30.618000</t>
  </si>
  <si>
    <t>00:36:47.618000</t>
  </si>
  <si>
    <t>00:38:15.822000</t>
  </si>
  <si>
    <t>00:38:08.822000</t>
  </si>
  <si>
    <t>00:38:25.822000</t>
  </si>
  <si>
    <t>00:50:08.888000</t>
  </si>
  <si>
    <t>00:50:01.888000</t>
  </si>
  <si>
    <t>00:50:18.888000</t>
  </si>
  <si>
    <t>00:51:39.899000</t>
  </si>
  <si>
    <t>00:51:32.899000</t>
  </si>
  <si>
    <t>00:51:49.899000</t>
  </si>
  <si>
    <t>00:51:48.543000</t>
  </si>
  <si>
    <t>00:51:41.543000</t>
  </si>
  <si>
    <t>00:51:58.543000</t>
  </si>
  <si>
    <t>00:51:57.697000</t>
  </si>
  <si>
    <t>00:51:50.697000</t>
  </si>
  <si>
    <t>00:52:07.697000</t>
  </si>
  <si>
    <t>00:52:01.145000</t>
  </si>
  <si>
    <t>00:51:54.145000</t>
  </si>
  <si>
    <t>00:52:11.145000</t>
  </si>
  <si>
    <t>01:03:59.899000</t>
  </si>
  <si>
    <t>01:03:52.899000</t>
  </si>
  <si>
    <t>01:04:09.899000</t>
  </si>
  <si>
    <t>01:06:41.148000</t>
  </si>
  <si>
    <t>01:06:34.148000</t>
  </si>
  <si>
    <t>01:06:51.148000</t>
  </si>
  <si>
    <t>01:10:11.410000</t>
  </si>
  <si>
    <t>01:10:04.410000</t>
  </si>
  <si>
    <t>01:10:21.410000</t>
  </si>
  <si>
    <t>01:10:16.256000</t>
  </si>
  <si>
    <t>01:10:09.256000</t>
  </si>
  <si>
    <t>01:10:26.256000</t>
  </si>
  <si>
    <t>01:10:23.833000</t>
  </si>
  <si>
    <t>01:10:16.833000</t>
  </si>
  <si>
    <t>01:10:33.833000</t>
  </si>
  <si>
    <t>01:14:17.551000</t>
  </si>
  <si>
    <t>01:14:10.551000</t>
  </si>
  <si>
    <t>01:14:27.551000</t>
  </si>
  <si>
    <t>01:14:25.736000</t>
  </si>
  <si>
    <t>01:14:18.736000</t>
  </si>
  <si>
    <t>01:14:35.736000</t>
  </si>
  <si>
    <t>01:14:36.813000</t>
  </si>
  <si>
    <t>01:14:29.813000</t>
  </si>
  <si>
    <t>01:14:46.813000</t>
  </si>
  <si>
    <t>01:15:12.264000</t>
  </si>
  <si>
    <t>01:15:05.264000</t>
  </si>
  <si>
    <t>01:15:22.264000</t>
  </si>
  <si>
    <t>01:15:18.717000</t>
  </si>
  <si>
    <t>01:15:11.717000</t>
  </si>
  <si>
    <t>01:15:28.717000</t>
  </si>
  <si>
    <t>01:15:25.180000</t>
  </si>
  <si>
    <t>01:15:18.180000</t>
  </si>
  <si>
    <t>01:15:35.180000</t>
  </si>
  <si>
    <t>01:15:32.732000</t>
  </si>
  <si>
    <t>01:15:25.732000</t>
  </si>
  <si>
    <t>01:15:42.732000</t>
  </si>
  <si>
    <t>01:15:43.069000</t>
  </si>
  <si>
    <t>01:15:36.069000</t>
  </si>
  <si>
    <t>01:15:53.069000</t>
  </si>
  <si>
    <t>01:15:54.286000</t>
  </si>
  <si>
    <t>01:15:47.286000</t>
  </si>
  <si>
    <t>01:16:04.286000</t>
  </si>
  <si>
    <t>01:18:48.419000</t>
  </si>
  <si>
    <t>01:18:41.419000</t>
  </si>
  <si>
    <t>01:18:58.419000</t>
  </si>
  <si>
    <t>01:20:13.128000</t>
  </si>
  <si>
    <t>01:20:06.128000</t>
  </si>
  <si>
    <t>01:20:23.128000</t>
  </si>
  <si>
    <t>01:21:30.946000</t>
  </si>
  <si>
    <t>01:21:23.946000</t>
  </si>
  <si>
    <t>01:21:40.946000</t>
  </si>
  <si>
    <t>01:29:32.143000</t>
  </si>
  <si>
    <t>01:29:25.143000</t>
  </si>
  <si>
    <t>01:29:42.143000</t>
  </si>
  <si>
    <t>01:29:44.355000</t>
  </si>
  <si>
    <t>01:29:37.355000</t>
  </si>
  <si>
    <t>01:29:54.355000</t>
  </si>
  <si>
    <t>01:29:49.739000</t>
  </si>
  <si>
    <t>01:29:42.739000</t>
  </si>
  <si>
    <t>01:29:59.739000</t>
  </si>
  <si>
    <t>01:30:00.609000</t>
  </si>
  <si>
    <t>01:29:53.609000</t>
  </si>
  <si>
    <t>01:30:10.609000</t>
  </si>
  <si>
    <t>01:30:06.268000</t>
  </si>
  <si>
    <t>01:29:59.268000</t>
  </si>
  <si>
    <t>01:30:16.268000</t>
  </si>
  <si>
    <t>01:30:18.918000</t>
  </si>
  <si>
    <t>01:30:11.918000</t>
  </si>
  <si>
    <t>01:30:28.918000</t>
  </si>
  <si>
    <t>01:31:35.075000</t>
  </si>
  <si>
    <t>01:31:28.075000</t>
  </si>
  <si>
    <t>01:31:45.075000</t>
  </si>
  <si>
    <t>01:31:42.174000</t>
  </si>
  <si>
    <t>01:31:35.174000</t>
  </si>
  <si>
    <t>01:31:52.174000</t>
  </si>
  <si>
    <t>01:33:14.214000</t>
  </si>
  <si>
    <t>01:33:31.214000</t>
  </si>
  <si>
    <t>01:33:23.160000</t>
  </si>
  <si>
    <t>01:33:16.160000</t>
  </si>
  <si>
    <t>01:33:33.160000</t>
  </si>
  <si>
    <t>01:33:34.869000</t>
  </si>
  <si>
    <t>01:33:27.869000</t>
  </si>
  <si>
    <t>01:33:44.869000</t>
  </si>
  <si>
    <t>01:33:48.509000</t>
  </si>
  <si>
    <t>01:33:41.509000</t>
  </si>
  <si>
    <t>01:33:58.509000</t>
  </si>
  <si>
    <t>01:33:55.309000</t>
  </si>
  <si>
    <t>01:33:48.309000</t>
  </si>
  <si>
    <t>01:34:05.309000</t>
  </si>
  <si>
    <t>01:35:31.292000</t>
  </si>
  <si>
    <t>01:35:24.292000</t>
  </si>
  <si>
    <t>01:35:41.292000</t>
  </si>
  <si>
    <t>01:35:53.401000</t>
  </si>
  <si>
    <t>01:35:46.401000</t>
  </si>
  <si>
    <t>01:36:03.401000</t>
  </si>
  <si>
    <t>01:35:57.996000</t>
  </si>
  <si>
    <t>01:35:50.996000</t>
  </si>
  <si>
    <t>01:36:07.996000</t>
  </si>
  <si>
    <t>01:36:03.741000</t>
  </si>
  <si>
    <t>01:35:56.741000</t>
  </si>
  <si>
    <t>01:36:13.741000</t>
  </si>
  <si>
    <t>01:39:58.340000</t>
  </si>
  <si>
    <t>01:39:51.340000</t>
  </si>
  <si>
    <t>01:40:08.340000</t>
  </si>
  <si>
    <t>01:40:10.640000</t>
  </si>
  <si>
    <t>01:40:03.640000</t>
  </si>
  <si>
    <t>01:40:20.640000</t>
  </si>
  <si>
    <t>01:40:21.852000</t>
  </si>
  <si>
    <t>01:40:14.852000</t>
  </si>
  <si>
    <t>01:40:31.852000</t>
  </si>
  <si>
    <t>01:40:25.423000</t>
  </si>
  <si>
    <t>01:40:18.423000</t>
  </si>
  <si>
    <t>01:40:35.423000</t>
  </si>
  <si>
    <t>01:40:33.680000</t>
  </si>
  <si>
    <t>01:40:26.680000</t>
  </si>
  <si>
    <t>01:40:43.680000</t>
  </si>
  <si>
    <t>01:40:41.086000</t>
  </si>
  <si>
    <t>01:40:34.086000</t>
  </si>
  <si>
    <t>01:40:51.086000</t>
  </si>
  <si>
    <t>01:40:44</t>
  </si>
  <si>
    <t>01:40:37</t>
  </si>
  <si>
    <t>01:40:54</t>
  </si>
  <si>
    <t>01:40:55.440000</t>
  </si>
  <si>
    <t>01:40:48.440000</t>
  </si>
  <si>
    <t>01:41:05.440000</t>
  </si>
  <si>
    <t>01:41:01.357000</t>
  </si>
  <si>
    <t>01:40:54.357000</t>
  </si>
  <si>
    <t>01:41:11.357000</t>
  </si>
  <si>
    <t>01:41:45.289000</t>
  </si>
  <si>
    <t>01:41:38.289000</t>
  </si>
  <si>
    <t>01:41:55.289000</t>
  </si>
  <si>
    <t>01:41:54.727000</t>
  </si>
  <si>
    <t>01:41:47.727000</t>
  </si>
  <si>
    <t>01:42:04.727000</t>
  </si>
  <si>
    <t>01:45:05.270000</t>
  </si>
  <si>
    <t>01:44:58.270000</t>
  </si>
  <si>
    <t>01:45:15.270000</t>
  </si>
  <si>
    <t>01:45:20.626000</t>
  </si>
  <si>
    <t>01:45:13.626000</t>
  </si>
  <si>
    <t>01:45:30.626000</t>
  </si>
  <si>
    <t>01:45:27.913000</t>
  </si>
  <si>
    <t>01:45:20.913000</t>
  </si>
  <si>
    <t>01:45:37.913000</t>
  </si>
  <si>
    <t>01:45:36.113000</t>
  </si>
  <si>
    <t>01:45:29.113000</t>
  </si>
  <si>
    <t>01:45:46.113000</t>
  </si>
  <si>
    <t>00:05:27.215000</t>
  </si>
  <si>
    <t>00:05:20.215000</t>
  </si>
  <si>
    <t>00:05:37.215000</t>
  </si>
  <si>
    <t>00:06:29.860000</t>
  </si>
  <si>
    <t>00:06:22.860000</t>
  </si>
  <si>
    <t>00:06:39.860000</t>
  </si>
  <si>
    <t>00:06:35.858000</t>
  </si>
  <si>
    <t>00:06:28.858000</t>
  </si>
  <si>
    <t>00:06:45.858000</t>
  </si>
  <si>
    <t>00:12:42.329000</t>
  </si>
  <si>
    <t>00:12:35.329000</t>
  </si>
  <si>
    <t>00:12:52.329000</t>
  </si>
  <si>
    <t>00:13:29.736000</t>
  </si>
  <si>
    <t>00:13:22.736000</t>
  </si>
  <si>
    <t>00:13:39.736000</t>
  </si>
  <si>
    <t>00:13:39.683000</t>
  </si>
  <si>
    <t>00:13:32.683000</t>
  </si>
  <si>
    <t>00:13:49.683000</t>
  </si>
  <si>
    <t>00:13:41.940000</t>
  </si>
  <si>
    <t>00:13:34.940000</t>
  </si>
  <si>
    <t>00:13:51.940000</t>
  </si>
  <si>
    <t>00:15:52.802000</t>
  </si>
  <si>
    <t>00:15:45.802000</t>
  </si>
  <si>
    <t>00:16:02.802000</t>
  </si>
  <si>
    <t>00:15:58.066000</t>
  </si>
  <si>
    <t>00:15:51.066000</t>
  </si>
  <si>
    <t>00:16:08.066000</t>
  </si>
  <si>
    <t>00:16:08.519000</t>
  </si>
  <si>
    <t>00:16:01.519000</t>
  </si>
  <si>
    <t>00:16:18.519000</t>
  </si>
  <si>
    <t>00:16:54.545000</t>
  </si>
  <si>
    <t>00:16:47.545000</t>
  </si>
  <si>
    <t>00:17:04.545000</t>
  </si>
  <si>
    <t>00:16:56.850000</t>
  </si>
  <si>
    <t>00:16:49.850000</t>
  </si>
  <si>
    <t>00:17:06.850000</t>
  </si>
  <si>
    <t>00:17:48.372000</t>
  </si>
  <si>
    <t>00:17:41.372000</t>
  </si>
  <si>
    <t>00:17:58.372000</t>
  </si>
  <si>
    <t>00:17:48.970000</t>
  </si>
  <si>
    <t>00:17:41.970000</t>
  </si>
  <si>
    <t>00:17:58.970000</t>
  </si>
  <si>
    <t>00:17:53.019000</t>
  </si>
  <si>
    <t>00:17:46.019000</t>
  </si>
  <si>
    <t>00:18:03.019000</t>
  </si>
  <si>
    <t>00:18:02.855000</t>
  </si>
  <si>
    <t>00:17:55.855000</t>
  </si>
  <si>
    <t>00:18:12.855000</t>
  </si>
  <si>
    <t>00:18:09.754000</t>
  </si>
  <si>
    <t>00:18:02.754000</t>
  </si>
  <si>
    <t>00:18:19.754000</t>
  </si>
  <si>
    <t>00:18:18.185000</t>
  </si>
  <si>
    <t>00:18:11.185000</t>
  </si>
  <si>
    <t>00:18:28.185000</t>
  </si>
  <si>
    <t>00:20:01.667000</t>
  </si>
  <si>
    <t>00:19:54.667000</t>
  </si>
  <si>
    <t>00:20:11.667000</t>
  </si>
  <si>
    <t>00:22:14.171000</t>
  </si>
  <si>
    <t>00:22:07.171000</t>
  </si>
  <si>
    <t>00:22:24.171000</t>
  </si>
  <si>
    <t>00:24:08.102000</t>
  </si>
  <si>
    <t>00:24:01.102000</t>
  </si>
  <si>
    <t>00:24:18.102000</t>
  </si>
  <si>
    <t>00:28:45.161000</t>
  </si>
  <si>
    <t>00:28:38.161000</t>
  </si>
  <si>
    <t>00:28:55.161000</t>
  </si>
  <si>
    <t>00:30:53.945000</t>
  </si>
  <si>
    <t>00:30:46.945000</t>
  </si>
  <si>
    <t>00:31:03.945000</t>
  </si>
  <si>
    <t>00:39:53.233000</t>
  </si>
  <si>
    <t>00:39:46.233000</t>
  </si>
  <si>
    <t>00:40:03.233000</t>
  </si>
  <si>
    <t>00:40:04.709000</t>
  </si>
  <si>
    <t>00:39:57.709000</t>
  </si>
  <si>
    <t>00:40:14.709000</t>
  </si>
  <si>
    <t>00:40:08.499000</t>
  </si>
  <si>
    <t>00:40:01.499000</t>
  </si>
  <si>
    <t>00:40:18.499000</t>
  </si>
  <si>
    <t>00:40:16.332000</t>
  </si>
  <si>
    <t>00:40:09.332000</t>
  </si>
  <si>
    <t>00:40:26.332000</t>
  </si>
  <si>
    <t>00:41:50.233000</t>
  </si>
  <si>
    <t>00:41:43.233000</t>
  </si>
  <si>
    <t>00:42:00.233000</t>
  </si>
  <si>
    <t>00:41:59.378000</t>
  </si>
  <si>
    <t>00:41:52.378000</t>
  </si>
  <si>
    <t>00:42:09.378000</t>
  </si>
  <si>
    <t>00:42:09.216000</t>
  </si>
  <si>
    <t>00:42:02.216000</t>
  </si>
  <si>
    <t>00:42:19.216000</t>
  </si>
  <si>
    <t>00:42:23.645000</t>
  </si>
  <si>
    <t>00:42:16.645000</t>
  </si>
  <si>
    <t>00:42:33.645000</t>
  </si>
  <si>
    <t>01:04:38.244000</t>
  </si>
  <si>
    <t>01:04:31.244000</t>
  </si>
  <si>
    <t>01:04:48.244000</t>
  </si>
  <si>
    <t>01:07:03.059000</t>
  </si>
  <si>
    <t>01:07:20.059000</t>
  </si>
  <si>
    <t>01:07:11.597000</t>
  </si>
  <si>
    <t>01:07:04.597000</t>
  </si>
  <si>
    <t>01:07:21.597000</t>
  </si>
  <si>
    <t>01:14:57.749000</t>
  </si>
  <si>
    <t>01:14:50.749000</t>
  </si>
  <si>
    <t>01:15:07.749000</t>
  </si>
  <si>
    <t>01:15:58.677000</t>
  </si>
  <si>
    <t>01:15:51.677000</t>
  </si>
  <si>
    <t>01:16:08.677000</t>
  </si>
  <si>
    <t>01:16:09.611000</t>
  </si>
  <si>
    <t>01:16:02.611000</t>
  </si>
  <si>
    <t>01:16:19.611000</t>
  </si>
  <si>
    <t>01:16:19.569000</t>
  </si>
  <si>
    <t>01:16:12.569000</t>
  </si>
  <si>
    <t>01:16:29.569000</t>
  </si>
  <si>
    <t>01:16:56.944000</t>
  </si>
  <si>
    <t>01:16:49.944000</t>
  </si>
  <si>
    <t>01:17:06.944000</t>
  </si>
  <si>
    <t>01:20:04.624000</t>
  </si>
  <si>
    <t>01:19:57.624000</t>
  </si>
  <si>
    <t>01:20:14.624000</t>
  </si>
  <si>
    <t>01:20:21.259000</t>
  </si>
  <si>
    <t>01:20:14.259000</t>
  </si>
  <si>
    <t>01:20:31.259000</t>
  </si>
  <si>
    <t>01:20:26.976000</t>
  </si>
  <si>
    <t>01:20:19.976000</t>
  </si>
  <si>
    <t>01:20:36.976000</t>
  </si>
  <si>
    <t>01:22:27.856000</t>
  </si>
  <si>
    <t>01:22:20.856000</t>
  </si>
  <si>
    <t>01:22:37.856000</t>
  </si>
  <si>
    <t>01:44:34.937000</t>
  </si>
  <si>
    <t>01:44:27.937000</t>
  </si>
  <si>
    <t>01:44:44.937000</t>
  </si>
  <si>
    <t>01:44:43.438000</t>
  </si>
  <si>
    <t>01:44:36.438000</t>
  </si>
  <si>
    <t>01:44:53.438000</t>
  </si>
  <si>
    <t>01:44:52.038000</t>
  </si>
  <si>
    <t>01:44:45.038000</t>
  </si>
  <si>
    <t>01:45:02.038000</t>
  </si>
  <si>
    <t>01:45:23.877000</t>
  </si>
  <si>
    <t>01:45:16.877000</t>
  </si>
  <si>
    <t>01:45:33.877000</t>
  </si>
  <si>
    <t>01:45:34.354000</t>
  </si>
  <si>
    <t>01:45:27.354000</t>
  </si>
  <si>
    <t>01:45:44.354000</t>
  </si>
  <si>
    <t>01:49:54.008000</t>
  </si>
  <si>
    <t>01:49:47.008000</t>
  </si>
  <si>
    <t>01:50:04.008000</t>
  </si>
  <si>
    <t>00:01:22.609000</t>
  </si>
  <si>
    <t>00:01:15.609000</t>
  </si>
  <si>
    <t>00:01:32.609000</t>
  </si>
  <si>
    <t>00:01:45.412000</t>
  </si>
  <si>
    <t>00:01:38.412000</t>
  </si>
  <si>
    <t>00:01:55.412000</t>
  </si>
  <si>
    <t>00:01:55.863000</t>
  </si>
  <si>
    <t>00:01:48.863000</t>
  </si>
  <si>
    <t>00:02:05.863000</t>
  </si>
  <si>
    <t>00:02:46.709000</t>
  </si>
  <si>
    <t>00:02:39.709000</t>
  </si>
  <si>
    <t>00:02:56.709000</t>
  </si>
  <si>
    <t>00:03:52.601000</t>
  </si>
  <si>
    <t>00:03:45.601000</t>
  </si>
  <si>
    <t>00:04:02.601000</t>
  </si>
  <si>
    <t>00:08:25.359000</t>
  </si>
  <si>
    <t>00:08:18.359000</t>
  </si>
  <si>
    <t>00:08:35.359000</t>
  </si>
  <si>
    <t>00:08:39.726000</t>
  </si>
  <si>
    <t>00:08:32.726000</t>
  </si>
  <si>
    <t>00:08:49.726000</t>
  </si>
  <si>
    <t>00:08:42.395000</t>
  </si>
  <si>
    <t>00:08:35.395000</t>
  </si>
  <si>
    <t>00:08:52.395000</t>
  </si>
  <si>
    <t>00:08:49.223000</t>
  </si>
  <si>
    <t>00:08:42.223000</t>
  </si>
  <si>
    <t>00:08:59.223000</t>
  </si>
  <si>
    <t>00:11:53.644000</t>
  </si>
  <si>
    <t>00:11:46.644000</t>
  </si>
  <si>
    <t>00:12:03.644000</t>
  </si>
  <si>
    <t>00:17:03.416000</t>
  </si>
  <si>
    <t>00:16:56.416000</t>
  </si>
  <si>
    <t>00:17:13.416000</t>
  </si>
  <si>
    <t>00:23:14.623000</t>
  </si>
  <si>
    <t>00:23:07.623000</t>
  </si>
  <si>
    <t>00:23:24.623000</t>
  </si>
  <si>
    <t>00:25:53.099000</t>
  </si>
  <si>
    <t>00:25:46.099000</t>
  </si>
  <si>
    <t>00:26:03.099000</t>
  </si>
  <si>
    <t>00:26:03.583000</t>
  </si>
  <si>
    <t>00:25:56.583000</t>
  </si>
  <si>
    <t>00:26:13.583000</t>
  </si>
  <si>
    <t>00:29:50.761000</t>
  </si>
  <si>
    <t>00:29:43.761000</t>
  </si>
  <si>
    <t>00:30:00.761000</t>
  </si>
  <si>
    <t>00:31:02.623000</t>
  </si>
  <si>
    <t>00:30:55.623000</t>
  </si>
  <si>
    <t>00:31:12.623000</t>
  </si>
  <si>
    <t>00:31:10.831000</t>
  </si>
  <si>
    <t>00:31:03.831000</t>
  </si>
  <si>
    <t>00:31:20.831000</t>
  </si>
  <si>
    <t>00:31:19.367000</t>
  </si>
  <si>
    <t>00:31:12.367000</t>
  </si>
  <si>
    <t>00:31:29.367000</t>
  </si>
  <si>
    <t>00:33:00.397000</t>
  </si>
  <si>
    <t>00:32:53.397000</t>
  </si>
  <si>
    <t>00:33:10.397000</t>
  </si>
  <si>
    <t>00:33:08.488000</t>
  </si>
  <si>
    <t>00:33:01.488000</t>
  </si>
  <si>
    <t>00:33:18.488000</t>
  </si>
  <si>
    <t>00:33:15.164000</t>
  </si>
  <si>
    <t>00:33:08.164000</t>
  </si>
  <si>
    <t>00:33:25.164000</t>
  </si>
  <si>
    <t>00:33:22.821000</t>
  </si>
  <si>
    <t>00:33:15.821000</t>
  </si>
  <si>
    <t>00:33:32.821000</t>
  </si>
  <si>
    <t>00:33:29.344000</t>
  </si>
  <si>
    <t>00:33:22.344000</t>
  </si>
  <si>
    <t>00:33:39.344000</t>
  </si>
  <si>
    <t>00:33:38.584000</t>
  </si>
  <si>
    <t>00:33:31.584000</t>
  </si>
  <si>
    <t>00:33:48.584000</t>
  </si>
  <si>
    <t>00:35:37.819000</t>
  </si>
  <si>
    <t>00:35:54.819000</t>
  </si>
  <si>
    <t>00:35:49.337000</t>
  </si>
  <si>
    <t>00:35:42.337000</t>
  </si>
  <si>
    <t>00:35:59.337000</t>
  </si>
  <si>
    <t>00:36:55.735000</t>
  </si>
  <si>
    <t>00:36:48.735000</t>
  </si>
  <si>
    <t>00:37:05.735000</t>
  </si>
  <si>
    <t>00:39:03.728000</t>
  </si>
  <si>
    <t>00:38:56.728000</t>
  </si>
  <si>
    <t>00:39:13.728000</t>
  </si>
  <si>
    <t>01:02:17.059000</t>
  </si>
  <si>
    <t>01:02:10.059000</t>
  </si>
  <si>
    <t>01:02:27.059000</t>
  </si>
  <si>
    <t>01:02:37.258000</t>
  </si>
  <si>
    <t>01:02:30.258000</t>
  </si>
  <si>
    <t>01:02:47.258000</t>
  </si>
  <si>
    <t>01:02:45.596000</t>
  </si>
  <si>
    <t>01:02:38.596000</t>
  </si>
  <si>
    <t>01:02:55.596000</t>
  </si>
  <si>
    <t>01:03:00.657000</t>
  </si>
  <si>
    <t>01:02:53.657000</t>
  </si>
  <si>
    <t>01:03:10.657000</t>
  </si>
  <si>
    <t>01:04:43.707000</t>
  </si>
  <si>
    <t>01:04:36.707000</t>
  </si>
  <si>
    <t>01:04:53.707000</t>
  </si>
  <si>
    <t>01:07:24.412000</t>
  </si>
  <si>
    <t>01:07:17.412000</t>
  </si>
  <si>
    <t>01:07:34.412000</t>
  </si>
  <si>
    <t>01:08:40.297000</t>
  </si>
  <si>
    <t>01:08:33.297000</t>
  </si>
  <si>
    <t>01:08:50.297000</t>
  </si>
  <si>
    <t>01:08:48.285000</t>
  </si>
  <si>
    <t>01:08:41.285000</t>
  </si>
  <si>
    <t>01:08:58.285000</t>
  </si>
  <si>
    <t>01:08:53.464000</t>
  </si>
  <si>
    <t>01:08:46.464000</t>
  </si>
  <si>
    <t>01:09:03.464000</t>
  </si>
  <si>
    <t>01:08:59.783000</t>
  </si>
  <si>
    <t>01:08:52.783000</t>
  </si>
  <si>
    <t>01:09:09.783000</t>
  </si>
  <si>
    <t>01:09:05.826000</t>
  </si>
  <si>
    <t>01:08:58.826000</t>
  </si>
  <si>
    <t>01:09:15.826000</t>
  </si>
  <si>
    <t>01:10:59.101000</t>
  </si>
  <si>
    <t>01:10:52.101000</t>
  </si>
  <si>
    <t>01:11:09.101000</t>
  </si>
  <si>
    <t>01:11:06.401000</t>
  </si>
  <si>
    <t>01:10:59.401000</t>
  </si>
  <si>
    <t>01:11:16.401000</t>
  </si>
  <si>
    <t>01:12:15.211000</t>
  </si>
  <si>
    <t>01:12:08.211000</t>
  </si>
  <si>
    <t>01:12:25.211000</t>
  </si>
  <si>
    <t>01:12:27.222000</t>
  </si>
  <si>
    <t>01:12:20.222000</t>
  </si>
  <si>
    <t>01:12:37.222000</t>
  </si>
  <si>
    <t>01:12:31.331000</t>
  </si>
  <si>
    <t>01:12:24.331000</t>
  </si>
  <si>
    <t>01:12:41.331000</t>
  </si>
  <si>
    <t>01:12:39.534000</t>
  </si>
  <si>
    <t>01:12:32.534000</t>
  </si>
  <si>
    <t>01:12:49.534000</t>
  </si>
  <si>
    <t>01:12:43.809000</t>
  </si>
  <si>
    <t>01:12:36.809000</t>
  </si>
  <si>
    <t>01:12:53.809000</t>
  </si>
  <si>
    <t>01:14:23.422000</t>
  </si>
  <si>
    <t>01:14:16.422000</t>
  </si>
  <si>
    <t>01:14:33.422000</t>
  </si>
  <si>
    <t>01:14:35.088000</t>
  </si>
  <si>
    <t>01:14:28.088000</t>
  </si>
  <si>
    <t>01:14:45.088000</t>
  </si>
  <si>
    <t>01:14:45.692000</t>
  </si>
  <si>
    <t>01:14:38.692000</t>
  </si>
  <si>
    <t>01:14:55.692000</t>
  </si>
  <si>
    <t>01:15:52.126000</t>
  </si>
  <si>
    <t>01:15:45.126000</t>
  </si>
  <si>
    <t>01:16:02.126000</t>
  </si>
  <si>
    <t>01:16:48.527000</t>
  </si>
  <si>
    <t>01:16:41.527000</t>
  </si>
  <si>
    <t>01:16:58.527000</t>
  </si>
  <si>
    <t>01:23:23.036000</t>
  </si>
  <si>
    <t>01:23:16.036000</t>
  </si>
  <si>
    <t>01:23:33.036000</t>
  </si>
  <si>
    <t>01:23:29.843000</t>
  </si>
  <si>
    <t>01:23:22.843000</t>
  </si>
  <si>
    <t>01:23:39.843000</t>
  </si>
  <si>
    <t>01:25:27.616000</t>
  </si>
  <si>
    <t>01:25:20.616000</t>
  </si>
  <si>
    <t>01:25:37.616000</t>
  </si>
  <si>
    <t>01:27:10.764000</t>
  </si>
  <si>
    <t>01:27:03.764000</t>
  </si>
  <si>
    <t>01:27:20.764000</t>
  </si>
  <si>
    <t>01:27:28.314000</t>
  </si>
  <si>
    <t>01:27:21.314000</t>
  </si>
  <si>
    <t>01:27:38.314000</t>
  </si>
  <si>
    <t>01:27:41.593000</t>
  </si>
  <si>
    <t>01:27:34.593000</t>
  </si>
  <si>
    <t>01:27:51.593000</t>
  </si>
  <si>
    <t>01:27:49.043000</t>
  </si>
  <si>
    <t>01:27:42.043000</t>
  </si>
  <si>
    <t>01:27:59.043000</t>
  </si>
  <si>
    <t>01:28:06.930000</t>
  </si>
  <si>
    <t>01:27:59.930000</t>
  </si>
  <si>
    <t>01:28:16.930000</t>
  </si>
  <si>
    <t>01:28:10.306000</t>
  </si>
  <si>
    <t>01:28:03.306000</t>
  </si>
  <si>
    <t>01:28:20.306000</t>
  </si>
  <si>
    <t>01:30:06.065000</t>
  </si>
  <si>
    <t>01:29:59.065000</t>
  </si>
  <si>
    <t>01:30:16.065000</t>
  </si>
  <si>
    <t>01:30:13.354000</t>
  </si>
  <si>
    <t>01:30:06.354000</t>
  </si>
  <si>
    <t>01:30:23.354000</t>
  </si>
  <si>
    <t>01:33:28.630000</t>
  </si>
  <si>
    <t>01:33:21.630000</t>
  </si>
  <si>
    <t>01:33:38.630000</t>
  </si>
  <si>
    <t>01:34:56.904000</t>
  </si>
  <si>
    <t>01:34:49.904000</t>
  </si>
  <si>
    <t>01:35:06.904000</t>
  </si>
  <si>
    <t>01:35:08.471000</t>
  </si>
  <si>
    <t>01:35:01.471000</t>
  </si>
  <si>
    <t>01:35:18.471000</t>
  </si>
  <si>
    <t>01:38:00.349000</t>
  </si>
  <si>
    <t>01:37:53.349000</t>
  </si>
  <si>
    <t>01:38:10.349000</t>
  </si>
  <si>
    <t>01:40:35.705000</t>
  </si>
  <si>
    <t>01:40:28.705000</t>
  </si>
  <si>
    <t>01:40:45.705000</t>
  </si>
  <si>
    <t>01:40:41.186000</t>
  </si>
  <si>
    <t>01:40:34.186000</t>
  </si>
  <si>
    <t>01:40:51.186000</t>
  </si>
  <si>
    <t>01:40:50.125000</t>
  </si>
  <si>
    <t>01:40:43.125000</t>
  </si>
  <si>
    <t>01:41:00.125000</t>
  </si>
  <si>
    <t>01:40:56.745000</t>
  </si>
  <si>
    <t>01:40:49.745000</t>
  </si>
  <si>
    <t>01:41:06.745000</t>
  </si>
  <si>
    <t>01:42:41.884000</t>
  </si>
  <si>
    <t>01:42:34.884000</t>
  </si>
  <si>
    <t>01:42:51.884000</t>
  </si>
  <si>
    <t>01:42:50.662000</t>
  </si>
  <si>
    <t>01:42:43.662000</t>
  </si>
  <si>
    <t>01:43:00.662000</t>
  </si>
  <si>
    <t>01:42:53.454000</t>
  </si>
  <si>
    <t>01:42:46.454000</t>
  </si>
  <si>
    <t>01:43:03.454000</t>
  </si>
  <si>
    <t>01:49:57.899000</t>
  </si>
  <si>
    <t>01:49:50.899000</t>
  </si>
  <si>
    <t>01:50:02.481000</t>
  </si>
  <si>
    <t>01:49:55.481000</t>
  </si>
  <si>
    <t>01:50:12.481000</t>
  </si>
  <si>
    <t>MEDICO 001</t>
  </si>
  <si>
    <t>00:40:25.695000</t>
  </si>
  <si>
    <t>00:40:22.695000</t>
  </si>
  <si>
    <t>00:42:33.389000</t>
  </si>
  <si>
    <t>MEDICO 002</t>
  </si>
  <si>
    <t>01:19:50.024000</t>
  </si>
  <si>
    <t>01:19:47.024000</t>
  </si>
  <si>
    <t>01:20:26.117000</t>
  </si>
  <si>
    <t>MEDICO 003</t>
  </si>
  <si>
    <t>01:23:49.687000</t>
  </si>
  <si>
    <t>01:23:46.687000</t>
  </si>
  <si>
    <t>01:24:29.508000</t>
  </si>
  <si>
    <t>MEDICO 004</t>
  </si>
  <si>
    <t>01:47:04.848000</t>
  </si>
  <si>
    <t>01:47:01.848000</t>
  </si>
  <si>
    <t>01:47:40.070000</t>
  </si>
  <si>
    <t>00:25:05.507000</t>
  </si>
  <si>
    <t>00:25:02.507000</t>
  </si>
  <si>
    <t>00:25:44.650000</t>
  </si>
  <si>
    <t>00:37:03.323000</t>
  </si>
  <si>
    <t>00:37:00.323000</t>
  </si>
  <si>
    <t>00:37:29.960000</t>
  </si>
  <si>
    <t>00:52:05.432000</t>
  </si>
  <si>
    <t>00:52:02.432000</t>
  </si>
  <si>
    <t>00:53:01.242000</t>
  </si>
  <si>
    <t>01:05:04.253000</t>
  </si>
  <si>
    <t>01:05:01.253000</t>
  </si>
  <si>
    <t>01:05:58.043000</t>
  </si>
  <si>
    <t>00:33:11.262000</t>
  </si>
  <si>
    <t>00:33:08.262000</t>
  </si>
  <si>
    <t>00:34:03.480000</t>
  </si>
  <si>
    <t>00:35:55.838000</t>
  </si>
  <si>
    <t>00:35:52.838000</t>
  </si>
  <si>
    <t>00:36:43.123000</t>
  </si>
  <si>
    <t>00:41:50.825000</t>
  </si>
  <si>
    <t>00:41:47.825000</t>
  </si>
  <si>
    <t>00:47:38.799000</t>
  </si>
  <si>
    <t>00:55:28.137000</t>
  </si>
  <si>
    <t>00:55:25.137000</t>
  </si>
  <si>
    <t>00:56:36.232000</t>
  </si>
  <si>
    <t>MEDICO 005</t>
  </si>
  <si>
    <t>01:22:11.038000</t>
  </si>
  <si>
    <t>01:22:08.038000</t>
  </si>
  <si>
    <t>01:23:48.363000</t>
  </si>
  <si>
    <t>00:20:15.367000</t>
  </si>
  <si>
    <t>00:20:05.367000</t>
  </si>
  <si>
    <t>00:21:34.879000</t>
  </si>
  <si>
    <t>00:34:27.333000</t>
  </si>
  <si>
    <t>00:34:17.333000</t>
  </si>
  <si>
    <t>00:35:18.862000</t>
  </si>
  <si>
    <t>01:17:18.507000</t>
  </si>
  <si>
    <t>01:17:08.507000</t>
  </si>
  <si>
    <t>01:17:39.873000</t>
  </si>
  <si>
    <t>01:38:23.433000</t>
  </si>
  <si>
    <t>01:38:13.433000</t>
  </si>
  <si>
    <t>01:40:03.262000</t>
  </si>
  <si>
    <t>00:43:16.238000</t>
  </si>
  <si>
    <t>00:43:13.238000</t>
  </si>
  <si>
    <t>00:44:00.610000</t>
  </si>
  <si>
    <t>01:14:37.169000</t>
  </si>
  <si>
    <t>01:14:34.169000</t>
  </si>
  <si>
    <t>01:16:06.872000</t>
  </si>
  <si>
    <t>01:33:52.295000</t>
  </si>
  <si>
    <t>01:33:49.295000</t>
  </si>
  <si>
    <t>01:34:42.033000</t>
  </si>
  <si>
    <t>01:42:22.173000</t>
  </si>
  <si>
    <t>01:42:19.173000</t>
  </si>
  <si>
    <t>01:43:43.245000</t>
  </si>
  <si>
    <t>02:03:55.123000</t>
  </si>
  <si>
    <t>02:03:52.123000</t>
  </si>
  <si>
    <t>02:04:08.762000</t>
  </si>
  <si>
    <t>DH. - PRIMERA DIVISIÓN - 2026-27</t>
  </si>
  <si>
    <t>FE</t>
  </si>
  <si>
    <t>FECHA ENCUENTRO</t>
  </si>
  <si>
    <t>FECHA Nº</t>
  </si>
  <si>
    <t>PARTIDO Nº</t>
  </si>
  <si>
    <t>CLUB LOCAL</t>
  </si>
  <si>
    <t>PTOS</t>
  </si>
  <si>
    <t>CLUB VISITANTE</t>
  </si>
  <si>
    <t>KILOMETROS ida y vuelta</t>
  </si>
  <si>
    <t>NOMENCLATURA DEL PARTIDO</t>
  </si>
  <si>
    <t>LINK VIDEO</t>
  </si>
  <si>
    <t>https://youtu.be/pd6O6K9cjPc?si=CKmqmvNRVwKxwBIg</t>
  </si>
  <si>
    <t>https://youtu.be/tSyh1IJNUuQ?si=g0pu_EAeQn4vk9g6</t>
  </si>
  <si>
    <t>https://youtu.be/E_ulVbVvVMo</t>
  </si>
  <si>
    <t xml:space="preserve">https://youtu.be/Qh6oWJ1fYTg?si=BIQhKL1_WwP3TkN5 </t>
  </si>
  <si>
    <t>https://youtu.be/6GT5SGfUr8E?si=v9i2mhjPdE-cbKJB</t>
  </si>
  <si>
    <t>J02</t>
  </si>
  <si>
    <t>-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</si>
  <si>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</si>
  <si>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</si>
  <si>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</si>
  <si>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</si>
  <si>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</si>
  <si>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</si>
  <si>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</si>
  <si>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</si>
  <si>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</si>
  <si>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</si>
  <si>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</si>
  <si>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</si>
  <si>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</si>
  <si>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</si>
  <si>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</si>
  <si>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</si>
  <si>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Ficha</t>
  </si>
  <si>
    <t>Jornada</t>
  </si>
  <si>
    <t>Local</t>
  </si>
  <si>
    <t>Visitante</t>
  </si>
  <si>
    <t>Día</t>
  </si>
  <si>
    <t>Árbitro</t>
  </si>
  <si>
    <t>Torneo</t>
  </si>
  <si>
    <t>Pos</t>
  </si>
  <si>
    <t>Dorsal</t>
  </si>
  <si>
    <t>Documento</t>
  </si>
  <si>
    <t>Nombre</t>
  </si>
  <si>
    <t>APL</t>
  </si>
  <si>
    <t>Cert.</t>
  </si>
  <si>
    <t>Pos1</t>
  </si>
  <si>
    <t>Pos2</t>
  </si>
  <si>
    <t>Pos3</t>
  </si>
  <si>
    <t>Ult.Fich.</t>
  </si>
  <si>
    <t>Condicion</t>
  </si>
  <si>
    <t>Puntos_Local</t>
  </si>
  <si>
    <t>Puntos_Visitante</t>
  </si>
  <si>
    <t>Tiempo_juego</t>
  </si>
  <si>
    <t>Club</t>
  </si>
  <si>
    <t>Situacion</t>
  </si>
  <si>
    <t>17647</t>
  </si>
  <si>
    <t>27/09/2026</t>
  </si>
  <si>
    <t>Division de Honor</t>
  </si>
  <si>
    <t>SAL00001</t>
  </si>
  <si>
    <t>ABARCA, CRISTIAN EMANUEL</t>
  </si>
  <si>
    <t>DHM - B</t>
  </si>
  <si>
    <t>T</t>
  </si>
  <si>
    <t>VISITANTE</t>
  </si>
  <si>
    <t>17652</t>
  </si>
  <si>
    <t>04/10/2026</t>
  </si>
  <si>
    <t>JOAQUIN SANTORO FERREIRO</t>
  </si>
  <si>
    <t>LOCAL</t>
  </si>
  <si>
    <t>17645</t>
  </si>
  <si>
    <t>3</t>
  </si>
  <si>
    <t>POZ00001</t>
  </si>
  <si>
    <t>ACEVEDO, LAUTARO FABIAN</t>
  </si>
  <si>
    <t>PD</t>
  </si>
  <si>
    <t>FEDERICO JAVIER JAPAS</t>
  </si>
  <si>
    <t>17646</t>
  </si>
  <si>
    <t>2</t>
  </si>
  <si>
    <t>ORD00001</t>
  </si>
  <si>
    <t>AIA VALVERDE, EKAITZ</t>
  </si>
  <si>
    <t>PI,T</t>
  </si>
  <si>
    <t>DHM - A</t>
  </si>
  <si>
    <t>18</t>
  </si>
  <si>
    <t>ORD00002</t>
  </si>
  <si>
    <t>ALBERDI MENDIZABAL, ANDER</t>
  </si>
  <si>
    <t>T,PD</t>
  </si>
  <si>
    <t>S</t>
  </si>
  <si>
    <t>16</t>
  </si>
  <si>
    <t>SAL00002</t>
  </si>
  <si>
    <t>ALONSO GOMEZ , DAVID</t>
  </si>
  <si>
    <t>M23 - A</t>
  </si>
  <si>
    <t>21</t>
  </si>
  <si>
    <t>SAL00003</t>
  </si>
  <si>
    <t>ALONSO GOMEZ , SAUL</t>
  </si>
  <si>
    <t>9</t>
  </si>
  <si>
    <t>ALVARO GARCIA DE LAS MESTAS GARCIA</t>
  </si>
  <si>
    <t>ALTAMIRANO DECICCO, AGUSTIN</t>
  </si>
  <si>
    <t>DHM - C</t>
  </si>
  <si>
    <t>ALTUNA ERDOZAIN, JOSU</t>
  </si>
  <si>
    <t>22</t>
  </si>
  <si>
    <t>SAL00004</t>
  </si>
  <si>
    <t>ALVAREZ PEQUEÑO, LUCAS</t>
  </si>
  <si>
    <t>M20 - A</t>
  </si>
  <si>
    <t>14</t>
  </si>
  <si>
    <t>15</t>
  </si>
  <si>
    <t>UBU00001</t>
  </si>
  <si>
    <t>ALVIZO, NICOLAS DANIEL</t>
  </si>
  <si>
    <t>CARLOS GUERRERO PADIN</t>
  </si>
  <si>
    <t>17643</t>
  </si>
  <si>
    <t>VILA00001</t>
  </si>
  <si>
    <t>ANASTASI EPIS, TOMAS VALENTIN</t>
  </si>
  <si>
    <t>PI,PD</t>
  </si>
  <si>
    <t>UES00001</t>
  </si>
  <si>
    <t>ANDRES I COMES, ARNAU</t>
  </si>
  <si>
    <t>ORD00003</t>
  </si>
  <si>
    <t>ANGIOZAR BOTO, AITOR</t>
  </si>
  <si>
    <t>17644</t>
  </si>
  <si>
    <t>IGNACIO MUÑOZ MARTIN</t>
  </si>
  <si>
    <t>10</t>
  </si>
  <si>
    <t>ALC00001</t>
  </si>
  <si>
    <t>ANTEM MAGNOL, MATEO</t>
  </si>
  <si>
    <t>8</t>
  </si>
  <si>
    <t>CIS00001</t>
  </si>
  <si>
    <t>ANTOZZI, TOMAS FERNANDO</t>
  </si>
  <si>
    <t>EKI FANLO ANTZIN</t>
  </si>
  <si>
    <t>ORD00004</t>
  </si>
  <si>
    <t>ARAÑA OIARBIDE, ALAIN</t>
  </si>
  <si>
    <t>UBU00002</t>
  </si>
  <si>
    <t>ARBELO GARCIA, DIEGO</t>
  </si>
  <si>
    <t>ARIAS GOMEZ, RODRIGO</t>
  </si>
  <si>
    <t>LIC00001</t>
  </si>
  <si>
    <t>ARIAS LASTRA, ADRIAN</t>
  </si>
  <si>
    <t>20</t>
  </si>
  <si>
    <t>SAL00005</t>
  </si>
  <si>
    <t>ARRAIZA ARRIBAS, IGNACIO</t>
  </si>
  <si>
    <t>POZ00002</t>
  </si>
  <si>
    <t>ARRAIZA ARRIBAS, PEDRO</t>
  </si>
  <si>
    <t>SAL00006</t>
  </si>
  <si>
    <t>ARRANZ, JUAN BAUTISTA</t>
  </si>
  <si>
    <t>1</t>
  </si>
  <si>
    <t>CIS00002</t>
  </si>
  <si>
    <t>AVILA RECIO, FACUNDO NICOLAS</t>
  </si>
  <si>
    <t>ORD00005</t>
  </si>
  <si>
    <t>AZURMENDI SENAR, BEÑAT</t>
  </si>
  <si>
    <t>12</t>
  </si>
  <si>
    <t>LIC00002</t>
  </si>
  <si>
    <t>BALLESTER MUÑOZ-ROJAS, GONZALO</t>
  </si>
  <si>
    <t>LIC00003</t>
  </si>
  <si>
    <t>BARDON PEDROLA, PEDRO</t>
  </si>
  <si>
    <t>7</t>
  </si>
  <si>
    <t>ORD00006</t>
  </si>
  <si>
    <t>BARTORELLI MAY, FRANCISCO MARIA</t>
  </si>
  <si>
    <t>17</t>
  </si>
  <si>
    <t>CIS00003</t>
  </si>
  <si>
    <t>BERGASA ARMENDARIZ, DIEGO</t>
  </si>
  <si>
    <t>ORD00007</t>
  </si>
  <si>
    <t>BERNALDO SANCHEZ, PAU</t>
  </si>
  <si>
    <t>VILA00002</t>
  </si>
  <si>
    <t>BETTERA SOLTERMANN, NICANOR</t>
  </si>
  <si>
    <t>M23 - C</t>
  </si>
  <si>
    <t>11</t>
  </si>
  <si>
    <t>SAL00007</t>
  </si>
  <si>
    <t>BLASCO PRIETO, DIEGO</t>
  </si>
  <si>
    <t>23</t>
  </si>
  <si>
    <t>ALC00002</t>
  </si>
  <si>
    <t>BOLAND SAURA, GUILLERMO</t>
  </si>
  <si>
    <t>VRAC00001</t>
  </si>
  <si>
    <t>BORONDO HUGHES, JAIME BELTRAN</t>
  </si>
  <si>
    <t>CIS00004</t>
  </si>
  <si>
    <t>BORRAZ HERNANDEZ, JOSE RAMON</t>
  </si>
  <si>
    <t>POZ00003</t>
  </si>
  <si>
    <t>BURKE MARTINEZ, HECTOR</t>
  </si>
  <si>
    <t>UBU00003</t>
  </si>
  <si>
    <t>BUSTOS, VALENTIN</t>
  </si>
  <si>
    <t>CIS00005</t>
  </si>
  <si>
    <t>CACHORRO SCHMIDT, SANTIAGO NICAN</t>
  </si>
  <si>
    <t>CACHORRO SCHMIDT, SANTIAGO NICANOR</t>
  </si>
  <si>
    <t>VILA00003</t>
  </si>
  <si>
    <t>CAINI VAZQUEZ , IGNACIO</t>
  </si>
  <si>
    <t>VRAC00002</t>
  </si>
  <si>
    <t>CANE SGRO, PEDRO</t>
  </si>
  <si>
    <t>UBU00004</t>
  </si>
  <si>
    <t>CANEPA MENDO, NOAH</t>
  </si>
  <si>
    <t>VILA00004</t>
  </si>
  <si>
    <t>CAO-RIQUELME, ROMAN</t>
  </si>
  <si>
    <t>UES00002</t>
  </si>
  <si>
    <t>CARBONELL COLOME, IGNASI</t>
  </si>
  <si>
    <t>UES00003</t>
  </si>
  <si>
    <t>CARBONELL I COLOME, GENIS</t>
  </si>
  <si>
    <t>UES00004</t>
  </si>
  <si>
    <t>CARRERAS CUESTA, MARÇAL</t>
  </si>
  <si>
    <t>13</t>
  </si>
  <si>
    <t>LIC00004</t>
  </si>
  <si>
    <t>CARRIERE MEYNIER, HUGO MARIE</t>
  </si>
  <si>
    <t>ALC00003</t>
  </si>
  <si>
    <t>CARVAJALES RODRIGUEZ, DIEGO</t>
  </si>
  <si>
    <t>ORD00008</t>
  </si>
  <si>
    <t>CASTEGLIONI ALZORRIZ, SILVIO FEDER</t>
  </si>
  <si>
    <t>CASTEGLIONI ALZORRIZ, SILVIO FEDERICO</t>
  </si>
  <si>
    <t>CASTELLANI, DANTE</t>
  </si>
  <si>
    <t>VILA00005</t>
  </si>
  <si>
    <t>CASTRO VITTORI, ALFONSO</t>
  </si>
  <si>
    <t>LIC00005</t>
  </si>
  <si>
    <t>CEBALLOS GARCIA, BORJA</t>
  </si>
  <si>
    <t>SAL00008</t>
  </si>
  <si>
    <t>CHICO AYO, DANIEL</t>
  </si>
  <si>
    <t>PI</t>
  </si>
  <si>
    <t>CITTADINI, AGUSTIN</t>
  </si>
  <si>
    <t>VILA00006</t>
  </si>
  <si>
    <t>COLLADOS IZQUIERDO, UNAI</t>
  </si>
  <si>
    <t>LIC00006</t>
  </si>
  <si>
    <t>CORDOBA SALGADO, JUAN CAMILO</t>
  </si>
  <si>
    <t>SAL00009</t>
  </si>
  <si>
    <t>CORONEL, JAVIER ANGEL</t>
  </si>
  <si>
    <t>UBU00005</t>
  </si>
  <si>
    <t>CULUBRET GAVALDA , QUIM</t>
  </si>
  <si>
    <t>19</t>
  </si>
  <si>
    <t>UES00005</t>
  </si>
  <si>
    <t>DAGA RODRIGUES, MARC</t>
  </si>
  <si>
    <t>UBU00006</t>
  </si>
  <si>
    <t>DAMBOLA CALDERON , JUAN CRUZ</t>
  </si>
  <si>
    <t>UES00006</t>
  </si>
  <si>
    <t>DANIELS MARTINEZ, JACK</t>
  </si>
  <si>
    <t>ALC00004</t>
  </si>
  <si>
    <t>DE LA PISA CUADRADO, ELOY</t>
  </si>
  <si>
    <t>VILA00007</t>
  </si>
  <si>
    <t>DI PRIMA CIGNO, VALENTINO</t>
  </si>
  <si>
    <t>VILA00008</t>
  </si>
  <si>
    <t>DI PRIMA, SANTINO</t>
  </si>
  <si>
    <t>DIAZ PALOMO, DYLAN</t>
  </si>
  <si>
    <t>VRAC00003</t>
  </si>
  <si>
    <t>DOMINGUEZ GARCIA , GONZALO</t>
  </si>
  <si>
    <t>VRAC00004</t>
  </si>
  <si>
    <t>DOMINGUEZ GARCIA, FERNANDO</t>
  </si>
  <si>
    <t>POZ00004</t>
  </si>
  <si>
    <t>DOUGLAS VENTOSA, HUGO</t>
  </si>
  <si>
    <t>VRAC00005</t>
  </si>
  <si>
    <t>DU PLOOY, REUBEN</t>
  </si>
  <si>
    <t>LIC00007</t>
  </si>
  <si>
    <t>DURANGO HERRERA, ANGEL</t>
  </si>
  <si>
    <t>VRAC00006</t>
  </si>
  <si>
    <t>ECUAGA GOMEZ, PABLO</t>
  </si>
  <si>
    <t>POZ00005</t>
  </si>
  <si>
    <t>ELVIRA GOMEZ, JORGE</t>
  </si>
  <si>
    <t>SAL00010</t>
  </si>
  <si>
    <t>ENCISO TEJERINA, ALFONSO</t>
  </si>
  <si>
    <t>VRAC00007</t>
  </si>
  <si>
    <t>ERMAKOV GORBUNOV, MAXIM</t>
  </si>
  <si>
    <t>LIC00008</t>
  </si>
  <si>
    <t>ESPOSITO MENARD, ELLIOT ARTHUR</t>
  </si>
  <si>
    <t>UBU00007</t>
  </si>
  <si>
    <t>ESTEBANEZ RODRIGO, DIEGO</t>
  </si>
  <si>
    <t>A</t>
  </si>
  <si>
    <t>DHBM - A</t>
  </si>
  <si>
    <t>POZ00006</t>
  </si>
  <si>
    <t>ESTEVEZ GARCIA, PEDRO</t>
  </si>
  <si>
    <t>FAVILLA CABALLERO, MATEO</t>
  </si>
  <si>
    <t>POZ00007</t>
  </si>
  <si>
    <t>FERNANDEZ COUVREUR, ADRIAN</t>
  </si>
  <si>
    <t>LIC00009</t>
  </si>
  <si>
    <t>FERNANDEZ LOPEZ, MARCOS</t>
  </si>
  <si>
    <t>UES00007</t>
  </si>
  <si>
    <t>FERNANDEZ SIERRA, BERNAT</t>
  </si>
  <si>
    <t>VILA00009</t>
  </si>
  <si>
    <t>FERRARI TAUSTE, DOMENICO</t>
  </si>
  <si>
    <t>UES00008</t>
  </si>
  <si>
    <t>FERRER DALTON, WOODY</t>
  </si>
  <si>
    <t>POZ00008</t>
  </si>
  <si>
    <t>FERRER ELVIRA, JAIME</t>
  </si>
  <si>
    <t>POZ00009</t>
  </si>
  <si>
    <t>FERTU, LIVIU FLORENTIN</t>
  </si>
  <si>
    <t>SAL00011</t>
  </si>
  <si>
    <t>FISHER, ETHAN DEREK</t>
  </si>
  <si>
    <t>POZ00010</t>
  </si>
  <si>
    <t>FLUXA DAMIANO, TOMEU</t>
  </si>
  <si>
    <t>CIS00006</t>
  </si>
  <si>
    <t>FONSECA BUELGA, JUAN</t>
  </si>
  <si>
    <t>LIC00010</t>
  </si>
  <si>
    <t>GABAS RUIZ, ADRIAN LOUIS</t>
  </si>
  <si>
    <t>VRAC00008</t>
  </si>
  <si>
    <t>GALLEGO GONZALEZ, DAVID</t>
  </si>
  <si>
    <t>ORD00009</t>
  </si>
  <si>
    <t>GARCIA BAÑUELOS , EGOITZ</t>
  </si>
  <si>
    <t>POZ00011</t>
  </si>
  <si>
    <t>GARCIA GALA, JUAN</t>
  </si>
  <si>
    <t>CIS00007</t>
  </si>
  <si>
    <t>GARCIA MECANDEZ, ALEJANDRO</t>
  </si>
  <si>
    <t>VILA00010</t>
  </si>
  <si>
    <t>GARCIA PONCE, ALEJO TOMAS</t>
  </si>
  <si>
    <t>UBU00008</t>
  </si>
  <si>
    <t>GARCIA RUIZ, ADRIAN</t>
  </si>
  <si>
    <t>GARMENDIA ZUBELDIA, ERLANTZ</t>
  </si>
  <si>
    <t>POZ00012</t>
  </si>
  <si>
    <t>GARRETA BALLENILLA, JORGE</t>
  </si>
  <si>
    <t>UBU00009</t>
  </si>
  <si>
    <t>GAVIN HERMOSILLA , VICTOR VICENTE</t>
  </si>
  <si>
    <t>GEIJO DE LA FUENTE , JAVIER</t>
  </si>
  <si>
    <t>VRAC00009</t>
  </si>
  <si>
    <t>GENCO , MAURO ANGEL</t>
  </si>
  <si>
    <t>UBU00010</t>
  </si>
  <si>
    <t>GIL COMESAÑA, AGUSTIN SEBASTIAN</t>
  </si>
  <si>
    <t>ORD00010</t>
  </si>
  <si>
    <t>GOIA IRIBERRI, OIER</t>
  </si>
  <si>
    <t>CIS00008</t>
  </si>
  <si>
    <t>GOLDSPINK BOREL, NICHOLAS</t>
  </si>
  <si>
    <t>UBU00011</t>
  </si>
  <si>
    <t>GOMEZ LAESPADA , LANDER</t>
  </si>
  <si>
    <t>VRAC00010</t>
  </si>
  <si>
    <t>GOMEZ RODRIGUEZ, ALBERTO</t>
  </si>
  <si>
    <t>CIS00009</t>
  </si>
  <si>
    <t>GOMEZ RODRIGUEZ, JORGE</t>
  </si>
  <si>
    <t>CIS00010</t>
  </si>
  <si>
    <t>GONZALEZ CRITICOS, GONZALO</t>
  </si>
  <si>
    <t>VRAC00011</t>
  </si>
  <si>
    <t>GONZALEZ DEL PINO, FRANCISCO</t>
  </si>
  <si>
    <t>POZ00013</t>
  </si>
  <si>
    <t>GONZALEZ GARCIA, PEDRO VALENTIN</t>
  </si>
  <si>
    <t>POZ00014</t>
  </si>
  <si>
    <t>GONZALEZ, FRANCISCO NICOLAS</t>
  </si>
  <si>
    <t>POZ00015</t>
  </si>
  <si>
    <t>GONZALEZ, MARCOS SEBASTIAN</t>
  </si>
  <si>
    <t>ORD00011</t>
  </si>
  <si>
    <t>GOROSTIDI JAIMERENA, MIKEL</t>
  </si>
  <si>
    <t>ALC00005</t>
  </si>
  <si>
    <t>GOUGY SANTORO, ROMAN SALVADOR</t>
  </si>
  <si>
    <t>UES00009</t>
  </si>
  <si>
    <t>GRASSI, NICCOLO ELIANTO</t>
  </si>
  <si>
    <t>GUARDIOLA GARCIA , SALVADOR</t>
  </si>
  <si>
    <t>ORD00012</t>
  </si>
  <si>
    <t>GUTIERREZ ALOS, EMILIO JOSE</t>
  </si>
  <si>
    <t>POZ00016</t>
  </si>
  <si>
    <t>HELMAN, FELIPE</t>
  </si>
  <si>
    <t>CIS00011</t>
  </si>
  <si>
    <t>HERNANDEZ CHINCHILLA, IGNACIO</t>
  </si>
  <si>
    <t>LIC00011</t>
  </si>
  <si>
    <t>HERNANDEZ GOMEZ , EDUARDO RAFAE</t>
  </si>
  <si>
    <t>PI,T,PD</t>
  </si>
  <si>
    <t>HERNANDEZ GOMEZ , EDUARDO RAFAEL</t>
  </si>
  <si>
    <t>HERNANDO SAINZ, ALVARO</t>
  </si>
  <si>
    <t>ALC00006</t>
  </si>
  <si>
    <t>HERRAEZ VAQUERIZO, MARCOS</t>
  </si>
  <si>
    <t>POZ00017</t>
  </si>
  <si>
    <t>IBAÑEZ ESCALERA, BORJA</t>
  </si>
  <si>
    <t>POZ00018</t>
  </si>
  <si>
    <t>IBAÑEZ ESCALERA, MIGUEL</t>
  </si>
  <si>
    <t>IRIONDO BARRENETXEA, PELLO</t>
  </si>
  <si>
    <t>CIS00012</t>
  </si>
  <si>
    <t>IRUSTA SALLES, IKE</t>
  </si>
  <si>
    <t>CIS00013</t>
  </si>
  <si>
    <t>IRUSTA SALLES, YAKO</t>
  </si>
  <si>
    <t>CIS00014</t>
  </si>
  <si>
    <t>JOHN BOLGER, CIARAN</t>
  </si>
  <si>
    <t>CIS00015</t>
  </si>
  <si>
    <t>JONES, PATRICK SIDNEY</t>
  </si>
  <si>
    <t>JORQUI MARTINEZ, JOSE MANUEL</t>
  </si>
  <si>
    <t>UES00010</t>
  </si>
  <si>
    <t>JURADO, NICOLAS NAHUEL</t>
  </si>
  <si>
    <t>SAL00012</t>
  </si>
  <si>
    <t>KENNEALLY, ROCKLYN JOHN</t>
  </si>
  <si>
    <t>ALC00007</t>
  </si>
  <si>
    <t>KOKUASHVILI, BEKA</t>
  </si>
  <si>
    <t>ORD00013</t>
  </si>
  <si>
    <t>LASA SANCHEZ, AITOR</t>
  </si>
  <si>
    <t>UES00011</t>
  </si>
  <si>
    <t>LEONORI SEARA, TOMAS</t>
  </si>
  <si>
    <t>LIC00012</t>
  </si>
  <si>
    <t>LLORET ACERO, JUAN</t>
  </si>
  <si>
    <t>LIC00013</t>
  </si>
  <si>
    <t>LOPEZ BASTERRECHEA, IGNACIO</t>
  </si>
  <si>
    <t>UBU00012</t>
  </si>
  <si>
    <t>LOPEZ BONTEMPO, FACUNDO</t>
  </si>
  <si>
    <t>ALC00008</t>
  </si>
  <si>
    <t>LOPEZ DE HARO JUSTE, JAVIER</t>
  </si>
  <si>
    <t>UES00012</t>
  </si>
  <si>
    <t>LOPEZ FONT, JOAN</t>
  </si>
  <si>
    <t>ALC00009</t>
  </si>
  <si>
    <t>LOPEZ HERNANDIZ , SANTIAGO</t>
  </si>
  <si>
    <t>ORD00014</t>
  </si>
  <si>
    <t>LOPEZ PEREZ, FERNANDO MARTIN</t>
  </si>
  <si>
    <t>UES00013</t>
  </si>
  <si>
    <t>LORENZO NAVALON, OSCAR</t>
  </si>
  <si>
    <t>UBU00013</t>
  </si>
  <si>
    <t>MANSILLA , SANTIAGO IGNACIO</t>
  </si>
  <si>
    <t>VRAC00012</t>
  </si>
  <si>
    <t>MARCOS MEDINA , TEODORO</t>
  </si>
  <si>
    <t>ORD00015</t>
  </si>
  <si>
    <t>MARTIN MUJIKA, XABIER</t>
  </si>
  <si>
    <t>MARTINEZ LUCAS , JUAN</t>
  </si>
  <si>
    <t>VILA00011</t>
  </si>
  <si>
    <t>MARTINEZ MANZANO , FRANCISCO JAVI</t>
  </si>
  <si>
    <t>MARTINEZ MANZANO , FRANCISCO JAVIER</t>
  </si>
  <si>
    <t>VILA00012</t>
  </si>
  <si>
    <t>MARTINEZ NAVARRO, PEDRO</t>
  </si>
  <si>
    <t>MARTINEZ ORTEGA, ENRIQUE</t>
  </si>
  <si>
    <t>UES00014</t>
  </si>
  <si>
    <t>MASSONI SALADO, PAU</t>
  </si>
  <si>
    <t>VRAC00013</t>
  </si>
  <si>
    <t>MASTOURI TORRES, ANDREA MASSIMO</t>
  </si>
  <si>
    <t>UBU00014</t>
  </si>
  <si>
    <t>MATA GONZALEZ-MARRON , PABLO</t>
  </si>
  <si>
    <t>VILA00013</t>
  </si>
  <si>
    <t>MATAMOROS ABAD, HECTOR</t>
  </si>
  <si>
    <t>VRAC00014</t>
  </si>
  <si>
    <t>MATEOS ASENSIO , PABLO</t>
  </si>
  <si>
    <t>POZ00019</t>
  </si>
  <si>
    <t>MAZARIEGOS ARRAIZA, IÑIGO</t>
  </si>
  <si>
    <t>ALC00010</t>
  </si>
  <si>
    <t>MEDINA, RUBEN OMAR</t>
  </si>
  <si>
    <t>VILA00014</t>
  </si>
  <si>
    <t>MELIAN, LUCAS MAXIMILIANO</t>
  </si>
  <si>
    <t>ALC00011</t>
  </si>
  <si>
    <t>MENDEZ GRASSO, MANUEL</t>
  </si>
  <si>
    <t>UES00015</t>
  </si>
  <si>
    <t>MENDIZABAL CASAÑE, ROGER XAVIER</t>
  </si>
  <si>
    <t>ALC00012</t>
  </si>
  <si>
    <t>MICHIELS, LUCAS PIETER A.</t>
  </si>
  <si>
    <t>LIC00014</t>
  </si>
  <si>
    <t>MIGNON, PAUL ABEL</t>
  </si>
  <si>
    <t>UES00016</t>
  </si>
  <si>
    <t>MILLAN DIAZ, ALBERT</t>
  </si>
  <si>
    <t>UES00017</t>
  </si>
  <si>
    <t>MOLETI LOBERA, NICOLAS</t>
  </si>
  <si>
    <t>UBU00015</t>
  </si>
  <si>
    <t>MOLINA HERNANDO, LUCIANO JAVIER</t>
  </si>
  <si>
    <t>UBU00016</t>
  </si>
  <si>
    <t>MOLINA HERNANDO, NAHUEL</t>
  </si>
  <si>
    <t>LIC00015</t>
  </si>
  <si>
    <t>MOLINA MUÑOZ, JULIAN</t>
  </si>
  <si>
    <t>VRAC00015</t>
  </si>
  <si>
    <t>MOLINERO ALCAZAR, SERGIO</t>
  </si>
  <si>
    <t>VILA00015</t>
  </si>
  <si>
    <t>MONTOYA QUIROGA, BALTAZAR</t>
  </si>
  <si>
    <t>UES00018</t>
  </si>
  <si>
    <t>MORAÑA , AGUSTIN</t>
  </si>
  <si>
    <t>ORD00016</t>
  </si>
  <si>
    <t>MUJIKA MARTINEZ DE ZUAZO, IORITZ</t>
  </si>
  <si>
    <t>SAL00013</t>
  </si>
  <si>
    <t>MUNILLA LO DUCA, FACUNDO GABRIEL</t>
  </si>
  <si>
    <t>LIC00016</t>
  </si>
  <si>
    <t>MUÑOZ BLANCO, ANDRES</t>
  </si>
  <si>
    <t>NARVARTE IBAÃ?€˜EZ, MIGUEL</t>
  </si>
  <si>
    <t>ORD00017</t>
  </si>
  <si>
    <t>NUÑEZ, MIQUEAS NAHUN ABEL</t>
  </si>
  <si>
    <t>ORD00018</t>
  </si>
  <si>
    <t>OLABE ESCRIBANO, IBAI</t>
  </si>
  <si>
    <t>ORD00019</t>
  </si>
  <si>
    <t>OLASAGASTI MUJIKA, AITOR</t>
  </si>
  <si>
    <t>VILA00016</t>
  </si>
  <si>
    <t>ORTEGA CASTILLO, JOSE ANGEL</t>
  </si>
  <si>
    <t>SAL00014</t>
  </si>
  <si>
    <t>ORTEGA GRANDELA, SANTIAGO</t>
  </si>
  <si>
    <t>POZ00020</t>
  </si>
  <si>
    <t>OSSET MARIN, ANDRES</t>
  </si>
  <si>
    <t>CIS00016</t>
  </si>
  <si>
    <t>OZONAS COLOMAR, JUAN</t>
  </si>
  <si>
    <t>ORD00020</t>
  </si>
  <si>
    <t>OZU FUENTES, BALTASAR</t>
  </si>
  <si>
    <t>PALERO CASTRO, JEREMIAS</t>
  </si>
  <si>
    <t>UES00019</t>
  </si>
  <si>
    <t>PALOMAR GRAU, MARC</t>
  </si>
  <si>
    <t>VILA00017</t>
  </si>
  <si>
    <t>PANDELO MENDEZ, JERONIMO</t>
  </si>
  <si>
    <t>ORD00021</t>
  </si>
  <si>
    <t>PEART, BEAU FINNIAN</t>
  </si>
  <si>
    <t>SAL00015</t>
  </si>
  <si>
    <t>PELAZ ALDAMA, RODRIGO</t>
  </si>
  <si>
    <t>ALC00013</t>
  </si>
  <si>
    <t>PEREZ ADRADA, MARCOS</t>
  </si>
  <si>
    <t>ALC00014</t>
  </si>
  <si>
    <t>PEREZ ADRADA, RODRIGO</t>
  </si>
  <si>
    <t>CIS00017</t>
  </si>
  <si>
    <t>PEREZ BAZA, MIGUEL</t>
  </si>
  <si>
    <t>VILA00018</t>
  </si>
  <si>
    <t>PEREZ CERVILLA, ASIER</t>
  </si>
  <si>
    <t>UES00020</t>
  </si>
  <si>
    <t>PEREZ GARCIA, RICARD</t>
  </si>
  <si>
    <t>UBU00017</t>
  </si>
  <si>
    <t>PEREZ MEROÑO, PABLO</t>
  </si>
  <si>
    <t>VRAC00016</t>
  </si>
  <si>
    <t>PEROTTI , MAURO LUCIANO</t>
  </si>
  <si>
    <t>CIS00018</t>
  </si>
  <si>
    <t>PETROS MENDOZA, ANDRES</t>
  </si>
  <si>
    <t>PETROS MENDOZA, NICOLAS</t>
  </si>
  <si>
    <t>LIC00017</t>
  </si>
  <si>
    <t>PICARD BERNES, SACHA SANTIAGO</t>
  </si>
  <si>
    <t>PICOLE, ARTHUR SIMON</t>
  </si>
  <si>
    <t>M23 - B</t>
  </si>
  <si>
    <t>UES00021</t>
  </si>
  <si>
    <t>PIZARRO VERA , ERIC</t>
  </si>
  <si>
    <t>ALC00015</t>
  </si>
  <si>
    <t>PONCE INZIRILLO, LAUTARO PEDRO</t>
  </si>
  <si>
    <t>VILA00019</t>
  </si>
  <si>
    <t>PONCE SOLTERO , NICOLAS</t>
  </si>
  <si>
    <t>SAL00016</t>
  </si>
  <si>
    <t>POWYS ROJO, JAIME</t>
  </si>
  <si>
    <t>PRADOS DIAZ , MAURO</t>
  </si>
  <si>
    <t>PUJANA LENDINEZ, MANEX</t>
  </si>
  <si>
    <t>ALC00016</t>
  </si>
  <si>
    <t>RASCON DEL CAMPO, PABLO</t>
  </si>
  <si>
    <t>VILA00020</t>
  </si>
  <si>
    <t>REDONDO MARTINEZ, ASIER</t>
  </si>
  <si>
    <t>ALC00017</t>
  </si>
  <si>
    <t>RODRIGUEZ ORTEGA , CARLOS</t>
  </si>
  <si>
    <t>ROMAN CANO , JUAN ANTONIO</t>
  </si>
  <si>
    <t>SAL00017</t>
  </si>
  <si>
    <t>ROMANOS FERNANDEZ, FERNANDO JO</t>
  </si>
  <si>
    <t>ROMANOS FERNANDEZ, FERNANDO JOSE</t>
  </si>
  <si>
    <t>LIC00018</t>
  </si>
  <si>
    <t>RORET, NICOLAS BENJAMIN GUILLE- ANDRE</t>
  </si>
  <si>
    <t>RORET, NICOLAS BENJAMIN GUILLE-ANDRE</t>
  </si>
  <si>
    <t>ROSALES, FEDERICO MARTIN</t>
  </si>
  <si>
    <t>SAL00018</t>
  </si>
  <si>
    <t>RUIZ MARCOS , JACOBO</t>
  </si>
  <si>
    <t>ALC00018</t>
  </si>
  <si>
    <t>RUS BIOT, AARON</t>
  </si>
  <si>
    <t>CIS00019</t>
  </si>
  <si>
    <t>SAINZ-TRAPAGA, MANUEL</t>
  </si>
  <si>
    <t>VRAC00017</t>
  </si>
  <si>
    <t>SANCHEZ CARLOS , MARC</t>
  </si>
  <si>
    <t>UBU00018</t>
  </si>
  <si>
    <t>SANCHEZ RODRIGUEZ, ALEJANDRO</t>
  </si>
  <si>
    <t>SAL00019</t>
  </si>
  <si>
    <t>SANTA CRUZ, LUCAS DAMIAN</t>
  </si>
  <si>
    <t>SAL00020</t>
  </si>
  <si>
    <t>SANZ GIL-CEPEDA , JULIO</t>
  </si>
  <si>
    <t>LIC00019</t>
  </si>
  <si>
    <t>SANZ LOPEZ-COTELO, MARCOS</t>
  </si>
  <si>
    <t>ALC00019</t>
  </si>
  <si>
    <t>SANZ ROCCO, FACUNDO EXEQUIEL</t>
  </si>
  <si>
    <t>VILA00021</t>
  </si>
  <si>
    <t>SEGOVIA, EDGARDO</t>
  </si>
  <si>
    <t>VRAC00018</t>
  </si>
  <si>
    <t>SERRANO DUNEZAT, MARTIN</t>
  </si>
  <si>
    <t>ALC00020</t>
  </si>
  <si>
    <t>SERRANO GARCIA, RODRIGO</t>
  </si>
  <si>
    <t>UES00022</t>
  </si>
  <si>
    <t>SIRVENT SANSO, MARCEL</t>
  </si>
  <si>
    <t>UBU00019</t>
  </si>
  <si>
    <t>SIVORI, NEHEMIAS</t>
  </si>
  <si>
    <t>POZ00021</t>
  </si>
  <si>
    <t>SORIANO BENAVIDES, JOSE IGNACIO</t>
  </si>
  <si>
    <t>CIS00020</t>
  </si>
  <si>
    <t>SORIANO NICOLAS, FRANCISCO</t>
  </si>
  <si>
    <t>ORD00022</t>
  </si>
  <si>
    <t>SOSA, TULIO ALBERTO</t>
  </si>
  <si>
    <t>POZ00022</t>
  </si>
  <si>
    <t>SOTOMAYOR MENCHACA, ADRIAN</t>
  </si>
  <si>
    <t>LIC00020</t>
  </si>
  <si>
    <t>SPINELLI, JOSE IGNACIO</t>
  </si>
  <si>
    <t>LIC00021</t>
  </si>
  <si>
    <t>SUANZES DIEZ, JUAN BOSCO</t>
  </si>
  <si>
    <t>ALC00021</t>
  </si>
  <si>
    <t>SUAREZ RODRIGUEZ , ALEJANDRO</t>
  </si>
  <si>
    <t>VRAC00019</t>
  </si>
  <si>
    <t>TAIBO, BALTAZAR</t>
  </si>
  <si>
    <t>LIC00022</t>
  </si>
  <si>
    <t>TALEMAISUVA, ADRIANO</t>
  </si>
  <si>
    <t>VRAC00020</t>
  </si>
  <si>
    <t>TCHUMBURIDZE, TSOTNE</t>
  </si>
  <si>
    <t>VRAC00021</t>
  </si>
  <si>
    <t>TOQUERO JARA, HECTOR</t>
  </si>
  <si>
    <t>LIC00023</t>
  </si>
  <si>
    <t>TORAN CARPIO, JORGE</t>
  </si>
  <si>
    <t>VRAC00022</t>
  </si>
  <si>
    <t>TORRES ELENO, PABLO NICOLAS</t>
  </si>
  <si>
    <t>UBU00020</t>
  </si>
  <si>
    <t>TORTOLA VILLAR , JUAN MIGUEL</t>
  </si>
  <si>
    <t>SAL00021</t>
  </si>
  <si>
    <t>TRIKI, MATHEO</t>
  </si>
  <si>
    <t>VILA00022</t>
  </si>
  <si>
    <t>TUDELA PERRET, JOAN LUIS</t>
  </si>
  <si>
    <t>VRAC00023</t>
  </si>
  <si>
    <t>TURABELIDZE, GIORGI</t>
  </si>
  <si>
    <t>URPINAS TORRENTS, ARNAU</t>
  </si>
  <si>
    <t>USEROS MARTIN, NICOLAS</t>
  </si>
  <si>
    <t>CIS00021</t>
  </si>
  <si>
    <t>VALLEJO LOPEZ, ANDRES</t>
  </si>
  <si>
    <t>UES00023</t>
  </si>
  <si>
    <t>VAN DE VEN, NIELS CORNELUS GERAR</t>
  </si>
  <si>
    <t>VAN DE VEN, NIELS CORNELUS GERARDUS</t>
  </si>
  <si>
    <t>UBU00021</t>
  </si>
  <si>
    <t>VAZQUEZ DI PIETRO, BERNARDO SEBASTIAN</t>
  </si>
  <si>
    <t>VAZQUEZ SEGURA, JUAN</t>
  </si>
  <si>
    <t>SAL00022</t>
  </si>
  <si>
    <t>VEGA ZAMACOLA, IGNACIO</t>
  </si>
  <si>
    <t>ORD00023</t>
  </si>
  <si>
    <t>VELARDE BRANDT, FRANCO MATIAS FE</t>
  </si>
  <si>
    <t>VERMERSCH, JEROME GABRIEL MARIE JOSEPH</t>
  </si>
  <si>
    <t>ALC00022</t>
  </si>
  <si>
    <t>VIDAL SOUZA, DIEGO</t>
  </si>
  <si>
    <t>VILA URGELL, PAU</t>
  </si>
  <si>
    <t>VILA00023</t>
  </si>
  <si>
    <t>VILCHEZ PEINADO, ALVARO</t>
  </si>
  <si>
    <t>CIS00022</t>
  </si>
  <si>
    <t>VILLALBA KOHN, FACUNDO</t>
  </si>
  <si>
    <t>CIS00023</t>
  </si>
  <si>
    <t>VINUESA GARCIA, GUZMAN</t>
  </si>
  <si>
    <t>UBU00022</t>
  </si>
  <si>
    <t>WAGENAAR, JOHAN PAUL</t>
  </si>
  <si>
    <t>POZ00023</t>
  </si>
  <si>
    <t>WILLIAMS, MANAWANUI JEAN</t>
  </si>
  <si>
    <t>ALC00023</t>
  </si>
  <si>
    <t>ZIVANAI, ADRIAN MUNYARADZI</t>
  </si>
  <si>
    <t>UBU00023</t>
  </si>
  <si>
    <t>ZUMETA AIZPURUA , URKO</t>
  </si>
  <si>
    <t>SAL00023</t>
  </si>
  <si>
    <t>ZURIARRAIN URCELAYETA, UNAX</t>
  </si>
  <si>
    <t>Tie.</t>
  </si>
  <si>
    <t>Min.</t>
  </si>
  <si>
    <t>Incid.</t>
  </si>
  <si>
    <t>Ptos.</t>
  </si>
  <si>
    <t>Dor</t>
  </si>
  <si>
    <t>Jugador</t>
  </si>
  <si>
    <t>Equipo</t>
  </si>
  <si>
    <t>Categoria</t>
  </si>
  <si>
    <t>1T</t>
  </si>
  <si>
    <t>Amarilla</t>
  </si>
  <si>
    <t>37</t>
  </si>
  <si>
    <t>33</t>
  </si>
  <si>
    <t>2T</t>
  </si>
  <si>
    <t>79</t>
  </si>
  <si>
    <t>80</t>
  </si>
  <si>
    <t>28</t>
  </si>
  <si>
    <t>ROMANOS FERNANDEZ, FERNANDO
JOSE</t>
  </si>
  <si>
    <t>44</t>
  </si>
  <si>
    <t>65</t>
  </si>
  <si>
    <t>Conmoción</t>
  </si>
  <si>
    <t>06</t>
  </si>
  <si>
    <t>Conversión</t>
  </si>
  <si>
    <t>53</t>
  </si>
  <si>
    <t>76</t>
  </si>
  <si>
    <t>04</t>
  </si>
  <si>
    <t>71</t>
  </si>
  <si>
    <t>01</t>
  </si>
  <si>
    <t>05</t>
  </si>
  <si>
    <t>52</t>
  </si>
  <si>
    <t>35</t>
  </si>
  <si>
    <t>63</t>
  </si>
  <si>
    <t>32</t>
  </si>
  <si>
    <t>36</t>
  </si>
  <si>
    <t>02</t>
  </si>
  <si>
    <t>CACHORRO SCHMIDT, SANTIAGO
NICANOR</t>
  </si>
  <si>
    <t>29</t>
  </si>
  <si>
    <t>58</t>
  </si>
  <si>
    <t>75</t>
  </si>
  <si>
    <t>Drop</t>
  </si>
  <si>
    <t>46</t>
  </si>
  <si>
    <t>Ingresó</t>
  </si>
  <si>
    <t>55</t>
  </si>
  <si>
    <t>62</t>
  </si>
  <si>
    <t>68</t>
  </si>
  <si>
    <t>54</t>
  </si>
  <si>
    <t>70</t>
  </si>
  <si>
    <t>74</t>
  </si>
  <si>
    <t>27</t>
  </si>
  <si>
    <t>45</t>
  </si>
  <si>
    <t>50</t>
  </si>
  <si>
    <t>56</t>
  </si>
  <si>
    <t>61</t>
  </si>
  <si>
    <t>64</t>
  </si>
  <si>
    <t>41</t>
  </si>
  <si>
    <t>66</t>
  </si>
  <si>
    <t>69</t>
  </si>
  <si>
    <t>73</t>
  </si>
  <si>
    <t>MATA GONZALEZ- MARRON , PABLO</t>
  </si>
  <si>
    <t>60</t>
  </si>
  <si>
    <t>78</t>
  </si>
  <si>
    <t>24</t>
  </si>
  <si>
    <t>48</t>
  </si>
  <si>
    <t>30</t>
  </si>
  <si>
    <t>38</t>
  </si>
  <si>
    <t>51</t>
  </si>
  <si>
    <t>57</t>
  </si>
  <si>
    <t>72</t>
  </si>
  <si>
    <t>NARVARTE IBAÃ?Â€˜EZ, MIGUEL</t>
  </si>
  <si>
    <t>25</t>
  </si>
  <si>
    <t>Penal</t>
  </si>
  <si>
    <t>40</t>
  </si>
  <si>
    <t>47</t>
  </si>
  <si>
    <t>43</t>
  </si>
  <si>
    <t>34</t>
  </si>
  <si>
    <t>Se retiró</t>
  </si>
  <si>
    <t>VELARDE BRANDT, FRANCO MATIAS FERNANDO</t>
  </si>
  <si>
    <t>Try</t>
  </si>
  <si>
    <t>26</t>
  </si>
  <si>
    <t>59</t>
  </si>
  <si>
    <t>MASTOURI TORRES, ANDREA
MASSIMO</t>
  </si>
  <si>
    <t>03</t>
  </si>
  <si>
    <t>GOUGY SANTORO, ROMAN
SALVADOR</t>
  </si>
  <si>
    <t>31</t>
  </si>
  <si>
    <t>BALLESTER MUÑOZ-ROJAS,
GONZALO</t>
  </si>
  <si>
    <t>09</t>
  </si>
  <si>
    <t>Try penal</t>
  </si>
  <si>
    <t>COMPLUTENSE CISNEROS</t>
  </si>
  <si>
    <t>POZ00025</t>
  </si>
  <si>
    <t>POZ00026</t>
  </si>
  <si>
    <t>ALC00024</t>
  </si>
  <si>
    <t>UES00024</t>
  </si>
  <si>
    <t>LIC00024</t>
  </si>
  <si>
    <t>ORD00025</t>
  </si>
  <si>
    <t>SAL00024</t>
  </si>
  <si>
    <t>UBU00024</t>
  </si>
  <si>
    <t>ALC00025</t>
  </si>
  <si>
    <t>ORD00026</t>
  </si>
  <si>
    <t>VRAC00024</t>
  </si>
  <si>
    <t>SAL00025</t>
  </si>
  <si>
    <t>POZ00027</t>
  </si>
  <si>
    <t>ALC00026</t>
  </si>
  <si>
    <t>POZ00028</t>
  </si>
  <si>
    <t>CIS00024</t>
  </si>
  <si>
    <t>VRAC00025</t>
  </si>
  <si>
    <t>POZ00029</t>
  </si>
  <si>
    <t>CIS00025</t>
  </si>
  <si>
    <t>VILA00026</t>
  </si>
  <si>
    <t>ALC00027</t>
  </si>
  <si>
    <t>UES00025</t>
  </si>
  <si>
    <t>SAL00027</t>
  </si>
  <si>
    <t>LIC00027</t>
  </si>
  <si>
    <t>UES00027</t>
  </si>
  <si>
    <t>UES00028</t>
  </si>
  <si>
    <t>VILA00024</t>
  </si>
  <si>
    <t>POZ00024</t>
  </si>
  <si>
    <t xml:space="preserve">https://youtu.be/BBGgzzNE8Pk </t>
  </si>
  <si>
    <t xml:space="preserve">https://youtu.be/8Y9L56SmTgQ </t>
  </si>
  <si>
    <t xml:space="preserve">https://youtu.be/GLIxoV6QISE </t>
  </si>
  <si>
    <t xml:space="preserve">https://youtu.be/hZ2ilm3FHss </t>
  </si>
  <si>
    <t xml:space="preserve">https://youtu.be/KpmZobrQKbQ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</si>
</sst>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h]:mm:ss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6"/>
      <name val="Arial"/>
      <family val="2"/>
      <charset val="1"/>
    </font>
    <font>
      <b/>
      <sz val="8"/>
      <name val="Arial"/>
      <family val="2"/>
      <charset val="1"/>
    </font>
    <font>
      <u/>
      <sz val="11"/>
      <color theme="10"/>
      <name val="Calibri"/>
      <family val="2"/>
      <charset val="1"/>
    </font>
    <font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9F9F9"/>
        <bgColor rgb="FFFFFFCC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5">
    <xf numFmtId="0" fontId="0" fillId="0" borderId="0" xfId="0"/>
    <xf numFmtId="164" fontId="0" fillId="0" borderId="0" xfId="0" applyNumberFormat="1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8" fillId="0" borderId="1" xfId="0" applyFont="1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4" borderId="1" xfId="0" applyFill="1" applyBorder="1"/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left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4" borderId="1" xfId="1" applyFill="1" applyBorder="1"/>
    <xf numFmtId="0" fontId="0" fillId="6" borderId="1" xfId="0" applyFill="1" applyBorder="1"/>
    <xf numFmtId="14" fontId="0" fillId="6" borderId="1" xfId="0" applyNumberFormat="1" applyFill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left"/>
    </xf>
    <xf numFmtId="0" fontId="4" fillId="6" borderId="1" xfId="1" applyFill="1" applyBorder="1"/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991507</xdr:colOff>
      <xdr:row>0</xdr:row>
      <xdr:rowOff>1</xdr:rowOff>
    </xdr:from>
    <xdr:to>
      <xdr:col>4</xdr:col>
      <xdr:colOff>293628</xdr:colOff>
      <xdr:row>1</xdr:row>
      <xdr:rowOff>508001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61457" y="1"/>
          <a:ext cx="1022971" cy="692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8Y9L56SmTgQ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BBGgzzNE8Pk" TargetMode="External"/><Relationship Id="rId1" Type="http://schemas.openxmlformats.org/officeDocument/2006/relationships/hyperlink" Target="https://youtu.be/Qh6oWJ1fYTg?si=BIQhKL1_WwP3TkN5" TargetMode="External"/><Relationship Id="rId6" Type="http://schemas.openxmlformats.org/officeDocument/2006/relationships/hyperlink" Target="https://youtu.be/KpmZobrQKbQ" TargetMode="External"/><Relationship Id="rId5" Type="http://schemas.openxmlformats.org/officeDocument/2006/relationships/hyperlink" Target="https://youtu.be/hZ2ilm3FHss" TargetMode="External"/><Relationship Id="rId4" Type="http://schemas.openxmlformats.org/officeDocument/2006/relationships/hyperlink" Target="https://youtu.be/GLIxoV6QI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0"/>
  <sheetViews>
    <sheetView topLeftCell="K1" workbookViewId="0">
      <selection activeCell="Q22" sqref="Q22"/>
    </sheetView>
  </sheetViews>
  <sheetFormatPr defaultRowHeight="14.5" x14ac:dyDescent="0.35"/>
  <cols>
    <col min="1" max="1" width="10.453125" style="2" bestFit="1" customWidth="1"/>
    <col min="2" max="2" width="5.81640625" style="2" bestFit="1" customWidth="1"/>
    <col min="3" max="3" width="16.6328125" style="2" bestFit="1" customWidth="1"/>
    <col min="4" max="4" width="27.26953125" style="2" bestFit="1" customWidth="1"/>
    <col min="5" max="5" width="9.453125" style="2" bestFit="1" customWidth="1"/>
    <col min="6" max="8" width="14.54296875" style="2" bestFit="1" customWidth="1"/>
    <col min="9" max="9" width="7.36328125" style="2" bestFit="1" customWidth="1"/>
    <col min="10" max="10" width="10.81640625" style="2" bestFit="1" customWidth="1"/>
    <col min="11" max="11" width="11.36328125" style="2" bestFit="1" customWidth="1"/>
    <col min="12" max="12" width="9.6328125" style="2" bestFit="1" customWidth="1"/>
    <col min="13" max="13" width="11.26953125" style="2" bestFit="1" customWidth="1"/>
    <col min="14" max="14" width="15.6328125" style="2" bestFit="1" customWidth="1"/>
    <col min="15" max="15" width="10" style="2" bestFit="1" customWidth="1"/>
    <col min="16" max="16" width="8.81640625" style="2" bestFit="1" customWidth="1"/>
    <col min="17" max="17" width="5.7265625" style="2" bestFit="1" customWidth="1"/>
    <col min="18" max="18" width="9.90625" style="2" bestFit="1" customWidth="1"/>
    <col min="19" max="19" width="15.453125" style="2" bestFit="1" customWidth="1"/>
    <col min="20" max="20" width="60.26953125" style="2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17644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2</v>
      </c>
      <c r="R2" s="1">
        <v>3.1250000000000001E-4</v>
      </c>
      <c r="S2" s="1">
        <v>2.0833333333333329E-4</v>
      </c>
    </row>
    <row r="3" spans="1:20" x14ac:dyDescent="0.35">
      <c r="A3" t="s">
        <v>20</v>
      </c>
      <c r="B3">
        <v>17644</v>
      </c>
      <c r="C3" t="s">
        <v>21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I3" t="s">
        <v>27</v>
      </c>
      <c r="K3" t="s">
        <v>38</v>
      </c>
      <c r="L3" t="s">
        <v>39</v>
      </c>
      <c r="M3" t="s">
        <v>40</v>
      </c>
      <c r="N3" t="s">
        <v>41</v>
      </c>
      <c r="O3" t="s">
        <v>32</v>
      </c>
      <c r="P3" t="s">
        <v>33</v>
      </c>
      <c r="Q3">
        <v>0</v>
      </c>
      <c r="R3" s="1">
        <v>1.851851851851852E-4</v>
      </c>
      <c r="S3" s="1">
        <v>8.1018518518518516E-5</v>
      </c>
    </row>
    <row r="4" spans="1:20" x14ac:dyDescent="0.35">
      <c r="A4" t="s">
        <v>20</v>
      </c>
      <c r="B4">
        <v>17644</v>
      </c>
      <c r="C4" t="s">
        <v>21</v>
      </c>
      <c r="D4" t="s">
        <v>22</v>
      </c>
      <c r="E4" t="s">
        <v>42</v>
      </c>
      <c r="F4" t="s">
        <v>43</v>
      </c>
      <c r="G4" t="s">
        <v>44</v>
      </c>
      <c r="H4" t="s">
        <v>45</v>
      </c>
      <c r="I4" t="s">
        <v>27</v>
      </c>
      <c r="K4" t="s">
        <v>46</v>
      </c>
      <c r="L4" t="s">
        <v>47</v>
      </c>
      <c r="M4" t="s">
        <v>48</v>
      </c>
      <c r="N4" t="s">
        <v>49</v>
      </c>
      <c r="O4" t="s">
        <v>32</v>
      </c>
      <c r="P4" t="s">
        <v>33</v>
      </c>
      <c r="Q4">
        <v>0</v>
      </c>
      <c r="R4" s="1">
        <v>2.4305555555555549E-4</v>
      </c>
      <c r="S4" s="1">
        <v>1.3888888888888889E-4</v>
      </c>
    </row>
    <row r="5" spans="1:20" x14ac:dyDescent="0.35">
      <c r="A5" t="s">
        <v>20</v>
      </c>
      <c r="B5">
        <v>17644</v>
      </c>
      <c r="C5" t="s">
        <v>21</v>
      </c>
      <c r="D5" t="s">
        <v>22</v>
      </c>
      <c r="E5" t="s">
        <v>50</v>
      </c>
      <c r="F5" t="s">
        <v>51</v>
      </c>
      <c r="G5" t="s">
        <v>52</v>
      </c>
      <c r="H5" t="s">
        <v>53</v>
      </c>
      <c r="I5" t="s">
        <v>27</v>
      </c>
      <c r="K5" t="s">
        <v>28</v>
      </c>
      <c r="L5" t="s">
        <v>54</v>
      </c>
      <c r="M5" t="s">
        <v>40</v>
      </c>
      <c r="N5" t="s">
        <v>55</v>
      </c>
      <c r="O5" t="s">
        <v>56</v>
      </c>
      <c r="P5" t="s">
        <v>33</v>
      </c>
      <c r="Q5">
        <v>0</v>
      </c>
      <c r="R5" s="1">
        <v>1.7361111111111109E-4</v>
      </c>
      <c r="S5" s="1">
        <v>6.9444444444444444E-5</v>
      </c>
    </row>
    <row r="6" spans="1:20" x14ac:dyDescent="0.35">
      <c r="A6" t="s">
        <v>20</v>
      </c>
      <c r="B6">
        <v>17644</v>
      </c>
      <c r="C6" t="s">
        <v>21</v>
      </c>
      <c r="D6" t="s">
        <v>22</v>
      </c>
      <c r="E6" t="s">
        <v>57</v>
      </c>
      <c r="F6" t="s">
        <v>58</v>
      </c>
      <c r="G6" t="s">
        <v>59</v>
      </c>
      <c r="H6" t="s">
        <v>60</v>
      </c>
      <c r="I6" t="s">
        <v>27</v>
      </c>
      <c r="K6" t="s">
        <v>61</v>
      </c>
      <c r="L6" t="s">
        <v>62</v>
      </c>
      <c r="M6" t="s">
        <v>30</v>
      </c>
      <c r="N6" t="s">
        <v>31</v>
      </c>
      <c r="O6" t="s">
        <v>32</v>
      </c>
      <c r="P6" t="s">
        <v>33</v>
      </c>
      <c r="Q6">
        <v>15</v>
      </c>
      <c r="R6" s="1">
        <v>1.643518518518519E-3</v>
      </c>
      <c r="S6" s="1">
        <v>1.5393518518518521E-3</v>
      </c>
    </row>
    <row r="7" spans="1:20" x14ac:dyDescent="0.35">
      <c r="A7" t="s">
        <v>20</v>
      </c>
      <c r="B7">
        <v>17644</v>
      </c>
      <c r="C7" t="s">
        <v>21</v>
      </c>
      <c r="D7" t="s">
        <v>22</v>
      </c>
      <c r="E7" t="s">
        <v>63</v>
      </c>
      <c r="F7" t="s">
        <v>64</v>
      </c>
      <c r="G7" t="s">
        <v>65</v>
      </c>
      <c r="H7" t="s">
        <v>66</v>
      </c>
      <c r="I7" t="s">
        <v>27</v>
      </c>
      <c r="K7" t="s">
        <v>46</v>
      </c>
      <c r="L7" t="s">
        <v>39</v>
      </c>
      <c r="M7" t="s">
        <v>48</v>
      </c>
      <c r="N7" t="s">
        <v>67</v>
      </c>
      <c r="O7" t="s">
        <v>32</v>
      </c>
      <c r="P7" t="s">
        <v>33</v>
      </c>
      <c r="Q7">
        <v>1</v>
      </c>
      <c r="R7" s="1">
        <v>1.6203703703703701E-4</v>
      </c>
      <c r="S7" s="1">
        <v>5.7870370370370373E-5</v>
      </c>
    </row>
    <row r="8" spans="1:20" x14ac:dyDescent="0.35">
      <c r="A8" t="s">
        <v>20</v>
      </c>
      <c r="B8">
        <v>17644</v>
      </c>
      <c r="C8" t="s">
        <v>21</v>
      </c>
      <c r="D8" t="s">
        <v>22</v>
      </c>
      <c r="E8" t="s">
        <v>68</v>
      </c>
      <c r="F8" t="s">
        <v>69</v>
      </c>
      <c r="G8" t="s">
        <v>70</v>
      </c>
      <c r="H8" t="s">
        <v>71</v>
      </c>
      <c r="I8" t="s">
        <v>27</v>
      </c>
      <c r="K8" t="s">
        <v>28</v>
      </c>
      <c r="L8" t="s">
        <v>62</v>
      </c>
      <c r="M8" t="s">
        <v>40</v>
      </c>
      <c r="N8" t="s">
        <v>55</v>
      </c>
      <c r="O8" t="s">
        <v>32</v>
      </c>
      <c r="P8" t="s">
        <v>33</v>
      </c>
      <c r="Q8">
        <v>1</v>
      </c>
      <c r="R8" s="1">
        <v>3.0092592592592589E-4</v>
      </c>
      <c r="S8" s="1">
        <v>1.9675925925925929E-4</v>
      </c>
    </row>
    <row r="9" spans="1:20" x14ac:dyDescent="0.35">
      <c r="A9" t="s">
        <v>20</v>
      </c>
      <c r="B9">
        <v>17644</v>
      </c>
      <c r="C9" t="s">
        <v>21</v>
      </c>
      <c r="D9" t="s">
        <v>22</v>
      </c>
      <c r="E9" t="s">
        <v>72</v>
      </c>
      <c r="F9" t="s">
        <v>73</v>
      </c>
      <c r="G9" t="s">
        <v>74</v>
      </c>
      <c r="H9" t="s">
        <v>75</v>
      </c>
      <c r="I9" t="s">
        <v>27</v>
      </c>
      <c r="K9" t="s">
        <v>46</v>
      </c>
      <c r="L9" t="s">
        <v>29</v>
      </c>
      <c r="M9" t="s">
        <v>40</v>
      </c>
      <c r="N9" t="s">
        <v>41</v>
      </c>
      <c r="O9" t="s">
        <v>76</v>
      </c>
      <c r="P9" t="s">
        <v>33</v>
      </c>
      <c r="Q9">
        <v>2</v>
      </c>
      <c r="R9" s="1">
        <v>4.0509259259259258E-4</v>
      </c>
      <c r="S9" s="1">
        <v>3.0092592592592589E-4</v>
      </c>
    </row>
    <row r="10" spans="1:20" x14ac:dyDescent="0.35">
      <c r="A10" t="s">
        <v>20</v>
      </c>
      <c r="B10">
        <v>17644</v>
      </c>
      <c r="C10" t="s">
        <v>21</v>
      </c>
      <c r="D10" t="s">
        <v>22</v>
      </c>
      <c r="E10" t="s">
        <v>77</v>
      </c>
      <c r="F10" t="s">
        <v>78</v>
      </c>
      <c r="G10" t="s">
        <v>79</v>
      </c>
      <c r="H10" t="s">
        <v>80</v>
      </c>
      <c r="I10" t="s">
        <v>27</v>
      </c>
      <c r="K10" t="s">
        <v>28</v>
      </c>
      <c r="L10" t="s">
        <v>47</v>
      </c>
      <c r="M10" t="s">
        <v>30</v>
      </c>
      <c r="N10" t="s">
        <v>67</v>
      </c>
      <c r="O10" t="s">
        <v>76</v>
      </c>
      <c r="P10" t="s">
        <v>33</v>
      </c>
      <c r="Q10">
        <v>23</v>
      </c>
      <c r="R10" s="1">
        <v>1.9907407407407408E-3</v>
      </c>
      <c r="S10" s="1">
        <v>1.8865740740740739E-3</v>
      </c>
    </row>
    <row r="11" spans="1:20" x14ac:dyDescent="0.35">
      <c r="A11" t="s">
        <v>20</v>
      </c>
      <c r="B11">
        <v>17644</v>
      </c>
      <c r="C11" t="s">
        <v>21</v>
      </c>
      <c r="D11" t="s">
        <v>22</v>
      </c>
      <c r="E11" t="s">
        <v>81</v>
      </c>
      <c r="F11" t="s">
        <v>82</v>
      </c>
      <c r="G11" t="s">
        <v>83</v>
      </c>
      <c r="H11" t="s">
        <v>84</v>
      </c>
      <c r="I11" t="s">
        <v>27</v>
      </c>
      <c r="K11" t="s">
        <v>61</v>
      </c>
      <c r="L11" t="s">
        <v>85</v>
      </c>
      <c r="M11" t="s">
        <v>30</v>
      </c>
      <c r="N11" t="s">
        <v>31</v>
      </c>
      <c r="O11" t="s">
        <v>56</v>
      </c>
      <c r="P11" t="s">
        <v>33</v>
      </c>
      <c r="Q11">
        <v>3</v>
      </c>
      <c r="R11" s="1">
        <v>3.3564814814814812E-4</v>
      </c>
      <c r="S11" s="1">
        <v>2.3148148148148149E-4</v>
      </c>
    </row>
    <row r="12" spans="1:20" x14ac:dyDescent="0.35">
      <c r="A12" t="s">
        <v>20</v>
      </c>
      <c r="B12">
        <v>17644</v>
      </c>
      <c r="C12" t="s">
        <v>21</v>
      </c>
      <c r="D12" t="s">
        <v>22</v>
      </c>
      <c r="E12" t="s">
        <v>86</v>
      </c>
      <c r="F12" t="s">
        <v>87</v>
      </c>
      <c r="G12" t="s">
        <v>88</v>
      </c>
      <c r="H12" t="s">
        <v>89</v>
      </c>
      <c r="I12" t="s">
        <v>27</v>
      </c>
      <c r="K12" t="s">
        <v>46</v>
      </c>
      <c r="L12" t="s">
        <v>39</v>
      </c>
      <c r="M12" t="s">
        <v>48</v>
      </c>
      <c r="N12" t="s">
        <v>90</v>
      </c>
      <c r="O12" t="s">
        <v>32</v>
      </c>
      <c r="P12" t="s">
        <v>33</v>
      </c>
      <c r="Q12">
        <v>2</v>
      </c>
      <c r="R12" s="1">
        <v>4.2824074074074081E-4</v>
      </c>
      <c r="S12" s="1">
        <v>3.2407407407407412E-4</v>
      </c>
    </row>
    <row r="13" spans="1:20" x14ac:dyDescent="0.35">
      <c r="A13" t="s">
        <v>20</v>
      </c>
      <c r="B13">
        <v>17644</v>
      </c>
      <c r="C13" t="s">
        <v>21</v>
      </c>
      <c r="D13" t="s">
        <v>22</v>
      </c>
      <c r="E13" t="s">
        <v>91</v>
      </c>
      <c r="F13" t="s">
        <v>92</v>
      </c>
      <c r="G13" t="s">
        <v>93</v>
      </c>
      <c r="H13" t="s">
        <v>94</v>
      </c>
      <c r="I13" t="s">
        <v>27</v>
      </c>
      <c r="K13" t="s">
        <v>46</v>
      </c>
      <c r="L13" t="s">
        <v>54</v>
      </c>
      <c r="M13" t="s">
        <v>48</v>
      </c>
      <c r="N13" t="s">
        <v>67</v>
      </c>
      <c r="O13" t="s">
        <v>32</v>
      </c>
      <c r="P13" t="s">
        <v>33</v>
      </c>
      <c r="Q13">
        <v>0</v>
      </c>
      <c r="R13" s="1">
        <v>2.3148148148148149E-4</v>
      </c>
      <c r="S13" s="1">
        <v>1.273148148148148E-4</v>
      </c>
    </row>
    <row r="14" spans="1:20" x14ac:dyDescent="0.35">
      <c r="A14" t="s">
        <v>20</v>
      </c>
      <c r="B14">
        <v>17644</v>
      </c>
      <c r="C14" t="s">
        <v>21</v>
      </c>
      <c r="D14" t="s">
        <v>22</v>
      </c>
      <c r="E14" t="s">
        <v>95</v>
      </c>
      <c r="F14" t="s">
        <v>96</v>
      </c>
      <c r="G14" t="s">
        <v>97</v>
      </c>
      <c r="H14" t="s">
        <v>98</v>
      </c>
      <c r="I14" t="s">
        <v>27</v>
      </c>
      <c r="K14" t="s">
        <v>28</v>
      </c>
      <c r="L14" t="s">
        <v>62</v>
      </c>
      <c r="M14" t="s">
        <v>40</v>
      </c>
      <c r="N14" t="s">
        <v>55</v>
      </c>
      <c r="O14" t="s">
        <v>32</v>
      </c>
      <c r="P14" t="s">
        <v>33</v>
      </c>
      <c r="Q14">
        <v>5</v>
      </c>
      <c r="R14" s="1">
        <v>5.4398148148148144E-4</v>
      </c>
      <c r="S14" s="1">
        <v>4.3981481481481481E-4</v>
      </c>
    </row>
    <row r="15" spans="1:20" x14ac:dyDescent="0.35">
      <c r="A15" t="s">
        <v>20</v>
      </c>
      <c r="B15">
        <v>17644</v>
      </c>
      <c r="C15" t="s">
        <v>21</v>
      </c>
      <c r="D15" t="s">
        <v>22</v>
      </c>
      <c r="E15" t="s">
        <v>99</v>
      </c>
      <c r="F15" t="s">
        <v>100</v>
      </c>
      <c r="G15" t="s">
        <v>101</v>
      </c>
      <c r="H15" t="s">
        <v>102</v>
      </c>
      <c r="I15" t="s">
        <v>27</v>
      </c>
      <c r="K15" t="s">
        <v>46</v>
      </c>
      <c r="L15" t="s">
        <v>62</v>
      </c>
      <c r="M15" t="s">
        <v>40</v>
      </c>
      <c r="N15" t="s">
        <v>41</v>
      </c>
      <c r="O15" t="s">
        <v>76</v>
      </c>
      <c r="P15" t="s">
        <v>33</v>
      </c>
      <c r="Q15">
        <v>2</v>
      </c>
      <c r="R15" s="1">
        <v>4.2824074074074081E-4</v>
      </c>
      <c r="S15" s="1">
        <v>3.2407407407407412E-4</v>
      </c>
    </row>
    <row r="16" spans="1:20" x14ac:dyDescent="0.35">
      <c r="A16" t="s">
        <v>20</v>
      </c>
      <c r="B16">
        <v>17644</v>
      </c>
      <c r="C16" t="s">
        <v>21</v>
      </c>
      <c r="D16" t="s">
        <v>22</v>
      </c>
      <c r="E16" t="s">
        <v>103</v>
      </c>
      <c r="F16" t="s">
        <v>104</v>
      </c>
      <c r="G16" t="s">
        <v>105</v>
      </c>
      <c r="H16" t="s">
        <v>106</v>
      </c>
      <c r="I16" t="s">
        <v>27</v>
      </c>
      <c r="K16" t="s">
        <v>38</v>
      </c>
      <c r="L16" t="s">
        <v>47</v>
      </c>
      <c r="M16" t="s">
        <v>40</v>
      </c>
      <c r="N16" t="s">
        <v>41</v>
      </c>
      <c r="O16" t="s">
        <v>76</v>
      </c>
      <c r="P16" t="s">
        <v>33</v>
      </c>
      <c r="Q16">
        <v>0</v>
      </c>
      <c r="R16" s="1">
        <v>1.851851851851852E-4</v>
      </c>
      <c r="S16" s="1">
        <v>8.1018518518518516E-5</v>
      </c>
    </row>
    <row r="17" spans="1:19" x14ac:dyDescent="0.35">
      <c r="A17" t="s">
        <v>20</v>
      </c>
      <c r="B17">
        <v>17644</v>
      </c>
      <c r="C17" t="s">
        <v>21</v>
      </c>
      <c r="D17" t="s">
        <v>22</v>
      </c>
      <c r="E17" t="s">
        <v>107</v>
      </c>
      <c r="F17" t="s">
        <v>108</v>
      </c>
      <c r="G17" t="s">
        <v>109</v>
      </c>
      <c r="H17" t="s">
        <v>110</v>
      </c>
      <c r="I17" t="s">
        <v>27</v>
      </c>
      <c r="K17" t="s">
        <v>28</v>
      </c>
      <c r="L17" t="s">
        <v>62</v>
      </c>
      <c r="M17" t="s">
        <v>40</v>
      </c>
      <c r="N17" t="s">
        <v>55</v>
      </c>
      <c r="O17" t="s">
        <v>76</v>
      </c>
      <c r="P17" t="s">
        <v>33</v>
      </c>
      <c r="Q17">
        <v>0</v>
      </c>
      <c r="R17" s="1">
        <v>1.273148148148148E-4</v>
      </c>
      <c r="S17" s="1">
        <v>2.314814814814815E-5</v>
      </c>
    </row>
    <row r="18" spans="1:19" x14ac:dyDescent="0.35">
      <c r="A18" t="s">
        <v>20</v>
      </c>
      <c r="B18">
        <v>17644</v>
      </c>
      <c r="C18" t="s">
        <v>21</v>
      </c>
      <c r="D18" t="s">
        <v>22</v>
      </c>
      <c r="E18" t="s">
        <v>111</v>
      </c>
      <c r="F18" t="s">
        <v>112</v>
      </c>
      <c r="G18" t="s">
        <v>113</v>
      </c>
      <c r="H18" t="s">
        <v>114</v>
      </c>
      <c r="I18" t="s">
        <v>27</v>
      </c>
      <c r="K18" t="s">
        <v>28</v>
      </c>
      <c r="M18" t="s">
        <v>40</v>
      </c>
      <c r="N18" t="s">
        <v>115</v>
      </c>
      <c r="O18" t="s">
        <v>32</v>
      </c>
      <c r="P18" t="s">
        <v>33</v>
      </c>
      <c r="Q18">
        <v>0</v>
      </c>
      <c r="R18" s="1">
        <v>1.50462962962963E-4</v>
      </c>
      <c r="S18" s="1">
        <v>4.6296296296296287E-5</v>
      </c>
    </row>
    <row r="19" spans="1:19" x14ac:dyDescent="0.35">
      <c r="A19" t="s">
        <v>20</v>
      </c>
      <c r="B19">
        <v>17644</v>
      </c>
      <c r="C19" t="s">
        <v>21</v>
      </c>
      <c r="D19" t="s">
        <v>22</v>
      </c>
      <c r="E19" t="s">
        <v>116</v>
      </c>
      <c r="F19" t="s">
        <v>117</v>
      </c>
      <c r="G19" t="s">
        <v>118</v>
      </c>
      <c r="H19" t="s">
        <v>119</v>
      </c>
      <c r="I19" t="s">
        <v>27</v>
      </c>
      <c r="K19" t="s">
        <v>38</v>
      </c>
      <c r="L19" t="s">
        <v>39</v>
      </c>
      <c r="M19" t="s">
        <v>48</v>
      </c>
      <c r="N19" t="s">
        <v>41</v>
      </c>
      <c r="O19" t="s">
        <v>32</v>
      </c>
      <c r="P19" t="s">
        <v>33</v>
      </c>
      <c r="Q19">
        <v>1</v>
      </c>
      <c r="R19" s="1">
        <v>3.3564814814814812E-4</v>
      </c>
      <c r="S19" s="1">
        <v>2.3148148148148149E-4</v>
      </c>
    </row>
    <row r="20" spans="1:19" x14ac:dyDescent="0.35">
      <c r="A20" t="s">
        <v>20</v>
      </c>
      <c r="B20">
        <v>17644</v>
      </c>
      <c r="C20" t="s">
        <v>21</v>
      </c>
      <c r="D20" t="s">
        <v>22</v>
      </c>
      <c r="E20" t="s">
        <v>120</v>
      </c>
      <c r="F20" t="s">
        <v>121</v>
      </c>
      <c r="G20" t="s">
        <v>122</v>
      </c>
      <c r="H20" t="s">
        <v>123</v>
      </c>
      <c r="I20" t="s">
        <v>27</v>
      </c>
      <c r="K20" t="s">
        <v>46</v>
      </c>
      <c r="L20" t="s">
        <v>47</v>
      </c>
      <c r="M20" t="s">
        <v>40</v>
      </c>
      <c r="N20" t="s">
        <v>41</v>
      </c>
      <c r="O20" t="s">
        <v>56</v>
      </c>
      <c r="P20" t="s">
        <v>33</v>
      </c>
      <c r="Q20">
        <v>0</v>
      </c>
      <c r="R20" s="1">
        <v>1.50462962962963E-4</v>
      </c>
      <c r="S20" s="1">
        <v>4.6296296296296287E-5</v>
      </c>
    </row>
    <row r="21" spans="1:19" x14ac:dyDescent="0.35">
      <c r="A21" t="s">
        <v>20</v>
      </c>
      <c r="B21">
        <v>17644</v>
      </c>
      <c r="C21" t="s">
        <v>21</v>
      </c>
      <c r="D21" t="s">
        <v>22</v>
      </c>
      <c r="E21" t="s">
        <v>124</v>
      </c>
      <c r="F21" t="s">
        <v>125</v>
      </c>
      <c r="G21" t="s">
        <v>126</v>
      </c>
      <c r="H21" t="s">
        <v>127</v>
      </c>
      <c r="I21" t="s">
        <v>27</v>
      </c>
      <c r="K21" t="s">
        <v>46</v>
      </c>
      <c r="L21" t="s">
        <v>29</v>
      </c>
      <c r="M21" t="s">
        <v>40</v>
      </c>
      <c r="N21" t="s">
        <v>55</v>
      </c>
      <c r="O21" t="s">
        <v>76</v>
      </c>
      <c r="P21" t="s">
        <v>33</v>
      </c>
      <c r="Q21">
        <v>9</v>
      </c>
      <c r="R21" s="1">
        <v>1.1226851851851849E-3</v>
      </c>
      <c r="S21" s="1">
        <v>1.018518518518518E-3</v>
      </c>
    </row>
    <row r="22" spans="1:19" x14ac:dyDescent="0.35">
      <c r="A22" t="s">
        <v>20</v>
      </c>
      <c r="B22">
        <v>17644</v>
      </c>
      <c r="C22" t="s">
        <v>21</v>
      </c>
      <c r="D22" t="s">
        <v>22</v>
      </c>
      <c r="E22" t="s">
        <v>128</v>
      </c>
      <c r="F22" t="s">
        <v>129</v>
      </c>
      <c r="G22" t="s">
        <v>130</v>
      </c>
      <c r="H22" t="s">
        <v>131</v>
      </c>
      <c r="I22" t="s">
        <v>27</v>
      </c>
      <c r="K22" t="s">
        <v>46</v>
      </c>
      <c r="L22" t="s">
        <v>29</v>
      </c>
      <c r="M22" t="s">
        <v>40</v>
      </c>
      <c r="N22" t="s">
        <v>67</v>
      </c>
      <c r="O22" t="s">
        <v>76</v>
      </c>
      <c r="P22" t="s">
        <v>33</v>
      </c>
      <c r="Q22">
        <v>0</v>
      </c>
      <c r="R22" s="1">
        <v>2.6620370370370372E-4</v>
      </c>
      <c r="S22" s="1">
        <v>1.6203703703703701E-4</v>
      </c>
    </row>
    <row r="23" spans="1:19" x14ac:dyDescent="0.35">
      <c r="A23" t="s">
        <v>20</v>
      </c>
      <c r="B23">
        <v>17644</v>
      </c>
      <c r="C23" t="s">
        <v>21</v>
      </c>
      <c r="D23" t="s">
        <v>22</v>
      </c>
      <c r="E23" t="s">
        <v>132</v>
      </c>
      <c r="F23" t="s">
        <v>133</v>
      </c>
      <c r="G23" t="s">
        <v>134</v>
      </c>
      <c r="H23" t="s">
        <v>135</v>
      </c>
      <c r="I23" t="s">
        <v>27</v>
      </c>
      <c r="K23" t="s">
        <v>28</v>
      </c>
      <c r="L23" t="s">
        <v>62</v>
      </c>
      <c r="M23" t="s">
        <v>30</v>
      </c>
      <c r="N23" t="s">
        <v>55</v>
      </c>
      <c r="O23" t="s">
        <v>76</v>
      </c>
      <c r="P23" t="s">
        <v>33</v>
      </c>
      <c r="Q23">
        <v>0</v>
      </c>
      <c r="R23" s="1">
        <v>2.4305555555555549E-4</v>
      </c>
      <c r="S23" s="1">
        <v>1.3888888888888889E-4</v>
      </c>
    </row>
    <row r="24" spans="1:19" x14ac:dyDescent="0.35">
      <c r="A24" t="s">
        <v>20</v>
      </c>
      <c r="B24">
        <v>17644</v>
      </c>
      <c r="C24" t="s">
        <v>21</v>
      </c>
      <c r="D24" t="s">
        <v>22</v>
      </c>
      <c r="E24" t="s">
        <v>136</v>
      </c>
      <c r="F24" t="s">
        <v>137</v>
      </c>
      <c r="G24" t="s">
        <v>138</v>
      </c>
      <c r="H24" t="s">
        <v>139</v>
      </c>
      <c r="I24" t="s">
        <v>27</v>
      </c>
      <c r="K24" t="s">
        <v>46</v>
      </c>
      <c r="L24" t="s">
        <v>29</v>
      </c>
      <c r="M24" t="s">
        <v>40</v>
      </c>
      <c r="N24" t="s">
        <v>41</v>
      </c>
      <c r="O24" t="s">
        <v>76</v>
      </c>
      <c r="P24" t="s">
        <v>33</v>
      </c>
      <c r="Q24">
        <v>0</v>
      </c>
      <c r="R24" s="1">
        <v>1.9675925925925929E-4</v>
      </c>
      <c r="S24" s="1">
        <v>9.2592592592592588E-5</v>
      </c>
    </row>
    <row r="25" spans="1:19" x14ac:dyDescent="0.35">
      <c r="A25" t="s">
        <v>20</v>
      </c>
      <c r="B25">
        <v>17644</v>
      </c>
      <c r="C25" t="s">
        <v>21</v>
      </c>
      <c r="D25" t="s">
        <v>22</v>
      </c>
      <c r="E25" t="s">
        <v>140</v>
      </c>
      <c r="F25" t="s">
        <v>141</v>
      </c>
      <c r="G25" t="s">
        <v>142</v>
      </c>
      <c r="H25" t="s">
        <v>143</v>
      </c>
      <c r="I25" t="s">
        <v>27</v>
      </c>
      <c r="K25" t="s">
        <v>46</v>
      </c>
      <c r="L25" t="s">
        <v>54</v>
      </c>
      <c r="M25" t="s">
        <v>30</v>
      </c>
      <c r="N25" t="s">
        <v>67</v>
      </c>
      <c r="O25" t="s">
        <v>56</v>
      </c>
      <c r="P25" t="s">
        <v>33</v>
      </c>
      <c r="Q25">
        <v>6</v>
      </c>
      <c r="R25" s="1">
        <v>9.4907407407407408E-4</v>
      </c>
      <c r="S25" s="1">
        <v>8.4490740740740739E-4</v>
      </c>
    </row>
    <row r="26" spans="1:19" x14ac:dyDescent="0.35">
      <c r="A26" t="s">
        <v>20</v>
      </c>
      <c r="B26">
        <v>17644</v>
      </c>
      <c r="C26" t="s">
        <v>21</v>
      </c>
      <c r="D26" t="s">
        <v>22</v>
      </c>
      <c r="E26" t="s">
        <v>144</v>
      </c>
      <c r="F26" t="s">
        <v>145</v>
      </c>
      <c r="G26" t="s">
        <v>146</v>
      </c>
      <c r="H26" t="s">
        <v>147</v>
      </c>
      <c r="I26" t="s">
        <v>27</v>
      </c>
      <c r="K26" t="s">
        <v>61</v>
      </c>
      <c r="L26" t="s">
        <v>85</v>
      </c>
      <c r="M26" t="s">
        <v>30</v>
      </c>
      <c r="N26" t="s">
        <v>148</v>
      </c>
      <c r="O26" t="s">
        <v>56</v>
      </c>
      <c r="P26" t="s">
        <v>33</v>
      </c>
      <c r="Q26">
        <v>0</v>
      </c>
      <c r="R26" s="1">
        <v>1.157407407407407E-4</v>
      </c>
      <c r="S26" s="1">
        <v>1.157407407407407E-5</v>
      </c>
    </row>
    <row r="27" spans="1:19" x14ac:dyDescent="0.35">
      <c r="A27" t="s">
        <v>20</v>
      </c>
      <c r="B27">
        <v>17644</v>
      </c>
      <c r="C27" t="s">
        <v>21</v>
      </c>
      <c r="D27" t="s">
        <v>22</v>
      </c>
      <c r="E27" t="s">
        <v>149</v>
      </c>
      <c r="F27" t="s">
        <v>150</v>
      </c>
      <c r="G27" t="s">
        <v>151</v>
      </c>
      <c r="H27" t="s">
        <v>152</v>
      </c>
      <c r="I27" t="s">
        <v>27</v>
      </c>
      <c r="K27" t="s">
        <v>46</v>
      </c>
      <c r="L27" t="s">
        <v>39</v>
      </c>
      <c r="M27" t="s">
        <v>48</v>
      </c>
      <c r="N27" t="s">
        <v>41</v>
      </c>
      <c r="O27" t="s">
        <v>32</v>
      </c>
      <c r="P27" t="s">
        <v>33</v>
      </c>
      <c r="Q27">
        <v>3</v>
      </c>
      <c r="R27" s="1">
        <v>2.7777777777777778E-4</v>
      </c>
      <c r="S27" s="1">
        <v>1.7361111111111109E-4</v>
      </c>
    </row>
    <row r="28" spans="1:19" x14ac:dyDescent="0.35">
      <c r="A28" t="s">
        <v>20</v>
      </c>
      <c r="B28">
        <v>17644</v>
      </c>
      <c r="C28" t="s">
        <v>21</v>
      </c>
      <c r="D28" t="s">
        <v>22</v>
      </c>
      <c r="E28" t="s">
        <v>153</v>
      </c>
      <c r="F28" t="s">
        <v>154</v>
      </c>
      <c r="G28" t="s">
        <v>155</v>
      </c>
      <c r="H28" t="s">
        <v>156</v>
      </c>
      <c r="I28" t="s">
        <v>27</v>
      </c>
      <c r="K28" t="s">
        <v>46</v>
      </c>
      <c r="L28" t="s">
        <v>62</v>
      </c>
      <c r="M28" t="s">
        <v>40</v>
      </c>
      <c r="N28" t="s">
        <v>41</v>
      </c>
      <c r="O28" t="s">
        <v>32</v>
      </c>
      <c r="P28" t="s">
        <v>33</v>
      </c>
      <c r="Q28">
        <v>1</v>
      </c>
      <c r="R28" s="1">
        <v>4.0509259259259258E-4</v>
      </c>
      <c r="S28" s="1">
        <v>3.0092592592592589E-4</v>
      </c>
    </row>
    <row r="29" spans="1:19" x14ac:dyDescent="0.35">
      <c r="A29" t="s">
        <v>20</v>
      </c>
      <c r="B29">
        <v>17644</v>
      </c>
      <c r="C29" t="s">
        <v>21</v>
      </c>
      <c r="D29" t="s">
        <v>22</v>
      </c>
      <c r="E29" t="s">
        <v>157</v>
      </c>
      <c r="F29" t="s">
        <v>158</v>
      </c>
      <c r="G29" t="s">
        <v>159</v>
      </c>
      <c r="H29" t="s">
        <v>160</v>
      </c>
      <c r="I29" t="s">
        <v>27</v>
      </c>
      <c r="K29" t="s">
        <v>46</v>
      </c>
      <c r="L29" t="s">
        <v>54</v>
      </c>
      <c r="M29" t="s">
        <v>40</v>
      </c>
      <c r="N29" t="s">
        <v>55</v>
      </c>
      <c r="O29" t="s">
        <v>56</v>
      </c>
      <c r="P29" t="s">
        <v>33</v>
      </c>
      <c r="Q29">
        <v>2</v>
      </c>
      <c r="R29" s="1">
        <v>3.9351851851851852E-4</v>
      </c>
      <c r="S29" s="1">
        <v>2.8935185185185178E-4</v>
      </c>
    </row>
    <row r="30" spans="1:19" x14ac:dyDescent="0.35">
      <c r="A30" t="s">
        <v>20</v>
      </c>
      <c r="B30">
        <v>17644</v>
      </c>
      <c r="C30" t="s">
        <v>21</v>
      </c>
      <c r="D30" t="s">
        <v>22</v>
      </c>
      <c r="E30" t="s">
        <v>161</v>
      </c>
      <c r="F30" t="s">
        <v>162</v>
      </c>
      <c r="G30" t="s">
        <v>163</v>
      </c>
      <c r="H30" t="s">
        <v>164</v>
      </c>
      <c r="I30" t="s">
        <v>27</v>
      </c>
      <c r="K30" t="s">
        <v>46</v>
      </c>
      <c r="L30" t="s">
        <v>29</v>
      </c>
      <c r="M30" t="s">
        <v>40</v>
      </c>
      <c r="N30" t="s">
        <v>41</v>
      </c>
      <c r="O30" t="s">
        <v>56</v>
      </c>
      <c r="P30" t="s">
        <v>33</v>
      </c>
      <c r="Q30">
        <v>2</v>
      </c>
      <c r="R30" s="1">
        <v>4.7453703703703698E-4</v>
      </c>
      <c r="S30" s="1">
        <v>3.7037037037037041E-4</v>
      </c>
    </row>
    <row r="31" spans="1:19" x14ac:dyDescent="0.35">
      <c r="A31" t="s">
        <v>20</v>
      </c>
      <c r="B31">
        <v>17644</v>
      </c>
      <c r="C31" t="s">
        <v>21</v>
      </c>
      <c r="D31" t="s">
        <v>22</v>
      </c>
      <c r="E31" t="s">
        <v>165</v>
      </c>
      <c r="F31" t="s">
        <v>166</v>
      </c>
      <c r="G31" t="s">
        <v>167</v>
      </c>
      <c r="H31" t="s">
        <v>168</v>
      </c>
      <c r="I31" t="s">
        <v>27</v>
      </c>
      <c r="K31" t="s">
        <v>46</v>
      </c>
      <c r="L31" t="s">
        <v>62</v>
      </c>
      <c r="M31" t="s">
        <v>48</v>
      </c>
      <c r="N31" t="s">
        <v>55</v>
      </c>
      <c r="O31" t="s">
        <v>32</v>
      </c>
      <c r="P31" t="s">
        <v>33</v>
      </c>
      <c r="Q31">
        <v>0</v>
      </c>
      <c r="R31" s="1">
        <v>1.157407407407407E-4</v>
      </c>
      <c r="S31" s="1">
        <v>1.157407407407407E-5</v>
      </c>
    </row>
    <row r="32" spans="1:19" x14ac:dyDescent="0.35">
      <c r="A32" t="s">
        <v>20</v>
      </c>
      <c r="B32">
        <v>17644</v>
      </c>
      <c r="C32" t="s">
        <v>21</v>
      </c>
      <c r="D32" t="s">
        <v>22</v>
      </c>
      <c r="E32" t="s">
        <v>169</v>
      </c>
      <c r="F32" t="s">
        <v>170</v>
      </c>
      <c r="G32" t="s">
        <v>171</v>
      </c>
      <c r="H32" t="s">
        <v>172</v>
      </c>
      <c r="I32" t="s">
        <v>27</v>
      </c>
      <c r="K32" t="s">
        <v>46</v>
      </c>
      <c r="L32" t="s">
        <v>47</v>
      </c>
      <c r="M32" t="s">
        <v>40</v>
      </c>
      <c r="N32" t="s">
        <v>115</v>
      </c>
      <c r="O32" t="s">
        <v>56</v>
      </c>
      <c r="P32" t="s">
        <v>33</v>
      </c>
      <c r="Q32">
        <v>4</v>
      </c>
      <c r="R32" s="1">
        <v>6.7129629629629625E-4</v>
      </c>
      <c r="S32" s="1">
        <v>5.6712962962962967E-4</v>
      </c>
    </row>
    <row r="33" spans="1:19" x14ac:dyDescent="0.35">
      <c r="A33" t="s">
        <v>20</v>
      </c>
      <c r="B33">
        <v>17644</v>
      </c>
      <c r="C33" t="s">
        <v>21</v>
      </c>
      <c r="D33" t="s">
        <v>22</v>
      </c>
      <c r="E33" t="s">
        <v>173</v>
      </c>
      <c r="F33" t="s">
        <v>174</v>
      </c>
      <c r="G33" t="s">
        <v>175</v>
      </c>
      <c r="H33" t="s">
        <v>176</v>
      </c>
      <c r="I33" t="s">
        <v>27</v>
      </c>
      <c r="K33" t="s">
        <v>38</v>
      </c>
      <c r="L33" t="s">
        <v>54</v>
      </c>
      <c r="M33" t="s">
        <v>48</v>
      </c>
      <c r="N33" t="s">
        <v>90</v>
      </c>
      <c r="O33" t="s">
        <v>56</v>
      </c>
      <c r="P33" t="s">
        <v>33</v>
      </c>
      <c r="Q33">
        <v>0</v>
      </c>
      <c r="R33" s="1">
        <v>2.199074074074074E-4</v>
      </c>
      <c r="S33" s="1">
        <v>1.157407407407407E-4</v>
      </c>
    </row>
    <row r="34" spans="1:19" x14ac:dyDescent="0.35">
      <c r="A34" t="s">
        <v>20</v>
      </c>
      <c r="B34">
        <v>17644</v>
      </c>
      <c r="C34" t="s">
        <v>21</v>
      </c>
      <c r="D34" t="s">
        <v>22</v>
      </c>
      <c r="E34" t="s">
        <v>177</v>
      </c>
      <c r="F34" t="s">
        <v>178</v>
      </c>
      <c r="G34" t="s">
        <v>179</v>
      </c>
      <c r="H34" t="s">
        <v>180</v>
      </c>
      <c r="I34" t="s">
        <v>27</v>
      </c>
      <c r="K34" t="s">
        <v>46</v>
      </c>
      <c r="L34" t="s">
        <v>181</v>
      </c>
      <c r="M34" t="s">
        <v>40</v>
      </c>
      <c r="N34" t="s">
        <v>55</v>
      </c>
      <c r="O34" t="s">
        <v>32</v>
      </c>
      <c r="P34" t="s">
        <v>33</v>
      </c>
      <c r="Q34">
        <v>1</v>
      </c>
      <c r="R34" s="1">
        <v>3.2407407407407412E-4</v>
      </c>
      <c r="S34" s="1">
        <v>2.199074074074074E-4</v>
      </c>
    </row>
    <row r="35" spans="1:19" x14ac:dyDescent="0.35">
      <c r="A35" t="s">
        <v>20</v>
      </c>
      <c r="B35">
        <v>17644</v>
      </c>
      <c r="C35" t="s">
        <v>21</v>
      </c>
      <c r="D35" t="s">
        <v>22</v>
      </c>
      <c r="E35" t="s">
        <v>182</v>
      </c>
      <c r="F35" t="s">
        <v>183</v>
      </c>
      <c r="G35" t="s">
        <v>184</v>
      </c>
      <c r="H35" t="s">
        <v>185</v>
      </c>
      <c r="I35" t="s">
        <v>27</v>
      </c>
      <c r="K35" t="s">
        <v>28</v>
      </c>
      <c r="L35" t="s">
        <v>62</v>
      </c>
      <c r="M35" t="s">
        <v>30</v>
      </c>
      <c r="N35" t="s">
        <v>55</v>
      </c>
      <c r="O35" t="s">
        <v>32</v>
      </c>
      <c r="P35" t="s">
        <v>33</v>
      </c>
      <c r="Q35">
        <v>3</v>
      </c>
      <c r="R35" s="1">
        <v>4.6296296296296298E-4</v>
      </c>
      <c r="S35" s="1">
        <v>3.5879629629629629E-4</v>
      </c>
    </row>
    <row r="36" spans="1:19" x14ac:dyDescent="0.35">
      <c r="A36" t="s">
        <v>20</v>
      </c>
      <c r="B36">
        <v>17644</v>
      </c>
      <c r="C36" t="s">
        <v>21</v>
      </c>
      <c r="D36" t="s">
        <v>22</v>
      </c>
      <c r="E36" t="s">
        <v>186</v>
      </c>
      <c r="F36" t="s">
        <v>187</v>
      </c>
      <c r="G36" t="s">
        <v>188</v>
      </c>
      <c r="H36" t="s">
        <v>189</v>
      </c>
      <c r="I36" t="s">
        <v>27</v>
      </c>
      <c r="K36" t="s">
        <v>28</v>
      </c>
      <c r="L36" t="s">
        <v>47</v>
      </c>
      <c r="M36" t="s">
        <v>30</v>
      </c>
      <c r="N36" t="s">
        <v>55</v>
      </c>
      <c r="O36" t="s">
        <v>32</v>
      </c>
      <c r="P36" t="s">
        <v>33</v>
      </c>
      <c r="Q36">
        <v>0</v>
      </c>
      <c r="R36" s="1">
        <v>2.3148148148148149E-4</v>
      </c>
      <c r="S36" s="1">
        <v>1.273148148148148E-4</v>
      </c>
    </row>
    <row r="37" spans="1:19" x14ac:dyDescent="0.35">
      <c r="A37" t="s">
        <v>20</v>
      </c>
      <c r="B37">
        <v>17644</v>
      </c>
      <c r="C37" t="s">
        <v>21</v>
      </c>
      <c r="D37" t="s">
        <v>22</v>
      </c>
      <c r="E37" t="s">
        <v>190</v>
      </c>
      <c r="F37" t="s">
        <v>191</v>
      </c>
      <c r="G37" t="s">
        <v>192</v>
      </c>
      <c r="H37" t="s">
        <v>193</v>
      </c>
      <c r="I37" t="s">
        <v>27</v>
      </c>
      <c r="K37" t="s">
        <v>28</v>
      </c>
      <c r="L37" t="s">
        <v>62</v>
      </c>
      <c r="M37" t="s">
        <v>30</v>
      </c>
      <c r="N37" t="s">
        <v>41</v>
      </c>
      <c r="O37" t="s">
        <v>76</v>
      </c>
      <c r="P37" t="s">
        <v>33</v>
      </c>
      <c r="Q37">
        <v>2</v>
      </c>
      <c r="R37" s="1">
        <v>5.2083333333333333E-4</v>
      </c>
      <c r="S37" s="1">
        <v>4.1666666666666669E-4</v>
      </c>
    </row>
    <row r="38" spans="1:19" x14ac:dyDescent="0.35">
      <c r="A38" t="s">
        <v>20</v>
      </c>
      <c r="B38">
        <v>17644</v>
      </c>
      <c r="C38" t="s">
        <v>21</v>
      </c>
      <c r="D38" t="s">
        <v>22</v>
      </c>
      <c r="E38" t="s">
        <v>194</v>
      </c>
      <c r="F38" t="s">
        <v>195</v>
      </c>
      <c r="G38" t="s">
        <v>196</v>
      </c>
      <c r="H38" t="s">
        <v>197</v>
      </c>
      <c r="I38" t="s">
        <v>27</v>
      </c>
      <c r="K38" t="s">
        <v>46</v>
      </c>
      <c r="L38" t="s">
        <v>62</v>
      </c>
      <c r="M38" t="s">
        <v>40</v>
      </c>
      <c r="N38" t="s">
        <v>41</v>
      </c>
      <c r="O38" t="s">
        <v>32</v>
      </c>
      <c r="P38" t="s">
        <v>33</v>
      </c>
      <c r="Q38">
        <v>1</v>
      </c>
      <c r="R38" s="1">
        <v>3.2407407407407412E-4</v>
      </c>
      <c r="S38" s="1">
        <v>2.199074074074074E-4</v>
      </c>
    </row>
    <row r="39" spans="1:19" x14ac:dyDescent="0.35">
      <c r="A39" t="s">
        <v>20</v>
      </c>
      <c r="B39">
        <v>17644</v>
      </c>
      <c r="C39" t="s">
        <v>21</v>
      </c>
      <c r="D39" t="s">
        <v>22</v>
      </c>
      <c r="E39" t="s">
        <v>198</v>
      </c>
      <c r="F39" t="s">
        <v>199</v>
      </c>
      <c r="G39" t="s">
        <v>200</v>
      </c>
      <c r="H39" t="s">
        <v>201</v>
      </c>
      <c r="I39" t="s">
        <v>27</v>
      </c>
      <c r="K39" t="s">
        <v>28</v>
      </c>
      <c r="L39" t="s">
        <v>47</v>
      </c>
      <c r="M39" t="s">
        <v>30</v>
      </c>
      <c r="N39" t="s">
        <v>55</v>
      </c>
      <c r="O39" t="s">
        <v>56</v>
      </c>
      <c r="P39" t="s">
        <v>33</v>
      </c>
      <c r="Q39">
        <v>3</v>
      </c>
      <c r="R39" s="1">
        <v>3.9351851851851852E-4</v>
      </c>
      <c r="S39" s="1">
        <v>2.8935185185185178E-4</v>
      </c>
    </row>
    <row r="40" spans="1:19" x14ac:dyDescent="0.35">
      <c r="A40" t="s">
        <v>20</v>
      </c>
      <c r="B40">
        <v>17644</v>
      </c>
      <c r="C40" t="s">
        <v>21</v>
      </c>
      <c r="D40" t="s">
        <v>22</v>
      </c>
      <c r="E40" t="s">
        <v>202</v>
      </c>
      <c r="F40" t="s">
        <v>203</v>
      </c>
      <c r="G40" t="s">
        <v>204</v>
      </c>
      <c r="H40" t="s">
        <v>205</v>
      </c>
      <c r="I40" t="s">
        <v>27</v>
      </c>
      <c r="K40" t="s">
        <v>46</v>
      </c>
      <c r="L40" t="s">
        <v>62</v>
      </c>
      <c r="M40" t="s">
        <v>40</v>
      </c>
      <c r="N40" t="s">
        <v>41</v>
      </c>
      <c r="O40" t="s">
        <v>32</v>
      </c>
      <c r="P40" t="s">
        <v>33</v>
      </c>
      <c r="Q40">
        <v>2</v>
      </c>
      <c r="R40" s="1">
        <v>3.5879629629629629E-4</v>
      </c>
      <c r="S40" s="1">
        <v>2.5462962962962961E-4</v>
      </c>
    </row>
    <row r="41" spans="1:19" x14ac:dyDescent="0.35">
      <c r="A41" t="s">
        <v>20</v>
      </c>
      <c r="B41">
        <v>17644</v>
      </c>
      <c r="C41" t="s">
        <v>21</v>
      </c>
      <c r="D41" t="s">
        <v>22</v>
      </c>
      <c r="E41" t="s">
        <v>206</v>
      </c>
      <c r="F41" t="s">
        <v>207</v>
      </c>
      <c r="G41" t="s">
        <v>208</v>
      </c>
      <c r="H41" t="s">
        <v>209</v>
      </c>
      <c r="I41" t="s">
        <v>27</v>
      </c>
      <c r="K41" t="s">
        <v>28</v>
      </c>
      <c r="L41" t="s">
        <v>47</v>
      </c>
      <c r="M41" t="s">
        <v>40</v>
      </c>
      <c r="N41" t="s">
        <v>49</v>
      </c>
      <c r="O41" t="s">
        <v>56</v>
      </c>
      <c r="P41" t="s">
        <v>33</v>
      </c>
      <c r="Q41">
        <v>3</v>
      </c>
      <c r="R41" s="1">
        <v>2.6620370370370372E-4</v>
      </c>
      <c r="S41" s="1">
        <v>1.6203703703703701E-4</v>
      </c>
    </row>
    <row r="42" spans="1:19" x14ac:dyDescent="0.35">
      <c r="A42" t="s">
        <v>20</v>
      </c>
      <c r="B42">
        <v>17644</v>
      </c>
      <c r="C42" t="s">
        <v>21</v>
      </c>
      <c r="D42" t="s">
        <v>22</v>
      </c>
      <c r="E42" t="s">
        <v>210</v>
      </c>
      <c r="F42" t="s">
        <v>211</v>
      </c>
      <c r="G42" t="s">
        <v>212</v>
      </c>
      <c r="H42" t="s">
        <v>213</v>
      </c>
      <c r="I42" t="s">
        <v>27</v>
      </c>
      <c r="K42" t="s">
        <v>28</v>
      </c>
      <c r="L42" t="s">
        <v>54</v>
      </c>
      <c r="M42" t="s">
        <v>30</v>
      </c>
      <c r="N42" t="s">
        <v>31</v>
      </c>
      <c r="O42" t="s">
        <v>56</v>
      </c>
      <c r="P42" t="s">
        <v>33</v>
      </c>
      <c r="Q42">
        <v>7</v>
      </c>
      <c r="R42" s="1">
        <v>8.3333333333333339E-4</v>
      </c>
      <c r="S42" s="1">
        <v>7.291666666666667E-4</v>
      </c>
    </row>
    <row r="43" spans="1:19" x14ac:dyDescent="0.35">
      <c r="A43" t="s">
        <v>20</v>
      </c>
      <c r="B43">
        <v>17644</v>
      </c>
      <c r="C43" t="s">
        <v>21</v>
      </c>
      <c r="D43" t="s">
        <v>22</v>
      </c>
      <c r="E43" t="s">
        <v>214</v>
      </c>
      <c r="F43" t="s">
        <v>215</v>
      </c>
      <c r="G43" t="s">
        <v>216</v>
      </c>
      <c r="H43" t="s">
        <v>217</v>
      </c>
      <c r="I43" t="s">
        <v>27</v>
      </c>
      <c r="K43" t="s">
        <v>28</v>
      </c>
      <c r="L43" t="s">
        <v>39</v>
      </c>
      <c r="M43" t="s">
        <v>48</v>
      </c>
      <c r="N43" t="s">
        <v>55</v>
      </c>
      <c r="O43" t="s">
        <v>32</v>
      </c>
      <c r="P43" t="s">
        <v>33</v>
      </c>
      <c r="Q43">
        <v>0</v>
      </c>
      <c r="R43" s="1">
        <v>1.157407407407407E-4</v>
      </c>
      <c r="S43" s="1">
        <v>1.157407407407407E-5</v>
      </c>
    </row>
    <row r="44" spans="1:19" x14ac:dyDescent="0.35">
      <c r="A44" t="s">
        <v>20</v>
      </c>
      <c r="B44">
        <v>17644</v>
      </c>
      <c r="C44" t="s">
        <v>21</v>
      </c>
      <c r="D44" t="s">
        <v>22</v>
      </c>
      <c r="E44" t="s">
        <v>218</v>
      </c>
      <c r="F44" t="s">
        <v>219</v>
      </c>
      <c r="G44" t="s">
        <v>220</v>
      </c>
      <c r="H44" t="s">
        <v>221</v>
      </c>
      <c r="I44" t="s">
        <v>27</v>
      </c>
      <c r="K44" t="s">
        <v>46</v>
      </c>
      <c r="L44" t="s">
        <v>47</v>
      </c>
      <c r="M44" t="s">
        <v>40</v>
      </c>
      <c r="N44" t="s">
        <v>41</v>
      </c>
      <c r="O44" t="s">
        <v>76</v>
      </c>
      <c r="P44" t="s">
        <v>33</v>
      </c>
      <c r="Q44">
        <v>1</v>
      </c>
      <c r="R44" s="1">
        <v>2.5462962962962961E-4</v>
      </c>
      <c r="S44" s="1">
        <v>1.50462962962963E-4</v>
      </c>
    </row>
    <row r="45" spans="1:19" x14ac:dyDescent="0.35">
      <c r="A45" t="s">
        <v>20</v>
      </c>
      <c r="B45">
        <v>17644</v>
      </c>
      <c r="C45" t="s">
        <v>21</v>
      </c>
      <c r="D45" t="s">
        <v>22</v>
      </c>
      <c r="E45" t="s">
        <v>222</v>
      </c>
      <c r="F45" t="s">
        <v>223</v>
      </c>
      <c r="G45" t="s">
        <v>224</v>
      </c>
      <c r="H45" t="s">
        <v>225</v>
      </c>
      <c r="I45" t="s">
        <v>27</v>
      </c>
      <c r="K45" t="s">
        <v>46</v>
      </c>
      <c r="L45" t="s">
        <v>62</v>
      </c>
      <c r="M45" t="s">
        <v>30</v>
      </c>
      <c r="N45" t="s">
        <v>41</v>
      </c>
      <c r="O45" t="s">
        <v>32</v>
      </c>
      <c r="P45" t="s">
        <v>33</v>
      </c>
      <c r="Q45">
        <v>2</v>
      </c>
      <c r="R45" s="1">
        <v>3.7037037037037041E-4</v>
      </c>
      <c r="S45" s="1">
        <v>2.6620370370370372E-4</v>
      </c>
    </row>
    <row r="46" spans="1:19" x14ac:dyDescent="0.35">
      <c r="A46" t="s">
        <v>20</v>
      </c>
      <c r="B46">
        <v>17644</v>
      </c>
      <c r="C46" t="s">
        <v>21</v>
      </c>
      <c r="D46" t="s">
        <v>22</v>
      </c>
      <c r="E46" t="s">
        <v>226</v>
      </c>
      <c r="F46" t="s">
        <v>227</v>
      </c>
      <c r="G46" t="s">
        <v>228</v>
      </c>
      <c r="H46" t="s">
        <v>229</v>
      </c>
      <c r="I46" t="s">
        <v>27</v>
      </c>
      <c r="K46" t="s">
        <v>46</v>
      </c>
      <c r="L46" t="s">
        <v>62</v>
      </c>
      <c r="M46" t="s">
        <v>48</v>
      </c>
      <c r="N46" t="s">
        <v>41</v>
      </c>
      <c r="O46" t="s">
        <v>32</v>
      </c>
      <c r="P46" t="s">
        <v>33</v>
      </c>
      <c r="Q46">
        <v>0</v>
      </c>
      <c r="R46" s="1">
        <v>1.9675925925925929E-4</v>
      </c>
      <c r="S46" s="1">
        <v>9.2592592592592588E-5</v>
      </c>
    </row>
    <row r="47" spans="1:19" x14ac:dyDescent="0.35">
      <c r="A47" t="s">
        <v>20</v>
      </c>
      <c r="B47">
        <v>17644</v>
      </c>
      <c r="C47" t="s">
        <v>21</v>
      </c>
      <c r="D47" t="s">
        <v>22</v>
      </c>
      <c r="E47" t="s">
        <v>230</v>
      </c>
      <c r="F47" t="s">
        <v>231</v>
      </c>
      <c r="G47" t="s">
        <v>232</v>
      </c>
      <c r="H47" t="s">
        <v>233</v>
      </c>
      <c r="I47" t="s">
        <v>27</v>
      </c>
      <c r="K47" t="s">
        <v>46</v>
      </c>
      <c r="L47" t="s">
        <v>62</v>
      </c>
      <c r="M47" t="s">
        <v>40</v>
      </c>
      <c r="N47" t="s">
        <v>41</v>
      </c>
      <c r="O47" t="s">
        <v>32</v>
      </c>
      <c r="P47" t="s">
        <v>33</v>
      </c>
      <c r="Q47">
        <v>1</v>
      </c>
      <c r="R47" s="1">
        <v>3.3564814814814812E-4</v>
      </c>
      <c r="S47" s="1">
        <v>2.3148148148148149E-4</v>
      </c>
    </row>
    <row r="48" spans="1:19" x14ac:dyDescent="0.35">
      <c r="A48" t="s">
        <v>20</v>
      </c>
      <c r="B48">
        <v>17644</v>
      </c>
      <c r="C48" t="s">
        <v>21</v>
      </c>
      <c r="D48" t="s">
        <v>22</v>
      </c>
      <c r="E48" t="s">
        <v>234</v>
      </c>
      <c r="F48" t="s">
        <v>235</v>
      </c>
      <c r="G48" t="s">
        <v>236</v>
      </c>
      <c r="H48" t="s">
        <v>237</v>
      </c>
      <c r="I48" t="s">
        <v>238</v>
      </c>
      <c r="K48" t="s">
        <v>46</v>
      </c>
      <c r="L48" t="s">
        <v>39</v>
      </c>
      <c r="M48" t="s">
        <v>48</v>
      </c>
      <c r="N48" t="s">
        <v>41</v>
      </c>
      <c r="O48" t="s">
        <v>76</v>
      </c>
      <c r="P48" t="s">
        <v>33</v>
      </c>
      <c r="Q48">
        <v>2</v>
      </c>
      <c r="R48" s="1">
        <v>5.9027777777777778E-4</v>
      </c>
      <c r="S48" s="1">
        <v>4.861111111111111E-4</v>
      </c>
    </row>
    <row r="49" spans="1:19" x14ac:dyDescent="0.35">
      <c r="A49" t="s">
        <v>20</v>
      </c>
      <c r="B49">
        <v>17644</v>
      </c>
      <c r="C49" t="s">
        <v>21</v>
      </c>
      <c r="D49" t="s">
        <v>22</v>
      </c>
      <c r="E49" t="s">
        <v>239</v>
      </c>
      <c r="F49" t="s">
        <v>240</v>
      </c>
      <c r="G49" t="s">
        <v>241</v>
      </c>
      <c r="H49" t="s">
        <v>242</v>
      </c>
      <c r="I49" t="s">
        <v>238</v>
      </c>
      <c r="K49" t="s">
        <v>46</v>
      </c>
      <c r="L49" t="s">
        <v>29</v>
      </c>
      <c r="M49" t="s">
        <v>40</v>
      </c>
      <c r="N49" t="s">
        <v>55</v>
      </c>
      <c r="O49" t="s">
        <v>76</v>
      </c>
      <c r="P49" t="s">
        <v>33</v>
      </c>
      <c r="Q49">
        <v>2</v>
      </c>
      <c r="R49" s="1">
        <v>3.5879629629629629E-4</v>
      </c>
      <c r="S49" s="1">
        <v>2.5462962962962961E-4</v>
      </c>
    </row>
    <row r="50" spans="1:19" x14ac:dyDescent="0.35">
      <c r="A50" t="s">
        <v>20</v>
      </c>
      <c r="B50">
        <v>17644</v>
      </c>
      <c r="C50" t="s">
        <v>21</v>
      </c>
      <c r="D50" t="s">
        <v>22</v>
      </c>
      <c r="E50" t="s">
        <v>243</v>
      </c>
      <c r="F50" t="s">
        <v>244</v>
      </c>
      <c r="G50" t="s">
        <v>245</v>
      </c>
      <c r="H50" t="s">
        <v>246</v>
      </c>
      <c r="I50" t="s">
        <v>238</v>
      </c>
      <c r="K50" t="s">
        <v>28</v>
      </c>
      <c r="L50" t="s">
        <v>181</v>
      </c>
      <c r="M50" t="s">
        <v>40</v>
      </c>
      <c r="N50" t="s">
        <v>67</v>
      </c>
      <c r="O50" t="s">
        <v>56</v>
      </c>
      <c r="P50" t="s">
        <v>33</v>
      </c>
      <c r="Q50">
        <v>6</v>
      </c>
      <c r="R50" s="1">
        <v>6.018518518518519E-4</v>
      </c>
      <c r="S50" s="1">
        <v>4.9768518518518521E-4</v>
      </c>
    </row>
    <row r="51" spans="1:19" x14ac:dyDescent="0.35">
      <c r="A51" t="s">
        <v>20</v>
      </c>
      <c r="B51">
        <v>17644</v>
      </c>
      <c r="C51" t="s">
        <v>21</v>
      </c>
      <c r="D51" t="s">
        <v>22</v>
      </c>
      <c r="E51" t="s">
        <v>247</v>
      </c>
      <c r="F51" t="s">
        <v>248</v>
      </c>
      <c r="G51" t="s">
        <v>249</v>
      </c>
      <c r="H51" t="s">
        <v>250</v>
      </c>
      <c r="I51" t="s">
        <v>238</v>
      </c>
      <c r="K51" t="s">
        <v>61</v>
      </c>
      <c r="L51" t="s">
        <v>62</v>
      </c>
      <c r="M51" t="s">
        <v>30</v>
      </c>
      <c r="N51" t="s">
        <v>31</v>
      </c>
      <c r="O51" t="s">
        <v>32</v>
      </c>
      <c r="P51" t="s">
        <v>33</v>
      </c>
      <c r="Q51">
        <v>8</v>
      </c>
      <c r="R51" s="1">
        <v>9.7222222222222219E-4</v>
      </c>
      <c r="S51" s="1">
        <v>8.6805555555555551E-4</v>
      </c>
    </row>
    <row r="52" spans="1:19" x14ac:dyDescent="0.35">
      <c r="A52" t="s">
        <v>20</v>
      </c>
      <c r="B52">
        <v>17644</v>
      </c>
      <c r="C52" t="s">
        <v>21</v>
      </c>
      <c r="D52" t="s">
        <v>22</v>
      </c>
      <c r="E52" t="s">
        <v>251</v>
      </c>
      <c r="F52" t="s">
        <v>252</v>
      </c>
      <c r="G52" t="s">
        <v>253</v>
      </c>
      <c r="H52" t="s">
        <v>254</v>
      </c>
      <c r="I52" t="s">
        <v>238</v>
      </c>
      <c r="K52" t="s">
        <v>46</v>
      </c>
      <c r="L52" t="s">
        <v>39</v>
      </c>
      <c r="M52" t="s">
        <v>48</v>
      </c>
      <c r="N52" t="s">
        <v>115</v>
      </c>
      <c r="O52" t="s">
        <v>76</v>
      </c>
      <c r="P52" t="s">
        <v>33</v>
      </c>
      <c r="Q52">
        <v>0</v>
      </c>
      <c r="R52" s="1">
        <v>2.199074074074074E-4</v>
      </c>
      <c r="S52" s="1">
        <v>1.157407407407407E-4</v>
      </c>
    </row>
    <row r="53" spans="1:19" x14ac:dyDescent="0.35">
      <c r="A53" t="s">
        <v>20</v>
      </c>
      <c r="B53">
        <v>17644</v>
      </c>
      <c r="C53" t="s">
        <v>21</v>
      </c>
      <c r="D53" t="s">
        <v>22</v>
      </c>
      <c r="E53" t="s">
        <v>255</v>
      </c>
      <c r="F53" t="s">
        <v>256</v>
      </c>
      <c r="G53" t="s">
        <v>257</v>
      </c>
      <c r="H53" t="s">
        <v>258</v>
      </c>
      <c r="I53" t="s">
        <v>238</v>
      </c>
      <c r="K53" t="s">
        <v>46</v>
      </c>
      <c r="L53" t="s">
        <v>54</v>
      </c>
      <c r="M53" t="s">
        <v>30</v>
      </c>
      <c r="N53" t="s">
        <v>41</v>
      </c>
      <c r="O53" t="s">
        <v>56</v>
      </c>
      <c r="P53" t="s">
        <v>33</v>
      </c>
      <c r="Q53">
        <v>1</v>
      </c>
      <c r="R53" s="1">
        <v>5.6712962962962967E-4</v>
      </c>
      <c r="S53" s="1">
        <v>4.6296296296296298E-4</v>
      </c>
    </row>
    <row r="54" spans="1:19" x14ac:dyDescent="0.35">
      <c r="A54" t="s">
        <v>20</v>
      </c>
      <c r="B54">
        <v>17644</v>
      </c>
      <c r="C54" t="s">
        <v>21</v>
      </c>
      <c r="D54" t="s">
        <v>22</v>
      </c>
      <c r="E54" t="s">
        <v>259</v>
      </c>
      <c r="F54" t="s">
        <v>260</v>
      </c>
      <c r="G54" t="s">
        <v>261</v>
      </c>
      <c r="H54" t="s">
        <v>262</v>
      </c>
      <c r="I54" t="s">
        <v>238</v>
      </c>
      <c r="K54" t="s">
        <v>61</v>
      </c>
      <c r="L54" t="s">
        <v>54</v>
      </c>
      <c r="M54" t="s">
        <v>30</v>
      </c>
      <c r="N54" t="s">
        <v>67</v>
      </c>
      <c r="O54" t="s">
        <v>56</v>
      </c>
      <c r="P54" t="s">
        <v>33</v>
      </c>
      <c r="Q54">
        <v>1</v>
      </c>
      <c r="R54" s="1">
        <v>4.5138888888888892E-4</v>
      </c>
      <c r="S54" s="1">
        <v>3.4722222222222218E-4</v>
      </c>
    </row>
    <row r="55" spans="1:19" x14ac:dyDescent="0.35">
      <c r="A55" t="s">
        <v>20</v>
      </c>
      <c r="B55">
        <v>17644</v>
      </c>
      <c r="C55" t="s">
        <v>21</v>
      </c>
      <c r="D55" t="s">
        <v>22</v>
      </c>
      <c r="E55" t="s">
        <v>263</v>
      </c>
      <c r="F55" t="s">
        <v>264</v>
      </c>
      <c r="G55" t="s">
        <v>265</v>
      </c>
      <c r="H55" t="s">
        <v>266</v>
      </c>
      <c r="I55" t="s">
        <v>238</v>
      </c>
      <c r="K55" t="s">
        <v>61</v>
      </c>
      <c r="L55" t="s">
        <v>54</v>
      </c>
      <c r="M55" t="s">
        <v>30</v>
      </c>
      <c r="N55" t="s">
        <v>67</v>
      </c>
      <c r="O55" t="s">
        <v>56</v>
      </c>
      <c r="P55" t="s">
        <v>33</v>
      </c>
      <c r="Q55">
        <v>0</v>
      </c>
      <c r="R55" s="1">
        <v>2.3148148148148149E-4</v>
      </c>
      <c r="S55" s="1">
        <v>1.273148148148148E-4</v>
      </c>
    </row>
    <row r="56" spans="1:19" x14ac:dyDescent="0.35">
      <c r="A56" t="s">
        <v>20</v>
      </c>
      <c r="B56">
        <v>17644</v>
      </c>
      <c r="C56" t="s">
        <v>21</v>
      </c>
      <c r="D56" t="s">
        <v>22</v>
      </c>
      <c r="E56" t="s">
        <v>267</v>
      </c>
      <c r="F56" t="s">
        <v>268</v>
      </c>
      <c r="G56" t="s">
        <v>269</v>
      </c>
      <c r="H56" t="s">
        <v>270</v>
      </c>
      <c r="I56" t="s">
        <v>238</v>
      </c>
      <c r="K56" t="s">
        <v>46</v>
      </c>
      <c r="L56" t="s">
        <v>39</v>
      </c>
      <c r="M56" t="s">
        <v>40</v>
      </c>
      <c r="N56" t="s">
        <v>41</v>
      </c>
      <c r="O56" t="s">
        <v>76</v>
      </c>
      <c r="P56" t="s">
        <v>33</v>
      </c>
      <c r="Q56">
        <v>4</v>
      </c>
      <c r="R56" s="1">
        <v>5.6712962962962967E-4</v>
      </c>
      <c r="S56" s="1">
        <v>4.6296296296296298E-4</v>
      </c>
    </row>
    <row r="57" spans="1:19" x14ac:dyDescent="0.35">
      <c r="A57" t="s">
        <v>20</v>
      </c>
      <c r="B57">
        <v>17644</v>
      </c>
      <c r="C57" t="s">
        <v>21</v>
      </c>
      <c r="D57" t="s">
        <v>22</v>
      </c>
      <c r="E57" t="s">
        <v>271</v>
      </c>
      <c r="F57" t="s">
        <v>272</v>
      </c>
      <c r="G57" t="s">
        <v>273</v>
      </c>
      <c r="H57" t="s">
        <v>274</v>
      </c>
      <c r="I57" t="s">
        <v>238</v>
      </c>
      <c r="K57" t="s">
        <v>28</v>
      </c>
      <c r="L57" t="s">
        <v>62</v>
      </c>
      <c r="M57" t="s">
        <v>40</v>
      </c>
      <c r="N57" t="s">
        <v>49</v>
      </c>
      <c r="O57" t="s">
        <v>76</v>
      </c>
      <c r="P57" t="s">
        <v>33</v>
      </c>
      <c r="Q57">
        <v>1</v>
      </c>
      <c r="R57" s="1">
        <v>2.8935185185185178E-4</v>
      </c>
      <c r="S57" s="1">
        <v>1.851851851851852E-4</v>
      </c>
    </row>
    <row r="58" spans="1:19" x14ac:dyDescent="0.35">
      <c r="A58" t="s">
        <v>20</v>
      </c>
      <c r="B58">
        <v>17644</v>
      </c>
      <c r="C58" t="s">
        <v>21</v>
      </c>
      <c r="D58" t="s">
        <v>22</v>
      </c>
      <c r="E58" t="s">
        <v>275</v>
      </c>
      <c r="F58" t="s">
        <v>276</v>
      </c>
      <c r="G58" t="s">
        <v>277</v>
      </c>
      <c r="H58" t="s">
        <v>278</v>
      </c>
      <c r="I58" t="s">
        <v>238</v>
      </c>
      <c r="K58" t="s">
        <v>28</v>
      </c>
      <c r="L58" t="s">
        <v>54</v>
      </c>
      <c r="M58" t="s">
        <v>30</v>
      </c>
      <c r="N58" t="s">
        <v>67</v>
      </c>
      <c r="O58" t="s">
        <v>56</v>
      </c>
      <c r="P58" t="s">
        <v>33</v>
      </c>
      <c r="Q58">
        <v>8</v>
      </c>
      <c r="R58" s="1">
        <v>9.2592592592592596E-4</v>
      </c>
      <c r="S58" s="1">
        <v>8.2175925925925927E-4</v>
      </c>
    </row>
    <row r="59" spans="1:19" x14ac:dyDescent="0.35">
      <c r="A59" t="s">
        <v>20</v>
      </c>
      <c r="B59">
        <v>17644</v>
      </c>
      <c r="C59" t="s">
        <v>21</v>
      </c>
      <c r="D59" t="s">
        <v>22</v>
      </c>
      <c r="E59" t="s">
        <v>279</v>
      </c>
      <c r="F59" t="s">
        <v>280</v>
      </c>
      <c r="G59" t="s">
        <v>281</v>
      </c>
      <c r="H59" t="s">
        <v>282</v>
      </c>
      <c r="I59" t="s">
        <v>238</v>
      </c>
      <c r="K59" t="s">
        <v>61</v>
      </c>
      <c r="L59" t="s">
        <v>62</v>
      </c>
      <c r="M59" t="s">
        <v>30</v>
      </c>
      <c r="N59" t="s">
        <v>55</v>
      </c>
      <c r="O59" t="s">
        <v>76</v>
      </c>
      <c r="P59" t="s">
        <v>33</v>
      </c>
      <c r="Q59">
        <v>7</v>
      </c>
      <c r="R59" s="1">
        <v>8.7962962962962962E-4</v>
      </c>
      <c r="S59" s="1">
        <v>7.7546296296296293E-4</v>
      </c>
    </row>
    <row r="60" spans="1:19" x14ac:dyDescent="0.35">
      <c r="A60" t="s">
        <v>20</v>
      </c>
      <c r="B60">
        <v>17644</v>
      </c>
      <c r="C60" t="s">
        <v>21</v>
      </c>
      <c r="D60" t="s">
        <v>22</v>
      </c>
      <c r="E60" t="s">
        <v>283</v>
      </c>
      <c r="F60" t="s">
        <v>284</v>
      </c>
      <c r="G60" t="s">
        <v>285</v>
      </c>
      <c r="H60" t="s">
        <v>286</v>
      </c>
      <c r="I60" t="s">
        <v>238</v>
      </c>
      <c r="K60" t="s">
        <v>28</v>
      </c>
      <c r="L60" t="s">
        <v>287</v>
      </c>
      <c r="M60" t="s">
        <v>40</v>
      </c>
      <c r="N60" t="s">
        <v>55</v>
      </c>
      <c r="O60" t="s">
        <v>56</v>
      </c>
      <c r="P60" t="s">
        <v>33</v>
      </c>
      <c r="Q60">
        <v>4</v>
      </c>
      <c r="R60" s="1">
        <v>5.5555555555555556E-4</v>
      </c>
      <c r="S60" s="1">
        <v>4.5138888888888892E-4</v>
      </c>
    </row>
    <row r="61" spans="1:19" x14ac:dyDescent="0.35">
      <c r="A61" t="s">
        <v>20</v>
      </c>
      <c r="B61">
        <v>17644</v>
      </c>
      <c r="C61" t="s">
        <v>21</v>
      </c>
      <c r="D61" t="s">
        <v>22</v>
      </c>
      <c r="E61" t="s">
        <v>288</v>
      </c>
      <c r="F61" t="s">
        <v>289</v>
      </c>
      <c r="G61" t="s">
        <v>290</v>
      </c>
      <c r="H61" t="s">
        <v>291</v>
      </c>
      <c r="I61" t="s">
        <v>238</v>
      </c>
      <c r="K61" t="s">
        <v>46</v>
      </c>
      <c r="L61" t="s">
        <v>54</v>
      </c>
      <c r="M61" t="s">
        <v>40</v>
      </c>
      <c r="N61" t="s">
        <v>90</v>
      </c>
      <c r="O61" t="s">
        <v>56</v>
      </c>
      <c r="P61" t="s">
        <v>33</v>
      </c>
      <c r="Q61">
        <v>0</v>
      </c>
      <c r="R61" s="1">
        <v>2.199074074074074E-4</v>
      </c>
      <c r="S61" s="1">
        <v>1.157407407407407E-4</v>
      </c>
    </row>
    <row r="62" spans="1:19" x14ac:dyDescent="0.35">
      <c r="A62" t="s">
        <v>20</v>
      </c>
      <c r="B62">
        <v>17644</v>
      </c>
      <c r="C62" t="s">
        <v>21</v>
      </c>
      <c r="D62" t="s">
        <v>22</v>
      </c>
      <c r="E62" t="s">
        <v>292</v>
      </c>
      <c r="F62" t="s">
        <v>293</v>
      </c>
      <c r="G62" t="s">
        <v>294</v>
      </c>
      <c r="H62" t="s">
        <v>295</v>
      </c>
      <c r="I62" t="s">
        <v>238</v>
      </c>
      <c r="K62" t="s">
        <v>46</v>
      </c>
      <c r="L62" t="s">
        <v>47</v>
      </c>
      <c r="M62" t="s">
        <v>30</v>
      </c>
      <c r="N62" t="s">
        <v>41</v>
      </c>
      <c r="O62" t="s">
        <v>76</v>
      </c>
      <c r="P62" t="s">
        <v>33</v>
      </c>
      <c r="Q62">
        <v>1</v>
      </c>
      <c r="R62" s="1">
        <v>2.5462962962962961E-4</v>
      </c>
      <c r="S62" s="1">
        <v>1.50462962962963E-4</v>
      </c>
    </row>
    <row r="63" spans="1:19" x14ac:dyDescent="0.35">
      <c r="A63" t="s">
        <v>20</v>
      </c>
      <c r="B63">
        <v>17644</v>
      </c>
      <c r="C63" t="s">
        <v>21</v>
      </c>
      <c r="D63" t="s">
        <v>22</v>
      </c>
      <c r="E63" t="s">
        <v>296</v>
      </c>
      <c r="F63" t="s">
        <v>297</v>
      </c>
      <c r="G63" t="s">
        <v>298</v>
      </c>
      <c r="H63" t="s">
        <v>299</v>
      </c>
      <c r="I63" t="s">
        <v>238</v>
      </c>
      <c r="K63" t="s">
        <v>46</v>
      </c>
      <c r="L63" t="s">
        <v>29</v>
      </c>
      <c r="M63" t="s">
        <v>48</v>
      </c>
      <c r="N63" t="s">
        <v>90</v>
      </c>
      <c r="O63" t="s">
        <v>32</v>
      </c>
      <c r="P63" t="s">
        <v>33</v>
      </c>
      <c r="Q63">
        <v>0</v>
      </c>
      <c r="R63" s="1">
        <v>1.3888888888888889E-4</v>
      </c>
      <c r="S63" s="1">
        <v>3.4722222222222222E-5</v>
      </c>
    </row>
    <row r="64" spans="1:19" x14ac:dyDescent="0.35">
      <c r="A64" t="s">
        <v>20</v>
      </c>
      <c r="B64">
        <v>17644</v>
      </c>
      <c r="C64" t="s">
        <v>21</v>
      </c>
      <c r="D64" t="s">
        <v>22</v>
      </c>
      <c r="E64" t="s">
        <v>300</v>
      </c>
      <c r="F64" t="s">
        <v>301</v>
      </c>
      <c r="G64" t="s">
        <v>302</v>
      </c>
      <c r="H64" t="s">
        <v>303</v>
      </c>
      <c r="I64" t="s">
        <v>238</v>
      </c>
      <c r="K64" t="s">
        <v>46</v>
      </c>
      <c r="L64" t="s">
        <v>181</v>
      </c>
      <c r="M64" t="s">
        <v>48</v>
      </c>
      <c r="N64" t="s">
        <v>49</v>
      </c>
      <c r="O64" t="s">
        <v>32</v>
      </c>
      <c r="P64" t="s">
        <v>33</v>
      </c>
      <c r="Q64">
        <v>0</v>
      </c>
      <c r="R64" s="1">
        <v>1.6203703703703701E-4</v>
      </c>
      <c r="S64" s="1">
        <v>5.7870370370370373E-5</v>
      </c>
    </row>
    <row r="65" spans="1:19" x14ac:dyDescent="0.35">
      <c r="A65" t="s">
        <v>20</v>
      </c>
      <c r="B65">
        <v>17644</v>
      </c>
      <c r="C65" t="s">
        <v>21</v>
      </c>
      <c r="D65" t="s">
        <v>22</v>
      </c>
      <c r="E65" t="s">
        <v>304</v>
      </c>
      <c r="F65" t="s">
        <v>305</v>
      </c>
      <c r="G65" t="s">
        <v>306</v>
      </c>
      <c r="H65" t="s">
        <v>307</v>
      </c>
      <c r="I65" t="s">
        <v>238</v>
      </c>
      <c r="K65" t="s">
        <v>46</v>
      </c>
      <c r="L65" t="s">
        <v>85</v>
      </c>
      <c r="M65" t="s">
        <v>48</v>
      </c>
      <c r="N65" t="s">
        <v>55</v>
      </c>
      <c r="O65" t="s">
        <v>56</v>
      </c>
      <c r="P65" t="s">
        <v>33</v>
      </c>
      <c r="Q65">
        <v>1</v>
      </c>
      <c r="R65" s="1">
        <v>2.3148148148148149E-4</v>
      </c>
      <c r="S65" s="1">
        <v>1.273148148148148E-4</v>
      </c>
    </row>
    <row r="66" spans="1:19" x14ac:dyDescent="0.35">
      <c r="A66" t="s">
        <v>20</v>
      </c>
      <c r="B66">
        <v>17644</v>
      </c>
      <c r="C66" t="s">
        <v>21</v>
      </c>
      <c r="D66" t="s">
        <v>22</v>
      </c>
      <c r="E66" t="s">
        <v>308</v>
      </c>
      <c r="F66" t="s">
        <v>309</v>
      </c>
      <c r="G66" t="s">
        <v>310</v>
      </c>
      <c r="H66" t="s">
        <v>311</v>
      </c>
      <c r="I66" t="s">
        <v>238</v>
      </c>
      <c r="K66" t="s">
        <v>28</v>
      </c>
      <c r="L66" t="s">
        <v>62</v>
      </c>
      <c r="M66" t="s">
        <v>30</v>
      </c>
      <c r="N66" t="s">
        <v>55</v>
      </c>
      <c r="O66" t="s">
        <v>76</v>
      </c>
      <c r="P66" t="s">
        <v>33</v>
      </c>
      <c r="Q66">
        <v>4</v>
      </c>
      <c r="R66" s="1">
        <v>5.7870370370370367E-4</v>
      </c>
      <c r="S66" s="1">
        <v>4.7453703703703698E-4</v>
      </c>
    </row>
    <row r="67" spans="1:19" x14ac:dyDescent="0.35">
      <c r="A67" t="s">
        <v>20</v>
      </c>
      <c r="B67">
        <v>17644</v>
      </c>
      <c r="C67" t="s">
        <v>21</v>
      </c>
      <c r="D67" t="s">
        <v>22</v>
      </c>
      <c r="E67" t="s">
        <v>312</v>
      </c>
      <c r="F67" t="s">
        <v>313</v>
      </c>
      <c r="G67" t="s">
        <v>314</v>
      </c>
      <c r="H67" t="s">
        <v>315</v>
      </c>
      <c r="I67" t="s">
        <v>238</v>
      </c>
      <c r="K67" t="s">
        <v>28</v>
      </c>
      <c r="L67" t="s">
        <v>29</v>
      </c>
      <c r="M67" t="s">
        <v>40</v>
      </c>
      <c r="N67" t="s">
        <v>49</v>
      </c>
      <c r="O67" t="s">
        <v>76</v>
      </c>
      <c r="P67" t="s">
        <v>33</v>
      </c>
      <c r="Q67">
        <v>0</v>
      </c>
      <c r="R67" s="1">
        <v>1.6203703703703701E-4</v>
      </c>
      <c r="S67" s="1">
        <v>5.7870370370370373E-5</v>
      </c>
    </row>
    <row r="68" spans="1:19" x14ac:dyDescent="0.35">
      <c r="A68" t="s">
        <v>20</v>
      </c>
      <c r="B68">
        <v>17644</v>
      </c>
      <c r="C68" t="s">
        <v>21</v>
      </c>
      <c r="D68" t="s">
        <v>22</v>
      </c>
      <c r="E68" t="s">
        <v>316</v>
      </c>
      <c r="F68" t="s">
        <v>317</v>
      </c>
      <c r="G68" t="s">
        <v>318</v>
      </c>
      <c r="H68" t="s">
        <v>319</v>
      </c>
      <c r="I68" t="s">
        <v>238</v>
      </c>
      <c r="K68" t="s">
        <v>28</v>
      </c>
      <c r="L68" t="s">
        <v>54</v>
      </c>
      <c r="M68" t="s">
        <v>40</v>
      </c>
      <c r="N68" t="s">
        <v>55</v>
      </c>
      <c r="O68" t="s">
        <v>76</v>
      </c>
      <c r="P68" t="s">
        <v>33</v>
      </c>
      <c r="Q68">
        <v>0</v>
      </c>
      <c r="R68" s="1">
        <v>2.199074074074074E-4</v>
      </c>
      <c r="S68" s="1">
        <v>1.157407407407407E-4</v>
      </c>
    </row>
    <row r="69" spans="1:19" x14ac:dyDescent="0.35">
      <c r="A69" t="s">
        <v>20</v>
      </c>
      <c r="B69">
        <v>17644</v>
      </c>
      <c r="C69" t="s">
        <v>21</v>
      </c>
      <c r="D69" t="s">
        <v>22</v>
      </c>
      <c r="E69" t="s">
        <v>320</v>
      </c>
      <c r="F69" t="s">
        <v>321</v>
      </c>
      <c r="G69" t="s">
        <v>322</v>
      </c>
      <c r="H69" t="s">
        <v>323</v>
      </c>
      <c r="I69" t="s">
        <v>238</v>
      </c>
      <c r="K69" t="s">
        <v>38</v>
      </c>
      <c r="L69" t="s">
        <v>47</v>
      </c>
      <c r="M69" t="s">
        <v>40</v>
      </c>
      <c r="N69" t="s">
        <v>41</v>
      </c>
      <c r="O69" t="s">
        <v>32</v>
      </c>
      <c r="P69" t="s">
        <v>33</v>
      </c>
      <c r="Q69">
        <v>0</v>
      </c>
      <c r="R69" s="1">
        <v>1.7361111111111109E-4</v>
      </c>
      <c r="S69" s="1">
        <v>6.9444444444444444E-5</v>
      </c>
    </row>
    <row r="70" spans="1:19" x14ac:dyDescent="0.35">
      <c r="A70" t="s">
        <v>20</v>
      </c>
      <c r="B70">
        <v>17644</v>
      </c>
      <c r="C70" t="s">
        <v>21</v>
      </c>
      <c r="D70" t="s">
        <v>22</v>
      </c>
      <c r="E70" t="s">
        <v>324</v>
      </c>
      <c r="F70" t="s">
        <v>325</v>
      </c>
      <c r="G70" t="s">
        <v>326</v>
      </c>
      <c r="H70" t="s">
        <v>327</v>
      </c>
      <c r="I70" t="s">
        <v>238</v>
      </c>
      <c r="K70" t="s">
        <v>46</v>
      </c>
      <c r="L70" t="s">
        <v>47</v>
      </c>
      <c r="M70" t="s">
        <v>40</v>
      </c>
      <c r="N70" t="s">
        <v>41</v>
      </c>
      <c r="O70" t="s">
        <v>76</v>
      </c>
      <c r="P70" t="s">
        <v>33</v>
      </c>
      <c r="Q70">
        <v>0</v>
      </c>
      <c r="R70" s="1">
        <v>1.7361111111111109E-4</v>
      </c>
      <c r="S70" s="1">
        <v>6.9444444444444444E-5</v>
      </c>
    </row>
    <row r="71" spans="1:19" x14ac:dyDescent="0.35">
      <c r="A71" t="s">
        <v>20</v>
      </c>
      <c r="B71">
        <v>17644</v>
      </c>
      <c r="C71" t="s">
        <v>21</v>
      </c>
      <c r="D71" t="s">
        <v>22</v>
      </c>
      <c r="E71" t="s">
        <v>328</v>
      </c>
      <c r="F71" t="s">
        <v>329</v>
      </c>
      <c r="G71" t="s">
        <v>330</v>
      </c>
      <c r="H71" t="s">
        <v>331</v>
      </c>
      <c r="I71" t="s">
        <v>238</v>
      </c>
      <c r="K71" t="s">
        <v>38</v>
      </c>
      <c r="L71" t="s">
        <v>54</v>
      </c>
      <c r="M71" t="s">
        <v>40</v>
      </c>
      <c r="N71" t="s">
        <v>41</v>
      </c>
      <c r="O71" t="s">
        <v>56</v>
      </c>
      <c r="P71" t="s">
        <v>33</v>
      </c>
      <c r="Q71">
        <v>0</v>
      </c>
      <c r="R71" s="1">
        <v>2.0833333333333329E-4</v>
      </c>
      <c r="S71" s="1">
        <v>1.041666666666667E-4</v>
      </c>
    </row>
    <row r="72" spans="1:19" x14ac:dyDescent="0.35">
      <c r="A72" t="s">
        <v>20</v>
      </c>
      <c r="B72">
        <v>17644</v>
      </c>
      <c r="C72" t="s">
        <v>21</v>
      </c>
      <c r="D72" t="s">
        <v>22</v>
      </c>
      <c r="E72" t="s">
        <v>332</v>
      </c>
      <c r="F72" t="s">
        <v>333</v>
      </c>
      <c r="G72" t="s">
        <v>334</v>
      </c>
      <c r="H72" t="s">
        <v>335</v>
      </c>
      <c r="I72" t="s">
        <v>238</v>
      </c>
      <c r="K72" t="s">
        <v>46</v>
      </c>
      <c r="L72" t="s">
        <v>29</v>
      </c>
      <c r="M72" t="s">
        <v>48</v>
      </c>
      <c r="N72" t="s">
        <v>67</v>
      </c>
      <c r="O72" t="s">
        <v>56</v>
      </c>
      <c r="P72" t="s">
        <v>33</v>
      </c>
      <c r="Q72">
        <v>0</v>
      </c>
      <c r="R72" s="1">
        <v>1.6203703703703701E-4</v>
      </c>
      <c r="S72" s="1">
        <v>5.7870370370370373E-5</v>
      </c>
    </row>
    <row r="73" spans="1:19" x14ac:dyDescent="0.35">
      <c r="A73" t="s">
        <v>20</v>
      </c>
      <c r="B73">
        <v>17644</v>
      </c>
      <c r="C73" t="s">
        <v>21</v>
      </c>
      <c r="D73" t="s">
        <v>22</v>
      </c>
      <c r="E73" t="s">
        <v>336</v>
      </c>
      <c r="F73" t="s">
        <v>337</v>
      </c>
      <c r="G73" t="s">
        <v>338</v>
      </c>
      <c r="H73" t="s">
        <v>339</v>
      </c>
      <c r="I73" t="s">
        <v>238</v>
      </c>
      <c r="K73" t="s">
        <v>28</v>
      </c>
      <c r="L73" t="s">
        <v>54</v>
      </c>
      <c r="M73" t="s">
        <v>40</v>
      </c>
      <c r="N73" t="s">
        <v>55</v>
      </c>
      <c r="O73" t="s">
        <v>32</v>
      </c>
      <c r="P73" t="s">
        <v>33</v>
      </c>
      <c r="Q73">
        <v>0</v>
      </c>
      <c r="R73" s="1">
        <v>1.7361111111111109E-4</v>
      </c>
      <c r="S73" s="1">
        <v>6.9444444444444444E-5</v>
      </c>
    </row>
    <row r="74" spans="1:19" x14ac:dyDescent="0.35">
      <c r="A74" t="s">
        <v>20</v>
      </c>
      <c r="B74">
        <v>17644</v>
      </c>
      <c r="C74" t="s">
        <v>21</v>
      </c>
      <c r="D74" t="s">
        <v>22</v>
      </c>
      <c r="E74" t="s">
        <v>340</v>
      </c>
      <c r="F74" t="s">
        <v>341</v>
      </c>
      <c r="G74" t="s">
        <v>342</v>
      </c>
      <c r="H74" t="s">
        <v>343</v>
      </c>
      <c r="I74" t="s">
        <v>238</v>
      </c>
      <c r="K74" t="s">
        <v>28</v>
      </c>
      <c r="L74" t="s">
        <v>62</v>
      </c>
      <c r="M74" t="s">
        <v>40</v>
      </c>
      <c r="N74" t="s">
        <v>55</v>
      </c>
      <c r="O74" t="s">
        <v>76</v>
      </c>
      <c r="P74" t="s">
        <v>33</v>
      </c>
      <c r="Q74">
        <v>0</v>
      </c>
      <c r="R74" s="1">
        <v>1.157407407407407E-4</v>
      </c>
      <c r="S74" s="1">
        <v>1.157407407407407E-5</v>
      </c>
    </row>
    <row r="75" spans="1:19" x14ac:dyDescent="0.35">
      <c r="A75" t="s">
        <v>20</v>
      </c>
      <c r="B75">
        <v>17644</v>
      </c>
      <c r="C75" t="s">
        <v>21</v>
      </c>
      <c r="D75" t="s">
        <v>22</v>
      </c>
      <c r="E75" t="s">
        <v>344</v>
      </c>
      <c r="F75" t="s">
        <v>345</v>
      </c>
      <c r="G75" t="s">
        <v>346</v>
      </c>
      <c r="H75" t="s">
        <v>347</v>
      </c>
      <c r="I75" t="s">
        <v>238</v>
      </c>
      <c r="K75" t="s">
        <v>46</v>
      </c>
      <c r="L75" t="s">
        <v>29</v>
      </c>
      <c r="M75" t="s">
        <v>40</v>
      </c>
      <c r="N75" t="s">
        <v>55</v>
      </c>
      <c r="O75" t="s">
        <v>76</v>
      </c>
      <c r="P75" t="s">
        <v>33</v>
      </c>
      <c r="Q75">
        <v>1</v>
      </c>
      <c r="R75" s="1">
        <v>2.5462962962962961E-4</v>
      </c>
      <c r="S75" s="1">
        <v>1.50462962962963E-4</v>
      </c>
    </row>
    <row r="76" spans="1:19" x14ac:dyDescent="0.35">
      <c r="A76" t="s">
        <v>20</v>
      </c>
      <c r="B76">
        <v>17644</v>
      </c>
      <c r="C76" t="s">
        <v>21</v>
      </c>
      <c r="D76" t="s">
        <v>22</v>
      </c>
      <c r="E76" t="s">
        <v>348</v>
      </c>
      <c r="F76" t="s">
        <v>349</v>
      </c>
      <c r="G76" t="s">
        <v>350</v>
      </c>
      <c r="H76" t="s">
        <v>351</v>
      </c>
      <c r="I76" t="s">
        <v>238</v>
      </c>
      <c r="K76" t="s">
        <v>46</v>
      </c>
      <c r="L76" t="s">
        <v>54</v>
      </c>
      <c r="M76" t="s">
        <v>40</v>
      </c>
      <c r="N76" t="s">
        <v>41</v>
      </c>
      <c r="O76" t="s">
        <v>56</v>
      </c>
      <c r="P76" t="s">
        <v>33</v>
      </c>
      <c r="Q76">
        <v>3</v>
      </c>
      <c r="R76" s="1">
        <v>5.4398148148148144E-4</v>
      </c>
      <c r="S76" s="1">
        <v>4.3981481481481481E-4</v>
      </c>
    </row>
    <row r="77" spans="1:19" x14ac:dyDescent="0.35">
      <c r="A77" t="s">
        <v>20</v>
      </c>
      <c r="B77">
        <v>17644</v>
      </c>
      <c r="C77" t="s">
        <v>21</v>
      </c>
      <c r="D77" t="s">
        <v>22</v>
      </c>
      <c r="E77" t="s">
        <v>352</v>
      </c>
      <c r="F77" t="s">
        <v>353</v>
      </c>
      <c r="G77" t="s">
        <v>354</v>
      </c>
      <c r="H77" t="s">
        <v>355</v>
      </c>
      <c r="I77" t="s">
        <v>238</v>
      </c>
      <c r="K77" t="s">
        <v>28</v>
      </c>
      <c r="L77" t="s">
        <v>62</v>
      </c>
      <c r="M77" t="s">
        <v>30</v>
      </c>
      <c r="N77" t="s">
        <v>115</v>
      </c>
      <c r="O77" t="s">
        <v>32</v>
      </c>
      <c r="P77" t="s">
        <v>33</v>
      </c>
      <c r="Q77">
        <v>10</v>
      </c>
      <c r="R77" s="1">
        <v>1.0648148148148151E-3</v>
      </c>
      <c r="S77" s="1">
        <v>9.6064814814814819E-4</v>
      </c>
    </row>
    <row r="78" spans="1:19" x14ac:dyDescent="0.35">
      <c r="A78" t="s">
        <v>20</v>
      </c>
      <c r="B78">
        <v>17644</v>
      </c>
      <c r="C78" t="s">
        <v>21</v>
      </c>
      <c r="D78" t="s">
        <v>22</v>
      </c>
      <c r="E78" t="s">
        <v>356</v>
      </c>
      <c r="F78" t="s">
        <v>357</v>
      </c>
      <c r="G78" t="s">
        <v>358</v>
      </c>
      <c r="H78" t="s">
        <v>359</v>
      </c>
      <c r="I78" t="s">
        <v>238</v>
      </c>
      <c r="K78" t="s">
        <v>28</v>
      </c>
      <c r="L78" t="s">
        <v>62</v>
      </c>
      <c r="M78" t="s">
        <v>40</v>
      </c>
      <c r="N78" t="s">
        <v>55</v>
      </c>
      <c r="O78" t="s">
        <v>76</v>
      </c>
      <c r="P78" t="s">
        <v>33</v>
      </c>
      <c r="Q78">
        <v>1</v>
      </c>
      <c r="R78" s="1">
        <v>2.4305555555555549E-4</v>
      </c>
      <c r="S78" s="1">
        <v>1.3888888888888889E-4</v>
      </c>
    </row>
    <row r="79" spans="1:19" x14ac:dyDescent="0.35">
      <c r="A79" t="s">
        <v>20</v>
      </c>
      <c r="B79">
        <v>17644</v>
      </c>
      <c r="C79" t="s">
        <v>21</v>
      </c>
      <c r="D79" t="s">
        <v>22</v>
      </c>
      <c r="E79" t="s">
        <v>360</v>
      </c>
      <c r="F79" t="s">
        <v>361</v>
      </c>
      <c r="G79" t="s">
        <v>362</v>
      </c>
      <c r="H79" t="s">
        <v>363</v>
      </c>
      <c r="I79" t="s">
        <v>238</v>
      </c>
      <c r="K79" t="s">
        <v>28</v>
      </c>
      <c r="L79" t="s">
        <v>62</v>
      </c>
      <c r="M79" t="s">
        <v>40</v>
      </c>
      <c r="N79" t="s">
        <v>67</v>
      </c>
      <c r="O79" t="s">
        <v>76</v>
      </c>
      <c r="P79" t="s">
        <v>33</v>
      </c>
      <c r="Q79">
        <v>2</v>
      </c>
      <c r="R79" s="1">
        <v>3.7037037037037041E-4</v>
      </c>
      <c r="S79" s="1">
        <v>2.6620370370370372E-4</v>
      </c>
    </row>
    <row r="80" spans="1:19" x14ac:dyDescent="0.35">
      <c r="A80" t="s">
        <v>20</v>
      </c>
      <c r="B80">
        <v>17644</v>
      </c>
      <c r="C80" t="s">
        <v>21</v>
      </c>
      <c r="D80" t="s">
        <v>22</v>
      </c>
      <c r="E80" t="s">
        <v>364</v>
      </c>
      <c r="F80" t="s">
        <v>365</v>
      </c>
      <c r="G80" t="s">
        <v>366</v>
      </c>
      <c r="H80" t="s">
        <v>367</v>
      </c>
      <c r="I80" t="s">
        <v>238</v>
      </c>
      <c r="K80" t="s">
        <v>28</v>
      </c>
      <c r="L80" t="s">
        <v>62</v>
      </c>
      <c r="M80" t="s">
        <v>40</v>
      </c>
      <c r="N80" t="s">
        <v>55</v>
      </c>
      <c r="O80" t="s">
        <v>76</v>
      </c>
      <c r="P80" t="s">
        <v>33</v>
      </c>
      <c r="Q80">
        <v>0</v>
      </c>
      <c r="R80" s="1">
        <v>1.041666666666667E-4</v>
      </c>
      <c r="S80" s="1">
        <v>0</v>
      </c>
    </row>
    <row r="81" spans="1:20" x14ac:dyDescent="0.35">
      <c r="A81" t="s">
        <v>20</v>
      </c>
      <c r="B81">
        <v>17644</v>
      </c>
      <c r="C81" t="s">
        <v>21</v>
      </c>
      <c r="D81" t="s">
        <v>22</v>
      </c>
      <c r="E81" t="s">
        <v>368</v>
      </c>
      <c r="F81" t="s">
        <v>369</v>
      </c>
      <c r="G81" t="s">
        <v>370</v>
      </c>
      <c r="H81" t="s">
        <v>371</v>
      </c>
      <c r="I81" t="s">
        <v>238</v>
      </c>
      <c r="K81" t="s">
        <v>46</v>
      </c>
      <c r="L81" t="s">
        <v>54</v>
      </c>
      <c r="M81" t="s">
        <v>48</v>
      </c>
      <c r="N81" t="s">
        <v>55</v>
      </c>
      <c r="O81" t="s">
        <v>56</v>
      </c>
      <c r="P81" t="s">
        <v>33</v>
      </c>
      <c r="Q81">
        <v>0</v>
      </c>
      <c r="R81" s="1">
        <v>2.3148148148148149E-4</v>
      </c>
      <c r="S81" s="1">
        <v>1.273148148148148E-4</v>
      </c>
    </row>
    <row r="82" spans="1:20" x14ac:dyDescent="0.35">
      <c r="A82" t="s">
        <v>20</v>
      </c>
      <c r="B82">
        <v>17644</v>
      </c>
      <c r="C82" t="s">
        <v>21</v>
      </c>
      <c r="D82" t="s">
        <v>22</v>
      </c>
      <c r="E82" t="s">
        <v>372</v>
      </c>
      <c r="F82" t="s">
        <v>373</v>
      </c>
      <c r="G82" t="s">
        <v>374</v>
      </c>
      <c r="H82" t="s">
        <v>375</v>
      </c>
      <c r="I82" t="s">
        <v>238</v>
      </c>
      <c r="K82" t="s">
        <v>38</v>
      </c>
      <c r="L82" t="s">
        <v>47</v>
      </c>
      <c r="M82" t="s">
        <v>40</v>
      </c>
      <c r="N82" t="s">
        <v>41</v>
      </c>
      <c r="O82" t="s">
        <v>56</v>
      </c>
      <c r="P82" t="s">
        <v>33</v>
      </c>
      <c r="Q82">
        <v>2</v>
      </c>
      <c r="R82" s="1">
        <v>2.7777777777777778E-4</v>
      </c>
      <c r="S82" s="1">
        <v>1.7361111111111109E-4</v>
      </c>
    </row>
    <row r="83" spans="1:20" x14ac:dyDescent="0.35">
      <c r="A83" t="s">
        <v>20</v>
      </c>
      <c r="B83">
        <v>17644</v>
      </c>
      <c r="C83" t="s">
        <v>21</v>
      </c>
      <c r="D83" t="s">
        <v>22</v>
      </c>
      <c r="E83" t="s">
        <v>376</v>
      </c>
      <c r="F83" t="s">
        <v>377</v>
      </c>
      <c r="G83" t="s">
        <v>378</v>
      </c>
      <c r="H83" t="s">
        <v>379</v>
      </c>
      <c r="I83" t="s">
        <v>238</v>
      </c>
      <c r="K83" t="s">
        <v>38</v>
      </c>
      <c r="L83" t="s">
        <v>47</v>
      </c>
      <c r="M83" t="s">
        <v>48</v>
      </c>
      <c r="N83" t="s">
        <v>90</v>
      </c>
      <c r="O83" t="s">
        <v>32</v>
      </c>
      <c r="P83" t="s">
        <v>33</v>
      </c>
      <c r="Q83">
        <v>0</v>
      </c>
      <c r="R83" s="1">
        <v>1.3888888888888889E-4</v>
      </c>
      <c r="S83" s="1">
        <v>3.4722222222222222E-5</v>
      </c>
    </row>
    <row r="84" spans="1:20" x14ac:dyDescent="0.35">
      <c r="A84" t="s">
        <v>20</v>
      </c>
      <c r="B84">
        <v>17644</v>
      </c>
      <c r="C84" t="s">
        <v>21</v>
      </c>
      <c r="D84" t="s">
        <v>22</v>
      </c>
      <c r="E84" t="s">
        <v>380</v>
      </c>
      <c r="F84" t="s">
        <v>193</v>
      </c>
      <c r="G84" t="s">
        <v>381</v>
      </c>
      <c r="H84" t="s">
        <v>382</v>
      </c>
      <c r="I84" t="s">
        <v>238</v>
      </c>
      <c r="K84" t="s">
        <v>38</v>
      </c>
      <c r="L84" t="s">
        <v>29</v>
      </c>
      <c r="M84" t="s">
        <v>40</v>
      </c>
      <c r="N84" t="s">
        <v>90</v>
      </c>
      <c r="O84" t="s">
        <v>76</v>
      </c>
      <c r="P84" t="s">
        <v>33</v>
      </c>
      <c r="Q84">
        <v>0</v>
      </c>
      <c r="R84" s="1">
        <v>1.851851851851852E-4</v>
      </c>
      <c r="S84" s="1">
        <v>8.1018518518518516E-5</v>
      </c>
    </row>
    <row r="85" spans="1:20" x14ac:dyDescent="0.35">
      <c r="A85" t="s">
        <v>20</v>
      </c>
      <c r="B85">
        <v>17644</v>
      </c>
      <c r="C85" t="s">
        <v>21</v>
      </c>
      <c r="D85" t="s">
        <v>22</v>
      </c>
      <c r="E85" t="s">
        <v>383</v>
      </c>
      <c r="F85" t="s">
        <v>384</v>
      </c>
      <c r="G85" t="s">
        <v>385</v>
      </c>
      <c r="H85" t="s">
        <v>386</v>
      </c>
      <c r="I85" t="s">
        <v>238</v>
      </c>
      <c r="K85" t="s">
        <v>46</v>
      </c>
      <c r="L85" t="s">
        <v>29</v>
      </c>
      <c r="M85" t="s">
        <v>48</v>
      </c>
      <c r="N85" t="s">
        <v>55</v>
      </c>
      <c r="O85" t="s">
        <v>56</v>
      </c>
      <c r="P85" t="s">
        <v>33</v>
      </c>
      <c r="Q85">
        <v>0</v>
      </c>
      <c r="R85" s="1">
        <v>1.50462962962963E-4</v>
      </c>
      <c r="S85" s="1">
        <v>4.6296296296296287E-5</v>
      </c>
    </row>
    <row r="86" spans="1:20" x14ac:dyDescent="0.35">
      <c r="A86" t="s">
        <v>20</v>
      </c>
      <c r="B86">
        <v>17644</v>
      </c>
      <c r="C86" t="s">
        <v>21</v>
      </c>
      <c r="D86" t="s">
        <v>22</v>
      </c>
      <c r="E86" t="s">
        <v>387</v>
      </c>
      <c r="F86" t="s">
        <v>388</v>
      </c>
      <c r="G86" t="s">
        <v>389</v>
      </c>
      <c r="H86" t="s">
        <v>390</v>
      </c>
      <c r="I86" t="s">
        <v>238</v>
      </c>
      <c r="K86" t="s">
        <v>38</v>
      </c>
      <c r="L86" t="s">
        <v>54</v>
      </c>
      <c r="M86" t="s">
        <v>40</v>
      </c>
      <c r="N86" t="s">
        <v>90</v>
      </c>
      <c r="O86" t="s">
        <v>32</v>
      </c>
      <c r="P86" t="s">
        <v>33</v>
      </c>
      <c r="Q86">
        <v>2</v>
      </c>
      <c r="R86" s="1">
        <v>4.1666666666666669E-4</v>
      </c>
      <c r="S86" s="1">
        <v>3.1250000000000001E-4</v>
      </c>
    </row>
    <row r="87" spans="1:20" x14ac:dyDescent="0.35">
      <c r="A87" t="s">
        <v>20</v>
      </c>
      <c r="B87">
        <v>17644</v>
      </c>
      <c r="C87" t="s">
        <v>21</v>
      </c>
      <c r="D87" t="s">
        <v>22</v>
      </c>
      <c r="E87" t="s">
        <v>391</v>
      </c>
      <c r="F87" t="s">
        <v>205</v>
      </c>
      <c r="G87" t="s">
        <v>392</v>
      </c>
      <c r="H87" t="s">
        <v>393</v>
      </c>
      <c r="I87" t="s">
        <v>238</v>
      </c>
      <c r="K87" t="s">
        <v>46</v>
      </c>
      <c r="L87" t="s">
        <v>29</v>
      </c>
      <c r="M87" t="s">
        <v>48</v>
      </c>
      <c r="N87" t="s">
        <v>55</v>
      </c>
      <c r="O87" t="s">
        <v>56</v>
      </c>
      <c r="P87" t="s">
        <v>33</v>
      </c>
      <c r="Q87">
        <v>0</v>
      </c>
      <c r="R87" s="1">
        <v>9.2592592592592588E-5</v>
      </c>
      <c r="S87" s="1">
        <v>0</v>
      </c>
    </row>
    <row r="88" spans="1:20" x14ac:dyDescent="0.35">
      <c r="A88" t="s">
        <v>20</v>
      </c>
      <c r="B88">
        <v>17644</v>
      </c>
      <c r="C88" t="s">
        <v>21</v>
      </c>
      <c r="D88" t="s">
        <v>22</v>
      </c>
      <c r="E88" t="s">
        <v>394</v>
      </c>
      <c r="F88" t="s">
        <v>395</v>
      </c>
      <c r="G88" t="s">
        <v>396</v>
      </c>
      <c r="H88" t="s">
        <v>397</v>
      </c>
      <c r="I88" t="s">
        <v>238</v>
      </c>
      <c r="K88" t="s">
        <v>28</v>
      </c>
      <c r="L88" t="s">
        <v>181</v>
      </c>
      <c r="M88" t="s">
        <v>40</v>
      </c>
      <c r="N88" t="s">
        <v>55</v>
      </c>
      <c r="O88" t="s">
        <v>76</v>
      </c>
      <c r="P88" t="s">
        <v>33</v>
      </c>
      <c r="Q88">
        <v>2</v>
      </c>
      <c r="R88" s="1">
        <v>4.1666666666666669E-4</v>
      </c>
      <c r="S88" s="1">
        <v>3.1250000000000001E-4</v>
      </c>
    </row>
    <row r="89" spans="1:20" x14ac:dyDescent="0.35">
      <c r="A89" t="s">
        <v>20</v>
      </c>
      <c r="B89">
        <v>17644</v>
      </c>
      <c r="C89" t="s">
        <v>21</v>
      </c>
      <c r="D89" t="s">
        <v>22</v>
      </c>
      <c r="E89" t="s">
        <v>398</v>
      </c>
      <c r="F89" t="s">
        <v>399</v>
      </c>
      <c r="G89" t="s">
        <v>400</v>
      </c>
      <c r="H89" t="s">
        <v>401</v>
      </c>
      <c r="I89" t="s">
        <v>238</v>
      </c>
      <c r="K89" t="s">
        <v>46</v>
      </c>
      <c r="L89" t="s">
        <v>47</v>
      </c>
      <c r="M89" t="s">
        <v>48</v>
      </c>
      <c r="N89" t="s">
        <v>67</v>
      </c>
      <c r="O89" t="s">
        <v>56</v>
      </c>
      <c r="P89" t="s">
        <v>33</v>
      </c>
      <c r="Q89">
        <v>0</v>
      </c>
      <c r="R89" s="1">
        <v>5.5555555555555556E-4</v>
      </c>
      <c r="S89" s="1">
        <v>4.5138888888888892E-4</v>
      </c>
    </row>
    <row r="90" spans="1:20" x14ac:dyDescent="0.35">
      <c r="A90" t="s">
        <v>20</v>
      </c>
      <c r="B90">
        <v>17644</v>
      </c>
      <c r="C90" t="s">
        <v>21</v>
      </c>
      <c r="D90" t="s">
        <v>22</v>
      </c>
      <c r="E90" t="s">
        <v>402</v>
      </c>
      <c r="F90" t="s">
        <v>403</v>
      </c>
      <c r="G90" t="s">
        <v>404</v>
      </c>
      <c r="H90" t="s">
        <v>405</v>
      </c>
      <c r="I90" t="s">
        <v>238</v>
      </c>
      <c r="K90" t="s">
        <v>28</v>
      </c>
      <c r="L90" t="s">
        <v>62</v>
      </c>
      <c r="M90" t="s">
        <v>30</v>
      </c>
      <c r="N90" t="s">
        <v>115</v>
      </c>
      <c r="O90" t="s">
        <v>32</v>
      </c>
      <c r="P90" t="s">
        <v>33</v>
      </c>
      <c r="Q90">
        <v>9</v>
      </c>
      <c r="R90" s="1">
        <v>7.9861111111111116E-4</v>
      </c>
      <c r="S90" s="1">
        <v>6.9444444444444447E-4</v>
      </c>
    </row>
    <row r="91" spans="1:20" x14ac:dyDescent="0.35">
      <c r="A91" t="s">
        <v>20</v>
      </c>
      <c r="B91">
        <v>17644</v>
      </c>
      <c r="C91" t="s">
        <v>21</v>
      </c>
      <c r="D91" t="s">
        <v>22</v>
      </c>
      <c r="E91" t="s">
        <v>406</v>
      </c>
      <c r="F91" t="s">
        <v>407</v>
      </c>
      <c r="G91" t="s">
        <v>408</v>
      </c>
      <c r="H91" t="s">
        <v>409</v>
      </c>
      <c r="I91" t="s">
        <v>238</v>
      </c>
      <c r="K91" t="s">
        <v>38</v>
      </c>
      <c r="L91" t="s">
        <v>47</v>
      </c>
      <c r="M91" t="s">
        <v>40</v>
      </c>
      <c r="N91" t="s">
        <v>67</v>
      </c>
      <c r="O91" t="s">
        <v>32</v>
      </c>
      <c r="P91" t="s">
        <v>33</v>
      </c>
      <c r="Q91">
        <v>6</v>
      </c>
      <c r="R91" s="1">
        <v>5.4398148148148144E-4</v>
      </c>
      <c r="S91" s="1">
        <v>4.3981481481481481E-4</v>
      </c>
    </row>
    <row r="92" spans="1:20" x14ac:dyDescent="0.35">
      <c r="A92" t="s">
        <v>20</v>
      </c>
      <c r="B92">
        <v>17644</v>
      </c>
      <c r="C92" t="s">
        <v>21</v>
      </c>
      <c r="D92" t="s">
        <v>22</v>
      </c>
      <c r="E92" t="s">
        <v>410</v>
      </c>
      <c r="F92" t="s">
        <v>411</v>
      </c>
      <c r="G92" t="s">
        <v>412</v>
      </c>
      <c r="H92" t="s">
        <v>413</v>
      </c>
      <c r="I92" t="s">
        <v>238</v>
      </c>
      <c r="K92" t="s">
        <v>28</v>
      </c>
      <c r="L92" t="s">
        <v>85</v>
      </c>
      <c r="M92" t="s">
        <v>30</v>
      </c>
      <c r="N92" t="s">
        <v>115</v>
      </c>
      <c r="O92" t="s">
        <v>56</v>
      </c>
      <c r="P92" t="s">
        <v>33</v>
      </c>
      <c r="Q92">
        <v>3</v>
      </c>
      <c r="R92" s="1">
        <v>4.861111111111111E-4</v>
      </c>
      <c r="S92" s="1">
        <v>3.8194444444444452E-4</v>
      </c>
    </row>
    <row r="93" spans="1:20" x14ac:dyDescent="0.35">
      <c r="A93" t="s">
        <v>20</v>
      </c>
      <c r="B93">
        <v>17644</v>
      </c>
      <c r="C93" t="s">
        <v>21</v>
      </c>
      <c r="D93" t="s">
        <v>22</v>
      </c>
      <c r="E93" t="s">
        <v>414</v>
      </c>
      <c r="F93" t="s">
        <v>415</v>
      </c>
      <c r="G93" t="s">
        <v>416</v>
      </c>
      <c r="H93" t="s">
        <v>417</v>
      </c>
      <c r="I93" t="s">
        <v>238</v>
      </c>
      <c r="K93" t="s">
        <v>28</v>
      </c>
      <c r="L93" t="s">
        <v>47</v>
      </c>
      <c r="M93" t="s">
        <v>40</v>
      </c>
      <c r="N93" t="s">
        <v>55</v>
      </c>
      <c r="O93" t="s">
        <v>76</v>
      </c>
      <c r="P93" t="s">
        <v>33</v>
      </c>
      <c r="Q93">
        <v>0</v>
      </c>
      <c r="R93" s="1">
        <v>9.2592592592592588E-5</v>
      </c>
      <c r="S93" s="1">
        <v>0</v>
      </c>
    </row>
    <row r="94" spans="1:20" x14ac:dyDescent="0.35">
      <c r="A94" t="s">
        <v>20</v>
      </c>
      <c r="B94">
        <v>17644</v>
      </c>
      <c r="C94" t="s">
        <v>21</v>
      </c>
      <c r="D94" t="s">
        <v>22</v>
      </c>
      <c r="E94" t="s">
        <v>418</v>
      </c>
      <c r="F94" t="s">
        <v>419</v>
      </c>
      <c r="G94" t="s">
        <v>420</v>
      </c>
      <c r="H94" t="s">
        <v>421</v>
      </c>
      <c r="I94" t="s">
        <v>238</v>
      </c>
      <c r="K94" t="s">
        <v>46</v>
      </c>
      <c r="L94" t="s">
        <v>29</v>
      </c>
      <c r="M94" t="s">
        <v>30</v>
      </c>
      <c r="N94" t="s">
        <v>67</v>
      </c>
      <c r="O94" t="s">
        <v>56</v>
      </c>
      <c r="P94" t="s">
        <v>33</v>
      </c>
      <c r="Q94">
        <v>3</v>
      </c>
      <c r="R94" s="1">
        <v>4.7453703703703698E-4</v>
      </c>
      <c r="S94" s="1">
        <v>3.7037037037037041E-4</v>
      </c>
    </row>
    <row r="95" spans="1:20" x14ac:dyDescent="0.35">
      <c r="A95" t="s">
        <v>20</v>
      </c>
      <c r="B95">
        <v>17644</v>
      </c>
      <c r="C95" t="s">
        <v>21</v>
      </c>
      <c r="D95" t="s">
        <v>22</v>
      </c>
      <c r="E95" t="s">
        <v>422</v>
      </c>
      <c r="F95" t="s">
        <v>423</v>
      </c>
      <c r="G95" t="s">
        <v>424</v>
      </c>
      <c r="H95" t="s">
        <v>425</v>
      </c>
      <c r="I95" t="s">
        <v>238</v>
      </c>
      <c r="K95" t="s">
        <v>61</v>
      </c>
      <c r="L95" t="s">
        <v>85</v>
      </c>
      <c r="M95" t="s">
        <v>30</v>
      </c>
      <c r="N95" t="s">
        <v>31</v>
      </c>
      <c r="O95" t="s">
        <v>56</v>
      </c>
      <c r="P95" t="s">
        <v>33</v>
      </c>
      <c r="Q95">
        <v>0</v>
      </c>
      <c r="R95" s="1">
        <v>2.3148148148148149E-4</v>
      </c>
      <c r="S95" s="1">
        <v>1.273148148148148E-4</v>
      </c>
    </row>
    <row r="96" spans="1:20" x14ac:dyDescent="0.35">
      <c r="A96" t="s">
        <v>20</v>
      </c>
      <c r="B96">
        <v>17643</v>
      </c>
      <c r="C96" t="s">
        <v>426</v>
      </c>
      <c r="D96" t="s">
        <v>427</v>
      </c>
      <c r="E96" t="s">
        <v>234</v>
      </c>
      <c r="F96" t="s">
        <v>428</v>
      </c>
      <c r="G96" t="s">
        <v>429</v>
      </c>
      <c r="H96" t="s">
        <v>430</v>
      </c>
      <c r="I96" t="s">
        <v>431</v>
      </c>
      <c r="K96" t="s">
        <v>28</v>
      </c>
      <c r="L96" t="s">
        <v>29</v>
      </c>
      <c r="O96" t="s">
        <v>56</v>
      </c>
      <c r="P96" t="s">
        <v>33</v>
      </c>
      <c r="Q96">
        <v>4</v>
      </c>
      <c r="R96" s="1">
        <v>3.7037037037037041E-4</v>
      </c>
      <c r="S96" s="1">
        <v>2.6620370370370372E-4</v>
      </c>
      <c r="T96" t="s">
        <v>432</v>
      </c>
    </row>
    <row r="97" spans="1:20" x14ac:dyDescent="0.35">
      <c r="A97" t="s">
        <v>20</v>
      </c>
      <c r="B97">
        <v>17643</v>
      </c>
      <c r="C97" t="s">
        <v>426</v>
      </c>
      <c r="D97" t="s">
        <v>427</v>
      </c>
      <c r="E97" t="s">
        <v>239</v>
      </c>
      <c r="F97" t="s">
        <v>433</v>
      </c>
      <c r="G97" t="s">
        <v>434</v>
      </c>
      <c r="H97" t="s">
        <v>435</v>
      </c>
      <c r="I97" t="s">
        <v>431</v>
      </c>
      <c r="K97" t="s">
        <v>38</v>
      </c>
      <c r="L97" t="s">
        <v>47</v>
      </c>
      <c r="M97" t="s">
        <v>48</v>
      </c>
      <c r="N97" t="s">
        <v>41</v>
      </c>
      <c r="O97" t="s">
        <v>32</v>
      </c>
      <c r="P97" t="s">
        <v>33</v>
      </c>
      <c r="Q97">
        <v>8</v>
      </c>
      <c r="R97" s="1">
        <v>6.9444444444444447E-4</v>
      </c>
      <c r="S97" s="1">
        <v>5.9027777777777778E-4</v>
      </c>
      <c r="T97" t="s">
        <v>432</v>
      </c>
    </row>
    <row r="98" spans="1:20" x14ac:dyDescent="0.35">
      <c r="A98" t="s">
        <v>20</v>
      </c>
      <c r="B98">
        <v>17643</v>
      </c>
      <c r="C98" t="s">
        <v>426</v>
      </c>
      <c r="D98" t="s">
        <v>427</v>
      </c>
      <c r="E98" t="s">
        <v>243</v>
      </c>
      <c r="F98" t="s">
        <v>436</v>
      </c>
      <c r="G98" t="s">
        <v>437</v>
      </c>
      <c r="H98" t="s">
        <v>438</v>
      </c>
      <c r="I98" t="s">
        <v>431</v>
      </c>
      <c r="K98" t="s">
        <v>28</v>
      </c>
      <c r="L98" t="s">
        <v>62</v>
      </c>
      <c r="M98" t="s">
        <v>30</v>
      </c>
      <c r="N98" t="s">
        <v>148</v>
      </c>
      <c r="O98" t="s">
        <v>32</v>
      </c>
      <c r="P98" t="s">
        <v>33</v>
      </c>
      <c r="Q98">
        <v>12</v>
      </c>
      <c r="R98" s="1">
        <v>7.6388888888888893E-4</v>
      </c>
      <c r="S98" s="1">
        <v>6.5972222222222224E-4</v>
      </c>
      <c r="T98" t="s">
        <v>432</v>
      </c>
    </row>
    <row r="99" spans="1:20" x14ac:dyDescent="0.35">
      <c r="A99" t="s">
        <v>20</v>
      </c>
      <c r="B99">
        <v>17643</v>
      </c>
      <c r="C99" t="s">
        <v>426</v>
      </c>
      <c r="D99" t="s">
        <v>427</v>
      </c>
      <c r="E99" t="s">
        <v>247</v>
      </c>
      <c r="F99" t="s">
        <v>439</v>
      </c>
      <c r="G99" t="s">
        <v>440</v>
      </c>
      <c r="H99" t="s">
        <v>441</v>
      </c>
      <c r="I99" t="s">
        <v>431</v>
      </c>
      <c r="K99" t="s">
        <v>38</v>
      </c>
      <c r="L99" t="s">
        <v>39</v>
      </c>
      <c r="M99" t="s">
        <v>40</v>
      </c>
      <c r="N99" t="s">
        <v>41</v>
      </c>
      <c r="O99" t="s">
        <v>76</v>
      </c>
      <c r="P99" t="s">
        <v>33</v>
      </c>
      <c r="Q99">
        <v>0</v>
      </c>
      <c r="R99" s="1">
        <v>1.851851851851852E-4</v>
      </c>
      <c r="S99" s="1">
        <v>8.1018518518518516E-5</v>
      </c>
      <c r="T99" t="s">
        <v>432</v>
      </c>
    </row>
    <row r="100" spans="1:20" x14ac:dyDescent="0.35">
      <c r="A100" t="s">
        <v>20</v>
      </c>
      <c r="B100">
        <v>17643</v>
      </c>
      <c r="C100" t="s">
        <v>426</v>
      </c>
      <c r="D100" t="s">
        <v>427</v>
      </c>
      <c r="E100" t="s">
        <v>251</v>
      </c>
      <c r="F100" t="s">
        <v>442</v>
      </c>
      <c r="G100" t="s">
        <v>443</v>
      </c>
      <c r="H100" t="s">
        <v>444</v>
      </c>
      <c r="I100" t="s">
        <v>431</v>
      </c>
      <c r="K100" t="s">
        <v>38</v>
      </c>
      <c r="L100" t="s">
        <v>47</v>
      </c>
      <c r="M100" t="s">
        <v>40</v>
      </c>
      <c r="N100" t="s">
        <v>41</v>
      </c>
      <c r="O100" t="s">
        <v>32</v>
      </c>
      <c r="P100" t="s">
        <v>33</v>
      </c>
      <c r="Q100">
        <v>4</v>
      </c>
      <c r="R100" s="1">
        <v>3.8194444444444452E-4</v>
      </c>
      <c r="S100" s="1">
        <v>2.7777777777777778E-4</v>
      </c>
      <c r="T100" t="s">
        <v>432</v>
      </c>
    </row>
    <row r="101" spans="1:20" x14ac:dyDescent="0.35">
      <c r="A101" t="s">
        <v>20</v>
      </c>
      <c r="B101">
        <v>17643</v>
      </c>
      <c r="C101" t="s">
        <v>426</v>
      </c>
      <c r="D101" t="s">
        <v>427</v>
      </c>
      <c r="E101" t="s">
        <v>255</v>
      </c>
      <c r="F101" t="s">
        <v>445</v>
      </c>
      <c r="G101" t="s">
        <v>446</v>
      </c>
      <c r="H101" t="s">
        <v>447</v>
      </c>
      <c r="I101" t="s">
        <v>431</v>
      </c>
      <c r="K101" t="s">
        <v>46</v>
      </c>
      <c r="L101" t="s">
        <v>29</v>
      </c>
      <c r="M101" t="s">
        <v>40</v>
      </c>
      <c r="N101" t="s">
        <v>55</v>
      </c>
      <c r="O101" t="s">
        <v>76</v>
      </c>
      <c r="P101" t="s">
        <v>33</v>
      </c>
      <c r="Q101">
        <v>0</v>
      </c>
      <c r="R101" s="1">
        <v>1.7361111111111109E-4</v>
      </c>
      <c r="S101" s="1">
        <v>6.9444444444444444E-5</v>
      </c>
      <c r="T101" t="s">
        <v>432</v>
      </c>
    </row>
    <row r="102" spans="1:20" x14ac:dyDescent="0.35">
      <c r="A102" t="s">
        <v>20</v>
      </c>
      <c r="B102">
        <v>17643</v>
      </c>
      <c r="C102" t="s">
        <v>426</v>
      </c>
      <c r="D102" t="s">
        <v>427</v>
      </c>
      <c r="E102" t="s">
        <v>259</v>
      </c>
      <c r="F102" t="s">
        <v>448</v>
      </c>
      <c r="G102" t="s">
        <v>449</v>
      </c>
      <c r="H102" t="s">
        <v>450</v>
      </c>
      <c r="I102" t="s">
        <v>431</v>
      </c>
      <c r="K102" t="s">
        <v>46</v>
      </c>
      <c r="L102" t="s">
        <v>29</v>
      </c>
      <c r="M102" t="s">
        <v>48</v>
      </c>
      <c r="N102" t="s">
        <v>55</v>
      </c>
      <c r="O102" t="s">
        <v>76</v>
      </c>
      <c r="P102" t="s">
        <v>33</v>
      </c>
      <c r="Q102">
        <v>0</v>
      </c>
      <c r="R102" s="1">
        <v>1.041666666666667E-4</v>
      </c>
      <c r="S102" s="1">
        <v>0</v>
      </c>
      <c r="T102" t="s">
        <v>432</v>
      </c>
    </row>
    <row r="103" spans="1:20" x14ac:dyDescent="0.35">
      <c r="A103" t="s">
        <v>20</v>
      </c>
      <c r="B103">
        <v>17643</v>
      </c>
      <c r="C103" t="s">
        <v>426</v>
      </c>
      <c r="D103" t="s">
        <v>427</v>
      </c>
      <c r="E103" t="s">
        <v>263</v>
      </c>
      <c r="F103" t="s">
        <v>451</v>
      </c>
      <c r="G103" t="s">
        <v>452</v>
      </c>
      <c r="H103" t="s">
        <v>453</v>
      </c>
      <c r="I103" t="s">
        <v>431</v>
      </c>
      <c r="K103" t="s">
        <v>46</v>
      </c>
      <c r="L103" t="s">
        <v>29</v>
      </c>
      <c r="M103" t="s">
        <v>40</v>
      </c>
      <c r="N103" t="s">
        <v>55</v>
      </c>
      <c r="O103" t="s">
        <v>76</v>
      </c>
      <c r="P103" t="s">
        <v>33</v>
      </c>
      <c r="Q103">
        <v>2</v>
      </c>
      <c r="R103" s="1">
        <v>3.0092592592592589E-4</v>
      </c>
      <c r="S103" s="1">
        <v>1.9675925925925929E-4</v>
      </c>
      <c r="T103" t="s">
        <v>432</v>
      </c>
    </row>
    <row r="104" spans="1:20" x14ac:dyDescent="0.35">
      <c r="A104" t="s">
        <v>20</v>
      </c>
      <c r="B104">
        <v>17643</v>
      </c>
      <c r="C104" t="s">
        <v>426</v>
      </c>
      <c r="D104" t="s">
        <v>427</v>
      </c>
      <c r="E104" t="s">
        <v>267</v>
      </c>
      <c r="F104" t="s">
        <v>454</v>
      </c>
      <c r="G104" t="s">
        <v>455</v>
      </c>
      <c r="H104" t="s">
        <v>456</v>
      </c>
      <c r="I104" t="s">
        <v>431</v>
      </c>
      <c r="K104" t="s">
        <v>28</v>
      </c>
      <c r="L104" t="s">
        <v>29</v>
      </c>
      <c r="M104" t="s">
        <v>30</v>
      </c>
      <c r="N104" t="s">
        <v>31</v>
      </c>
      <c r="O104" t="s">
        <v>32</v>
      </c>
      <c r="P104" t="s">
        <v>33</v>
      </c>
      <c r="Q104">
        <v>4</v>
      </c>
      <c r="R104" s="1">
        <v>4.6296296296296298E-4</v>
      </c>
      <c r="S104" s="1">
        <v>3.5879629629629629E-4</v>
      </c>
      <c r="T104" t="s">
        <v>432</v>
      </c>
    </row>
    <row r="105" spans="1:20" x14ac:dyDescent="0.35">
      <c r="A105" t="s">
        <v>20</v>
      </c>
      <c r="B105">
        <v>17643</v>
      </c>
      <c r="C105" t="s">
        <v>426</v>
      </c>
      <c r="D105" t="s">
        <v>427</v>
      </c>
      <c r="E105" t="s">
        <v>271</v>
      </c>
      <c r="F105" t="s">
        <v>457</v>
      </c>
      <c r="G105" t="s">
        <v>458</v>
      </c>
      <c r="H105" t="s">
        <v>459</v>
      </c>
      <c r="I105" t="s">
        <v>431</v>
      </c>
      <c r="K105" t="s">
        <v>46</v>
      </c>
      <c r="L105" t="s">
        <v>39</v>
      </c>
      <c r="M105" t="s">
        <v>40</v>
      </c>
      <c r="N105" t="s">
        <v>41</v>
      </c>
      <c r="O105" t="s">
        <v>76</v>
      </c>
      <c r="P105" t="s">
        <v>33</v>
      </c>
      <c r="Q105">
        <v>6</v>
      </c>
      <c r="R105" s="1">
        <v>3.8194444444444452E-4</v>
      </c>
      <c r="S105" s="1">
        <v>2.7777777777777778E-4</v>
      </c>
      <c r="T105" t="s">
        <v>432</v>
      </c>
    </row>
    <row r="106" spans="1:20" x14ac:dyDescent="0.35">
      <c r="A106" t="s">
        <v>20</v>
      </c>
      <c r="B106">
        <v>17643</v>
      </c>
      <c r="C106" t="s">
        <v>426</v>
      </c>
      <c r="D106" t="s">
        <v>427</v>
      </c>
      <c r="E106" t="s">
        <v>275</v>
      </c>
      <c r="F106" t="s">
        <v>460</v>
      </c>
      <c r="G106" t="s">
        <v>461</v>
      </c>
      <c r="H106" t="s">
        <v>462</v>
      </c>
      <c r="I106" t="s">
        <v>431</v>
      </c>
      <c r="K106" t="s">
        <v>46</v>
      </c>
      <c r="L106" t="s">
        <v>47</v>
      </c>
      <c r="M106" t="s">
        <v>40</v>
      </c>
      <c r="N106" t="s">
        <v>67</v>
      </c>
      <c r="O106" t="s">
        <v>76</v>
      </c>
      <c r="P106" t="s">
        <v>33</v>
      </c>
      <c r="Q106">
        <v>8</v>
      </c>
      <c r="R106" s="1">
        <v>3.9351851851851852E-4</v>
      </c>
      <c r="S106" s="1">
        <v>2.8935185185185178E-4</v>
      </c>
      <c r="T106" t="s">
        <v>432</v>
      </c>
    </row>
    <row r="107" spans="1:20" x14ac:dyDescent="0.35">
      <c r="A107" t="s">
        <v>20</v>
      </c>
      <c r="B107">
        <v>17643</v>
      </c>
      <c r="C107" t="s">
        <v>426</v>
      </c>
      <c r="D107" t="s">
        <v>427</v>
      </c>
      <c r="E107" t="s">
        <v>279</v>
      </c>
      <c r="F107" t="s">
        <v>463</v>
      </c>
      <c r="G107" t="s">
        <v>464</v>
      </c>
      <c r="H107" t="s">
        <v>465</v>
      </c>
      <c r="I107" t="s">
        <v>431</v>
      </c>
      <c r="K107" t="s">
        <v>61</v>
      </c>
      <c r="L107" t="s">
        <v>62</v>
      </c>
      <c r="M107" t="s">
        <v>30</v>
      </c>
      <c r="N107" t="s">
        <v>67</v>
      </c>
      <c r="O107" t="s">
        <v>32</v>
      </c>
      <c r="P107" t="s">
        <v>33</v>
      </c>
      <c r="Q107">
        <v>8</v>
      </c>
      <c r="R107" s="1">
        <v>6.7129629629629625E-4</v>
      </c>
      <c r="S107" s="1">
        <v>5.6712962962962967E-4</v>
      </c>
      <c r="T107" t="s">
        <v>432</v>
      </c>
    </row>
    <row r="108" spans="1:20" x14ac:dyDescent="0.35">
      <c r="A108" t="s">
        <v>20</v>
      </c>
      <c r="B108">
        <v>17643</v>
      </c>
      <c r="C108" t="s">
        <v>426</v>
      </c>
      <c r="D108" t="s">
        <v>427</v>
      </c>
      <c r="E108" t="s">
        <v>283</v>
      </c>
      <c r="F108" t="s">
        <v>466</v>
      </c>
      <c r="G108" t="s">
        <v>467</v>
      </c>
      <c r="H108" t="s">
        <v>468</v>
      </c>
      <c r="I108" t="s">
        <v>431</v>
      </c>
      <c r="K108" t="s">
        <v>61</v>
      </c>
      <c r="L108" t="s">
        <v>62</v>
      </c>
      <c r="M108" t="s">
        <v>30</v>
      </c>
      <c r="N108" t="s">
        <v>67</v>
      </c>
      <c r="O108" t="s">
        <v>32</v>
      </c>
      <c r="P108" t="s">
        <v>33</v>
      </c>
      <c r="Q108">
        <v>4</v>
      </c>
      <c r="R108" s="1">
        <v>5.5555555555555556E-4</v>
      </c>
      <c r="S108" s="1">
        <v>4.5138888888888892E-4</v>
      </c>
      <c r="T108" t="s">
        <v>432</v>
      </c>
    </row>
    <row r="109" spans="1:20" x14ac:dyDescent="0.35">
      <c r="A109" t="s">
        <v>20</v>
      </c>
      <c r="B109">
        <v>17643</v>
      </c>
      <c r="C109" t="s">
        <v>426</v>
      </c>
      <c r="D109" t="s">
        <v>427</v>
      </c>
      <c r="E109" t="s">
        <v>288</v>
      </c>
      <c r="F109" t="s">
        <v>469</v>
      </c>
      <c r="G109" t="s">
        <v>470</v>
      </c>
      <c r="H109" t="s">
        <v>471</v>
      </c>
      <c r="I109" t="s">
        <v>431</v>
      </c>
      <c r="K109" t="s">
        <v>61</v>
      </c>
      <c r="L109" t="s">
        <v>54</v>
      </c>
      <c r="M109" t="s">
        <v>30</v>
      </c>
      <c r="N109" t="s">
        <v>55</v>
      </c>
      <c r="O109" t="s">
        <v>56</v>
      </c>
      <c r="P109" t="s">
        <v>33</v>
      </c>
      <c r="Q109">
        <v>0</v>
      </c>
      <c r="R109" s="1">
        <v>2.3148148148148149E-4</v>
      </c>
      <c r="S109" s="1">
        <v>1.273148148148148E-4</v>
      </c>
      <c r="T109" t="s">
        <v>432</v>
      </c>
    </row>
    <row r="110" spans="1:20" x14ac:dyDescent="0.35">
      <c r="A110" t="s">
        <v>20</v>
      </c>
      <c r="B110">
        <v>17643</v>
      </c>
      <c r="C110" t="s">
        <v>426</v>
      </c>
      <c r="D110" t="s">
        <v>427</v>
      </c>
      <c r="E110" t="s">
        <v>292</v>
      </c>
      <c r="F110" t="s">
        <v>472</v>
      </c>
      <c r="G110" t="s">
        <v>473</v>
      </c>
      <c r="H110" t="s">
        <v>474</v>
      </c>
      <c r="I110" t="s">
        <v>431</v>
      </c>
      <c r="K110" t="s">
        <v>61</v>
      </c>
      <c r="L110" t="s">
        <v>85</v>
      </c>
      <c r="M110" t="s">
        <v>30</v>
      </c>
      <c r="N110" t="s">
        <v>148</v>
      </c>
      <c r="O110" t="s">
        <v>56</v>
      </c>
      <c r="P110" t="s">
        <v>33</v>
      </c>
      <c r="Q110">
        <v>0</v>
      </c>
      <c r="R110" s="1">
        <v>1.273148148148148E-4</v>
      </c>
      <c r="S110" s="1">
        <v>2.314814814814815E-5</v>
      </c>
      <c r="T110" t="s">
        <v>432</v>
      </c>
    </row>
    <row r="111" spans="1:20" x14ac:dyDescent="0.35">
      <c r="A111" t="s">
        <v>20</v>
      </c>
      <c r="B111">
        <v>17643</v>
      </c>
      <c r="C111" t="s">
        <v>426</v>
      </c>
      <c r="D111" t="s">
        <v>427</v>
      </c>
      <c r="E111" t="s">
        <v>296</v>
      </c>
      <c r="F111" t="s">
        <v>475</v>
      </c>
      <c r="G111" t="s">
        <v>476</v>
      </c>
      <c r="H111" t="s">
        <v>477</v>
      </c>
      <c r="I111" t="s">
        <v>431</v>
      </c>
      <c r="K111" t="s">
        <v>38</v>
      </c>
      <c r="L111" t="s">
        <v>39</v>
      </c>
      <c r="M111" t="s">
        <v>478</v>
      </c>
      <c r="N111" t="s">
        <v>55</v>
      </c>
      <c r="O111" t="s">
        <v>76</v>
      </c>
      <c r="P111" t="s">
        <v>33</v>
      </c>
      <c r="Q111">
        <v>2</v>
      </c>
      <c r="R111" s="1">
        <v>2.5462962962962961E-4</v>
      </c>
      <c r="S111" s="1">
        <v>1.50462962962963E-4</v>
      </c>
      <c r="T111" t="s">
        <v>432</v>
      </c>
    </row>
    <row r="112" spans="1:20" x14ac:dyDescent="0.35">
      <c r="A112" t="s">
        <v>20</v>
      </c>
      <c r="B112">
        <v>17643</v>
      </c>
      <c r="C112" t="s">
        <v>426</v>
      </c>
      <c r="D112" t="s">
        <v>427</v>
      </c>
      <c r="E112" t="s">
        <v>300</v>
      </c>
      <c r="F112" t="s">
        <v>479</v>
      </c>
      <c r="G112" t="s">
        <v>480</v>
      </c>
      <c r="H112" t="s">
        <v>481</v>
      </c>
      <c r="I112" t="s">
        <v>431</v>
      </c>
      <c r="K112" t="s">
        <v>46</v>
      </c>
      <c r="L112" t="s">
        <v>47</v>
      </c>
      <c r="M112" t="s">
        <v>48</v>
      </c>
      <c r="N112" t="s">
        <v>49</v>
      </c>
      <c r="O112" t="s">
        <v>76</v>
      </c>
      <c r="P112" t="s">
        <v>33</v>
      </c>
      <c r="Q112">
        <v>0</v>
      </c>
      <c r="R112" s="1">
        <v>1.157407407407407E-4</v>
      </c>
      <c r="S112" s="1">
        <v>1.157407407407407E-5</v>
      </c>
      <c r="T112" t="s">
        <v>432</v>
      </c>
    </row>
    <row r="113" spans="1:20" x14ac:dyDescent="0.35">
      <c r="A113" t="s">
        <v>20</v>
      </c>
      <c r="B113">
        <v>17643</v>
      </c>
      <c r="C113" t="s">
        <v>426</v>
      </c>
      <c r="D113" t="s">
        <v>427</v>
      </c>
      <c r="E113" t="s">
        <v>304</v>
      </c>
      <c r="F113" t="s">
        <v>482</v>
      </c>
      <c r="G113" t="s">
        <v>483</v>
      </c>
      <c r="H113" t="s">
        <v>484</v>
      </c>
      <c r="I113" t="s">
        <v>431</v>
      </c>
      <c r="K113" t="s">
        <v>46</v>
      </c>
      <c r="L113" t="s">
        <v>54</v>
      </c>
      <c r="M113" t="s">
        <v>48</v>
      </c>
      <c r="N113" t="s">
        <v>55</v>
      </c>
      <c r="O113" t="s">
        <v>76</v>
      </c>
      <c r="P113" t="s">
        <v>33</v>
      </c>
      <c r="Q113">
        <v>0</v>
      </c>
      <c r="R113" s="1">
        <v>1.851851851851852E-4</v>
      </c>
      <c r="S113" s="1">
        <v>8.1018518518518516E-5</v>
      </c>
      <c r="T113" t="s">
        <v>432</v>
      </c>
    </row>
    <row r="114" spans="1:20" x14ac:dyDescent="0.35">
      <c r="A114" t="s">
        <v>20</v>
      </c>
      <c r="B114">
        <v>17643</v>
      </c>
      <c r="C114" t="s">
        <v>426</v>
      </c>
      <c r="D114" t="s">
        <v>427</v>
      </c>
      <c r="E114" t="s">
        <v>308</v>
      </c>
      <c r="F114" t="s">
        <v>485</v>
      </c>
      <c r="G114" t="s">
        <v>486</v>
      </c>
      <c r="H114" t="s">
        <v>487</v>
      </c>
      <c r="I114" t="s">
        <v>431</v>
      </c>
      <c r="K114" t="s">
        <v>38</v>
      </c>
      <c r="L114" t="s">
        <v>54</v>
      </c>
      <c r="M114" t="s">
        <v>478</v>
      </c>
      <c r="N114" t="s">
        <v>67</v>
      </c>
      <c r="O114" t="s">
        <v>56</v>
      </c>
      <c r="P114" t="s">
        <v>33</v>
      </c>
      <c r="Q114">
        <v>0</v>
      </c>
      <c r="R114" s="1">
        <v>1.273148148148148E-4</v>
      </c>
      <c r="S114" s="1">
        <v>2.314814814814815E-5</v>
      </c>
      <c r="T114" t="s">
        <v>432</v>
      </c>
    </row>
    <row r="115" spans="1:20" x14ac:dyDescent="0.35">
      <c r="A115" t="s">
        <v>20</v>
      </c>
      <c r="B115">
        <v>17643</v>
      </c>
      <c r="C115" t="s">
        <v>426</v>
      </c>
      <c r="D115" t="s">
        <v>427</v>
      </c>
      <c r="E115" t="s">
        <v>312</v>
      </c>
      <c r="F115" t="s">
        <v>488</v>
      </c>
      <c r="G115" t="s">
        <v>489</v>
      </c>
      <c r="H115" t="s">
        <v>490</v>
      </c>
      <c r="I115" t="s">
        <v>431</v>
      </c>
      <c r="K115" t="s">
        <v>38</v>
      </c>
      <c r="L115" t="s">
        <v>85</v>
      </c>
      <c r="M115" t="s">
        <v>478</v>
      </c>
      <c r="N115" t="s">
        <v>67</v>
      </c>
      <c r="O115" t="s">
        <v>56</v>
      </c>
      <c r="P115" t="s">
        <v>33</v>
      </c>
      <c r="Q115">
        <v>0</v>
      </c>
      <c r="R115" s="1">
        <v>2.199074074074074E-4</v>
      </c>
      <c r="S115" s="1">
        <v>1.157407407407407E-4</v>
      </c>
      <c r="T115" t="s">
        <v>432</v>
      </c>
    </row>
    <row r="116" spans="1:20" x14ac:dyDescent="0.35">
      <c r="A116" t="s">
        <v>20</v>
      </c>
      <c r="B116">
        <v>17643</v>
      </c>
      <c r="C116" t="s">
        <v>426</v>
      </c>
      <c r="D116" t="s">
        <v>427</v>
      </c>
      <c r="E116" t="s">
        <v>316</v>
      </c>
      <c r="F116" t="s">
        <v>491</v>
      </c>
      <c r="G116" t="s">
        <v>492</v>
      </c>
      <c r="H116" t="s">
        <v>493</v>
      </c>
      <c r="I116" t="s">
        <v>431</v>
      </c>
      <c r="K116" t="s">
        <v>61</v>
      </c>
      <c r="L116" t="s">
        <v>62</v>
      </c>
      <c r="M116" t="s">
        <v>40</v>
      </c>
      <c r="N116" t="s">
        <v>55</v>
      </c>
      <c r="O116" t="s">
        <v>32</v>
      </c>
      <c r="P116" t="s">
        <v>33</v>
      </c>
      <c r="Q116">
        <v>6</v>
      </c>
      <c r="R116" s="1">
        <v>4.7453703703703698E-4</v>
      </c>
      <c r="S116" s="1">
        <v>3.7037037037037041E-4</v>
      </c>
      <c r="T116" t="s">
        <v>432</v>
      </c>
    </row>
    <row r="117" spans="1:20" x14ac:dyDescent="0.35">
      <c r="A117" t="s">
        <v>20</v>
      </c>
      <c r="B117">
        <v>17643</v>
      </c>
      <c r="C117" t="s">
        <v>426</v>
      </c>
      <c r="D117" t="s">
        <v>427</v>
      </c>
      <c r="E117" t="s">
        <v>320</v>
      </c>
      <c r="F117" t="s">
        <v>494</v>
      </c>
      <c r="G117" t="s">
        <v>495</v>
      </c>
      <c r="H117" t="s">
        <v>496</v>
      </c>
      <c r="I117" t="s">
        <v>431</v>
      </c>
      <c r="K117" t="s">
        <v>28</v>
      </c>
      <c r="L117" t="s">
        <v>47</v>
      </c>
      <c r="M117" t="s">
        <v>48</v>
      </c>
      <c r="N117" t="s">
        <v>41</v>
      </c>
      <c r="O117" t="s">
        <v>76</v>
      </c>
      <c r="P117" t="s">
        <v>33</v>
      </c>
      <c r="Q117">
        <v>0</v>
      </c>
      <c r="R117" s="1">
        <v>9.2592592592592588E-5</v>
      </c>
      <c r="S117" s="1">
        <v>0</v>
      </c>
      <c r="T117" t="s">
        <v>432</v>
      </c>
    </row>
    <row r="118" spans="1:20" x14ac:dyDescent="0.35">
      <c r="A118" t="s">
        <v>20</v>
      </c>
      <c r="B118">
        <v>17643</v>
      </c>
      <c r="C118" t="s">
        <v>426</v>
      </c>
      <c r="D118" t="s">
        <v>427</v>
      </c>
      <c r="E118" t="s">
        <v>324</v>
      </c>
      <c r="F118" t="s">
        <v>497</v>
      </c>
      <c r="G118" t="s">
        <v>498</v>
      </c>
      <c r="H118" t="s">
        <v>499</v>
      </c>
      <c r="I118" t="s">
        <v>431</v>
      </c>
      <c r="K118" t="s">
        <v>28</v>
      </c>
      <c r="L118" t="s">
        <v>62</v>
      </c>
      <c r="M118" t="s">
        <v>48</v>
      </c>
      <c r="N118" t="s">
        <v>55</v>
      </c>
      <c r="O118" t="s">
        <v>76</v>
      </c>
      <c r="P118" t="s">
        <v>33</v>
      </c>
      <c r="Q118">
        <v>0</v>
      </c>
      <c r="R118" s="1">
        <v>2.3148148148148149E-4</v>
      </c>
      <c r="S118" s="1">
        <v>1.273148148148148E-4</v>
      </c>
      <c r="T118" t="s">
        <v>432</v>
      </c>
    </row>
    <row r="119" spans="1:20" x14ac:dyDescent="0.35">
      <c r="A119" t="s">
        <v>20</v>
      </c>
      <c r="B119">
        <v>17643</v>
      </c>
      <c r="C119" t="s">
        <v>426</v>
      </c>
      <c r="D119" t="s">
        <v>427</v>
      </c>
      <c r="E119" t="s">
        <v>328</v>
      </c>
      <c r="F119" t="s">
        <v>500</v>
      </c>
      <c r="G119" t="s">
        <v>501</v>
      </c>
      <c r="H119" t="s">
        <v>502</v>
      </c>
      <c r="I119" t="s">
        <v>431</v>
      </c>
      <c r="K119" t="s">
        <v>46</v>
      </c>
      <c r="L119" t="s">
        <v>54</v>
      </c>
      <c r="M119" t="s">
        <v>48</v>
      </c>
      <c r="N119" t="s">
        <v>67</v>
      </c>
      <c r="O119" t="s">
        <v>76</v>
      </c>
      <c r="P119" t="s">
        <v>33</v>
      </c>
      <c r="Q119">
        <v>2</v>
      </c>
      <c r="R119" s="1">
        <v>2.8935185185185178E-4</v>
      </c>
      <c r="S119" s="1">
        <v>1.851851851851852E-4</v>
      </c>
      <c r="T119" t="s">
        <v>432</v>
      </c>
    </row>
    <row r="120" spans="1:20" x14ac:dyDescent="0.35">
      <c r="A120" t="s">
        <v>20</v>
      </c>
      <c r="B120">
        <v>17643</v>
      </c>
      <c r="C120" t="s">
        <v>426</v>
      </c>
      <c r="D120" t="s">
        <v>427</v>
      </c>
      <c r="E120" t="s">
        <v>332</v>
      </c>
      <c r="F120" t="s">
        <v>503</v>
      </c>
      <c r="G120" t="s">
        <v>504</v>
      </c>
      <c r="H120" t="s">
        <v>505</v>
      </c>
      <c r="I120" t="s">
        <v>431</v>
      </c>
      <c r="K120" t="s">
        <v>28</v>
      </c>
      <c r="L120" t="s">
        <v>62</v>
      </c>
      <c r="M120" t="s">
        <v>40</v>
      </c>
      <c r="N120" t="s">
        <v>67</v>
      </c>
      <c r="O120" t="s">
        <v>32</v>
      </c>
      <c r="P120" t="s">
        <v>33</v>
      </c>
      <c r="Q120">
        <v>4</v>
      </c>
      <c r="R120" s="1">
        <v>3.7037037037037041E-4</v>
      </c>
      <c r="S120" s="1">
        <v>2.6620370370370372E-4</v>
      </c>
      <c r="T120" t="s">
        <v>432</v>
      </c>
    </row>
    <row r="121" spans="1:20" x14ac:dyDescent="0.35">
      <c r="A121" t="s">
        <v>20</v>
      </c>
      <c r="B121">
        <v>17643</v>
      </c>
      <c r="C121" t="s">
        <v>426</v>
      </c>
      <c r="D121" t="s">
        <v>427</v>
      </c>
      <c r="E121" t="s">
        <v>336</v>
      </c>
      <c r="F121" t="s">
        <v>506</v>
      </c>
      <c r="G121" t="s">
        <v>507</v>
      </c>
      <c r="H121" t="s">
        <v>508</v>
      </c>
      <c r="I121" t="s">
        <v>431</v>
      </c>
      <c r="K121" t="s">
        <v>61</v>
      </c>
      <c r="L121" t="s">
        <v>62</v>
      </c>
      <c r="M121" t="s">
        <v>30</v>
      </c>
      <c r="N121" t="s">
        <v>55</v>
      </c>
      <c r="O121" t="s">
        <v>76</v>
      </c>
      <c r="P121" t="s">
        <v>33</v>
      </c>
      <c r="Q121">
        <v>0</v>
      </c>
      <c r="R121" s="1">
        <v>1.7361111111111109E-4</v>
      </c>
      <c r="S121" s="1">
        <v>6.9444444444444444E-5</v>
      </c>
      <c r="T121" t="s">
        <v>432</v>
      </c>
    </row>
    <row r="122" spans="1:20" x14ac:dyDescent="0.35">
      <c r="A122" t="s">
        <v>20</v>
      </c>
      <c r="B122">
        <v>17643</v>
      </c>
      <c r="C122" t="s">
        <v>426</v>
      </c>
      <c r="D122" t="s">
        <v>427</v>
      </c>
      <c r="E122" t="s">
        <v>340</v>
      </c>
      <c r="F122" t="s">
        <v>509</v>
      </c>
      <c r="G122" t="s">
        <v>510</v>
      </c>
      <c r="H122" t="s">
        <v>511</v>
      </c>
      <c r="I122" t="s">
        <v>431</v>
      </c>
      <c r="K122" t="s">
        <v>28</v>
      </c>
      <c r="L122" t="s">
        <v>62</v>
      </c>
      <c r="M122" t="s">
        <v>40</v>
      </c>
      <c r="N122" t="s">
        <v>55</v>
      </c>
      <c r="O122" t="s">
        <v>76</v>
      </c>
      <c r="P122" t="s">
        <v>33</v>
      </c>
      <c r="Q122">
        <v>0</v>
      </c>
      <c r="R122" s="1">
        <v>1.041666666666667E-4</v>
      </c>
      <c r="S122" s="1">
        <v>0</v>
      </c>
      <c r="T122" t="s">
        <v>432</v>
      </c>
    </row>
    <row r="123" spans="1:20" x14ac:dyDescent="0.35">
      <c r="A123" t="s">
        <v>20</v>
      </c>
      <c r="B123">
        <v>17643</v>
      </c>
      <c r="C123" t="s">
        <v>426</v>
      </c>
      <c r="D123" t="s">
        <v>427</v>
      </c>
      <c r="E123" t="s">
        <v>344</v>
      </c>
      <c r="F123" t="s">
        <v>512</v>
      </c>
      <c r="G123" t="s">
        <v>513</v>
      </c>
      <c r="H123" t="s">
        <v>514</v>
      </c>
      <c r="I123" t="s">
        <v>431</v>
      </c>
      <c r="K123" t="s">
        <v>61</v>
      </c>
      <c r="L123" t="s">
        <v>62</v>
      </c>
      <c r="M123" t="s">
        <v>30</v>
      </c>
      <c r="N123" t="s">
        <v>55</v>
      </c>
      <c r="O123" t="s">
        <v>76</v>
      </c>
      <c r="P123" t="s">
        <v>33</v>
      </c>
      <c r="Q123">
        <v>6</v>
      </c>
      <c r="R123" s="1">
        <v>5.3240740740740744E-4</v>
      </c>
      <c r="S123" s="1">
        <v>4.2824074074074081E-4</v>
      </c>
      <c r="T123" t="s">
        <v>432</v>
      </c>
    </row>
    <row r="124" spans="1:20" x14ac:dyDescent="0.35">
      <c r="A124" t="s">
        <v>20</v>
      </c>
      <c r="B124">
        <v>17643</v>
      </c>
      <c r="C124" t="s">
        <v>426</v>
      </c>
      <c r="D124" t="s">
        <v>427</v>
      </c>
      <c r="E124" t="s">
        <v>348</v>
      </c>
      <c r="F124" t="s">
        <v>515</v>
      </c>
      <c r="G124" t="s">
        <v>516</v>
      </c>
      <c r="H124" t="s">
        <v>517</v>
      </c>
      <c r="I124" t="s">
        <v>431</v>
      </c>
      <c r="K124" t="s">
        <v>38</v>
      </c>
      <c r="L124" t="s">
        <v>287</v>
      </c>
      <c r="M124" t="s">
        <v>48</v>
      </c>
      <c r="N124" t="s">
        <v>41</v>
      </c>
      <c r="O124" t="s">
        <v>56</v>
      </c>
      <c r="P124" t="s">
        <v>33</v>
      </c>
      <c r="Q124">
        <v>10</v>
      </c>
      <c r="R124" s="1">
        <v>8.2175925925925927E-4</v>
      </c>
      <c r="S124" s="1">
        <v>7.1759259259259259E-4</v>
      </c>
      <c r="T124" t="s">
        <v>432</v>
      </c>
    </row>
    <row r="125" spans="1:20" x14ac:dyDescent="0.35">
      <c r="A125" t="s">
        <v>20</v>
      </c>
      <c r="B125">
        <v>17643</v>
      </c>
      <c r="C125" t="s">
        <v>426</v>
      </c>
      <c r="D125" t="s">
        <v>427</v>
      </c>
      <c r="E125" t="s">
        <v>352</v>
      </c>
      <c r="F125" t="s">
        <v>518</v>
      </c>
      <c r="G125" t="s">
        <v>519</v>
      </c>
      <c r="H125" t="s">
        <v>520</v>
      </c>
      <c r="I125" t="s">
        <v>431</v>
      </c>
      <c r="K125" t="s">
        <v>28</v>
      </c>
      <c r="L125" t="s">
        <v>47</v>
      </c>
      <c r="M125" t="s">
        <v>30</v>
      </c>
      <c r="N125" t="s">
        <v>41</v>
      </c>
      <c r="O125" t="s">
        <v>76</v>
      </c>
      <c r="P125" t="s">
        <v>33</v>
      </c>
      <c r="Q125">
        <v>4</v>
      </c>
      <c r="R125" s="1">
        <v>3.9351851851851852E-4</v>
      </c>
      <c r="S125" s="1">
        <v>2.8935185185185178E-4</v>
      </c>
      <c r="T125" t="s">
        <v>432</v>
      </c>
    </row>
    <row r="126" spans="1:20" x14ac:dyDescent="0.35">
      <c r="A126" t="s">
        <v>20</v>
      </c>
      <c r="B126">
        <v>17643</v>
      </c>
      <c r="C126" t="s">
        <v>426</v>
      </c>
      <c r="D126" t="s">
        <v>427</v>
      </c>
      <c r="E126" t="s">
        <v>356</v>
      </c>
      <c r="F126" t="s">
        <v>521</v>
      </c>
      <c r="G126" t="s">
        <v>522</v>
      </c>
      <c r="H126" t="s">
        <v>523</v>
      </c>
      <c r="I126" t="s">
        <v>431</v>
      </c>
      <c r="K126" t="s">
        <v>46</v>
      </c>
      <c r="L126" t="s">
        <v>62</v>
      </c>
      <c r="M126" t="s">
        <v>48</v>
      </c>
      <c r="N126" t="s">
        <v>55</v>
      </c>
      <c r="O126" t="s">
        <v>76</v>
      </c>
      <c r="P126" t="s">
        <v>33</v>
      </c>
      <c r="Q126">
        <v>0</v>
      </c>
      <c r="R126" s="1">
        <v>1.9675925925925929E-4</v>
      </c>
      <c r="S126" s="1">
        <v>9.2592592592592588E-5</v>
      </c>
      <c r="T126" t="s">
        <v>432</v>
      </c>
    </row>
    <row r="127" spans="1:20" x14ac:dyDescent="0.35">
      <c r="A127" t="s">
        <v>20</v>
      </c>
      <c r="B127">
        <v>17643</v>
      </c>
      <c r="C127" t="s">
        <v>426</v>
      </c>
      <c r="D127" t="s">
        <v>427</v>
      </c>
      <c r="E127" t="s">
        <v>360</v>
      </c>
      <c r="F127" t="s">
        <v>524</v>
      </c>
      <c r="G127" t="s">
        <v>525</v>
      </c>
      <c r="H127" t="s">
        <v>526</v>
      </c>
      <c r="I127" t="s">
        <v>431</v>
      </c>
      <c r="K127" t="s">
        <v>38</v>
      </c>
      <c r="L127" t="s">
        <v>181</v>
      </c>
      <c r="M127" t="s">
        <v>478</v>
      </c>
      <c r="N127" t="s">
        <v>115</v>
      </c>
      <c r="O127" t="s">
        <v>32</v>
      </c>
      <c r="P127" t="s">
        <v>33</v>
      </c>
      <c r="Q127">
        <v>2</v>
      </c>
      <c r="R127" s="1">
        <v>3.3564814814814812E-4</v>
      </c>
      <c r="S127" s="1">
        <v>2.3148148148148149E-4</v>
      </c>
      <c r="T127" t="s">
        <v>432</v>
      </c>
    </row>
    <row r="128" spans="1:20" x14ac:dyDescent="0.35">
      <c r="A128" t="s">
        <v>20</v>
      </c>
      <c r="B128">
        <v>17643</v>
      </c>
      <c r="C128" t="s">
        <v>426</v>
      </c>
      <c r="D128" t="s">
        <v>427</v>
      </c>
      <c r="E128" t="s">
        <v>364</v>
      </c>
      <c r="F128" t="s">
        <v>527</v>
      </c>
      <c r="G128" t="s">
        <v>528</v>
      </c>
      <c r="H128" t="s">
        <v>529</v>
      </c>
      <c r="I128" t="s">
        <v>431</v>
      </c>
      <c r="K128" t="s">
        <v>28</v>
      </c>
      <c r="L128" t="s">
        <v>62</v>
      </c>
      <c r="M128" t="s">
        <v>40</v>
      </c>
      <c r="N128" t="s">
        <v>67</v>
      </c>
      <c r="O128" t="s">
        <v>76</v>
      </c>
      <c r="P128" t="s">
        <v>33</v>
      </c>
      <c r="Q128">
        <v>0</v>
      </c>
      <c r="R128" s="1">
        <v>1.9675925925925929E-4</v>
      </c>
      <c r="S128" s="1">
        <v>9.2592592592592588E-5</v>
      </c>
      <c r="T128" t="s">
        <v>432</v>
      </c>
    </row>
    <row r="129" spans="1:20" x14ac:dyDescent="0.35">
      <c r="A129" t="s">
        <v>20</v>
      </c>
      <c r="B129">
        <v>17643</v>
      </c>
      <c r="C129" t="s">
        <v>426</v>
      </c>
      <c r="D129" t="s">
        <v>427</v>
      </c>
      <c r="E129" t="s">
        <v>368</v>
      </c>
      <c r="F129" t="s">
        <v>530</v>
      </c>
      <c r="G129" t="s">
        <v>531</v>
      </c>
      <c r="H129" t="s">
        <v>532</v>
      </c>
      <c r="I129" t="s">
        <v>431</v>
      </c>
      <c r="K129" t="s">
        <v>61</v>
      </c>
      <c r="L129" t="s">
        <v>62</v>
      </c>
      <c r="M129" t="s">
        <v>30</v>
      </c>
      <c r="N129" t="s">
        <v>55</v>
      </c>
      <c r="O129" t="s">
        <v>76</v>
      </c>
      <c r="P129" t="s">
        <v>33</v>
      </c>
      <c r="Q129">
        <v>0</v>
      </c>
      <c r="R129" s="1">
        <v>1.7361111111111109E-4</v>
      </c>
      <c r="S129" s="1">
        <v>6.9444444444444444E-5</v>
      </c>
      <c r="T129" t="s">
        <v>432</v>
      </c>
    </row>
    <row r="130" spans="1:20" x14ac:dyDescent="0.35">
      <c r="A130" t="s">
        <v>20</v>
      </c>
      <c r="B130">
        <v>17643</v>
      </c>
      <c r="C130" t="s">
        <v>426</v>
      </c>
      <c r="D130" t="s">
        <v>427</v>
      </c>
      <c r="E130" t="s">
        <v>372</v>
      </c>
      <c r="F130" t="s">
        <v>533</v>
      </c>
      <c r="G130" t="s">
        <v>534</v>
      </c>
      <c r="H130" t="s">
        <v>535</v>
      </c>
      <c r="I130" t="s">
        <v>431</v>
      </c>
      <c r="K130" t="s">
        <v>61</v>
      </c>
      <c r="L130" t="s">
        <v>62</v>
      </c>
      <c r="M130" t="s">
        <v>30</v>
      </c>
      <c r="N130" t="s">
        <v>67</v>
      </c>
      <c r="O130" t="s">
        <v>76</v>
      </c>
      <c r="P130" t="s">
        <v>33</v>
      </c>
      <c r="Q130">
        <v>12</v>
      </c>
      <c r="R130" s="1">
        <v>7.8703703703703705E-4</v>
      </c>
      <c r="S130" s="1">
        <v>6.8287037037037036E-4</v>
      </c>
      <c r="T130" t="s">
        <v>432</v>
      </c>
    </row>
    <row r="131" spans="1:20" x14ac:dyDescent="0.35">
      <c r="A131" t="s">
        <v>20</v>
      </c>
      <c r="B131">
        <v>17643</v>
      </c>
      <c r="C131" t="s">
        <v>426</v>
      </c>
      <c r="D131" t="s">
        <v>427</v>
      </c>
      <c r="E131" t="s">
        <v>376</v>
      </c>
      <c r="F131" t="s">
        <v>536</v>
      </c>
      <c r="G131" t="s">
        <v>537</v>
      </c>
      <c r="H131" t="s">
        <v>538</v>
      </c>
      <c r="I131" t="s">
        <v>431</v>
      </c>
      <c r="K131" t="s">
        <v>61</v>
      </c>
      <c r="L131" t="s">
        <v>54</v>
      </c>
      <c r="M131" t="s">
        <v>30</v>
      </c>
      <c r="N131" t="s">
        <v>55</v>
      </c>
      <c r="O131" t="s">
        <v>56</v>
      </c>
      <c r="P131" t="s">
        <v>33</v>
      </c>
      <c r="Q131">
        <v>0</v>
      </c>
      <c r="R131" s="1">
        <v>3.1250000000000001E-4</v>
      </c>
      <c r="S131" s="1">
        <v>2.0833333333333329E-4</v>
      </c>
      <c r="T131" t="s">
        <v>432</v>
      </c>
    </row>
    <row r="132" spans="1:20" x14ac:dyDescent="0.35">
      <c r="A132" t="s">
        <v>20</v>
      </c>
      <c r="B132">
        <v>17643</v>
      </c>
      <c r="C132" t="s">
        <v>426</v>
      </c>
      <c r="D132" t="s">
        <v>427</v>
      </c>
      <c r="E132" t="s">
        <v>380</v>
      </c>
      <c r="F132" t="s">
        <v>539</v>
      </c>
      <c r="G132" t="s">
        <v>540</v>
      </c>
      <c r="H132" t="s">
        <v>541</v>
      </c>
      <c r="I132" t="s">
        <v>431</v>
      </c>
      <c r="K132" t="s">
        <v>61</v>
      </c>
      <c r="L132" t="s">
        <v>54</v>
      </c>
      <c r="M132" t="s">
        <v>30</v>
      </c>
      <c r="N132" t="s">
        <v>31</v>
      </c>
      <c r="O132" t="s">
        <v>56</v>
      </c>
      <c r="P132" t="s">
        <v>33</v>
      </c>
      <c r="Q132">
        <v>16</v>
      </c>
      <c r="R132" s="1">
        <v>7.0601851851851847E-4</v>
      </c>
      <c r="S132" s="1">
        <v>6.018518518518519E-4</v>
      </c>
      <c r="T132" t="s">
        <v>432</v>
      </c>
    </row>
    <row r="133" spans="1:20" x14ac:dyDescent="0.35">
      <c r="A133" t="s">
        <v>20</v>
      </c>
      <c r="B133">
        <v>17643</v>
      </c>
      <c r="C133" t="s">
        <v>426</v>
      </c>
      <c r="D133" t="s">
        <v>427</v>
      </c>
      <c r="E133" t="s">
        <v>383</v>
      </c>
      <c r="F133" t="s">
        <v>542</v>
      </c>
      <c r="G133" t="s">
        <v>543</v>
      </c>
      <c r="H133" t="s">
        <v>544</v>
      </c>
      <c r="I133" t="s">
        <v>431</v>
      </c>
      <c r="K133" t="s">
        <v>38</v>
      </c>
      <c r="L133" t="s">
        <v>39</v>
      </c>
      <c r="M133" t="s">
        <v>478</v>
      </c>
      <c r="N133" t="s">
        <v>115</v>
      </c>
      <c r="O133" t="s">
        <v>56</v>
      </c>
      <c r="P133" t="s">
        <v>33</v>
      </c>
      <c r="Q133">
        <v>8</v>
      </c>
      <c r="R133" s="1">
        <v>4.9768518518518521E-4</v>
      </c>
      <c r="S133" s="1">
        <v>3.9351851851851852E-4</v>
      </c>
      <c r="T133" t="s">
        <v>432</v>
      </c>
    </row>
    <row r="134" spans="1:20" x14ac:dyDescent="0.35">
      <c r="A134" t="s">
        <v>20</v>
      </c>
      <c r="B134">
        <v>17643</v>
      </c>
      <c r="C134" t="s">
        <v>426</v>
      </c>
      <c r="D134" t="s">
        <v>427</v>
      </c>
      <c r="E134" t="s">
        <v>387</v>
      </c>
      <c r="F134" t="s">
        <v>545</v>
      </c>
      <c r="G134" t="s">
        <v>546</v>
      </c>
      <c r="H134" t="s">
        <v>547</v>
      </c>
      <c r="I134" t="s">
        <v>431</v>
      </c>
      <c r="K134" t="s">
        <v>28</v>
      </c>
      <c r="L134" t="s">
        <v>181</v>
      </c>
      <c r="M134" t="s">
        <v>40</v>
      </c>
      <c r="N134" t="s">
        <v>115</v>
      </c>
      <c r="O134" t="s">
        <v>76</v>
      </c>
      <c r="P134" t="s">
        <v>33</v>
      </c>
      <c r="Q134">
        <v>14</v>
      </c>
      <c r="R134" s="1">
        <v>8.4490740740740739E-4</v>
      </c>
      <c r="S134" s="1">
        <v>7.407407407407407E-4</v>
      </c>
      <c r="T134" t="s">
        <v>432</v>
      </c>
    </row>
    <row r="135" spans="1:20" x14ac:dyDescent="0.35">
      <c r="A135" t="s">
        <v>20</v>
      </c>
      <c r="B135">
        <v>17643</v>
      </c>
      <c r="C135" t="s">
        <v>426</v>
      </c>
      <c r="D135" t="s">
        <v>427</v>
      </c>
      <c r="E135" t="s">
        <v>391</v>
      </c>
      <c r="F135" t="s">
        <v>548</v>
      </c>
      <c r="G135" t="s">
        <v>549</v>
      </c>
      <c r="H135" t="s">
        <v>550</v>
      </c>
      <c r="I135" t="s">
        <v>431</v>
      </c>
      <c r="K135" t="s">
        <v>38</v>
      </c>
      <c r="L135" t="s">
        <v>47</v>
      </c>
      <c r="M135" t="s">
        <v>48</v>
      </c>
      <c r="N135" t="s">
        <v>67</v>
      </c>
      <c r="O135" t="s">
        <v>76</v>
      </c>
      <c r="P135" t="s">
        <v>33</v>
      </c>
      <c r="Q135">
        <v>8</v>
      </c>
      <c r="R135" s="1">
        <v>5.7870370370370367E-4</v>
      </c>
      <c r="S135" s="1">
        <v>4.7453703703703698E-4</v>
      </c>
      <c r="T135" t="s">
        <v>432</v>
      </c>
    </row>
    <row r="136" spans="1:20" x14ac:dyDescent="0.35">
      <c r="A136" t="s">
        <v>20</v>
      </c>
      <c r="B136">
        <v>17643</v>
      </c>
      <c r="C136" t="s">
        <v>426</v>
      </c>
      <c r="D136" t="s">
        <v>427</v>
      </c>
      <c r="E136" t="s">
        <v>394</v>
      </c>
      <c r="F136" t="s">
        <v>551</v>
      </c>
      <c r="G136" t="s">
        <v>552</v>
      </c>
      <c r="H136" t="s">
        <v>553</v>
      </c>
      <c r="I136" t="s">
        <v>431</v>
      </c>
      <c r="K136" t="s">
        <v>46</v>
      </c>
      <c r="L136" t="s">
        <v>181</v>
      </c>
      <c r="M136" t="s">
        <v>48</v>
      </c>
      <c r="N136" t="s">
        <v>55</v>
      </c>
      <c r="O136" t="s">
        <v>32</v>
      </c>
      <c r="P136" t="s">
        <v>33</v>
      </c>
      <c r="Q136">
        <v>2</v>
      </c>
      <c r="R136" s="1">
        <v>3.3564814814814812E-4</v>
      </c>
      <c r="S136" s="1">
        <v>2.3148148148148149E-4</v>
      </c>
      <c r="T136" t="s">
        <v>432</v>
      </c>
    </row>
    <row r="137" spans="1:20" x14ac:dyDescent="0.35">
      <c r="A137" t="s">
        <v>20</v>
      </c>
      <c r="B137">
        <v>17643</v>
      </c>
      <c r="C137" t="s">
        <v>426</v>
      </c>
      <c r="D137" t="s">
        <v>427</v>
      </c>
      <c r="E137" t="s">
        <v>23</v>
      </c>
      <c r="F137" t="s">
        <v>554</v>
      </c>
      <c r="G137" t="s">
        <v>555</v>
      </c>
      <c r="H137" t="s">
        <v>556</v>
      </c>
      <c r="I137" t="s">
        <v>557</v>
      </c>
      <c r="K137" t="s">
        <v>28</v>
      </c>
      <c r="L137" t="s">
        <v>47</v>
      </c>
      <c r="M137" t="s">
        <v>40</v>
      </c>
      <c r="N137" t="s">
        <v>41</v>
      </c>
      <c r="O137" t="s">
        <v>56</v>
      </c>
      <c r="P137" t="s">
        <v>33</v>
      </c>
      <c r="Q137">
        <v>2</v>
      </c>
      <c r="R137" s="1">
        <v>2.6620370370370372E-4</v>
      </c>
      <c r="S137" s="1">
        <v>1.6203703703703701E-4</v>
      </c>
      <c r="T137" t="s">
        <v>432</v>
      </c>
    </row>
    <row r="138" spans="1:20" x14ac:dyDescent="0.35">
      <c r="A138" t="s">
        <v>20</v>
      </c>
      <c r="B138">
        <v>17643</v>
      </c>
      <c r="C138" t="s">
        <v>426</v>
      </c>
      <c r="D138" t="s">
        <v>427</v>
      </c>
      <c r="E138" t="s">
        <v>34</v>
      </c>
      <c r="F138" t="s">
        <v>558</v>
      </c>
      <c r="G138" t="s">
        <v>559</v>
      </c>
      <c r="H138" t="s">
        <v>560</v>
      </c>
      <c r="I138" t="s">
        <v>557</v>
      </c>
      <c r="K138" t="s">
        <v>28</v>
      </c>
      <c r="L138" t="s">
        <v>47</v>
      </c>
      <c r="M138" t="s">
        <v>40</v>
      </c>
      <c r="N138" t="s">
        <v>115</v>
      </c>
      <c r="O138" t="s">
        <v>76</v>
      </c>
      <c r="P138" t="s">
        <v>33</v>
      </c>
      <c r="Q138">
        <v>0</v>
      </c>
      <c r="R138" s="1">
        <v>1.273148148148148E-4</v>
      </c>
      <c r="S138" s="1">
        <v>2.314814814814815E-5</v>
      </c>
      <c r="T138" t="s">
        <v>432</v>
      </c>
    </row>
    <row r="139" spans="1:20" x14ac:dyDescent="0.35">
      <c r="A139" t="s">
        <v>20</v>
      </c>
      <c r="B139">
        <v>17643</v>
      </c>
      <c r="C139" t="s">
        <v>426</v>
      </c>
      <c r="D139" t="s">
        <v>427</v>
      </c>
      <c r="E139" t="s">
        <v>42</v>
      </c>
      <c r="F139" t="s">
        <v>561</v>
      </c>
      <c r="G139" t="s">
        <v>562</v>
      </c>
      <c r="H139" t="s">
        <v>563</v>
      </c>
      <c r="I139" t="s">
        <v>557</v>
      </c>
      <c r="K139" t="s">
        <v>46</v>
      </c>
      <c r="L139" t="s">
        <v>29</v>
      </c>
      <c r="M139" t="s">
        <v>30</v>
      </c>
      <c r="N139" t="s">
        <v>41</v>
      </c>
      <c r="O139" t="s">
        <v>56</v>
      </c>
      <c r="P139" t="s">
        <v>33</v>
      </c>
      <c r="Q139">
        <v>2</v>
      </c>
      <c r="R139" s="1">
        <v>2.5462962962962961E-4</v>
      </c>
      <c r="S139" s="1">
        <v>1.50462962962963E-4</v>
      </c>
      <c r="T139" t="s">
        <v>432</v>
      </c>
    </row>
    <row r="140" spans="1:20" x14ac:dyDescent="0.35">
      <c r="A140" t="s">
        <v>20</v>
      </c>
      <c r="B140">
        <v>17643</v>
      </c>
      <c r="C140" t="s">
        <v>426</v>
      </c>
      <c r="D140" t="s">
        <v>427</v>
      </c>
      <c r="E140" t="s">
        <v>50</v>
      </c>
      <c r="F140" t="s">
        <v>564</v>
      </c>
      <c r="G140" t="s">
        <v>565</v>
      </c>
      <c r="H140" t="s">
        <v>566</v>
      </c>
      <c r="I140" t="s">
        <v>557</v>
      </c>
      <c r="K140" t="s">
        <v>46</v>
      </c>
      <c r="L140" t="s">
        <v>29</v>
      </c>
      <c r="M140" t="s">
        <v>40</v>
      </c>
      <c r="N140" t="s">
        <v>41</v>
      </c>
      <c r="O140" t="s">
        <v>76</v>
      </c>
      <c r="P140" t="s">
        <v>33</v>
      </c>
      <c r="Q140">
        <v>2</v>
      </c>
      <c r="R140" s="1">
        <v>3.0092592592592589E-4</v>
      </c>
      <c r="S140" s="1">
        <v>1.9675925925925929E-4</v>
      </c>
      <c r="T140" t="s">
        <v>432</v>
      </c>
    </row>
    <row r="141" spans="1:20" x14ac:dyDescent="0.35">
      <c r="A141" t="s">
        <v>20</v>
      </c>
      <c r="B141">
        <v>17643</v>
      </c>
      <c r="C141" t="s">
        <v>426</v>
      </c>
      <c r="D141" t="s">
        <v>427</v>
      </c>
      <c r="E141" t="s">
        <v>57</v>
      </c>
      <c r="F141" t="s">
        <v>567</v>
      </c>
      <c r="G141" t="s">
        <v>568</v>
      </c>
      <c r="H141" t="s">
        <v>569</v>
      </c>
      <c r="I141" t="s">
        <v>557</v>
      </c>
      <c r="K141" t="s">
        <v>46</v>
      </c>
      <c r="L141" t="s">
        <v>62</v>
      </c>
      <c r="M141" t="s">
        <v>40</v>
      </c>
      <c r="N141" t="s">
        <v>41</v>
      </c>
      <c r="O141" t="s">
        <v>32</v>
      </c>
      <c r="P141" t="s">
        <v>33</v>
      </c>
      <c r="Q141">
        <v>6</v>
      </c>
      <c r="R141" s="1">
        <v>3.8194444444444452E-4</v>
      </c>
      <c r="S141" s="1">
        <v>2.7777777777777778E-4</v>
      </c>
      <c r="T141" t="s">
        <v>432</v>
      </c>
    </row>
    <row r="142" spans="1:20" x14ac:dyDescent="0.35">
      <c r="A142" t="s">
        <v>20</v>
      </c>
      <c r="B142">
        <v>17643</v>
      </c>
      <c r="C142" t="s">
        <v>426</v>
      </c>
      <c r="D142" t="s">
        <v>427</v>
      </c>
      <c r="E142" t="s">
        <v>63</v>
      </c>
      <c r="F142" t="s">
        <v>570</v>
      </c>
      <c r="G142" t="s">
        <v>571</v>
      </c>
      <c r="H142" t="s">
        <v>572</v>
      </c>
      <c r="I142" t="s">
        <v>557</v>
      </c>
      <c r="K142" t="s">
        <v>28</v>
      </c>
      <c r="L142" t="s">
        <v>47</v>
      </c>
      <c r="M142" t="s">
        <v>30</v>
      </c>
      <c r="N142" t="s">
        <v>31</v>
      </c>
      <c r="O142" t="s">
        <v>32</v>
      </c>
      <c r="P142" t="s">
        <v>33</v>
      </c>
      <c r="Q142">
        <v>2</v>
      </c>
      <c r="R142" s="1">
        <v>3.2407407407407412E-4</v>
      </c>
      <c r="S142" s="1">
        <v>2.199074074074074E-4</v>
      </c>
      <c r="T142" t="s">
        <v>432</v>
      </c>
    </row>
    <row r="143" spans="1:20" x14ac:dyDescent="0.35">
      <c r="A143" t="s">
        <v>20</v>
      </c>
      <c r="B143">
        <v>17643</v>
      </c>
      <c r="C143" t="s">
        <v>426</v>
      </c>
      <c r="D143" t="s">
        <v>427</v>
      </c>
      <c r="E143" t="s">
        <v>68</v>
      </c>
      <c r="F143" t="s">
        <v>573</v>
      </c>
      <c r="G143" t="s">
        <v>574</v>
      </c>
      <c r="H143" t="s">
        <v>575</v>
      </c>
      <c r="I143" t="s">
        <v>557</v>
      </c>
      <c r="K143" t="s">
        <v>46</v>
      </c>
      <c r="L143" t="s">
        <v>39</v>
      </c>
      <c r="M143" t="s">
        <v>40</v>
      </c>
      <c r="N143" t="s">
        <v>41</v>
      </c>
      <c r="O143" t="s">
        <v>32</v>
      </c>
      <c r="P143" t="s">
        <v>33</v>
      </c>
      <c r="Q143">
        <v>4</v>
      </c>
      <c r="R143" s="1">
        <v>3.5879629629629629E-4</v>
      </c>
      <c r="S143" s="1">
        <v>2.5462962962962961E-4</v>
      </c>
      <c r="T143" t="s">
        <v>432</v>
      </c>
    </row>
    <row r="144" spans="1:20" x14ac:dyDescent="0.35">
      <c r="A144" t="s">
        <v>20</v>
      </c>
      <c r="B144">
        <v>17643</v>
      </c>
      <c r="C144" t="s">
        <v>426</v>
      </c>
      <c r="D144" t="s">
        <v>427</v>
      </c>
      <c r="E144" t="s">
        <v>72</v>
      </c>
      <c r="F144" t="s">
        <v>576</v>
      </c>
      <c r="G144" t="s">
        <v>577</v>
      </c>
      <c r="H144" t="s">
        <v>578</v>
      </c>
      <c r="I144" t="s">
        <v>557</v>
      </c>
      <c r="K144" t="s">
        <v>46</v>
      </c>
      <c r="L144" t="s">
        <v>54</v>
      </c>
      <c r="M144" t="s">
        <v>30</v>
      </c>
      <c r="N144" t="s">
        <v>67</v>
      </c>
      <c r="O144" t="s">
        <v>76</v>
      </c>
      <c r="P144" t="s">
        <v>33</v>
      </c>
      <c r="Q144">
        <v>6</v>
      </c>
      <c r="R144" s="1">
        <v>6.018518518518519E-4</v>
      </c>
      <c r="S144" s="1">
        <v>4.9768518518518521E-4</v>
      </c>
      <c r="T144" t="s">
        <v>432</v>
      </c>
    </row>
    <row r="145" spans="1:20" x14ac:dyDescent="0.35">
      <c r="A145" t="s">
        <v>20</v>
      </c>
      <c r="B145">
        <v>17643</v>
      </c>
      <c r="C145" t="s">
        <v>426</v>
      </c>
      <c r="D145" t="s">
        <v>427</v>
      </c>
      <c r="E145" t="s">
        <v>77</v>
      </c>
      <c r="F145" t="s">
        <v>579</v>
      </c>
      <c r="G145" t="s">
        <v>580</v>
      </c>
      <c r="H145" t="s">
        <v>581</v>
      </c>
      <c r="I145" t="s">
        <v>557</v>
      </c>
      <c r="K145" t="s">
        <v>61</v>
      </c>
      <c r="L145" t="s">
        <v>85</v>
      </c>
      <c r="M145" t="s">
        <v>30</v>
      </c>
      <c r="N145" t="s">
        <v>31</v>
      </c>
      <c r="O145" t="s">
        <v>32</v>
      </c>
      <c r="P145" t="s">
        <v>33</v>
      </c>
      <c r="Q145">
        <v>0</v>
      </c>
      <c r="R145" s="1">
        <v>3.8194444444444452E-4</v>
      </c>
      <c r="S145" s="1">
        <v>2.7777777777777778E-4</v>
      </c>
      <c r="T145" t="s">
        <v>432</v>
      </c>
    </row>
    <row r="146" spans="1:20" x14ac:dyDescent="0.35">
      <c r="A146" t="s">
        <v>20</v>
      </c>
      <c r="B146">
        <v>17643</v>
      </c>
      <c r="C146" t="s">
        <v>426</v>
      </c>
      <c r="D146" t="s">
        <v>427</v>
      </c>
      <c r="E146" t="s">
        <v>81</v>
      </c>
      <c r="F146" t="s">
        <v>582</v>
      </c>
      <c r="G146" t="s">
        <v>583</v>
      </c>
      <c r="H146" t="s">
        <v>584</v>
      </c>
      <c r="I146" t="s">
        <v>557</v>
      </c>
      <c r="K146" t="s">
        <v>46</v>
      </c>
      <c r="L146" t="s">
        <v>39</v>
      </c>
      <c r="M146" t="s">
        <v>48</v>
      </c>
      <c r="N146" t="s">
        <v>41</v>
      </c>
      <c r="O146" t="s">
        <v>32</v>
      </c>
      <c r="P146" t="s">
        <v>33</v>
      </c>
      <c r="Q146">
        <v>10</v>
      </c>
      <c r="R146" s="1">
        <v>6.8287037037037036E-4</v>
      </c>
      <c r="S146" s="1">
        <v>5.7870370370370367E-4</v>
      </c>
      <c r="T146" t="s">
        <v>432</v>
      </c>
    </row>
    <row r="147" spans="1:20" x14ac:dyDescent="0.35">
      <c r="A147" t="s">
        <v>20</v>
      </c>
      <c r="B147">
        <v>17643</v>
      </c>
      <c r="C147" t="s">
        <v>426</v>
      </c>
      <c r="D147" t="s">
        <v>427</v>
      </c>
      <c r="E147" t="s">
        <v>86</v>
      </c>
      <c r="F147" t="s">
        <v>585</v>
      </c>
      <c r="G147" t="s">
        <v>586</v>
      </c>
      <c r="H147" t="s">
        <v>460</v>
      </c>
      <c r="I147" t="s">
        <v>557</v>
      </c>
      <c r="K147" t="s">
        <v>46</v>
      </c>
      <c r="L147" t="s">
        <v>29</v>
      </c>
      <c r="M147" t="s">
        <v>48</v>
      </c>
      <c r="N147" t="s">
        <v>55</v>
      </c>
      <c r="O147" t="s">
        <v>32</v>
      </c>
      <c r="P147" t="s">
        <v>33</v>
      </c>
      <c r="Q147">
        <v>0</v>
      </c>
      <c r="R147" s="1">
        <v>1.273148148148148E-4</v>
      </c>
      <c r="S147" s="1">
        <v>2.314814814814815E-5</v>
      </c>
      <c r="T147" t="s">
        <v>432</v>
      </c>
    </row>
    <row r="148" spans="1:20" x14ac:dyDescent="0.35">
      <c r="A148" t="s">
        <v>20</v>
      </c>
      <c r="B148">
        <v>17643</v>
      </c>
      <c r="C148" t="s">
        <v>426</v>
      </c>
      <c r="D148" t="s">
        <v>427</v>
      </c>
      <c r="E148" t="s">
        <v>91</v>
      </c>
      <c r="F148" t="s">
        <v>587</v>
      </c>
      <c r="G148" t="s">
        <v>588</v>
      </c>
      <c r="H148" t="s">
        <v>589</v>
      </c>
      <c r="I148" t="s">
        <v>557</v>
      </c>
      <c r="K148" t="s">
        <v>38</v>
      </c>
      <c r="L148" t="s">
        <v>54</v>
      </c>
      <c r="M148" t="s">
        <v>478</v>
      </c>
      <c r="N148" t="s">
        <v>115</v>
      </c>
      <c r="O148" t="s">
        <v>56</v>
      </c>
      <c r="P148" t="s">
        <v>33</v>
      </c>
      <c r="Q148">
        <v>0</v>
      </c>
      <c r="R148" s="1">
        <v>1.9675925925925929E-4</v>
      </c>
      <c r="S148" s="1">
        <v>9.2592592592592588E-5</v>
      </c>
      <c r="T148" t="s">
        <v>432</v>
      </c>
    </row>
    <row r="149" spans="1:20" x14ac:dyDescent="0.35">
      <c r="A149" t="s">
        <v>20</v>
      </c>
      <c r="B149">
        <v>17643</v>
      </c>
      <c r="C149" t="s">
        <v>426</v>
      </c>
      <c r="D149" t="s">
        <v>427</v>
      </c>
      <c r="E149" t="s">
        <v>95</v>
      </c>
      <c r="F149" t="s">
        <v>590</v>
      </c>
      <c r="G149" t="s">
        <v>591</v>
      </c>
      <c r="H149" t="s">
        <v>592</v>
      </c>
      <c r="I149" t="s">
        <v>557</v>
      </c>
      <c r="K149" t="s">
        <v>61</v>
      </c>
      <c r="L149" t="s">
        <v>47</v>
      </c>
      <c r="M149" t="s">
        <v>30</v>
      </c>
      <c r="N149" t="s">
        <v>31</v>
      </c>
      <c r="O149" t="s">
        <v>32</v>
      </c>
      <c r="P149" t="s">
        <v>33</v>
      </c>
      <c r="Q149">
        <v>0</v>
      </c>
      <c r="R149" s="1">
        <v>1.851851851851852E-4</v>
      </c>
      <c r="S149" s="1">
        <v>8.1018518518518516E-5</v>
      </c>
      <c r="T149" t="s">
        <v>432</v>
      </c>
    </row>
    <row r="150" spans="1:20" x14ac:dyDescent="0.35">
      <c r="A150" t="s">
        <v>20</v>
      </c>
      <c r="B150">
        <v>17643</v>
      </c>
      <c r="C150" t="s">
        <v>426</v>
      </c>
      <c r="D150" t="s">
        <v>427</v>
      </c>
      <c r="E150" t="s">
        <v>99</v>
      </c>
      <c r="F150" t="s">
        <v>593</v>
      </c>
      <c r="G150" t="s">
        <v>594</v>
      </c>
      <c r="H150" t="s">
        <v>595</v>
      </c>
      <c r="I150" t="s">
        <v>557</v>
      </c>
      <c r="K150" t="s">
        <v>46</v>
      </c>
      <c r="L150" t="s">
        <v>54</v>
      </c>
      <c r="M150" t="s">
        <v>40</v>
      </c>
      <c r="N150" t="s">
        <v>55</v>
      </c>
      <c r="O150" t="s">
        <v>56</v>
      </c>
      <c r="P150" t="s">
        <v>33</v>
      </c>
      <c r="Q150">
        <v>4</v>
      </c>
      <c r="R150" s="1">
        <v>5.4398148148148144E-4</v>
      </c>
      <c r="S150" s="1">
        <v>4.3981481481481481E-4</v>
      </c>
      <c r="T150" t="s">
        <v>432</v>
      </c>
    </row>
    <row r="151" spans="1:20" x14ac:dyDescent="0.35">
      <c r="A151" t="s">
        <v>20</v>
      </c>
      <c r="B151">
        <v>17643</v>
      </c>
      <c r="C151" t="s">
        <v>426</v>
      </c>
      <c r="D151" t="s">
        <v>427</v>
      </c>
      <c r="E151" t="s">
        <v>103</v>
      </c>
      <c r="F151" t="s">
        <v>596</v>
      </c>
      <c r="G151" t="s">
        <v>597</v>
      </c>
      <c r="H151" t="s">
        <v>598</v>
      </c>
      <c r="I151" t="s">
        <v>557</v>
      </c>
      <c r="K151" t="s">
        <v>28</v>
      </c>
      <c r="L151" t="s">
        <v>54</v>
      </c>
      <c r="M151" t="s">
        <v>30</v>
      </c>
      <c r="N151" t="s">
        <v>67</v>
      </c>
      <c r="O151" t="s">
        <v>56</v>
      </c>
      <c r="P151" t="s">
        <v>33</v>
      </c>
      <c r="Q151">
        <v>18</v>
      </c>
      <c r="R151" s="1">
        <v>7.7546296296296293E-4</v>
      </c>
      <c r="S151" s="1">
        <v>6.7129629629629625E-4</v>
      </c>
      <c r="T151" t="s">
        <v>432</v>
      </c>
    </row>
    <row r="152" spans="1:20" x14ac:dyDescent="0.35">
      <c r="A152" t="s">
        <v>20</v>
      </c>
      <c r="B152">
        <v>17643</v>
      </c>
      <c r="C152" t="s">
        <v>426</v>
      </c>
      <c r="D152" t="s">
        <v>427</v>
      </c>
      <c r="E152" t="s">
        <v>107</v>
      </c>
      <c r="F152" t="s">
        <v>599</v>
      </c>
      <c r="G152" t="s">
        <v>600</v>
      </c>
      <c r="H152" t="s">
        <v>601</v>
      </c>
      <c r="I152" t="s">
        <v>557</v>
      </c>
      <c r="K152" t="s">
        <v>61</v>
      </c>
      <c r="L152" t="s">
        <v>62</v>
      </c>
      <c r="M152" t="s">
        <v>30</v>
      </c>
      <c r="N152" t="s">
        <v>67</v>
      </c>
      <c r="O152" t="s">
        <v>32</v>
      </c>
      <c r="P152" t="s">
        <v>33</v>
      </c>
      <c r="Q152">
        <v>10</v>
      </c>
      <c r="R152" s="1">
        <v>6.7129629629629625E-4</v>
      </c>
      <c r="S152" s="1">
        <v>5.6712962962962967E-4</v>
      </c>
      <c r="T152" t="s">
        <v>432</v>
      </c>
    </row>
    <row r="153" spans="1:20" x14ac:dyDescent="0.35">
      <c r="A153" t="s">
        <v>20</v>
      </c>
      <c r="B153">
        <v>17643</v>
      </c>
      <c r="C153" t="s">
        <v>426</v>
      </c>
      <c r="D153" t="s">
        <v>427</v>
      </c>
      <c r="E153" t="s">
        <v>111</v>
      </c>
      <c r="F153" t="s">
        <v>602</v>
      </c>
      <c r="G153" t="s">
        <v>603</v>
      </c>
      <c r="H153" t="s">
        <v>604</v>
      </c>
      <c r="I153" t="s">
        <v>557</v>
      </c>
      <c r="K153" t="s">
        <v>61</v>
      </c>
      <c r="L153" t="s">
        <v>54</v>
      </c>
      <c r="M153" t="s">
        <v>30</v>
      </c>
      <c r="N153" t="s">
        <v>67</v>
      </c>
      <c r="O153" t="s">
        <v>76</v>
      </c>
      <c r="P153" t="s">
        <v>33</v>
      </c>
      <c r="Q153">
        <v>0</v>
      </c>
      <c r="R153" s="1">
        <v>1.9675925925925929E-4</v>
      </c>
      <c r="S153" s="1">
        <v>9.2592592592592588E-5</v>
      </c>
      <c r="T153" t="s">
        <v>432</v>
      </c>
    </row>
    <row r="154" spans="1:20" x14ac:dyDescent="0.35">
      <c r="A154" t="s">
        <v>20</v>
      </c>
      <c r="B154">
        <v>17643</v>
      </c>
      <c r="C154" t="s">
        <v>426</v>
      </c>
      <c r="D154" t="s">
        <v>427</v>
      </c>
      <c r="E154" t="s">
        <v>116</v>
      </c>
      <c r="F154" t="s">
        <v>605</v>
      </c>
      <c r="G154" t="s">
        <v>606</v>
      </c>
      <c r="H154" t="s">
        <v>607</v>
      </c>
      <c r="I154" t="s">
        <v>557</v>
      </c>
      <c r="K154" t="s">
        <v>61</v>
      </c>
      <c r="L154" t="s">
        <v>54</v>
      </c>
      <c r="M154" t="s">
        <v>30</v>
      </c>
      <c r="N154" t="s">
        <v>55</v>
      </c>
      <c r="O154" t="s">
        <v>76</v>
      </c>
      <c r="P154" t="s">
        <v>33</v>
      </c>
      <c r="Q154">
        <v>0</v>
      </c>
      <c r="R154" s="1">
        <v>2.199074074074074E-4</v>
      </c>
      <c r="S154" s="1">
        <v>1.157407407407407E-4</v>
      </c>
      <c r="T154" t="s">
        <v>432</v>
      </c>
    </row>
    <row r="155" spans="1:20" x14ac:dyDescent="0.35">
      <c r="A155" t="s">
        <v>20</v>
      </c>
      <c r="B155">
        <v>17643</v>
      </c>
      <c r="C155" t="s">
        <v>426</v>
      </c>
      <c r="D155" t="s">
        <v>427</v>
      </c>
      <c r="E155" t="s">
        <v>120</v>
      </c>
      <c r="F155" t="s">
        <v>608</v>
      </c>
      <c r="G155" t="s">
        <v>609</v>
      </c>
      <c r="H155" t="s">
        <v>610</v>
      </c>
      <c r="I155" t="s">
        <v>557</v>
      </c>
      <c r="K155" t="s">
        <v>46</v>
      </c>
      <c r="L155" t="s">
        <v>54</v>
      </c>
      <c r="M155" t="s">
        <v>48</v>
      </c>
      <c r="N155" t="s">
        <v>90</v>
      </c>
      <c r="O155" t="s">
        <v>56</v>
      </c>
      <c r="P155" t="s">
        <v>33</v>
      </c>
      <c r="Q155">
        <v>0</v>
      </c>
      <c r="R155" s="1">
        <v>2.199074074074074E-4</v>
      </c>
      <c r="S155" s="1">
        <v>1.157407407407407E-4</v>
      </c>
      <c r="T155" t="s">
        <v>432</v>
      </c>
    </row>
    <row r="156" spans="1:20" x14ac:dyDescent="0.35">
      <c r="A156" t="s">
        <v>20</v>
      </c>
      <c r="B156">
        <v>17643</v>
      </c>
      <c r="C156" t="s">
        <v>426</v>
      </c>
      <c r="D156" t="s">
        <v>427</v>
      </c>
      <c r="E156" t="s">
        <v>124</v>
      </c>
      <c r="F156" t="s">
        <v>611</v>
      </c>
      <c r="G156" t="s">
        <v>612</v>
      </c>
      <c r="H156" t="s">
        <v>611</v>
      </c>
      <c r="I156" t="s">
        <v>557</v>
      </c>
      <c r="K156" t="s">
        <v>46</v>
      </c>
      <c r="L156" t="s">
        <v>39</v>
      </c>
      <c r="M156" t="s">
        <v>48</v>
      </c>
      <c r="N156" t="s">
        <v>49</v>
      </c>
      <c r="O156" t="s">
        <v>76</v>
      </c>
      <c r="P156" t="s">
        <v>33</v>
      </c>
      <c r="Q156">
        <v>0</v>
      </c>
      <c r="R156" s="1">
        <v>8.1018518518518516E-5</v>
      </c>
      <c r="S156" s="1">
        <v>0</v>
      </c>
      <c r="T156" t="s">
        <v>432</v>
      </c>
    </row>
    <row r="157" spans="1:20" x14ac:dyDescent="0.35">
      <c r="A157" t="s">
        <v>20</v>
      </c>
      <c r="B157">
        <v>17643</v>
      </c>
      <c r="C157" t="s">
        <v>426</v>
      </c>
      <c r="D157" t="s">
        <v>427</v>
      </c>
      <c r="E157" t="s">
        <v>128</v>
      </c>
      <c r="F157" t="s">
        <v>613</v>
      </c>
      <c r="G157" t="s">
        <v>614</v>
      </c>
      <c r="H157" t="s">
        <v>615</v>
      </c>
      <c r="I157" t="s">
        <v>557</v>
      </c>
      <c r="K157" t="s">
        <v>46</v>
      </c>
      <c r="L157" t="s">
        <v>54</v>
      </c>
      <c r="M157" t="s">
        <v>40</v>
      </c>
      <c r="N157" t="s">
        <v>55</v>
      </c>
      <c r="O157" t="s">
        <v>56</v>
      </c>
      <c r="P157" t="s">
        <v>33</v>
      </c>
      <c r="Q157">
        <v>2</v>
      </c>
      <c r="R157" s="1">
        <v>3.3564814814814812E-4</v>
      </c>
      <c r="S157" s="1">
        <v>2.3148148148148149E-4</v>
      </c>
      <c r="T157" t="s">
        <v>432</v>
      </c>
    </row>
    <row r="158" spans="1:20" x14ac:dyDescent="0.35">
      <c r="A158" t="s">
        <v>20</v>
      </c>
      <c r="B158">
        <v>17643</v>
      </c>
      <c r="C158" t="s">
        <v>426</v>
      </c>
      <c r="D158" t="s">
        <v>427</v>
      </c>
      <c r="E158" t="s">
        <v>132</v>
      </c>
      <c r="F158" t="s">
        <v>496</v>
      </c>
      <c r="G158" t="s">
        <v>616</v>
      </c>
      <c r="H158" t="s">
        <v>617</v>
      </c>
      <c r="I158" t="s">
        <v>557</v>
      </c>
      <c r="K158" t="s">
        <v>46</v>
      </c>
      <c r="L158" t="s">
        <v>29</v>
      </c>
      <c r="M158" t="s">
        <v>40</v>
      </c>
      <c r="N158" t="s">
        <v>115</v>
      </c>
      <c r="O158" t="s">
        <v>32</v>
      </c>
      <c r="P158" t="s">
        <v>33</v>
      </c>
      <c r="Q158">
        <v>12</v>
      </c>
      <c r="R158" s="1">
        <v>6.9444444444444447E-4</v>
      </c>
      <c r="S158" s="1">
        <v>5.9027777777777778E-4</v>
      </c>
      <c r="T158" t="s">
        <v>432</v>
      </c>
    </row>
    <row r="159" spans="1:20" x14ac:dyDescent="0.35">
      <c r="A159" t="s">
        <v>20</v>
      </c>
      <c r="B159">
        <v>17643</v>
      </c>
      <c r="C159" t="s">
        <v>426</v>
      </c>
      <c r="D159" t="s">
        <v>427</v>
      </c>
      <c r="E159" t="s">
        <v>136</v>
      </c>
      <c r="F159" t="s">
        <v>618</v>
      </c>
      <c r="G159" t="s">
        <v>619</v>
      </c>
      <c r="H159" t="s">
        <v>620</v>
      </c>
      <c r="I159" t="s">
        <v>557</v>
      </c>
      <c r="K159" t="s">
        <v>46</v>
      </c>
      <c r="L159" t="s">
        <v>54</v>
      </c>
      <c r="M159" t="s">
        <v>40</v>
      </c>
      <c r="N159" t="s">
        <v>55</v>
      </c>
      <c r="O159" t="s">
        <v>56</v>
      </c>
      <c r="P159" t="s">
        <v>33</v>
      </c>
      <c r="Q159">
        <v>4</v>
      </c>
      <c r="R159" s="1">
        <v>3.4722222222222218E-4</v>
      </c>
      <c r="S159" s="1">
        <v>2.4305555555555549E-4</v>
      </c>
      <c r="T159" t="s">
        <v>432</v>
      </c>
    </row>
    <row r="160" spans="1:20" x14ac:dyDescent="0.35">
      <c r="A160" t="s">
        <v>20</v>
      </c>
      <c r="B160">
        <v>17643</v>
      </c>
      <c r="C160" t="s">
        <v>426</v>
      </c>
      <c r="D160" t="s">
        <v>427</v>
      </c>
      <c r="E160" t="s">
        <v>140</v>
      </c>
      <c r="F160" t="s">
        <v>621</v>
      </c>
      <c r="G160" t="s">
        <v>622</v>
      </c>
      <c r="H160" t="s">
        <v>623</v>
      </c>
      <c r="I160" t="s">
        <v>557</v>
      </c>
      <c r="K160" t="s">
        <v>38</v>
      </c>
      <c r="L160" t="s">
        <v>181</v>
      </c>
      <c r="M160" t="s">
        <v>48</v>
      </c>
      <c r="N160" t="s">
        <v>90</v>
      </c>
      <c r="O160" t="s">
        <v>32</v>
      </c>
      <c r="P160" t="s">
        <v>33</v>
      </c>
      <c r="Q160">
        <v>4</v>
      </c>
      <c r="R160" s="1">
        <v>3.5879629629629629E-4</v>
      </c>
      <c r="S160" s="1">
        <v>2.5462962962962961E-4</v>
      </c>
      <c r="T160" t="s">
        <v>432</v>
      </c>
    </row>
    <row r="161" spans="1:20" x14ac:dyDescent="0.35">
      <c r="A161" t="s">
        <v>20</v>
      </c>
      <c r="B161">
        <v>17643</v>
      </c>
      <c r="C161" t="s">
        <v>426</v>
      </c>
      <c r="D161" t="s">
        <v>427</v>
      </c>
      <c r="E161" t="s">
        <v>144</v>
      </c>
      <c r="F161" t="s">
        <v>624</v>
      </c>
      <c r="G161" t="s">
        <v>625</v>
      </c>
      <c r="H161" t="s">
        <v>626</v>
      </c>
      <c r="I161" t="s">
        <v>557</v>
      </c>
      <c r="K161" t="s">
        <v>46</v>
      </c>
      <c r="L161" t="s">
        <v>181</v>
      </c>
      <c r="M161" t="s">
        <v>48</v>
      </c>
      <c r="N161" t="s">
        <v>90</v>
      </c>
      <c r="O161" t="s">
        <v>76</v>
      </c>
      <c r="P161" t="s">
        <v>33</v>
      </c>
      <c r="Q161">
        <v>0</v>
      </c>
      <c r="R161" s="1">
        <v>2.0833333333333329E-4</v>
      </c>
      <c r="S161" s="1">
        <v>1.041666666666667E-4</v>
      </c>
      <c r="T161" t="s">
        <v>432</v>
      </c>
    </row>
    <row r="162" spans="1:20" x14ac:dyDescent="0.35">
      <c r="A162" t="s">
        <v>20</v>
      </c>
      <c r="B162">
        <v>17643</v>
      </c>
      <c r="C162" t="s">
        <v>426</v>
      </c>
      <c r="D162" t="s">
        <v>427</v>
      </c>
      <c r="E162" t="s">
        <v>149</v>
      </c>
      <c r="F162" t="s">
        <v>627</v>
      </c>
      <c r="G162" t="s">
        <v>628</v>
      </c>
      <c r="H162" t="s">
        <v>629</v>
      </c>
      <c r="I162" t="s">
        <v>557</v>
      </c>
      <c r="K162" t="s">
        <v>28</v>
      </c>
      <c r="L162" t="s">
        <v>29</v>
      </c>
      <c r="M162" t="s">
        <v>30</v>
      </c>
      <c r="N162" t="s">
        <v>31</v>
      </c>
      <c r="O162" t="s">
        <v>76</v>
      </c>
      <c r="P162" t="s">
        <v>33</v>
      </c>
      <c r="Q162">
        <v>4</v>
      </c>
      <c r="R162" s="1">
        <v>4.0509259259259258E-4</v>
      </c>
      <c r="S162" s="1">
        <v>3.0092592592592589E-4</v>
      </c>
      <c r="T162" t="s">
        <v>432</v>
      </c>
    </row>
    <row r="163" spans="1:20" x14ac:dyDescent="0.35">
      <c r="A163" t="s">
        <v>20</v>
      </c>
      <c r="B163">
        <v>17643</v>
      </c>
      <c r="C163" t="s">
        <v>426</v>
      </c>
      <c r="D163" t="s">
        <v>427</v>
      </c>
      <c r="E163" t="s">
        <v>153</v>
      </c>
      <c r="F163" t="s">
        <v>630</v>
      </c>
      <c r="G163" t="s">
        <v>631</v>
      </c>
      <c r="H163" t="s">
        <v>632</v>
      </c>
      <c r="I163" t="s">
        <v>557</v>
      </c>
      <c r="K163" t="s">
        <v>38</v>
      </c>
      <c r="L163" t="s">
        <v>39</v>
      </c>
      <c r="M163" t="s">
        <v>48</v>
      </c>
      <c r="N163" t="s">
        <v>55</v>
      </c>
      <c r="O163" t="s">
        <v>76</v>
      </c>
      <c r="P163" t="s">
        <v>33</v>
      </c>
      <c r="Q163">
        <v>6</v>
      </c>
      <c r="R163" s="1">
        <v>4.2824074074074081E-4</v>
      </c>
      <c r="S163" s="1">
        <v>3.2407407407407412E-4</v>
      </c>
      <c r="T163" t="s">
        <v>432</v>
      </c>
    </row>
    <row r="164" spans="1:20" x14ac:dyDescent="0.35">
      <c r="A164" t="s">
        <v>20</v>
      </c>
      <c r="B164">
        <v>17643</v>
      </c>
      <c r="C164" t="s">
        <v>426</v>
      </c>
      <c r="D164" t="s">
        <v>427</v>
      </c>
      <c r="E164" t="s">
        <v>157</v>
      </c>
      <c r="F164" t="s">
        <v>633</v>
      </c>
      <c r="G164" t="s">
        <v>634</v>
      </c>
      <c r="H164" t="s">
        <v>635</v>
      </c>
      <c r="I164" t="s">
        <v>557</v>
      </c>
      <c r="K164" t="s">
        <v>38</v>
      </c>
      <c r="L164" t="s">
        <v>29</v>
      </c>
      <c r="M164" t="s">
        <v>48</v>
      </c>
      <c r="N164" t="s">
        <v>90</v>
      </c>
      <c r="O164" t="s">
        <v>32</v>
      </c>
      <c r="P164" t="s">
        <v>33</v>
      </c>
      <c r="Q164">
        <v>0</v>
      </c>
      <c r="R164" s="1">
        <v>2.0833333333333329E-4</v>
      </c>
      <c r="S164" s="1">
        <v>1.041666666666667E-4</v>
      </c>
      <c r="T164" t="s">
        <v>432</v>
      </c>
    </row>
    <row r="165" spans="1:20" x14ac:dyDescent="0.35">
      <c r="A165" t="s">
        <v>20</v>
      </c>
      <c r="B165">
        <v>17643</v>
      </c>
      <c r="C165" t="s">
        <v>426</v>
      </c>
      <c r="D165" t="s">
        <v>427</v>
      </c>
      <c r="E165" t="s">
        <v>161</v>
      </c>
      <c r="F165" t="s">
        <v>636</v>
      </c>
      <c r="G165" t="s">
        <v>637</v>
      </c>
      <c r="H165" t="s">
        <v>638</v>
      </c>
      <c r="I165" t="s">
        <v>557</v>
      </c>
      <c r="K165" t="s">
        <v>61</v>
      </c>
      <c r="L165" t="s">
        <v>62</v>
      </c>
      <c r="M165" t="s">
        <v>30</v>
      </c>
      <c r="N165" t="s">
        <v>55</v>
      </c>
      <c r="O165" t="s">
        <v>76</v>
      </c>
      <c r="P165" t="s">
        <v>33</v>
      </c>
      <c r="Q165">
        <v>0</v>
      </c>
      <c r="R165" s="1">
        <v>1.3888888888888889E-4</v>
      </c>
      <c r="S165" s="1">
        <v>3.4722222222222222E-5</v>
      </c>
      <c r="T165" t="s">
        <v>432</v>
      </c>
    </row>
    <row r="166" spans="1:20" x14ac:dyDescent="0.35">
      <c r="A166" t="s">
        <v>20</v>
      </c>
      <c r="B166">
        <v>17643</v>
      </c>
      <c r="C166" t="s">
        <v>426</v>
      </c>
      <c r="D166" t="s">
        <v>427</v>
      </c>
      <c r="E166" t="s">
        <v>165</v>
      </c>
      <c r="F166" t="s">
        <v>639</v>
      </c>
      <c r="G166" t="s">
        <v>640</v>
      </c>
      <c r="H166" t="s">
        <v>641</v>
      </c>
      <c r="I166" t="s">
        <v>557</v>
      </c>
      <c r="K166" t="s">
        <v>61</v>
      </c>
      <c r="L166" t="s">
        <v>62</v>
      </c>
      <c r="M166" t="s">
        <v>30</v>
      </c>
      <c r="N166" t="s">
        <v>31</v>
      </c>
      <c r="O166" t="s">
        <v>76</v>
      </c>
      <c r="P166" t="s">
        <v>33</v>
      </c>
      <c r="Q166">
        <v>0</v>
      </c>
      <c r="R166" s="1">
        <v>2.6620370370370372E-4</v>
      </c>
      <c r="S166" s="1">
        <v>1.6203703703703701E-4</v>
      </c>
      <c r="T166" t="s">
        <v>432</v>
      </c>
    </row>
    <row r="167" spans="1:20" x14ac:dyDescent="0.35">
      <c r="A167" t="s">
        <v>20</v>
      </c>
      <c r="B167">
        <v>17643</v>
      </c>
      <c r="C167" t="s">
        <v>426</v>
      </c>
      <c r="D167" t="s">
        <v>427</v>
      </c>
      <c r="E167" t="s">
        <v>169</v>
      </c>
      <c r="F167" t="s">
        <v>642</v>
      </c>
      <c r="G167" t="s">
        <v>643</v>
      </c>
      <c r="H167" t="s">
        <v>644</v>
      </c>
      <c r="I167" t="s">
        <v>557</v>
      </c>
      <c r="K167" t="s">
        <v>46</v>
      </c>
      <c r="L167" t="s">
        <v>39</v>
      </c>
      <c r="M167" t="s">
        <v>48</v>
      </c>
      <c r="N167" t="s">
        <v>55</v>
      </c>
      <c r="O167" t="s">
        <v>32</v>
      </c>
      <c r="P167" t="s">
        <v>33</v>
      </c>
      <c r="Q167">
        <v>0</v>
      </c>
      <c r="R167" s="1">
        <v>1.3888888888888889E-4</v>
      </c>
      <c r="S167" s="1">
        <v>3.4722222222222222E-5</v>
      </c>
      <c r="T167" t="s">
        <v>432</v>
      </c>
    </row>
    <row r="168" spans="1:20" x14ac:dyDescent="0.35">
      <c r="A168" t="s">
        <v>20</v>
      </c>
      <c r="B168">
        <v>17643</v>
      </c>
      <c r="C168" t="s">
        <v>426</v>
      </c>
      <c r="D168" t="s">
        <v>427</v>
      </c>
      <c r="E168" t="s">
        <v>173</v>
      </c>
      <c r="F168" t="s">
        <v>645</v>
      </c>
      <c r="G168" t="s">
        <v>646</v>
      </c>
      <c r="H168" t="s">
        <v>647</v>
      </c>
      <c r="I168" t="s">
        <v>557</v>
      </c>
      <c r="K168" t="s">
        <v>38</v>
      </c>
      <c r="L168" t="s">
        <v>54</v>
      </c>
      <c r="M168" t="s">
        <v>478</v>
      </c>
      <c r="N168" t="s">
        <v>115</v>
      </c>
      <c r="O168" t="s">
        <v>32</v>
      </c>
      <c r="P168" t="s">
        <v>33</v>
      </c>
      <c r="Q168">
        <v>0</v>
      </c>
      <c r="R168" s="1">
        <v>1.3888888888888889E-4</v>
      </c>
      <c r="S168" s="1">
        <v>3.4722222222222222E-5</v>
      </c>
      <c r="T168" t="s">
        <v>432</v>
      </c>
    </row>
    <row r="169" spans="1:20" x14ac:dyDescent="0.35">
      <c r="A169" t="s">
        <v>20</v>
      </c>
      <c r="B169">
        <v>17643</v>
      </c>
      <c r="C169" t="s">
        <v>426</v>
      </c>
      <c r="D169" t="s">
        <v>427</v>
      </c>
      <c r="E169" t="s">
        <v>177</v>
      </c>
      <c r="F169" t="s">
        <v>648</v>
      </c>
      <c r="G169" t="s">
        <v>649</v>
      </c>
      <c r="H169" t="s">
        <v>650</v>
      </c>
      <c r="I169" t="s">
        <v>557</v>
      </c>
      <c r="K169" t="s">
        <v>38</v>
      </c>
      <c r="L169" t="s">
        <v>47</v>
      </c>
      <c r="M169" t="s">
        <v>478</v>
      </c>
      <c r="N169" t="s">
        <v>55</v>
      </c>
      <c r="O169" t="s">
        <v>32</v>
      </c>
      <c r="P169" t="s">
        <v>33</v>
      </c>
      <c r="Q169">
        <v>2</v>
      </c>
      <c r="R169" s="1">
        <v>1.9675925925925929E-4</v>
      </c>
      <c r="S169" s="1">
        <v>9.2592592592592588E-5</v>
      </c>
      <c r="T169" t="s">
        <v>432</v>
      </c>
    </row>
    <row r="170" spans="1:20" x14ac:dyDescent="0.35">
      <c r="A170" t="s">
        <v>20</v>
      </c>
      <c r="B170">
        <v>17643</v>
      </c>
      <c r="C170" t="s">
        <v>426</v>
      </c>
      <c r="D170" t="s">
        <v>427</v>
      </c>
      <c r="E170" t="s">
        <v>182</v>
      </c>
      <c r="F170" t="s">
        <v>651</v>
      </c>
      <c r="G170" t="s">
        <v>652</v>
      </c>
      <c r="H170" t="s">
        <v>653</v>
      </c>
      <c r="I170" t="s">
        <v>557</v>
      </c>
      <c r="K170" t="s">
        <v>61</v>
      </c>
      <c r="L170" t="s">
        <v>54</v>
      </c>
      <c r="M170" t="s">
        <v>30</v>
      </c>
      <c r="N170" t="s">
        <v>31</v>
      </c>
      <c r="O170" t="s">
        <v>32</v>
      </c>
      <c r="P170" t="s">
        <v>33</v>
      </c>
      <c r="Q170">
        <v>4</v>
      </c>
      <c r="R170" s="1">
        <v>3.2407407407407412E-4</v>
      </c>
      <c r="S170" s="1">
        <v>2.199074074074074E-4</v>
      </c>
      <c r="T170" t="s">
        <v>432</v>
      </c>
    </row>
    <row r="171" spans="1:20" x14ac:dyDescent="0.35">
      <c r="A171" t="s">
        <v>20</v>
      </c>
      <c r="B171">
        <v>17643</v>
      </c>
      <c r="C171" t="s">
        <v>426</v>
      </c>
      <c r="D171" t="s">
        <v>427</v>
      </c>
      <c r="E171" t="s">
        <v>186</v>
      </c>
      <c r="F171" t="s">
        <v>654</v>
      </c>
      <c r="G171" t="s">
        <v>655</v>
      </c>
      <c r="H171" t="s">
        <v>656</v>
      </c>
      <c r="I171" t="s">
        <v>557</v>
      </c>
      <c r="K171" t="s">
        <v>46</v>
      </c>
      <c r="L171" t="s">
        <v>39</v>
      </c>
      <c r="M171" t="s">
        <v>48</v>
      </c>
      <c r="N171" t="s">
        <v>55</v>
      </c>
      <c r="O171" t="s">
        <v>32</v>
      </c>
      <c r="P171" t="s">
        <v>33</v>
      </c>
      <c r="Q171">
        <v>0</v>
      </c>
      <c r="R171" s="1">
        <v>1.157407407407407E-4</v>
      </c>
      <c r="S171" s="1">
        <v>1.157407407407407E-5</v>
      </c>
      <c r="T171" t="s">
        <v>432</v>
      </c>
    </row>
    <row r="172" spans="1:20" x14ac:dyDescent="0.35">
      <c r="A172" t="s">
        <v>20</v>
      </c>
      <c r="B172">
        <v>17643</v>
      </c>
      <c r="C172" t="s">
        <v>426</v>
      </c>
      <c r="D172" t="s">
        <v>427</v>
      </c>
      <c r="E172" t="s">
        <v>190</v>
      </c>
      <c r="F172" t="s">
        <v>657</v>
      </c>
      <c r="G172" t="s">
        <v>658</v>
      </c>
      <c r="H172" t="s">
        <v>659</v>
      </c>
      <c r="I172" t="s">
        <v>557</v>
      </c>
      <c r="K172" t="s">
        <v>46</v>
      </c>
      <c r="L172" t="s">
        <v>47</v>
      </c>
      <c r="M172" t="s">
        <v>40</v>
      </c>
      <c r="N172" t="s">
        <v>67</v>
      </c>
      <c r="O172" t="s">
        <v>76</v>
      </c>
      <c r="P172" t="s">
        <v>33</v>
      </c>
      <c r="Q172">
        <v>16</v>
      </c>
      <c r="R172" s="1">
        <v>9.4907407407407408E-4</v>
      </c>
      <c r="S172" s="1">
        <v>8.4490740740740739E-4</v>
      </c>
      <c r="T172" t="s">
        <v>432</v>
      </c>
    </row>
    <row r="173" spans="1:20" x14ac:dyDescent="0.35">
      <c r="A173" t="s">
        <v>20</v>
      </c>
      <c r="B173">
        <v>17643</v>
      </c>
      <c r="C173" t="s">
        <v>426</v>
      </c>
      <c r="D173" t="s">
        <v>427</v>
      </c>
      <c r="E173" t="s">
        <v>194</v>
      </c>
      <c r="F173" t="s">
        <v>660</v>
      </c>
      <c r="G173" t="s">
        <v>661</v>
      </c>
      <c r="H173" t="s">
        <v>662</v>
      </c>
      <c r="I173" t="s">
        <v>557</v>
      </c>
      <c r="K173" t="s">
        <v>61</v>
      </c>
      <c r="L173" t="s">
        <v>62</v>
      </c>
      <c r="M173" t="s">
        <v>30</v>
      </c>
      <c r="N173" t="s">
        <v>55</v>
      </c>
      <c r="O173" t="s">
        <v>76</v>
      </c>
      <c r="P173" t="s">
        <v>33</v>
      </c>
      <c r="Q173">
        <v>0</v>
      </c>
      <c r="R173" s="1">
        <v>1.157407407407407E-4</v>
      </c>
      <c r="S173" s="1">
        <v>1.157407407407407E-5</v>
      </c>
      <c r="T173" t="s">
        <v>432</v>
      </c>
    </row>
    <row r="174" spans="1:20" x14ac:dyDescent="0.35">
      <c r="A174" t="s">
        <v>20</v>
      </c>
      <c r="B174">
        <v>17643</v>
      </c>
      <c r="C174" t="s">
        <v>426</v>
      </c>
      <c r="D174" t="s">
        <v>427</v>
      </c>
      <c r="E174" t="s">
        <v>198</v>
      </c>
      <c r="F174" t="s">
        <v>663</v>
      </c>
      <c r="G174" t="s">
        <v>664</v>
      </c>
      <c r="H174" t="s">
        <v>665</v>
      </c>
      <c r="I174" t="s">
        <v>557</v>
      </c>
      <c r="K174" t="s">
        <v>28</v>
      </c>
      <c r="L174" t="s">
        <v>47</v>
      </c>
      <c r="M174" t="s">
        <v>40</v>
      </c>
      <c r="N174" t="s">
        <v>67</v>
      </c>
      <c r="O174" t="s">
        <v>32</v>
      </c>
      <c r="P174" t="s">
        <v>33</v>
      </c>
      <c r="Q174">
        <v>2</v>
      </c>
      <c r="R174" s="1">
        <v>2.6620370370370372E-4</v>
      </c>
      <c r="S174" s="1">
        <v>1.6203703703703701E-4</v>
      </c>
      <c r="T174" t="s">
        <v>432</v>
      </c>
    </row>
    <row r="175" spans="1:20" x14ac:dyDescent="0.35">
      <c r="A175" t="s">
        <v>20</v>
      </c>
      <c r="B175">
        <v>17646</v>
      </c>
      <c r="C175" t="s">
        <v>666</v>
      </c>
      <c r="D175" t="s">
        <v>667</v>
      </c>
      <c r="E175" t="s">
        <v>234</v>
      </c>
      <c r="F175" t="s">
        <v>668</v>
      </c>
      <c r="G175" t="s">
        <v>669</v>
      </c>
      <c r="H175" t="s">
        <v>670</v>
      </c>
      <c r="I175" t="s">
        <v>671</v>
      </c>
      <c r="K175" t="s">
        <v>28</v>
      </c>
      <c r="L175" t="s">
        <v>62</v>
      </c>
      <c r="M175" t="s">
        <v>30</v>
      </c>
      <c r="N175" t="s">
        <v>31</v>
      </c>
      <c r="O175" t="s">
        <v>32</v>
      </c>
      <c r="P175" t="s">
        <v>33</v>
      </c>
      <c r="Q175">
        <v>0</v>
      </c>
      <c r="R175" s="1">
        <v>2.199074074074074E-4</v>
      </c>
      <c r="S175" s="1">
        <v>1.157407407407407E-4</v>
      </c>
    </row>
    <row r="176" spans="1:20" x14ac:dyDescent="0.35">
      <c r="A176" t="s">
        <v>20</v>
      </c>
      <c r="B176">
        <v>17646</v>
      </c>
      <c r="C176" t="s">
        <v>666</v>
      </c>
      <c r="D176" t="s">
        <v>667</v>
      </c>
      <c r="E176" t="s">
        <v>239</v>
      </c>
      <c r="F176" t="s">
        <v>672</v>
      </c>
      <c r="G176" t="s">
        <v>673</v>
      </c>
      <c r="H176" t="s">
        <v>674</v>
      </c>
      <c r="I176" t="s">
        <v>671</v>
      </c>
      <c r="K176" t="s">
        <v>46</v>
      </c>
      <c r="L176" t="s">
        <v>39</v>
      </c>
      <c r="M176" t="s">
        <v>40</v>
      </c>
      <c r="N176" t="s">
        <v>41</v>
      </c>
      <c r="O176" t="s">
        <v>76</v>
      </c>
      <c r="P176" t="s">
        <v>33</v>
      </c>
      <c r="Q176">
        <v>2</v>
      </c>
      <c r="R176" s="1">
        <v>4.0509259259259258E-4</v>
      </c>
      <c r="S176" s="1">
        <v>3.0092592592592589E-4</v>
      </c>
    </row>
    <row r="177" spans="1:19" x14ac:dyDescent="0.35">
      <c r="A177" t="s">
        <v>20</v>
      </c>
      <c r="B177">
        <v>17646</v>
      </c>
      <c r="C177" t="s">
        <v>666</v>
      </c>
      <c r="D177" t="s">
        <v>667</v>
      </c>
      <c r="E177" t="s">
        <v>243</v>
      </c>
      <c r="F177" t="s">
        <v>675</v>
      </c>
      <c r="G177" t="s">
        <v>676</v>
      </c>
      <c r="H177" t="s">
        <v>677</v>
      </c>
      <c r="I177" t="s">
        <v>671</v>
      </c>
      <c r="K177" t="s">
        <v>28</v>
      </c>
      <c r="L177" t="s">
        <v>62</v>
      </c>
      <c r="M177" t="s">
        <v>40</v>
      </c>
      <c r="N177" t="s">
        <v>55</v>
      </c>
      <c r="O177" t="s">
        <v>32</v>
      </c>
      <c r="P177" t="s">
        <v>33</v>
      </c>
      <c r="Q177">
        <v>0</v>
      </c>
      <c r="R177" s="1">
        <v>1.041666666666667E-4</v>
      </c>
      <c r="S177" s="1">
        <v>0</v>
      </c>
    </row>
    <row r="178" spans="1:19" x14ac:dyDescent="0.35">
      <c r="A178" t="s">
        <v>20</v>
      </c>
      <c r="B178">
        <v>17646</v>
      </c>
      <c r="C178" t="s">
        <v>666</v>
      </c>
      <c r="D178" t="s">
        <v>667</v>
      </c>
      <c r="E178" t="s">
        <v>247</v>
      </c>
      <c r="F178" t="s">
        <v>678</v>
      </c>
      <c r="G178" t="s">
        <v>679</v>
      </c>
      <c r="H178" t="s">
        <v>680</v>
      </c>
      <c r="I178" t="s">
        <v>671</v>
      </c>
      <c r="K178" t="s">
        <v>46</v>
      </c>
      <c r="L178" t="s">
        <v>29</v>
      </c>
      <c r="M178" t="s">
        <v>40</v>
      </c>
      <c r="N178" t="s">
        <v>41</v>
      </c>
      <c r="O178" t="s">
        <v>32</v>
      </c>
      <c r="P178" t="s">
        <v>33</v>
      </c>
      <c r="Q178">
        <v>0</v>
      </c>
      <c r="R178" s="1">
        <v>1.9675925925925929E-4</v>
      </c>
      <c r="S178" s="1">
        <v>9.2592592592592588E-5</v>
      </c>
    </row>
    <row r="179" spans="1:19" x14ac:dyDescent="0.35">
      <c r="A179" t="s">
        <v>20</v>
      </c>
      <c r="B179">
        <v>17646</v>
      </c>
      <c r="C179" t="s">
        <v>666</v>
      </c>
      <c r="D179" t="s">
        <v>667</v>
      </c>
      <c r="E179" t="s">
        <v>251</v>
      </c>
      <c r="F179" t="s">
        <v>681</v>
      </c>
      <c r="G179" t="s">
        <v>682</v>
      </c>
      <c r="H179" t="s">
        <v>683</v>
      </c>
      <c r="I179" t="s">
        <v>671</v>
      </c>
      <c r="K179" t="s">
        <v>28</v>
      </c>
      <c r="L179" t="s">
        <v>47</v>
      </c>
      <c r="M179" t="s">
        <v>40</v>
      </c>
      <c r="N179" t="s">
        <v>41</v>
      </c>
      <c r="O179" t="s">
        <v>32</v>
      </c>
      <c r="P179" t="s">
        <v>33</v>
      </c>
      <c r="Q179">
        <v>1</v>
      </c>
      <c r="R179" s="1">
        <v>1.9675925925925929E-4</v>
      </c>
      <c r="S179" s="1">
        <v>9.2592592592592588E-5</v>
      </c>
    </row>
    <row r="180" spans="1:19" x14ac:dyDescent="0.35">
      <c r="A180" t="s">
        <v>20</v>
      </c>
      <c r="B180">
        <v>17646</v>
      </c>
      <c r="C180" t="s">
        <v>666</v>
      </c>
      <c r="D180" t="s">
        <v>667</v>
      </c>
      <c r="E180" t="s">
        <v>255</v>
      </c>
      <c r="F180" t="s">
        <v>684</v>
      </c>
      <c r="G180" t="s">
        <v>685</v>
      </c>
      <c r="H180" t="s">
        <v>686</v>
      </c>
      <c r="I180" t="s">
        <v>671</v>
      </c>
      <c r="K180" t="s">
        <v>46</v>
      </c>
      <c r="L180" t="s">
        <v>29</v>
      </c>
      <c r="M180" t="s">
        <v>48</v>
      </c>
      <c r="N180" t="s">
        <v>55</v>
      </c>
      <c r="O180" t="s">
        <v>32</v>
      </c>
      <c r="P180" t="s">
        <v>33</v>
      </c>
      <c r="Q180">
        <v>0</v>
      </c>
      <c r="R180" s="1">
        <v>1.7361111111111109E-4</v>
      </c>
      <c r="S180" s="1">
        <v>6.9444444444444444E-5</v>
      </c>
    </row>
    <row r="181" spans="1:19" x14ac:dyDescent="0.35">
      <c r="A181" t="s">
        <v>20</v>
      </c>
      <c r="B181">
        <v>17646</v>
      </c>
      <c r="C181" t="s">
        <v>666</v>
      </c>
      <c r="D181" t="s">
        <v>667</v>
      </c>
      <c r="E181" t="s">
        <v>259</v>
      </c>
      <c r="F181" t="s">
        <v>687</v>
      </c>
      <c r="G181" t="s">
        <v>688</v>
      </c>
      <c r="H181" t="s">
        <v>689</v>
      </c>
      <c r="I181" t="s">
        <v>671</v>
      </c>
      <c r="K181" t="s">
        <v>46</v>
      </c>
      <c r="L181" t="s">
        <v>54</v>
      </c>
      <c r="M181" t="s">
        <v>48</v>
      </c>
      <c r="N181" t="s">
        <v>67</v>
      </c>
      <c r="O181" t="s">
        <v>32</v>
      </c>
      <c r="P181" t="s">
        <v>33</v>
      </c>
      <c r="Q181">
        <v>0</v>
      </c>
      <c r="R181" s="1">
        <v>1.273148148148148E-4</v>
      </c>
      <c r="S181" s="1">
        <v>2.314814814814815E-5</v>
      </c>
    </row>
    <row r="182" spans="1:19" x14ac:dyDescent="0.35">
      <c r="A182" t="s">
        <v>20</v>
      </c>
      <c r="B182">
        <v>17646</v>
      </c>
      <c r="C182" t="s">
        <v>666</v>
      </c>
      <c r="D182" t="s">
        <v>667</v>
      </c>
      <c r="E182" t="s">
        <v>263</v>
      </c>
      <c r="F182" t="s">
        <v>690</v>
      </c>
      <c r="G182" t="s">
        <v>691</v>
      </c>
      <c r="H182" t="s">
        <v>692</v>
      </c>
      <c r="I182" t="s">
        <v>671</v>
      </c>
      <c r="K182" t="s">
        <v>46</v>
      </c>
      <c r="L182" t="s">
        <v>62</v>
      </c>
      <c r="M182" t="s">
        <v>40</v>
      </c>
      <c r="N182" t="s">
        <v>41</v>
      </c>
      <c r="O182" t="s">
        <v>32</v>
      </c>
      <c r="P182" t="s">
        <v>33</v>
      </c>
      <c r="Q182">
        <v>2</v>
      </c>
      <c r="R182" s="1">
        <v>4.0509259259259258E-4</v>
      </c>
      <c r="S182" s="1">
        <v>3.0092592592592589E-4</v>
      </c>
    </row>
    <row r="183" spans="1:19" x14ac:dyDescent="0.35">
      <c r="A183" t="s">
        <v>20</v>
      </c>
      <c r="B183">
        <v>17646</v>
      </c>
      <c r="C183" t="s">
        <v>666</v>
      </c>
      <c r="D183" t="s">
        <v>667</v>
      </c>
      <c r="E183" t="s">
        <v>267</v>
      </c>
      <c r="F183" t="s">
        <v>693</v>
      </c>
      <c r="G183" t="s">
        <v>694</v>
      </c>
      <c r="H183" t="s">
        <v>695</v>
      </c>
      <c r="I183" t="s">
        <v>671</v>
      </c>
      <c r="K183" t="s">
        <v>28</v>
      </c>
      <c r="L183" t="s">
        <v>29</v>
      </c>
      <c r="M183" t="s">
        <v>40</v>
      </c>
      <c r="N183" t="s">
        <v>55</v>
      </c>
      <c r="O183" t="s">
        <v>56</v>
      </c>
      <c r="P183" t="s">
        <v>33</v>
      </c>
      <c r="Q183">
        <v>2</v>
      </c>
      <c r="R183" s="1">
        <v>3.9351851851851852E-4</v>
      </c>
      <c r="S183" s="1">
        <v>2.8935185185185178E-4</v>
      </c>
    </row>
    <row r="184" spans="1:19" x14ac:dyDescent="0.35">
      <c r="A184" t="s">
        <v>20</v>
      </c>
      <c r="B184">
        <v>17646</v>
      </c>
      <c r="C184" t="s">
        <v>666</v>
      </c>
      <c r="D184" t="s">
        <v>667</v>
      </c>
      <c r="E184" t="s">
        <v>271</v>
      </c>
      <c r="F184" t="s">
        <v>696</v>
      </c>
      <c r="G184" t="s">
        <v>697</v>
      </c>
      <c r="H184" t="s">
        <v>696</v>
      </c>
      <c r="I184" t="s">
        <v>671</v>
      </c>
      <c r="K184" t="s">
        <v>38</v>
      </c>
      <c r="L184" t="s">
        <v>47</v>
      </c>
      <c r="M184" t="s">
        <v>478</v>
      </c>
      <c r="N184" t="s">
        <v>55</v>
      </c>
      <c r="O184" t="s">
        <v>76</v>
      </c>
      <c r="P184" t="s">
        <v>33</v>
      </c>
      <c r="Q184">
        <v>0</v>
      </c>
      <c r="R184" s="1">
        <v>8.1018518518518516E-5</v>
      </c>
      <c r="S184" s="1">
        <v>0</v>
      </c>
    </row>
    <row r="185" spans="1:19" x14ac:dyDescent="0.35">
      <c r="A185" t="s">
        <v>20</v>
      </c>
      <c r="B185">
        <v>17646</v>
      </c>
      <c r="C185" t="s">
        <v>666</v>
      </c>
      <c r="D185" t="s">
        <v>667</v>
      </c>
      <c r="E185" t="s">
        <v>275</v>
      </c>
      <c r="F185" t="s">
        <v>698</v>
      </c>
      <c r="G185" t="s">
        <v>699</v>
      </c>
      <c r="H185" t="s">
        <v>700</v>
      </c>
      <c r="I185" t="s">
        <v>671</v>
      </c>
      <c r="K185" t="s">
        <v>38</v>
      </c>
      <c r="L185" t="s">
        <v>54</v>
      </c>
      <c r="M185" t="s">
        <v>478</v>
      </c>
      <c r="N185" t="s">
        <v>67</v>
      </c>
      <c r="O185" t="s">
        <v>76</v>
      </c>
      <c r="P185" t="s">
        <v>33</v>
      </c>
      <c r="Q185">
        <v>0</v>
      </c>
      <c r="R185" s="1">
        <v>1.273148148148148E-4</v>
      </c>
      <c r="S185" s="1">
        <v>2.314814814814815E-5</v>
      </c>
    </row>
    <row r="186" spans="1:19" x14ac:dyDescent="0.35">
      <c r="A186" t="s">
        <v>20</v>
      </c>
      <c r="B186">
        <v>17646</v>
      </c>
      <c r="C186" t="s">
        <v>666</v>
      </c>
      <c r="D186" t="s">
        <v>667</v>
      </c>
      <c r="E186" t="s">
        <v>279</v>
      </c>
      <c r="F186" t="s">
        <v>701</v>
      </c>
      <c r="G186" t="s">
        <v>702</v>
      </c>
      <c r="H186" t="s">
        <v>703</v>
      </c>
      <c r="I186" t="s">
        <v>671</v>
      </c>
      <c r="K186" t="s">
        <v>46</v>
      </c>
      <c r="L186" t="s">
        <v>62</v>
      </c>
      <c r="M186" t="s">
        <v>40</v>
      </c>
      <c r="N186" t="s">
        <v>115</v>
      </c>
      <c r="O186" t="s">
        <v>76</v>
      </c>
      <c r="P186" t="s">
        <v>33</v>
      </c>
      <c r="Q186">
        <v>1</v>
      </c>
      <c r="R186" s="1">
        <v>4.5138888888888892E-4</v>
      </c>
      <c r="S186" s="1">
        <v>3.4722222222222218E-4</v>
      </c>
    </row>
    <row r="187" spans="1:19" x14ac:dyDescent="0.35">
      <c r="A187" t="s">
        <v>20</v>
      </c>
      <c r="B187">
        <v>17646</v>
      </c>
      <c r="C187" t="s">
        <v>666</v>
      </c>
      <c r="D187" t="s">
        <v>667</v>
      </c>
      <c r="E187" t="s">
        <v>283</v>
      </c>
      <c r="F187" t="s">
        <v>704</v>
      </c>
      <c r="G187" t="s">
        <v>705</v>
      </c>
      <c r="H187" t="s">
        <v>706</v>
      </c>
      <c r="I187" t="s">
        <v>671</v>
      </c>
      <c r="K187" t="s">
        <v>46</v>
      </c>
      <c r="L187" t="s">
        <v>47</v>
      </c>
      <c r="M187" t="s">
        <v>40</v>
      </c>
      <c r="N187" t="s">
        <v>115</v>
      </c>
      <c r="O187" t="s">
        <v>76</v>
      </c>
      <c r="P187" t="s">
        <v>33</v>
      </c>
      <c r="Q187">
        <v>2</v>
      </c>
      <c r="R187" s="1">
        <v>4.0509259259259258E-4</v>
      </c>
      <c r="S187" s="1">
        <v>3.0092592592592589E-4</v>
      </c>
    </row>
    <row r="188" spans="1:19" x14ac:dyDescent="0.35">
      <c r="A188" t="s">
        <v>20</v>
      </c>
      <c r="B188">
        <v>17646</v>
      </c>
      <c r="C188" t="s">
        <v>666</v>
      </c>
      <c r="D188" t="s">
        <v>667</v>
      </c>
      <c r="E188" t="s">
        <v>288</v>
      </c>
      <c r="F188" t="s">
        <v>707</v>
      </c>
      <c r="G188" t="s">
        <v>708</v>
      </c>
      <c r="H188" t="s">
        <v>709</v>
      </c>
      <c r="I188" t="s">
        <v>671</v>
      </c>
      <c r="K188" t="s">
        <v>46</v>
      </c>
      <c r="L188" t="s">
        <v>54</v>
      </c>
      <c r="M188" t="s">
        <v>30</v>
      </c>
      <c r="N188" t="s">
        <v>67</v>
      </c>
      <c r="O188" t="s">
        <v>56</v>
      </c>
      <c r="P188" t="s">
        <v>33</v>
      </c>
      <c r="Q188">
        <v>5</v>
      </c>
      <c r="R188" s="1">
        <v>8.6805555555555551E-4</v>
      </c>
      <c r="S188" s="1">
        <v>7.6388888888888893E-4</v>
      </c>
    </row>
    <row r="189" spans="1:19" x14ac:dyDescent="0.35">
      <c r="A189" t="s">
        <v>20</v>
      </c>
      <c r="B189">
        <v>17646</v>
      </c>
      <c r="C189" t="s">
        <v>666</v>
      </c>
      <c r="D189" t="s">
        <v>667</v>
      </c>
      <c r="E189" t="s">
        <v>292</v>
      </c>
      <c r="F189" t="s">
        <v>710</v>
      </c>
      <c r="G189" t="s">
        <v>711</v>
      </c>
      <c r="H189" t="s">
        <v>712</v>
      </c>
      <c r="I189" t="s">
        <v>671</v>
      </c>
      <c r="K189" t="s">
        <v>61</v>
      </c>
      <c r="L189" t="s">
        <v>85</v>
      </c>
      <c r="M189" t="s">
        <v>30</v>
      </c>
      <c r="N189" t="s">
        <v>148</v>
      </c>
      <c r="O189" t="s">
        <v>56</v>
      </c>
      <c r="P189" t="s">
        <v>33</v>
      </c>
      <c r="Q189">
        <v>0</v>
      </c>
      <c r="R189" s="1">
        <v>9.2592592592592588E-5</v>
      </c>
      <c r="S189" s="1">
        <v>0</v>
      </c>
    </row>
    <row r="190" spans="1:19" x14ac:dyDescent="0.35">
      <c r="A190" t="s">
        <v>20</v>
      </c>
      <c r="B190">
        <v>17646</v>
      </c>
      <c r="C190" t="s">
        <v>666</v>
      </c>
      <c r="D190" t="s">
        <v>667</v>
      </c>
      <c r="E190" t="s">
        <v>296</v>
      </c>
      <c r="F190" t="s">
        <v>713</v>
      </c>
      <c r="G190" t="s">
        <v>714</v>
      </c>
      <c r="H190" t="s">
        <v>713</v>
      </c>
      <c r="I190" t="s">
        <v>671</v>
      </c>
      <c r="K190" t="s">
        <v>46</v>
      </c>
      <c r="L190" t="s">
        <v>39</v>
      </c>
      <c r="M190" t="s">
        <v>48</v>
      </c>
      <c r="N190" t="s">
        <v>55</v>
      </c>
      <c r="O190" t="s">
        <v>56</v>
      </c>
      <c r="P190" t="s">
        <v>33</v>
      </c>
      <c r="Q190">
        <v>0</v>
      </c>
      <c r="R190" s="1">
        <v>8.1018518518518516E-5</v>
      </c>
      <c r="S190" s="1">
        <v>0</v>
      </c>
    </row>
    <row r="191" spans="1:19" x14ac:dyDescent="0.35">
      <c r="A191" t="s">
        <v>20</v>
      </c>
      <c r="B191">
        <v>17646</v>
      </c>
      <c r="C191" t="s">
        <v>666</v>
      </c>
      <c r="D191" t="s">
        <v>667</v>
      </c>
      <c r="E191" t="s">
        <v>300</v>
      </c>
      <c r="F191" t="s">
        <v>715</v>
      </c>
      <c r="G191" t="s">
        <v>716</v>
      </c>
      <c r="H191" t="s">
        <v>717</v>
      </c>
      <c r="I191" t="s">
        <v>671</v>
      </c>
      <c r="K191" t="s">
        <v>38</v>
      </c>
      <c r="L191" t="s">
        <v>47</v>
      </c>
      <c r="M191" t="s">
        <v>478</v>
      </c>
      <c r="N191" t="s">
        <v>90</v>
      </c>
      <c r="O191" t="s">
        <v>76</v>
      </c>
      <c r="P191" t="s">
        <v>33</v>
      </c>
      <c r="Q191">
        <v>0</v>
      </c>
      <c r="R191" s="1">
        <v>9.2592592592592588E-5</v>
      </c>
      <c r="S191" s="1">
        <v>0</v>
      </c>
    </row>
    <row r="192" spans="1:19" x14ac:dyDescent="0.35">
      <c r="A192" t="s">
        <v>20</v>
      </c>
      <c r="B192">
        <v>17646</v>
      </c>
      <c r="C192" t="s">
        <v>666</v>
      </c>
      <c r="D192" t="s">
        <v>667</v>
      </c>
      <c r="E192" t="s">
        <v>304</v>
      </c>
      <c r="F192" t="s">
        <v>718</v>
      </c>
      <c r="G192" t="s">
        <v>719</v>
      </c>
      <c r="H192" t="s">
        <v>720</v>
      </c>
      <c r="I192" t="s">
        <v>671</v>
      </c>
      <c r="K192" t="s">
        <v>38</v>
      </c>
      <c r="L192" t="s">
        <v>181</v>
      </c>
      <c r="M192" t="s">
        <v>40</v>
      </c>
      <c r="N192" t="s">
        <v>41</v>
      </c>
      <c r="O192" t="s">
        <v>76</v>
      </c>
      <c r="P192" t="s">
        <v>33</v>
      </c>
      <c r="Q192">
        <v>1</v>
      </c>
      <c r="R192" s="1">
        <v>2.7777777777777778E-4</v>
      </c>
      <c r="S192" s="1">
        <v>1.7361111111111109E-4</v>
      </c>
    </row>
    <row r="193" spans="1:19" x14ac:dyDescent="0.35">
      <c r="A193" t="s">
        <v>20</v>
      </c>
      <c r="B193">
        <v>17646</v>
      </c>
      <c r="C193" t="s">
        <v>666</v>
      </c>
      <c r="D193" t="s">
        <v>667</v>
      </c>
      <c r="E193" t="s">
        <v>308</v>
      </c>
      <c r="F193" t="s">
        <v>721</v>
      </c>
      <c r="G193" t="s">
        <v>722</v>
      </c>
      <c r="H193" t="s">
        <v>723</v>
      </c>
      <c r="I193" t="s">
        <v>671</v>
      </c>
      <c r="K193" t="s">
        <v>46</v>
      </c>
      <c r="L193" t="s">
        <v>54</v>
      </c>
      <c r="M193" t="s">
        <v>40</v>
      </c>
      <c r="N193" t="s">
        <v>115</v>
      </c>
      <c r="O193" t="s">
        <v>56</v>
      </c>
      <c r="P193" t="s">
        <v>33</v>
      </c>
      <c r="Q193">
        <v>1</v>
      </c>
      <c r="R193" s="1">
        <v>4.1666666666666669E-4</v>
      </c>
      <c r="S193" s="1">
        <v>3.1250000000000001E-4</v>
      </c>
    </row>
    <row r="194" spans="1:19" x14ac:dyDescent="0.35">
      <c r="A194" t="s">
        <v>20</v>
      </c>
      <c r="B194">
        <v>17646</v>
      </c>
      <c r="C194" t="s">
        <v>666</v>
      </c>
      <c r="D194" t="s">
        <v>667</v>
      </c>
      <c r="E194" t="s">
        <v>312</v>
      </c>
      <c r="F194" t="s">
        <v>724</v>
      </c>
      <c r="G194" t="s">
        <v>725</v>
      </c>
      <c r="H194" t="s">
        <v>726</v>
      </c>
      <c r="I194" t="s">
        <v>671</v>
      </c>
      <c r="K194" t="s">
        <v>28</v>
      </c>
      <c r="L194" t="s">
        <v>62</v>
      </c>
      <c r="M194" t="s">
        <v>30</v>
      </c>
      <c r="N194" t="s">
        <v>55</v>
      </c>
      <c r="O194" t="s">
        <v>32</v>
      </c>
      <c r="P194" t="s">
        <v>33</v>
      </c>
      <c r="Q194">
        <v>5</v>
      </c>
      <c r="R194" s="1">
        <v>6.8287037037037036E-4</v>
      </c>
      <c r="S194" s="1">
        <v>5.7870370370370367E-4</v>
      </c>
    </row>
    <row r="195" spans="1:19" x14ac:dyDescent="0.35">
      <c r="A195" t="s">
        <v>20</v>
      </c>
      <c r="B195">
        <v>17646</v>
      </c>
      <c r="C195" t="s">
        <v>666</v>
      </c>
      <c r="D195" t="s">
        <v>667</v>
      </c>
      <c r="E195" t="s">
        <v>316</v>
      </c>
      <c r="F195" t="s">
        <v>727</v>
      </c>
      <c r="G195" t="s">
        <v>728</v>
      </c>
      <c r="H195" t="s">
        <v>729</v>
      </c>
      <c r="I195" t="s">
        <v>671</v>
      </c>
      <c r="K195" t="s">
        <v>46</v>
      </c>
      <c r="L195" t="s">
        <v>730</v>
      </c>
      <c r="M195" t="s">
        <v>30</v>
      </c>
      <c r="N195" t="s">
        <v>55</v>
      </c>
      <c r="O195" t="s">
        <v>56</v>
      </c>
      <c r="P195" t="s">
        <v>33</v>
      </c>
      <c r="Q195">
        <v>2</v>
      </c>
      <c r="R195" s="1">
        <v>3.9351851851851852E-4</v>
      </c>
      <c r="S195" s="1">
        <v>2.8935185185185178E-4</v>
      </c>
    </row>
    <row r="196" spans="1:19" x14ac:dyDescent="0.35">
      <c r="A196" t="s">
        <v>20</v>
      </c>
      <c r="B196">
        <v>17646</v>
      </c>
      <c r="C196" t="s">
        <v>666</v>
      </c>
      <c r="D196" t="s">
        <v>667</v>
      </c>
      <c r="E196" t="s">
        <v>320</v>
      </c>
      <c r="F196" t="s">
        <v>731</v>
      </c>
      <c r="G196" t="s">
        <v>732</v>
      </c>
      <c r="H196" t="s">
        <v>733</v>
      </c>
      <c r="I196" t="s">
        <v>671</v>
      </c>
      <c r="K196" t="s">
        <v>46</v>
      </c>
      <c r="L196" t="s">
        <v>47</v>
      </c>
      <c r="M196" t="s">
        <v>40</v>
      </c>
      <c r="N196" t="s">
        <v>41</v>
      </c>
      <c r="O196" t="s">
        <v>56</v>
      </c>
      <c r="P196" t="s">
        <v>33</v>
      </c>
      <c r="Q196">
        <v>1</v>
      </c>
      <c r="R196" s="1">
        <v>3.3564814814814812E-4</v>
      </c>
      <c r="S196" s="1">
        <v>2.3148148148148149E-4</v>
      </c>
    </row>
    <row r="197" spans="1:19" x14ac:dyDescent="0.35">
      <c r="A197" t="s">
        <v>20</v>
      </c>
      <c r="B197">
        <v>17646</v>
      </c>
      <c r="C197" t="s">
        <v>666</v>
      </c>
      <c r="D197" t="s">
        <v>667</v>
      </c>
      <c r="E197" t="s">
        <v>324</v>
      </c>
      <c r="F197" t="s">
        <v>734</v>
      </c>
      <c r="G197" t="s">
        <v>735</v>
      </c>
      <c r="H197" t="s">
        <v>736</v>
      </c>
      <c r="I197" t="s">
        <v>671</v>
      </c>
      <c r="K197" t="s">
        <v>46</v>
      </c>
      <c r="L197" t="s">
        <v>29</v>
      </c>
      <c r="M197" t="s">
        <v>40</v>
      </c>
      <c r="N197" t="s">
        <v>55</v>
      </c>
      <c r="O197" t="s">
        <v>32</v>
      </c>
      <c r="P197" t="s">
        <v>33</v>
      </c>
      <c r="Q197">
        <v>1</v>
      </c>
      <c r="R197" s="1">
        <v>3.1250000000000001E-4</v>
      </c>
      <c r="S197" s="1">
        <v>2.0833333333333329E-4</v>
      </c>
    </row>
    <row r="198" spans="1:19" x14ac:dyDescent="0.35">
      <c r="A198" t="s">
        <v>20</v>
      </c>
      <c r="B198">
        <v>17646</v>
      </c>
      <c r="C198" t="s">
        <v>666</v>
      </c>
      <c r="D198" t="s">
        <v>667</v>
      </c>
      <c r="E198" t="s">
        <v>328</v>
      </c>
      <c r="F198" t="s">
        <v>737</v>
      </c>
      <c r="G198" t="s">
        <v>738</v>
      </c>
      <c r="H198" t="s">
        <v>739</v>
      </c>
      <c r="I198" t="s">
        <v>671</v>
      </c>
      <c r="K198" t="s">
        <v>38</v>
      </c>
      <c r="L198" t="s">
        <v>47</v>
      </c>
      <c r="M198" t="s">
        <v>48</v>
      </c>
      <c r="N198" t="s">
        <v>90</v>
      </c>
      <c r="O198" t="s">
        <v>32</v>
      </c>
      <c r="P198" t="s">
        <v>33</v>
      </c>
      <c r="Q198">
        <v>0</v>
      </c>
      <c r="R198" s="1">
        <v>1.6203703703703701E-4</v>
      </c>
      <c r="S198" s="1">
        <v>5.7870370370370373E-5</v>
      </c>
    </row>
    <row r="199" spans="1:19" x14ac:dyDescent="0.35">
      <c r="A199" t="s">
        <v>20</v>
      </c>
      <c r="B199">
        <v>17646</v>
      </c>
      <c r="C199" t="s">
        <v>666</v>
      </c>
      <c r="D199" t="s">
        <v>667</v>
      </c>
      <c r="E199" t="s">
        <v>332</v>
      </c>
      <c r="F199" t="s">
        <v>740</v>
      </c>
      <c r="G199" t="s">
        <v>741</v>
      </c>
      <c r="H199" t="s">
        <v>742</v>
      </c>
      <c r="I199" t="s">
        <v>671</v>
      </c>
      <c r="K199" t="s">
        <v>28</v>
      </c>
      <c r="L199" t="s">
        <v>62</v>
      </c>
      <c r="M199" t="s">
        <v>30</v>
      </c>
      <c r="N199" t="s">
        <v>55</v>
      </c>
      <c r="O199" t="s">
        <v>32</v>
      </c>
      <c r="P199" t="s">
        <v>33</v>
      </c>
      <c r="Q199">
        <v>0</v>
      </c>
      <c r="R199" s="1">
        <v>2.3148148148148149E-4</v>
      </c>
      <c r="S199" s="1">
        <v>1.273148148148148E-4</v>
      </c>
    </row>
    <row r="200" spans="1:19" x14ac:dyDescent="0.35">
      <c r="A200" t="s">
        <v>20</v>
      </c>
      <c r="B200">
        <v>17646</v>
      </c>
      <c r="C200" t="s">
        <v>666</v>
      </c>
      <c r="D200" t="s">
        <v>667</v>
      </c>
      <c r="E200" t="s">
        <v>336</v>
      </c>
      <c r="F200" t="s">
        <v>743</v>
      </c>
      <c r="G200" t="s">
        <v>744</v>
      </c>
      <c r="H200" t="s">
        <v>745</v>
      </c>
      <c r="I200" t="s">
        <v>671</v>
      </c>
      <c r="K200" t="s">
        <v>38</v>
      </c>
      <c r="L200" t="s">
        <v>47</v>
      </c>
      <c r="M200" t="s">
        <v>40</v>
      </c>
      <c r="N200" t="s">
        <v>90</v>
      </c>
      <c r="O200" t="s">
        <v>56</v>
      </c>
      <c r="P200" t="s">
        <v>33</v>
      </c>
      <c r="Q200">
        <v>0</v>
      </c>
      <c r="R200" s="1">
        <v>1.6203703703703701E-4</v>
      </c>
      <c r="S200" s="1">
        <v>5.7870370370370373E-5</v>
      </c>
    </row>
    <row r="201" spans="1:19" x14ac:dyDescent="0.35">
      <c r="A201" t="s">
        <v>20</v>
      </c>
      <c r="B201">
        <v>17646</v>
      </c>
      <c r="C201" t="s">
        <v>666</v>
      </c>
      <c r="D201" t="s">
        <v>667</v>
      </c>
      <c r="E201" t="s">
        <v>340</v>
      </c>
      <c r="F201" t="s">
        <v>746</v>
      </c>
      <c r="G201" t="s">
        <v>747</v>
      </c>
      <c r="H201" t="s">
        <v>748</v>
      </c>
      <c r="I201" t="s">
        <v>671</v>
      </c>
      <c r="K201" t="s">
        <v>46</v>
      </c>
      <c r="L201" t="s">
        <v>54</v>
      </c>
      <c r="M201" t="s">
        <v>478</v>
      </c>
      <c r="N201" t="s">
        <v>90</v>
      </c>
      <c r="O201" t="s">
        <v>56</v>
      </c>
      <c r="P201" t="s">
        <v>33</v>
      </c>
      <c r="Q201">
        <v>0</v>
      </c>
      <c r="R201" s="1">
        <v>2.3148148148148149E-4</v>
      </c>
      <c r="S201" s="1">
        <v>1.273148148148148E-4</v>
      </c>
    </row>
    <row r="202" spans="1:19" x14ac:dyDescent="0.35">
      <c r="A202" t="s">
        <v>20</v>
      </c>
      <c r="B202">
        <v>17646</v>
      </c>
      <c r="C202" t="s">
        <v>666</v>
      </c>
      <c r="D202" t="s">
        <v>667</v>
      </c>
      <c r="E202" t="s">
        <v>344</v>
      </c>
      <c r="F202" t="s">
        <v>749</v>
      </c>
      <c r="G202" t="s">
        <v>750</v>
      </c>
      <c r="H202" t="s">
        <v>751</v>
      </c>
      <c r="I202" t="s">
        <v>671</v>
      </c>
      <c r="K202" t="s">
        <v>46</v>
      </c>
      <c r="L202" t="s">
        <v>39</v>
      </c>
      <c r="M202" t="s">
        <v>48</v>
      </c>
      <c r="N202" t="s">
        <v>55</v>
      </c>
      <c r="O202" t="s">
        <v>76</v>
      </c>
      <c r="P202" t="s">
        <v>33</v>
      </c>
      <c r="Q202">
        <v>0</v>
      </c>
      <c r="R202" s="1">
        <v>1.157407407407407E-4</v>
      </c>
      <c r="S202" s="1">
        <v>1.157407407407407E-5</v>
      </c>
    </row>
    <row r="203" spans="1:19" x14ac:dyDescent="0.35">
      <c r="A203" t="s">
        <v>20</v>
      </c>
      <c r="B203">
        <v>17646</v>
      </c>
      <c r="C203" t="s">
        <v>666</v>
      </c>
      <c r="D203" t="s">
        <v>667</v>
      </c>
      <c r="E203" t="s">
        <v>348</v>
      </c>
      <c r="F203" t="s">
        <v>752</v>
      </c>
      <c r="G203" t="s">
        <v>753</v>
      </c>
      <c r="H203" t="s">
        <v>754</v>
      </c>
      <c r="I203" t="s">
        <v>671</v>
      </c>
      <c r="K203" t="s">
        <v>46</v>
      </c>
      <c r="L203" t="s">
        <v>47</v>
      </c>
      <c r="M203" t="s">
        <v>30</v>
      </c>
      <c r="N203" t="s">
        <v>41</v>
      </c>
      <c r="O203" t="s">
        <v>32</v>
      </c>
      <c r="P203" t="s">
        <v>33</v>
      </c>
      <c r="Q203">
        <v>0</v>
      </c>
      <c r="R203" s="1">
        <v>2.0833333333333329E-4</v>
      </c>
      <c r="S203" s="1">
        <v>1.041666666666667E-4</v>
      </c>
    </row>
    <row r="204" spans="1:19" x14ac:dyDescent="0.35">
      <c r="A204" t="s">
        <v>20</v>
      </c>
      <c r="B204">
        <v>17646</v>
      </c>
      <c r="C204" t="s">
        <v>666</v>
      </c>
      <c r="D204" t="s">
        <v>667</v>
      </c>
      <c r="E204" t="s">
        <v>352</v>
      </c>
      <c r="F204" t="s">
        <v>755</v>
      </c>
      <c r="G204" t="s">
        <v>756</v>
      </c>
      <c r="H204" t="s">
        <v>757</v>
      </c>
      <c r="I204" t="s">
        <v>671</v>
      </c>
      <c r="K204" t="s">
        <v>28</v>
      </c>
      <c r="L204" t="s">
        <v>29</v>
      </c>
      <c r="M204" t="s">
        <v>40</v>
      </c>
      <c r="N204" t="s">
        <v>55</v>
      </c>
      <c r="O204" t="s">
        <v>56</v>
      </c>
      <c r="P204" t="s">
        <v>33</v>
      </c>
      <c r="Q204">
        <v>5</v>
      </c>
      <c r="R204" s="1">
        <v>7.6388888888888893E-4</v>
      </c>
      <c r="S204" s="1">
        <v>6.5972222222222224E-4</v>
      </c>
    </row>
    <row r="205" spans="1:19" x14ac:dyDescent="0.35">
      <c r="A205" t="s">
        <v>20</v>
      </c>
      <c r="B205">
        <v>17646</v>
      </c>
      <c r="C205" t="s">
        <v>666</v>
      </c>
      <c r="D205" t="s">
        <v>667</v>
      </c>
      <c r="E205" t="s">
        <v>356</v>
      </c>
      <c r="F205" t="s">
        <v>758</v>
      </c>
      <c r="G205" t="s">
        <v>759</v>
      </c>
      <c r="H205" t="s">
        <v>760</v>
      </c>
      <c r="I205" t="s">
        <v>671</v>
      </c>
      <c r="K205" t="s">
        <v>46</v>
      </c>
      <c r="L205" t="s">
        <v>29</v>
      </c>
      <c r="M205" t="s">
        <v>40</v>
      </c>
      <c r="N205" t="s">
        <v>90</v>
      </c>
      <c r="O205" t="s">
        <v>56</v>
      </c>
      <c r="P205" t="s">
        <v>33</v>
      </c>
      <c r="Q205">
        <v>2</v>
      </c>
      <c r="R205" s="1">
        <v>4.1666666666666669E-4</v>
      </c>
      <c r="S205" s="1">
        <v>3.1250000000000001E-4</v>
      </c>
    </row>
    <row r="206" spans="1:19" x14ac:dyDescent="0.35">
      <c r="A206" t="s">
        <v>20</v>
      </c>
      <c r="B206">
        <v>17646</v>
      </c>
      <c r="C206" t="s">
        <v>666</v>
      </c>
      <c r="D206" t="s">
        <v>667</v>
      </c>
      <c r="E206" t="s">
        <v>360</v>
      </c>
      <c r="F206" t="s">
        <v>761</v>
      </c>
      <c r="G206" t="s">
        <v>762</v>
      </c>
      <c r="H206" t="s">
        <v>763</v>
      </c>
      <c r="I206" t="s">
        <v>671</v>
      </c>
      <c r="K206" t="s">
        <v>28</v>
      </c>
      <c r="L206" t="s">
        <v>47</v>
      </c>
      <c r="M206" t="s">
        <v>40</v>
      </c>
      <c r="N206" t="s">
        <v>55</v>
      </c>
      <c r="O206" t="s">
        <v>56</v>
      </c>
      <c r="P206" t="s">
        <v>33</v>
      </c>
      <c r="Q206">
        <v>2</v>
      </c>
      <c r="R206" s="1">
        <v>3.2407407407407412E-4</v>
      </c>
      <c r="S206" s="1">
        <v>2.199074074074074E-4</v>
      </c>
    </row>
    <row r="207" spans="1:19" x14ac:dyDescent="0.35">
      <c r="A207" t="s">
        <v>20</v>
      </c>
      <c r="B207">
        <v>17646</v>
      </c>
      <c r="C207" t="s">
        <v>666</v>
      </c>
      <c r="D207" t="s">
        <v>667</v>
      </c>
      <c r="E207" t="s">
        <v>364</v>
      </c>
      <c r="F207" t="s">
        <v>764</v>
      </c>
      <c r="G207" t="s">
        <v>765</v>
      </c>
      <c r="H207" t="s">
        <v>766</v>
      </c>
      <c r="I207" t="s">
        <v>671</v>
      </c>
      <c r="K207" t="s">
        <v>28</v>
      </c>
      <c r="L207" t="s">
        <v>47</v>
      </c>
      <c r="M207" t="s">
        <v>40</v>
      </c>
      <c r="N207" t="s">
        <v>55</v>
      </c>
      <c r="O207" t="s">
        <v>56</v>
      </c>
      <c r="P207" t="s">
        <v>33</v>
      </c>
      <c r="Q207">
        <v>0</v>
      </c>
      <c r="R207" s="1">
        <v>1.3888888888888889E-4</v>
      </c>
      <c r="S207" s="1">
        <v>3.4722222222222222E-5</v>
      </c>
    </row>
    <row r="208" spans="1:19" x14ac:dyDescent="0.35">
      <c r="A208" t="s">
        <v>20</v>
      </c>
      <c r="B208">
        <v>17646</v>
      </c>
      <c r="C208" t="s">
        <v>666</v>
      </c>
      <c r="D208" t="s">
        <v>667</v>
      </c>
      <c r="E208" t="s">
        <v>368</v>
      </c>
      <c r="F208" t="s">
        <v>767</v>
      </c>
      <c r="G208" t="s">
        <v>768</v>
      </c>
      <c r="H208" t="s">
        <v>769</v>
      </c>
      <c r="I208" t="s">
        <v>671</v>
      </c>
      <c r="K208" t="s">
        <v>28</v>
      </c>
      <c r="L208" t="s">
        <v>62</v>
      </c>
      <c r="M208" t="s">
        <v>40</v>
      </c>
      <c r="N208" t="s">
        <v>67</v>
      </c>
      <c r="O208" t="s">
        <v>76</v>
      </c>
      <c r="P208" t="s">
        <v>33</v>
      </c>
      <c r="Q208">
        <v>4</v>
      </c>
      <c r="R208" s="1">
        <v>5.6712962962962967E-4</v>
      </c>
      <c r="S208" s="1">
        <v>4.6296296296296298E-4</v>
      </c>
    </row>
    <row r="209" spans="1:19" x14ac:dyDescent="0.35">
      <c r="A209" t="s">
        <v>20</v>
      </c>
      <c r="B209">
        <v>17646</v>
      </c>
      <c r="C209" t="s">
        <v>666</v>
      </c>
      <c r="D209" t="s">
        <v>667</v>
      </c>
      <c r="E209" t="s">
        <v>372</v>
      </c>
      <c r="F209" t="s">
        <v>770</v>
      </c>
      <c r="G209" t="s">
        <v>771</v>
      </c>
      <c r="H209" t="s">
        <v>772</v>
      </c>
      <c r="I209" t="s">
        <v>671</v>
      </c>
      <c r="K209" t="s">
        <v>61</v>
      </c>
      <c r="L209" t="s">
        <v>62</v>
      </c>
      <c r="M209" t="s">
        <v>30</v>
      </c>
      <c r="N209" t="s">
        <v>31</v>
      </c>
      <c r="O209" t="s">
        <v>76</v>
      </c>
      <c r="P209" t="s">
        <v>33</v>
      </c>
      <c r="Q209">
        <v>0</v>
      </c>
      <c r="R209" s="1">
        <v>2.6620370370370372E-4</v>
      </c>
      <c r="S209" s="1">
        <v>1.6203703703703701E-4</v>
      </c>
    </row>
    <row r="210" spans="1:19" x14ac:dyDescent="0.35">
      <c r="A210" t="s">
        <v>20</v>
      </c>
      <c r="B210">
        <v>17646</v>
      </c>
      <c r="C210" t="s">
        <v>666</v>
      </c>
      <c r="D210" t="s">
        <v>667</v>
      </c>
      <c r="E210" t="s">
        <v>376</v>
      </c>
      <c r="F210" t="s">
        <v>773</v>
      </c>
      <c r="G210" t="s">
        <v>774</v>
      </c>
      <c r="H210" t="s">
        <v>775</v>
      </c>
      <c r="I210" t="s">
        <v>671</v>
      </c>
      <c r="K210" t="s">
        <v>46</v>
      </c>
      <c r="L210" t="s">
        <v>39</v>
      </c>
      <c r="M210" t="s">
        <v>40</v>
      </c>
      <c r="N210" t="s">
        <v>41</v>
      </c>
      <c r="O210" t="s">
        <v>76</v>
      </c>
      <c r="P210" t="s">
        <v>33</v>
      </c>
      <c r="Q210">
        <v>2</v>
      </c>
      <c r="R210" s="1">
        <v>4.3981481481481481E-4</v>
      </c>
      <c r="S210" s="1">
        <v>3.3564814814814812E-4</v>
      </c>
    </row>
    <row r="211" spans="1:19" x14ac:dyDescent="0.35">
      <c r="A211" t="s">
        <v>20</v>
      </c>
      <c r="B211">
        <v>17646</v>
      </c>
      <c r="C211" t="s">
        <v>666</v>
      </c>
      <c r="D211" t="s">
        <v>667</v>
      </c>
      <c r="E211" t="s">
        <v>380</v>
      </c>
      <c r="F211" t="s">
        <v>776</v>
      </c>
      <c r="G211" t="s">
        <v>777</v>
      </c>
      <c r="H211" t="s">
        <v>778</v>
      </c>
      <c r="I211" t="s">
        <v>671</v>
      </c>
      <c r="K211" t="s">
        <v>28</v>
      </c>
      <c r="L211" t="s">
        <v>181</v>
      </c>
      <c r="M211" t="s">
        <v>40</v>
      </c>
      <c r="N211" t="s">
        <v>55</v>
      </c>
      <c r="O211" t="s">
        <v>32</v>
      </c>
      <c r="P211" t="s">
        <v>33</v>
      </c>
      <c r="Q211">
        <v>1</v>
      </c>
      <c r="R211" s="1">
        <v>2.5462962962962961E-4</v>
      </c>
      <c r="S211" s="1">
        <v>1.50462962962963E-4</v>
      </c>
    </row>
    <row r="212" spans="1:19" x14ac:dyDescent="0.35">
      <c r="A212" t="s">
        <v>20</v>
      </c>
      <c r="B212">
        <v>17646</v>
      </c>
      <c r="C212" t="s">
        <v>666</v>
      </c>
      <c r="D212" t="s">
        <v>667</v>
      </c>
      <c r="E212" t="s">
        <v>383</v>
      </c>
      <c r="F212" t="s">
        <v>779</v>
      </c>
      <c r="G212" t="s">
        <v>780</v>
      </c>
      <c r="H212" t="s">
        <v>781</v>
      </c>
      <c r="I212" t="s">
        <v>671</v>
      </c>
      <c r="K212" t="s">
        <v>46</v>
      </c>
      <c r="L212" t="s">
        <v>29</v>
      </c>
      <c r="M212" t="s">
        <v>40</v>
      </c>
      <c r="N212" t="s">
        <v>55</v>
      </c>
      <c r="O212" t="s">
        <v>56</v>
      </c>
      <c r="P212" t="s">
        <v>33</v>
      </c>
      <c r="Q212">
        <v>0</v>
      </c>
      <c r="R212" s="1">
        <v>1.851851851851852E-4</v>
      </c>
      <c r="S212" s="1">
        <v>8.1018518518518516E-5</v>
      </c>
    </row>
    <row r="213" spans="1:19" x14ac:dyDescent="0.35">
      <c r="A213" t="s">
        <v>20</v>
      </c>
      <c r="B213">
        <v>17646</v>
      </c>
      <c r="C213" t="s">
        <v>666</v>
      </c>
      <c r="D213" t="s">
        <v>667</v>
      </c>
      <c r="E213" t="s">
        <v>387</v>
      </c>
      <c r="F213" t="s">
        <v>782</v>
      </c>
      <c r="G213" t="s">
        <v>783</v>
      </c>
      <c r="H213" t="s">
        <v>784</v>
      </c>
      <c r="I213" t="s">
        <v>671</v>
      </c>
      <c r="K213" t="s">
        <v>46</v>
      </c>
      <c r="L213" t="s">
        <v>47</v>
      </c>
      <c r="M213" t="s">
        <v>30</v>
      </c>
      <c r="N213" t="s">
        <v>55</v>
      </c>
      <c r="O213" t="s">
        <v>76</v>
      </c>
      <c r="P213" t="s">
        <v>33</v>
      </c>
      <c r="Q213">
        <v>0</v>
      </c>
      <c r="R213" s="1">
        <v>1.851851851851852E-4</v>
      </c>
      <c r="S213" s="1">
        <v>8.1018518518518516E-5</v>
      </c>
    </row>
    <row r="214" spans="1:19" x14ac:dyDescent="0.35">
      <c r="A214" t="s">
        <v>20</v>
      </c>
      <c r="B214">
        <v>17646</v>
      </c>
      <c r="C214" t="s">
        <v>666</v>
      </c>
      <c r="D214" t="s">
        <v>667</v>
      </c>
      <c r="E214" t="s">
        <v>391</v>
      </c>
      <c r="F214" t="s">
        <v>785</v>
      </c>
      <c r="G214" t="s">
        <v>786</v>
      </c>
      <c r="H214" t="s">
        <v>787</v>
      </c>
      <c r="I214" t="s">
        <v>671</v>
      </c>
      <c r="K214" t="s">
        <v>28</v>
      </c>
      <c r="L214" t="s">
        <v>62</v>
      </c>
      <c r="M214" t="s">
        <v>40</v>
      </c>
      <c r="N214" t="s">
        <v>67</v>
      </c>
      <c r="O214" t="s">
        <v>32</v>
      </c>
      <c r="P214" t="s">
        <v>33</v>
      </c>
      <c r="Q214">
        <v>3</v>
      </c>
      <c r="R214" s="1">
        <v>4.2824074074074081E-4</v>
      </c>
      <c r="S214" s="1">
        <v>3.2407407407407412E-4</v>
      </c>
    </row>
    <row r="215" spans="1:19" x14ac:dyDescent="0.35">
      <c r="A215" t="s">
        <v>20</v>
      </c>
      <c r="B215">
        <v>17646</v>
      </c>
      <c r="C215" t="s">
        <v>666</v>
      </c>
      <c r="D215" t="s">
        <v>667</v>
      </c>
      <c r="E215" t="s">
        <v>394</v>
      </c>
      <c r="F215" t="s">
        <v>788</v>
      </c>
      <c r="G215" t="s">
        <v>789</v>
      </c>
      <c r="H215" t="s">
        <v>790</v>
      </c>
      <c r="I215" t="s">
        <v>671</v>
      </c>
      <c r="K215" t="s">
        <v>61</v>
      </c>
      <c r="L215" t="s">
        <v>62</v>
      </c>
      <c r="M215" t="s">
        <v>30</v>
      </c>
      <c r="N215" t="s">
        <v>55</v>
      </c>
      <c r="O215" t="s">
        <v>32</v>
      </c>
      <c r="P215" t="s">
        <v>33</v>
      </c>
      <c r="Q215">
        <v>6</v>
      </c>
      <c r="R215" s="1">
        <v>7.1759259259259259E-4</v>
      </c>
      <c r="S215" s="1">
        <v>6.134259259259259E-4</v>
      </c>
    </row>
    <row r="216" spans="1:19" x14ac:dyDescent="0.35">
      <c r="A216" t="s">
        <v>20</v>
      </c>
      <c r="B216">
        <v>17646</v>
      </c>
      <c r="C216" t="s">
        <v>666</v>
      </c>
      <c r="D216" t="s">
        <v>667</v>
      </c>
      <c r="E216" t="s">
        <v>398</v>
      </c>
      <c r="F216" t="s">
        <v>791</v>
      </c>
      <c r="G216" t="s">
        <v>792</v>
      </c>
      <c r="H216" t="s">
        <v>793</v>
      </c>
      <c r="I216" t="s">
        <v>671</v>
      </c>
      <c r="K216" t="s">
        <v>61</v>
      </c>
      <c r="L216" t="s">
        <v>85</v>
      </c>
      <c r="M216" t="s">
        <v>30</v>
      </c>
      <c r="N216" t="s">
        <v>55</v>
      </c>
      <c r="O216" t="s">
        <v>56</v>
      </c>
      <c r="P216" t="s">
        <v>33</v>
      </c>
      <c r="Q216">
        <v>0</v>
      </c>
      <c r="R216" s="1">
        <v>1.273148148148148E-4</v>
      </c>
      <c r="S216" s="1">
        <v>2.314814814814815E-5</v>
      </c>
    </row>
    <row r="217" spans="1:19" x14ac:dyDescent="0.35">
      <c r="A217" t="s">
        <v>20</v>
      </c>
      <c r="B217">
        <v>17646</v>
      </c>
      <c r="C217" t="s">
        <v>666</v>
      </c>
      <c r="D217" t="s">
        <v>667</v>
      </c>
      <c r="E217" t="s">
        <v>402</v>
      </c>
      <c r="F217" t="s">
        <v>794</v>
      </c>
      <c r="G217" t="s">
        <v>795</v>
      </c>
      <c r="H217" t="s">
        <v>796</v>
      </c>
      <c r="I217" t="s">
        <v>671</v>
      </c>
      <c r="K217" t="s">
        <v>46</v>
      </c>
      <c r="L217" t="s">
        <v>62</v>
      </c>
      <c r="M217" t="s">
        <v>40</v>
      </c>
      <c r="N217" t="s">
        <v>67</v>
      </c>
      <c r="O217" t="s">
        <v>32</v>
      </c>
      <c r="P217" t="s">
        <v>33</v>
      </c>
      <c r="Q217">
        <v>3</v>
      </c>
      <c r="R217" s="1">
        <v>5.4398148148148144E-4</v>
      </c>
      <c r="S217" s="1">
        <v>4.3981481481481481E-4</v>
      </c>
    </row>
    <row r="218" spans="1:19" x14ac:dyDescent="0.35">
      <c r="A218" t="s">
        <v>20</v>
      </c>
      <c r="B218">
        <v>17646</v>
      </c>
      <c r="C218" t="s">
        <v>666</v>
      </c>
      <c r="D218" t="s">
        <v>667</v>
      </c>
      <c r="E218" t="s">
        <v>406</v>
      </c>
      <c r="F218" t="s">
        <v>797</v>
      </c>
      <c r="G218" t="s">
        <v>798</v>
      </c>
      <c r="H218" t="s">
        <v>799</v>
      </c>
      <c r="I218" t="s">
        <v>671</v>
      </c>
      <c r="K218" t="s">
        <v>28</v>
      </c>
      <c r="L218" t="s">
        <v>54</v>
      </c>
      <c r="M218" t="s">
        <v>40</v>
      </c>
      <c r="N218" t="s">
        <v>67</v>
      </c>
      <c r="O218" t="s">
        <v>56</v>
      </c>
      <c r="P218" t="s">
        <v>33</v>
      </c>
      <c r="Q218">
        <v>0</v>
      </c>
      <c r="R218" s="1">
        <v>1.3888888888888889E-4</v>
      </c>
      <c r="S218" s="1">
        <v>3.4722222222222222E-5</v>
      </c>
    </row>
    <row r="219" spans="1:19" x14ac:dyDescent="0.35">
      <c r="A219" t="s">
        <v>20</v>
      </c>
      <c r="B219">
        <v>17646</v>
      </c>
      <c r="C219" t="s">
        <v>666</v>
      </c>
      <c r="D219" t="s">
        <v>667</v>
      </c>
      <c r="E219" t="s">
        <v>410</v>
      </c>
      <c r="F219" t="s">
        <v>800</v>
      </c>
      <c r="G219" t="s">
        <v>801</v>
      </c>
      <c r="H219" t="s">
        <v>802</v>
      </c>
      <c r="I219" t="s">
        <v>671</v>
      </c>
      <c r="K219" t="s">
        <v>28</v>
      </c>
      <c r="L219" t="s">
        <v>85</v>
      </c>
      <c r="M219" t="s">
        <v>30</v>
      </c>
      <c r="N219" t="s">
        <v>55</v>
      </c>
      <c r="O219" t="s">
        <v>56</v>
      </c>
      <c r="P219" t="s">
        <v>33</v>
      </c>
      <c r="Q219">
        <v>0</v>
      </c>
      <c r="R219" s="1">
        <v>3.4722222222222218E-4</v>
      </c>
      <c r="S219" s="1">
        <v>2.4305555555555549E-4</v>
      </c>
    </row>
    <row r="220" spans="1:19" x14ac:dyDescent="0.35">
      <c r="A220" t="s">
        <v>20</v>
      </c>
      <c r="B220">
        <v>17646</v>
      </c>
      <c r="C220" t="s">
        <v>666</v>
      </c>
      <c r="D220" t="s">
        <v>667</v>
      </c>
      <c r="E220" t="s">
        <v>414</v>
      </c>
      <c r="F220" t="s">
        <v>803</v>
      </c>
      <c r="G220" t="s">
        <v>804</v>
      </c>
      <c r="H220" t="s">
        <v>805</v>
      </c>
      <c r="I220" t="s">
        <v>671</v>
      </c>
      <c r="K220" t="s">
        <v>46</v>
      </c>
      <c r="L220" t="s">
        <v>29</v>
      </c>
      <c r="M220" t="s">
        <v>40</v>
      </c>
      <c r="N220" t="s">
        <v>55</v>
      </c>
      <c r="O220" t="s">
        <v>32</v>
      </c>
      <c r="P220" t="s">
        <v>33</v>
      </c>
      <c r="Q220">
        <v>0</v>
      </c>
      <c r="R220" s="1">
        <v>2.0833333333333329E-4</v>
      </c>
      <c r="S220" s="1">
        <v>1.041666666666667E-4</v>
      </c>
    </row>
    <row r="221" spans="1:19" x14ac:dyDescent="0.35">
      <c r="A221" t="s">
        <v>20</v>
      </c>
      <c r="B221">
        <v>17646</v>
      </c>
      <c r="C221" t="s">
        <v>666</v>
      </c>
      <c r="D221" t="s">
        <v>667</v>
      </c>
      <c r="E221" t="s">
        <v>23</v>
      </c>
      <c r="F221" t="s">
        <v>806</v>
      </c>
      <c r="G221" t="s">
        <v>807</v>
      </c>
      <c r="H221" t="s">
        <v>808</v>
      </c>
      <c r="I221" t="s">
        <v>809</v>
      </c>
      <c r="K221" t="s">
        <v>38</v>
      </c>
      <c r="L221" t="s">
        <v>39</v>
      </c>
      <c r="M221" t="s">
        <v>48</v>
      </c>
      <c r="N221" t="s">
        <v>90</v>
      </c>
      <c r="O221" t="s">
        <v>76</v>
      </c>
      <c r="P221" t="s">
        <v>33</v>
      </c>
      <c r="Q221">
        <v>0</v>
      </c>
      <c r="R221" s="1">
        <v>1.7361111111111109E-4</v>
      </c>
      <c r="S221" s="1">
        <v>6.9444444444444444E-5</v>
      </c>
    </row>
    <row r="222" spans="1:19" x14ac:dyDescent="0.35">
      <c r="A222" t="s">
        <v>20</v>
      </c>
      <c r="B222">
        <v>17646</v>
      </c>
      <c r="C222" t="s">
        <v>666</v>
      </c>
      <c r="D222" t="s">
        <v>667</v>
      </c>
      <c r="E222" t="s">
        <v>34</v>
      </c>
      <c r="F222" t="s">
        <v>810</v>
      </c>
      <c r="G222" t="s">
        <v>811</v>
      </c>
      <c r="H222" t="s">
        <v>812</v>
      </c>
      <c r="I222" t="s">
        <v>809</v>
      </c>
      <c r="K222" t="s">
        <v>46</v>
      </c>
      <c r="L222" t="s">
        <v>29</v>
      </c>
      <c r="M222" t="s">
        <v>40</v>
      </c>
      <c r="N222" t="s">
        <v>115</v>
      </c>
      <c r="O222" t="s">
        <v>56</v>
      </c>
      <c r="P222" t="s">
        <v>33</v>
      </c>
      <c r="Q222">
        <v>4</v>
      </c>
      <c r="R222" s="1">
        <v>5.7870370370370367E-4</v>
      </c>
      <c r="S222" s="1">
        <v>4.7453703703703698E-4</v>
      </c>
    </row>
    <row r="223" spans="1:19" x14ac:dyDescent="0.35">
      <c r="A223" t="s">
        <v>20</v>
      </c>
      <c r="B223">
        <v>17646</v>
      </c>
      <c r="C223" t="s">
        <v>666</v>
      </c>
      <c r="D223" t="s">
        <v>667</v>
      </c>
      <c r="E223" t="s">
        <v>42</v>
      </c>
      <c r="F223" t="s">
        <v>675</v>
      </c>
      <c r="G223" t="s">
        <v>676</v>
      </c>
      <c r="H223" t="s">
        <v>813</v>
      </c>
      <c r="I223" t="s">
        <v>809</v>
      </c>
      <c r="K223" t="s">
        <v>46</v>
      </c>
      <c r="L223" t="s">
        <v>181</v>
      </c>
      <c r="M223" t="s">
        <v>40</v>
      </c>
      <c r="N223" t="s">
        <v>41</v>
      </c>
      <c r="O223" t="s">
        <v>76</v>
      </c>
      <c r="P223" t="s">
        <v>33</v>
      </c>
      <c r="Q223">
        <v>1</v>
      </c>
      <c r="R223" s="1">
        <v>2.6620370370370372E-4</v>
      </c>
      <c r="S223" s="1">
        <v>1.6203703703703701E-4</v>
      </c>
    </row>
    <row r="224" spans="1:19" x14ac:dyDescent="0.35">
      <c r="A224" t="s">
        <v>20</v>
      </c>
      <c r="B224">
        <v>17646</v>
      </c>
      <c r="C224" t="s">
        <v>666</v>
      </c>
      <c r="D224" t="s">
        <v>667</v>
      </c>
      <c r="E224" t="s">
        <v>50</v>
      </c>
      <c r="F224" t="s">
        <v>814</v>
      </c>
      <c r="G224" t="s">
        <v>815</v>
      </c>
      <c r="H224" t="s">
        <v>816</v>
      </c>
      <c r="I224" t="s">
        <v>809</v>
      </c>
      <c r="K224" t="s">
        <v>46</v>
      </c>
      <c r="L224" t="s">
        <v>29</v>
      </c>
      <c r="M224" t="s">
        <v>48</v>
      </c>
      <c r="N224" t="s">
        <v>55</v>
      </c>
      <c r="O224" t="s">
        <v>76</v>
      </c>
      <c r="P224" t="s">
        <v>33</v>
      </c>
      <c r="Q224">
        <v>0</v>
      </c>
      <c r="R224" s="1">
        <v>2.199074074074074E-4</v>
      </c>
      <c r="S224" s="1">
        <v>1.157407407407407E-4</v>
      </c>
    </row>
    <row r="225" spans="1:19" x14ac:dyDescent="0.35">
      <c r="A225" t="s">
        <v>20</v>
      </c>
      <c r="B225">
        <v>17646</v>
      </c>
      <c r="C225" t="s">
        <v>666</v>
      </c>
      <c r="D225" t="s">
        <v>667</v>
      </c>
      <c r="E225" t="s">
        <v>57</v>
      </c>
      <c r="F225" t="s">
        <v>817</v>
      </c>
      <c r="G225" t="s">
        <v>818</v>
      </c>
      <c r="H225" t="s">
        <v>819</v>
      </c>
      <c r="I225" t="s">
        <v>809</v>
      </c>
      <c r="K225" t="s">
        <v>46</v>
      </c>
      <c r="L225" t="s">
        <v>62</v>
      </c>
      <c r="M225" t="s">
        <v>40</v>
      </c>
      <c r="N225" t="s">
        <v>41</v>
      </c>
      <c r="O225" t="s">
        <v>32</v>
      </c>
      <c r="P225" t="s">
        <v>33</v>
      </c>
      <c r="Q225">
        <v>1</v>
      </c>
      <c r="R225" s="1">
        <v>2.5462962962962961E-4</v>
      </c>
      <c r="S225" s="1">
        <v>1.50462962962963E-4</v>
      </c>
    </row>
    <row r="226" spans="1:19" x14ac:dyDescent="0.35">
      <c r="A226" t="s">
        <v>20</v>
      </c>
      <c r="B226">
        <v>17646</v>
      </c>
      <c r="C226" t="s">
        <v>666</v>
      </c>
      <c r="D226" t="s">
        <v>667</v>
      </c>
      <c r="E226" t="s">
        <v>63</v>
      </c>
      <c r="F226" t="s">
        <v>820</v>
      </c>
      <c r="G226" t="s">
        <v>821</v>
      </c>
      <c r="H226" t="s">
        <v>822</v>
      </c>
      <c r="I226" t="s">
        <v>809</v>
      </c>
      <c r="K226" t="s">
        <v>46</v>
      </c>
      <c r="L226" t="s">
        <v>29</v>
      </c>
      <c r="M226" t="s">
        <v>48</v>
      </c>
      <c r="N226" t="s">
        <v>55</v>
      </c>
      <c r="O226" t="s">
        <v>56</v>
      </c>
      <c r="P226" t="s">
        <v>33</v>
      </c>
      <c r="Q226">
        <v>0</v>
      </c>
      <c r="R226" s="1">
        <v>1.041666666666667E-4</v>
      </c>
      <c r="S226" s="1">
        <v>0</v>
      </c>
    </row>
    <row r="227" spans="1:19" x14ac:dyDescent="0.35">
      <c r="A227" t="s">
        <v>20</v>
      </c>
      <c r="B227">
        <v>17646</v>
      </c>
      <c r="C227" t="s">
        <v>666</v>
      </c>
      <c r="D227" t="s">
        <v>667</v>
      </c>
      <c r="E227" t="s">
        <v>68</v>
      </c>
      <c r="F227" t="s">
        <v>823</v>
      </c>
      <c r="G227" t="s">
        <v>824</v>
      </c>
      <c r="H227" t="s">
        <v>825</v>
      </c>
      <c r="I227" t="s">
        <v>809</v>
      </c>
      <c r="K227" t="s">
        <v>46</v>
      </c>
      <c r="L227" t="s">
        <v>47</v>
      </c>
      <c r="M227" t="s">
        <v>30</v>
      </c>
      <c r="N227" t="s">
        <v>55</v>
      </c>
      <c r="O227" t="s">
        <v>32</v>
      </c>
      <c r="P227" t="s">
        <v>33</v>
      </c>
      <c r="Q227">
        <v>5</v>
      </c>
      <c r="R227" s="1">
        <v>5.3240740740740744E-4</v>
      </c>
      <c r="S227" s="1">
        <v>4.2824074074074081E-4</v>
      </c>
    </row>
    <row r="228" spans="1:19" x14ac:dyDescent="0.35">
      <c r="A228" t="s">
        <v>20</v>
      </c>
      <c r="B228">
        <v>17646</v>
      </c>
      <c r="C228" t="s">
        <v>666</v>
      </c>
      <c r="D228" t="s">
        <v>667</v>
      </c>
      <c r="E228" t="s">
        <v>72</v>
      </c>
      <c r="F228" t="s">
        <v>826</v>
      </c>
      <c r="G228" t="s">
        <v>827</v>
      </c>
      <c r="H228" t="s">
        <v>828</v>
      </c>
      <c r="I228" t="s">
        <v>809</v>
      </c>
      <c r="K228" t="s">
        <v>61</v>
      </c>
      <c r="L228" t="s">
        <v>62</v>
      </c>
      <c r="M228" t="s">
        <v>30</v>
      </c>
      <c r="N228" t="s">
        <v>55</v>
      </c>
      <c r="O228" t="s">
        <v>32</v>
      </c>
      <c r="P228" t="s">
        <v>33</v>
      </c>
      <c r="Q228">
        <v>0</v>
      </c>
      <c r="R228" s="1">
        <v>1.9675925925925929E-4</v>
      </c>
      <c r="S228" s="1">
        <v>9.2592592592592588E-5</v>
      </c>
    </row>
    <row r="229" spans="1:19" x14ac:dyDescent="0.35">
      <c r="A229" t="s">
        <v>20</v>
      </c>
      <c r="B229">
        <v>17646</v>
      </c>
      <c r="C229" t="s">
        <v>666</v>
      </c>
      <c r="D229" t="s">
        <v>667</v>
      </c>
      <c r="E229" t="s">
        <v>77</v>
      </c>
      <c r="F229" t="s">
        <v>829</v>
      </c>
      <c r="G229" t="s">
        <v>830</v>
      </c>
      <c r="H229" t="s">
        <v>831</v>
      </c>
      <c r="I229" t="s">
        <v>809</v>
      </c>
      <c r="K229" t="s">
        <v>28</v>
      </c>
      <c r="L229" t="s">
        <v>62</v>
      </c>
      <c r="M229" t="s">
        <v>40</v>
      </c>
      <c r="N229" t="s">
        <v>55</v>
      </c>
      <c r="O229" t="s">
        <v>32</v>
      </c>
      <c r="P229" t="s">
        <v>33</v>
      </c>
      <c r="Q229">
        <v>0</v>
      </c>
      <c r="R229" s="1">
        <v>1.7361111111111109E-4</v>
      </c>
      <c r="S229" s="1">
        <v>6.9444444444444444E-5</v>
      </c>
    </row>
    <row r="230" spans="1:19" x14ac:dyDescent="0.35">
      <c r="A230" t="s">
        <v>20</v>
      </c>
      <c r="B230">
        <v>17646</v>
      </c>
      <c r="C230" t="s">
        <v>666</v>
      </c>
      <c r="D230" t="s">
        <v>667</v>
      </c>
      <c r="E230" t="s">
        <v>81</v>
      </c>
      <c r="F230" t="s">
        <v>832</v>
      </c>
      <c r="G230" t="s">
        <v>833</v>
      </c>
      <c r="H230" t="s">
        <v>834</v>
      </c>
      <c r="I230" t="s">
        <v>809</v>
      </c>
      <c r="K230" t="s">
        <v>28</v>
      </c>
      <c r="L230" t="s">
        <v>62</v>
      </c>
      <c r="M230" t="s">
        <v>40</v>
      </c>
      <c r="N230" t="s">
        <v>55</v>
      </c>
      <c r="O230" t="s">
        <v>76</v>
      </c>
      <c r="P230" t="s">
        <v>33</v>
      </c>
      <c r="Q230">
        <v>3</v>
      </c>
      <c r="R230" s="1">
        <v>5.0925925925925921E-4</v>
      </c>
      <c r="S230" s="1">
        <v>4.0509259259259258E-4</v>
      </c>
    </row>
    <row r="231" spans="1:19" x14ac:dyDescent="0.35">
      <c r="A231" t="s">
        <v>20</v>
      </c>
      <c r="B231">
        <v>17646</v>
      </c>
      <c r="C231" t="s">
        <v>666</v>
      </c>
      <c r="D231" t="s">
        <v>667</v>
      </c>
      <c r="E231" t="s">
        <v>86</v>
      </c>
      <c r="F231" t="s">
        <v>835</v>
      </c>
      <c r="G231" t="s">
        <v>836</v>
      </c>
      <c r="H231" t="s">
        <v>837</v>
      </c>
      <c r="I231" t="s">
        <v>809</v>
      </c>
      <c r="K231" t="s">
        <v>28</v>
      </c>
      <c r="L231" t="s">
        <v>85</v>
      </c>
      <c r="M231" t="s">
        <v>30</v>
      </c>
      <c r="N231" t="s">
        <v>41</v>
      </c>
      <c r="O231" t="s">
        <v>56</v>
      </c>
      <c r="P231" t="s">
        <v>33</v>
      </c>
      <c r="Q231">
        <v>10</v>
      </c>
      <c r="R231" s="1">
        <v>1.1111111111111109E-3</v>
      </c>
      <c r="S231" s="1">
        <v>1.006944444444444E-3</v>
      </c>
    </row>
    <row r="232" spans="1:19" x14ac:dyDescent="0.35">
      <c r="A232" t="s">
        <v>20</v>
      </c>
      <c r="B232">
        <v>17646</v>
      </c>
      <c r="C232" t="s">
        <v>666</v>
      </c>
      <c r="D232" t="s">
        <v>667</v>
      </c>
      <c r="E232" t="s">
        <v>91</v>
      </c>
      <c r="F232" t="s">
        <v>838</v>
      </c>
      <c r="G232" t="s">
        <v>839</v>
      </c>
      <c r="H232" t="s">
        <v>840</v>
      </c>
      <c r="I232" t="s">
        <v>809</v>
      </c>
      <c r="K232" t="s">
        <v>61</v>
      </c>
      <c r="L232" t="s">
        <v>62</v>
      </c>
      <c r="M232" t="s">
        <v>30</v>
      </c>
      <c r="N232" t="s">
        <v>55</v>
      </c>
      <c r="O232" t="s">
        <v>32</v>
      </c>
      <c r="P232" t="s">
        <v>33</v>
      </c>
      <c r="Q232">
        <v>0</v>
      </c>
      <c r="R232" s="1">
        <v>1.7361111111111109E-4</v>
      </c>
      <c r="S232" s="1">
        <v>6.9444444444444444E-5</v>
      </c>
    </row>
    <row r="233" spans="1:19" x14ac:dyDescent="0.35">
      <c r="A233" t="s">
        <v>20</v>
      </c>
      <c r="B233">
        <v>17646</v>
      </c>
      <c r="C233" t="s">
        <v>666</v>
      </c>
      <c r="D233" t="s">
        <v>667</v>
      </c>
      <c r="E233" t="s">
        <v>95</v>
      </c>
      <c r="F233" t="s">
        <v>841</v>
      </c>
      <c r="G233" t="s">
        <v>842</v>
      </c>
      <c r="H233" t="s">
        <v>843</v>
      </c>
      <c r="I233" t="s">
        <v>809</v>
      </c>
      <c r="K233" t="s">
        <v>46</v>
      </c>
      <c r="L233" t="s">
        <v>29</v>
      </c>
      <c r="M233" t="s">
        <v>40</v>
      </c>
      <c r="N233" t="s">
        <v>55</v>
      </c>
      <c r="O233" t="s">
        <v>32</v>
      </c>
      <c r="P233" t="s">
        <v>33</v>
      </c>
      <c r="Q233">
        <v>4</v>
      </c>
      <c r="R233" s="1">
        <v>6.134259259259259E-4</v>
      </c>
      <c r="S233" s="1">
        <v>5.0925925925925921E-4</v>
      </c>
    </row>
    <row r="234" spans="1:19" x14ac:dyDescent="0.35">
      <c r="A234" t="s">
        <v>20</v>
      </c>
      <c r="B234">
        <v>17646</v>
      </c>
      <c r="C234" t="s">
        <v>666</v>
      </c>
      <c r="D234" t="s">
        <v>667</v>
      </c>
      <c r="E234" t="s">
        <v>99</v>
      </c>
      <c r="F234" t="s">
        <v>844</v>
      </c>
      <c r="G234" t="s">
        <v>845</v>
      </c>
      <c r="H234" t="s">
        <v>846</v>
      </c>
      <c r="I234" t="s">
        <v>809</v>
      </c>
      <c r="K234" t="s">
        <v>28</v>
      </c>
      <c r="L234" t="s">
        <v>62</v>
      </c>
      <c r="M234" t="s">
        <v>40</v>
      </c>
      <c r="N234" t="s">
        <v>115</v>
      </c>
      <c r="O234" t="s">
        <v>32</v>
      </c>
      <c r="P234" t="s">
        <v>33</v>
      </c>
      <c r="Q234">
        <v>1</v>
      </c>
      <c r="R234" s="1">
        <v>3.3564814814814812E-4</v>
      </c>
      <c r="S234" s="1">
        <v>2.3148148148148149E-4</v>
      </c>
    </row>
    <row r="235" spans="1:19" x14ac:dyDescent="0.35">
      <c r="A235" t="s">
        <v>20</v>
      </c>
      <c r="B235">
        <v>17646</v>
      </c>
      <c r="C235" t="s">
        <v>666</v>
      </c>
      <c r="D235" t="s">
        <v>667</v>
      </c>
      <c r="E235" t="s">
        <v>103</v>
      </c>
      <c r="F235" t="s">
        <v>847</v>
      </c>
      <c r="G235" t="s">
        <v>848</v>
      </c>
      <c r="H235" t="s">
        <v>849</v>
      </c>
      <c r="I235" t="s">
        <v>809</v>
      </c>
      <c r="K235" t="s">
        <v>38</v>
      </c>
      <c r="L235" t="s">
        <v>54</v>
      </c>
      <c r="M235" t="s">
        <v>30</v>
      </c>
      <c r="N235" t="s">
        <v>41</v>
      </c>
      <c r="O235" t="s">
        <v>56</v>
      </c>
      <c r="P235" t="s">
        <v>33</v>
      </c>
      <c r="Q235">
        <v>0</v>
      </c>
      <c r="R235" s="1">
        <v>3.2407407407407412E-4</v>
      </c>
      <c r="S235" s="1">
        <v>2.199074074074074E-4</v>
      </c>
    </row>
    <row r="236" spans="1:19" x14ac:dyDescent="0.35">
      <c r="A236" t="s">
        <v>20</v>
      </c>
      <c r="B236">
        <v>17646</v>
      </c>
      <c r="C236" t="s">
        <v>666</v>
      </c>
      <c r="D236" t="s">
        <v>667</v>
      </c>
      <c r="E236" t="s">
        <v>107</v>
      </c>
      <c r="F236" t="s">
        <v>850</v>
      </c>
      <c r="G236" t="s">
        <v>851</v>
      </c>
      <c r="H236" t="s">
        <v>852</v>
      </c>
      <c r="I236" t="s">
        <v>809</v>
      </c>
      <c r="K236" t="s">
        <v>28</v>
      </c>
      <c r="L236" t="s">
        <v>853</v>
      </c>
      <c r="M236" t="s">
        <v>40</v>
      </c>
      <c r="N236" t="s">
        <v>55</v>
      </c>
      <c r="O236" t="s">
        <v>76</v>
      </c>
      <c r="P236" t="s">
        <v>33</v>
      </c>
      <c r="Q236">
        <v>3</v>
      </c>
      <c r="R236" s="1">
        <v>5.7870370370370367E-4</v>
      </c>
      <c r="S236" s="1">
        <v>4.7453703703703698E-4</v>
      </c>
    </row>
    <row r="237" spans="1:19" x14ac:dyDescent="0.35">
      <c r="A237" t="s">
        <v>20</v>
      </c>
      <c r="B237">
        <v>17646</v>
      </c>
      <c r="C237" t="s">
        <v>666</v>
      </c>
      <c r="D237" t="s">
        <v>667</v>
      </c>
      <c r="E237" t="s">
        <v>111</v>
      </c>
      <c r="F237" t="s">
        <v>854</v>
      </c>
      <c r="G237" t="s">
        <v>855</v>
      </c>
      <c r="H237" t="s">
        <v>856</v>
      </c>
      <c r="I237" t="s">
        <v>809</v>
      </c>
      <c r="K237" t="s">
        <v>46</v>
      </c>
      <c r="L237" t="s">
        <v>29</v>
      </c>
      <c r="M237" t="s">
        <v>30</v>
      </c>
      <c r="N237" t="s">
        <v>31</v>
      </c>
      <c r="O237" t="s">
        <v>32</v>
      </c>
      <c r="P237" t="s">
        <v>33</v>
      </c>
      <c r="Q237">
        <v>3</v>
      </c>
      <c r="R237" s="1">
        <v>5.7870370370370367E-4</v>
      </c>
      <c r="S237" s="1">
        <v>4.7453703703703698E-4</v>
      </c>
    </row>
    <row r="238" spans="1:19" x14ac:dyDescent="0.35">
      <c r="A238" t="s">
        <v>20</v>
      </c>
      <c r="B238">
        <v>17646</v>
      </c>
      <c r="C238" t="s">
        <v>666</v>
      </c>
      <c r="D238" t="s">
        <v>667</v>
      </c>
      <c r="E238" t="s">
        <v>116</v>
      </c>
      <c r="F238" t="s">
        <v>857</v>
      </c>
      <c r="G238" t="s">
        <v>858</v>
      </c>
      <c r="H238" t="s">
        <v>859</v>
      </c>
      <c r="I238" t="s">
        <v>809</v>
      </c>
      <c r="K238" t="s">
        <v>38</v>
      </c>
      <c r="L238" t="s">
        <v>39</v>
      </c>
      <c r="M238" t="s">
        <v>40</v>
      </c>
      <c r="N238" t="s">
        <v>41</v>
      </c>
      <c r="O238" t="s">
        <v>76</v>
      </c>
      <c r="P238" t="s">
        <v>33</v>
      </c>
      <c r="Q238">
        <v>2</v>
      </c>
      <c r="R238" s="1">
        <v>3.7037037037037041E-4</v>
      </c>
      <c r="S238" s="1">
        <v>2.6620370370370372E-4</v>
      </c>
    </row>
    <row r="239" spans="1:19" x14ac:dyDescent="0.35">
      <c r="A239" t="s">
        <v>20</v>
      </c>
      <c r="B239">
        <v>17646</v>
      </c>
      <c r="C239" t="s">
        <v>666</v>
      </c>
      <c r="D239" t="s">
        <v>667</v>
      </c>
      <c r="E239" t="s">
        <v>120</v>
      </c>
      <c r="F239" t="s">
        <v>860</v>
      </c>
      <c r="G239" t="s">
        <v>861</v>
      </c>
      <c r="H239" t="s">
        <v>862</v>
      </c>
      <c r="I239" t="s">
        <v>809</v>
      </c>
      <c r="K239" t="s">
        <v>46</v>
      </c>
      <c r="L239" t="s">
        <v>47</v>
      </c>
      <c r="M239" t="s">
        <v>30</v>
      </c>
      <c r="N239" t="s">
        <v>41</v>
      </c>
      <c r="O239" t="s">
        <v>56</v>
      </c>
      <c r="P239" t="s">
        <v>33</v>
      </c>
      <c r="Q239">
        <v>0</v>
      </c>
      <c r="R239" s="1">
        <v>2.4305555555555549E-4</v>
      </c>
      <c r="S239" s="1">
        <v>1.3888888888888889E-4</v>
      </c>
    </row>
    <row r="240" spans="1:19" x14ac:dyDescent="0.35">
      <c r="A240" t="s">
        <v>20</v>
      </c>
      <c r="B240">
        <v>17646</v>
      </c>
      <c r="C240" t="s">
        <v>666</v>
      </c>
      <c r="D240" t="s">
        <v>667</v>
      </c>
      <c r="E240" t="s">
        <v>124</v>
      </c>
      <c r="F240" t="s">
        <v>863</v>
      </c>
      <c r="G240" t="s">
        <v>864</v>
      </c>
      <c r="H240" t="s">
        <v>865</v>
      </c>
      <c r="I240" t="s">
        <v>809</v>
      </c>
      <c r="K240" t="s">
        <v>61</v>
      </c>
      <c r="L240" t="s">
        <v>62</v>
      </c>
      <c r="M240" t="s">
        <v>30</v>
      </c>
      <c r="N240" t="s">
        <v>31</v>
      </c>
      <c r="O240" t="s">
        <v>76</v>
      </c>
      <c r="P240" t="s">
        <v>33</v>
      </c>
      <c r="Q240">
        <v>1</v>
      </c>
      <c r="R240" s="1">
        <v>4.1666666666666669E-4</v>
      </c>
      <c r="S240" s="1">
        <v>3.1250000000000001E-4</v>
      </c>
    </row>
    <row r="241" spans="1:19" x14ac:dyDescent="0.35">
      <c r="A241" t="s">
        <v>20</v>
      </c>
      <c r="B241">
        <v>17646</v>
      </c>
      <c r="C241" t="s">
        <v>666</v>
      </c>
      <c r="D241" t="s">
        <v>667</v>
      </c>
      <c r="E241" t="s">
        <v>128</v>
      </c>
      <c r="F241" t="s">
        <v>866</v>
      </c>
      <c r="G241" t="s">
        <v>867</v>
      </c>
      <c r="H241" t="s">
        <v>868</v>
      </c>
      <c r="I241" t="s">
        <v>809</v>
      </c>
      <c r="K241" t="s">
        <v>38</v>
      </c>
      <c r="L241" t="s">
        <v>39</v>
      </c>
      <c r="M241" t="s">
        <v>48</v>
      </c>
      <c r="N241" t="s">
        <v>90</v>
      </c>
      <c r="O241" t="s">
        <v>76</v>
      </c>
      <c r="P241" t="s">
        <v>33</v>
      </c>
      <c r="Q241">
        <v>0</v>
      </c>
      <c r="R241" s="1">
        <v>1.7361111111111109E-4</v>
      </c>
      <c r="S241" s="1">
        <v>6.9444444444444444E-5</v>
      </c>
    </row>
    <row r="242" spans="1:19" x14ac:dyDescent="0.35">
      <c r="A242" t="s">
        <v>20</v>
      </c>
      <c r="B242">
        <v>17646</v>
      </c>
      <c r="C242" t="s">
        <v>666</v>
      </c>
      <c r="D242" t="s">
        <v>667</v>
      </c>
      <c r="E242" t="s">
        <v>132</v>
      </c>
      <c r="F242" t="s">
        <v>869</v>
      </c>
      <c r="G242" t="s">
        <v>870</v>
      </c>
      <c r="H242" t="s">
        <v>871</v>
      </c>
      <c r="I242" t="s">
        <v>809</v>
      </c>
      <c r="K242" t="s">
        <v>38</v>
      </c>
      <c r="L242" t="s">
        <v>47</v>
      </c>
      <c r="M242" t="s">
        <v>30</v>
      </c>
      <c r="N242" t="s">
        <v>41</v>
      </c>
      <c r="O242" t="s">
        <v>56</v>
      </c>
      <c r="P242" t="s">
        <v>33</v>
      </c>
      <c r="Q242">
        <v>1</v>
      </c>
      <c r="R242" s="1">
        <v>3.1250000000000001E-4</v>
      </c>
      <c r="S242" s="1">
        <v>2.0833333333333329E-4</v>
      </c>
    </row>
    <row r="243" spans="1:19" x14ac:dyDescent="0.35">
      <c r="A243" t="s">
        <v>20</v>
      </c>
      <c r="B243">
        <v>17646</v>
      </c>
      <c r="C243" t="s">
        <v>666</v>
      </c>
      <c r="D243" t="s">
        <v>667</v>
      </c>
      <c r="E243" t="s">
        <v>136</v>
      </c>
      <c r="F243" t="s">
        <v>872</v>
      </c>
      <c r="G243" t="s">
        <v>873</v>
      </c>
      <c r="H243" t="s">
        <v>874</v>
      </c>
      <c r="I243" t="s">
        <v>809</v>
      </c>
      <c r="K243" t="s">
        <v>46</v>
      </c>
      <c r="L243" t="s">
        <v>62</v>
      </c>
      <c r="M243" t="s">
        <v>40</v>
      </c>
      <c r="N243" t="s">
        <v>67</v>
      </c>
      <c r="O243" t="s">
        <v>32</v>
      </c>
      <c r="P243" t="s">
        <v>33</v>
      </c>
      <c r="Q243">
        <v>4</v>
      </c>
      <c r="R243" s="1">
        <v>5.4398148148148144E-4</v>
      </c>
      <c r="S243" s="1">
        <v>4.3981481481481481E-4</v>
      </c>
    </row>
    <row r="244" spans="1:19" x14ac:dyDescent="0.35">
      <c r="A244" t="s">
        <v>20</v>
      </c>
      <c r="B244">
        <v>17646</v>
      </c>
      <c r="C244" t="s">
        <v>666</v>
      </c>
      <c r="D244" t="s">
        <v>667</v>
      </c>
      <c r="E244" t="s">
        <v>140</v>
      </c>
      <c r="F244" t="s">
        <v>875</v>
      </c>
      <c r="G244" t="s">
        <v>876</v>
      </c>
      <c r="H244" t="s">
        <v>875</v>
      </c>
      <c r="I244" t="s">
        <v>809</v>
      </c>
      <c r="K244" t="s">
        <v>28</v>
      </c>
      <c r="L244" t="s">
        <v>85</v>
      </c>
      <c r="M244" t="s">
        <v>40</v>
      </c>
      <c r="N244" t="s">
        <v>55</v>
      </c>
      <c r="O244" t="s">
        <v>56</v>
      </c>
      <c r="P244" t="s">
        <v>33</v>
      </c>
      <c r="Q244">
        <v>1</v>
      </c>
      <c r="R244" s="1">
        <v>8.1018518518518516E-5</v>
      </c>
      <c r="S244" s="1">
        <v>0</v>
      </c>
    </row>
    <row r="245" spans="1:19" x14ac:dyDescent="0.35">
      <c r="A245" t="s">
        <v>20</v>
      </c>
      <c r="B245">
        <v>17646</v>
      </c>
      <c r="C245" t="s">
        <v>666</v>
      </c>
      <c r="D245" t="s">
        <v>667</v>
      </c>
      <c r="E245" t="s">
        <v>144</v>
      </c>
      <c r="F245" t="s">
        <v>877</v>
      </c>
      <c r="G245" t="s">
        <v>878</v>
      </c>
      <c r="H245" t="s">
        <v>879</v>
      </c>
      <c r="I245" t="s">
        <v>809</v>
      </c>
      <c r="K245" t="s">
        <v>28</v>
      </c>
      <c r="L245" t="s">
        <v>181</v>
      </c>
      <c r="M245" t="s">
        <v>40</v>
      </c>
      <c r="N245" t="s">
        <v>55</v>
      </c>
      <c r="O245" t="s">
        <v>32</v>
      </c>
      <c r="P245" t="s">
        <v>33</v>
      </c>
      <c r="Q245">
        <v>12</v>
      </c>
      <c r="R245" s="1">
        <v>1.180555555555556E-3</v>
      </c>
      <c r="S245" s="1">
        <v>1.0763888888888891E-3</v>
      </c>
    </row>
    <row r="246" spans="1:19" x14ac:dyDescent="0.35">
      <c r="A246" t="s">
        <v>20</v>
      </c>
      <c r="B246">
        <v>17646</v>
      </c>
      <c r="C246" t="s">
        <v>666</v>
      </c>
      <c r="D246" t="s">
        <v>667</v>
      </c>
      <c r="E246" t="s">
        <v>149</v>
      </c>
      <c r="F246" t="s">
        <v>880</v>
      </c>
      <c r="G246" t="s">
        <v>881</v>
      </c>
      <c r="H246" t="s">
        <v>882</v>
      </c>
      <c r="I246" t="s">
        <v>809</v>
      </c>
      <c r="K246" t="s">
        <v>28</v>
      </c>
      <c r="L246" t="s">
        <v>85</v>
      </c>
      <c r="M246" t="s">
        <v>30</v>
      </c>
      <c r="N246" t="s">
        <v>148</v>
      </c>
      <c r="O246" t="s">
        <v>56</v>
      </c>
      <c r="P246" t="s">
        <v>33</v>
      </c>
      <c r="Q246">
        <v>0</v>
      </c>
      <c r="R246" s="1">
        <v>1.50462962962963E-4</v>
      </c>
      <c r="S246" s="1">
        <v>4.6296296296296287E-5</v>
      </c>
    </row>
    <row r="247" spans="1:19" x14ac:dyDescent="0.35">
      <c r="A247" t="s">
        <v>20</v>
      </c>
      <c r="B247">
        <v>17646</v>
      </c>
      <c r="C247" t="s">
        <v>666</v>
      </c>
      <c r="D247" t="s">
        <v>667</v>
      </c>
      <c r="E247" t="s">
        <v>153</v>
      </c>
      <c r="F247" t="s">
        <v>883</v>
      </c>
      <c r="G247" t="s">
        <v>884</v>
      </c>
      <c r="H247" t="s">
        <v>885</v>
      </c>
      <c r="I247" t="s">
        <v>809</v>
      </c>
      <c r="K247" t="s">
        <v>38</v>
      </c>
      <c r="L247" t="s">
        <v>39</v>
      </c>
      <c r="M247" t="s">
        <v>40</v>
      </c>
      <c r="N247" t="s">
        <v>41</v>
      </c>
      <c r="O247" t="s">
        <v>76</v>
      </c>
      <c r="P247" t="s">
        <v>33</v>
      </c>
      <c r="Q247">
        <v>1</v>
      </c>
      <c r="R247" s="1">
        <v>2.6620370370370372E-4</v>
      </c>
      <c r="S247" s="1">
        <v>1.6203703703703701E-4</v>
      </c>
    </row>
    <row r="248" spans="1:19" x14ac:dyDescent="0.35">
      <c r="A248" t="s">
        <v>20</v>
      </c>
      <c r="B248">
        <v>17646</v>
      </c>
      <c r="C248" t="s">
        <v>666</v>
      </c>
      <c r="D248" t="s">
        <v>667</v>
      </c>
      <c r="E248" t="s">
        <v>157</v>
      </c>
      <c r="F248" t="s">
        <v>886</v>
      </c>
      <c r="G248" t="s">
        <v>887</v>
      </c>
      <c r="H248" t="s">
        <v>888</v>
      </c>
      <c r="I248" t="s">
        <v>809</v>
      </c>
      <c r="K248" t="s">
        <v>38</v>
      </c>
      <c r="L248" t="s">
        <v>29</v>
      </c>
      <c r="M248" t="s">
        <v>48</v>
      </c>
      <c r="N248" t="s">
        <v>41</v>
      </c>
      <c r="O248" t="s">
        <v>56</v>
      </c>
      <c r="P248" t="s">
        <v>33</v>
      </c>
      <c r="Q248">
        <v>3</v>
      </c>
      <c r="R248" s="1">
        <v>3.9351851851851852E-4</v>
      </c>
      <c r="S248" s="1">
        <v>2.8935185185185178E-4</v>
      </c>
    </row>
    <row r="249" spans="1:19" x14ac:dyDescent="0.35">
      <c r="A249" t="s">
        <v>20</v>
      </c>
      <c r="B249">
        <v>17646</v>
      </c>
      <c r="C249" t="s">
        <v>666</v>
      </c>
      <c r="D249" t="s">
        <v>667</v>
      </c>
      <c r="E249" t="s">
        <v>161</v>
      </c>
      <c r="F249" t="s">
        <v>889</v>
      </c>
      <c r="G249" t="s">
        <v>890</v>
      </c>
      <c r="H249" t="s">
        <v>891</v>
      </c>
      <c r="I249" t="s">
        <v>809</v>
      </c>
      <c r="K249" t="s">
        <v>28</v>
      </c>
      <c r="L249" t="s">
        <v>62</v>
      </c>
      <c r="M249" t="s">
        <v>40</v>
      </c>
      <c r="N249" t="s">
        <v>41</v>
      </c>
      <c r="O249" t="s">
        <v>32</v>
      </c>
      <c r="P249" t="s">
        <v>33</v>
      </c>
      <c r="Q249">
        <v>0</v>
      </c>
      <c r="R249" s="1">
        <v>2.4305555555555549E-4</v>
      </c>
      <c r="S249" s="1">
        <v>1.3888888888888889E-4</v>
      </c>
    </row>
    <row r="250" spans="1:19" x14ac:dyDescent="0.35">
      <c r="A250" t="s">
        <v>20</v>
      </c>
      <c r="B250">
        <v>17646</v>
      </c>
      <c r="C250" t="s">
        <v>666</v>
      </c>
      <c r="D250" t="s">
        <v>667</v>
      </c>
      <c r="E250" t="s">
        <v>165</v>
      </c>
      <c r="F250" t="s">
        <v>892</v>
      </c>
      <c r="G250" t="s">
        <v>893</v>
      </c>
      <c r="H250" t="s">
        <v>894</v>
      </c>
      <c r="I250" t="s">
        <v>809</v>
      </c>
      <c r="K250" t="s">
        <v>46</v>
      </c>
      <c r="L250" t="s">
        <v>62</v>
      </c>
      <c r="M250" t="s">
        <v>48</v>
      </c>
      <c r="N250" t="s">
        <v>55</v>
      </c>
      <c r="O250" t="s">
        <v>76</v>
      </c>
      <c r="P250" t="s">
        <v>33</v>
      </c>
      <c r="Q250">
        <v>0</v>
      </c>
      <c r="R250" s="1">
        <v>2.4305555555555549E-4</v>
      </c>
      <c r="S250" s="1">
        <v>1.3888888888888889E-4</v>
      </c>
    </row>
    <row r="251" spans="1:19" x14ac:dyDescent="0.35">
      <c r="A251" t="s">
        <v>20</v>
      </c>
      <c r="B251">
        <v>17646</v>
      </c>
      <c r="C251" t="s">
        <v>666</v>
      </c>
      <c r="D251" t="s">
        <v>667</v>
      </c>
      <c r="E251" t="s">
        <v>169</v>
      </c>
      <c r="F251" t="s">
        <v>895</v>
      </c>
      <c r="G251" t="s">
        <v>896</v>
      </c>
      <c r="H251" t="s">
        <v>897</v>
      </c>
      <c r="I251" t="s">
        <v>809</v>
      </c>
      <c r="K251" t="s">
        <v>46</v>
      </c>
      <c r="L251" t="s">
        <v>54</v>
      </c>
      <c r="M251" t="s">
        <v>40</v>
      </c>
      <c r="N251" t="s">
        <v>67</v>
      </c>
      <c r="O251" t="s">
        <v>56</v>
      </c>
      <c r="P251" t="s">
        <v>33</v>
      </c>
      <c r="Q251">
        <v>1</v>
      </c>
      <c r="R251" s="1">
        <v>2.199074074074074E-4</v>
      </c>
      <c r="S251" s="1">
        <v>1.157407407407407E-4</v>
      </c>
    </row>
    <row r="252" spans="1:19" x14ac:dyDescent="0.35">
      <c r="A252" t="s">
        <v>20</v>
      </c>
      <c r="B252">
        <v>17646</v>
      </c>
      <c r="C252" t="s">
        <v>666</v>
      </c>
      <c r="D252" t="s">
        <v>667</v>
      </c>
      <c r="E252" t="s">
        <v>173</v>
      </c>
      <c r="F252" t="s">
        <v>898</v>
      </c>
      <c r="G252" t="s">
        <v>899</v>
      </c>
      <c r="H252" t="s">
        <v>900</v>
      </c>
      <c r="I252" t="s">
        <v>809</v>
      </c>
      <c r="K252" t="s">
        <v>28</v>
      </c>
      <c r="L252" t="s">
        <v>62</v>
      </c>
      <c r="M252" t="s">
        <v>40</v>
      </c>
      <c r="N252" t="s">
        <v>67</v>
      </c>
      <c r="O252" t="s">
        <v>76</v>
      </c>
      <c r="P252" t="s">
        <v>33</v>
      </c>
      <c r="Q252">
        <v>3</v>
      </c>
      <c r="R252" s="1">
        <v>4.0509259259259258E-4</v>
      </c>
      <c r="S252" s="1">
        <v>3.0092592592592589E-4</v>
      </c>
    </row>
    <row r="253" spans="1:19" x14ac:dyDescent="0.35">
      <c r="A253" t="s">
        <v>20</v>
      </c>
      <c r="B253">
        <v>17646</v>
      </c>
      <c r="C253" t="s">
        <v>666</v>
      </c>
      <c r="D253" t="s">
        <v>667</v>
      </c>
      <c r="E253" t="s">
        <v>177</v>
      </c>
      <c r="F253" t="s">
        <v>901</v>
      </c>
      <c r="G253" t="s">
        <v>902</v>
      </c>
      <c r="H253" t="s">
        <v>903</v>
      </c>
      <c r="I253" t="s">
        <v>809</v>
      </c>
      <c r="K253" t="s">
        <v>28</v>
      </c>
      <c r="L253" t="s">
        <v>85</v>
      </c>
      <c r="M253" t="s">
        <v>30</v>
      </c>
      <c r="N253" t="s">
        <v>41</v>
      </c>
      <c r="O253" t="s">
        <v>56</v>
      </c>
      <c r="P253" t="s">
        <v>33</v>
      </c>
      <c r="Q253">
        <v>0</v>
      </c>
      <c r="R253" s="1">
        <v>1.6203703703703701E-4</v>
      </c>
      <c r="S253" s="1">
        <v>5.7870370370370373E-5</v>
      </c>
    </row>
    <row r="254" spans="1:19" x14ac:dyDescent="0.35">
      <c r="A254" t="s">
        <v>20</v>
      </c>
      <c r="B254">
        <v>17646</v>
      </c>
      <c r="C254" t="s">
        <v>666</v>
      </c>
      <c r="D254" t="s">
        <v>667</v>
      </c>
      <c r="E254" t="s">
        <v>182</v>
      </c>
      <c r="F254" t="s">
        <v>904</v>
      </c>
      <c r="G254" t="s">
        <v>905</v>
      </c>
      <c r="H254" t="s">
        <v>906</v>
      </c>
      <c r="I254" t="s">
        <v>809</v>
      </c>
      <c r="K254" t="s">
        <v>46</v>
      </c>
      <c r="L254" t="s">
        <v>39</v>
      </c>
      <c r="M254" t="s">
        <v>48</v>
      </c>
      <c r="N254" t="s">
        <v>55</v>
      </c>
      <c r="O254" t="s">
        <v>56</v>
      </c>
      <c r="P254" t="s">
        <v>33</v>
      </c>
      <c r="Q254">
        <v>1</v>
      </c>
      <c r="R254" s="1">
        <v>1.851851851851852E-4</v>
      </c>
      <c r="S254" s="1">
        <v>8.1018518518518516E-5</v>
      </c>
    </row>
    <row r="255" spans="1:19" x14ac:dyDescent="0.35">
      <c r="A255" t="s">
        <v>20</v>
      </c>
      <c r="B255">
        <v>17646</v>
      </c>
      <c r="C255" t="s">
        <v>666</v>
      </c>
      <c r="D255" t="s">
        <v>667</v>
      </c>
      <c r="E255" t="s">
        <v>186</v>
      </c>
      <c r="F255" t="s">
        <v>907</v>
      </c>
      <c r="G255" t="s">
        <v>908</v>
      </c>
      <c r="H255" t="s">
        <v>909</v>
      </c>
      <c r="I255" t="s">
        <v>809</v>
      </c>
      <c r="K255" t="s">
        <v>46</v>
      </c>
      <c r="L255" t="s">
        <v>47</v>
      </c>
      <c r="M255" t="s">
        <v>48</v>
      </c>
      <c r="N255" t="s">
        <v>55</v>
      </c>
      <c r="O255" t="s">
        <v>56</v>
      </c>
      <c r="P255" t="s">
        <v>33</v>
      </c>
      <c r="Q255">
        <v>2</v>
      </c>
      <c r="R255" s="1">
        <v>2.5462962962962961E-4</v>
      </c>
      <c r="S255" s="1">
        <v>1.50462962962963E-4</v>
      </c>
    </row>
    <row r="256" spans="1:19" x14ac:dyDescent="0.35">
      <c r="A256" t="s">
        <v>20</v>
      </c>
      <c r="B256">
        <v>17646</v>
      </c>
      <c r="C256" t="s">
        <v>666</v>
      </c>
      <c r="D256" t="s">
        <v>667</v>
      </c>
      <c r="E256" t="s">
        <v>190</v>
      </c>
      <c r="F256" t="s">
        <v>910</v>
      </c>
      <c r="G256" t="s">
        <v>911</v>
      </c>
      <c r="H256" t="s">
        <v>912</v>
      </c>
      <c r="I256" t="s">
        <v>809</v>
      </c>
      <c r="K256" t="s">
        <v>46</v>
      </c>
      <c r="L256" t="s">
        <v>29</v>
      </c>
      <c r="M256" t="s">
        <v>40</v>
      </c>
      <c r="N256" t="s">
        <v>55</v>
      </c>
      <c r="O256" t="s">
        <v>56</v>
      </c>
      <c r="P256" t="s">
        <v>33</v>
      </c>
      <c r="Q256">
        <v>3</v>
      </c>
      <c r="R256" s="1">
        <v>4.1666666666666669E-4</v>
      </c>
      <c r="S256" s="1">
        <v>3.1250000000000001E-4</v>
      </c>
    </row>
    <row r="257" spans="1:19" x14ac:dyDescent="0.35">
      <c r="A257" t="s">
        <v>20</v>
      </c>
      <c r="B257">
        <v>17646</v>
      </c>
      <c r="C257" t="s">
        <v>666</v>
      </c>
      <c r="D257" t="s">
        <v>667</v>
      </c>
      <c r="E257" t="s">
        <v>194</v>
      </c>
      <c r="F257" t="s">
        <v>913</v>
      </c>
      <c r="G257" t="s">
        <v>914</v>
      </c>
      <c r="H257" t="s">
        <v>915</v>
      </c>
      <c r="I257" t="s">
        <v>809</v>
      </c>
      <c r="K257" t="s">
        <v>28</v>
      </c>
      <c r="L257" t="s">
        <v>54</v>
      </c>
      <c r="M257" t="s">
        <v>30</v>
      </c>
      <c r="N257" t="s">
        <v>31</v>
      </c>
      <c r="O257" t="s">
        <v>32</v>
      </c>
      <c r="P257" t="s">
        <v>33</v>
      </c>
      <c r="Q257">
        <v>0</v>
      </c>
      <c r="R257" s="1">
        <v>2.8935185185185178E-4</v>
      </c>
      <c r="S257" s="1">
        <v>1.851851851851852E-4</v>
      </c>
    </row>
    <row r="258" spans="1:19" x14ac:dyDescent="0.35">
      <c r="A258" t="s">
        <v>20</v>
      </c>
      <c r="B258">
        <v>17646</v>
      </c>
      <c r="C258" t="s">
        <v>666</v>
      </c>
      <c r="D258" t="s">
        <v>667</v>
      </c>
      <c r="E258" t="s">
        <v>198</v>
      </c>
      <c r="F258" t="s">
        <v>916</v>
      </c>
      <c r="G258" t="s">
        <v>917</v>
      </c>
      <c r="H258" t="s">
        <v>776</v>
      </c>
      <c r="I258" t="s">
        <v>809</v>
      </c>
      <c r="K258" t="s">
        <v>46</v>
      </c>
      <c r="L258" t="s">
        <v>62</v>
      </c>
      <c r="M258" t="s">
        <v>48</v>
      </c>
      <c r="N258" t="s">
        <v>55</v>
      </c>
      <c r="O258" t="s">
        <v>76</v>
      </c>
      <c r="P258" t="s">
        <v>33</v>
      </c>
      <c r="Q258">
        <v>0</v>
      </c>
      <c r="R258" s="1">
        <v>1.157407407407407E-4</v>
      </c>
      <c r="S258" s="1">
        <v>1.157407407407407E-5</v>
      </c>
    </row>
    <row r="259" spans="1:19" x14ac:dyDescent="0.35">
      <c r="A259" t="s">
        <v>20</v>
      </c>
      <c r="B259">
        <v>17646</v>
      </c>
      <c r="C259" t="s">
        <v>666</v>
      </c>
      <c r="D259" t="s">
        <v>667</v>
      </c>
      <c r="E259" t="s">
        <v>202</v>
      </c>
      <c r="F259" t="s">
        <v>918</v>
      </c>
      <c r="G259" t="s">
        <v>919</v>
      </c>
      <c r="H259" t="s">
        <v>779</v>
      </c>
      <c r="I259" t="s">
        <v>809</v>
      </c>
      <c r="K259" t="s">
        <v>46</v>
      </c>
      <c r="L259" t="s">
        <v>54</v>
      </c>
      <c r="M259" t="s">
        <v>40</v>
      </c>
      <c r="N259" t="s">
        <v>41</v>
      </c>
      <c r="O259" t="s">
        <v>56</v>
      </c>
      <c r="P259" t="s">
        <v>33</v>
      </c>
      <c r="Q259">
        <v>2</v>
      </c>
      <c r="R259" s="1">
        <v>4.2824074074074081E-4</v>
      </c>
      <c r="S259" s="1">
        <v>3.2407407407407412E-4</v>
      </c>
    </row>
    <row r="260" spans="1:19" x14ac:dyDescent="0.35">
      <c r="A260" t="s">
        <v>20</v>
      </c>
      <c r="B260">
        <v>17646</v>
      </c>
      <c r="C260" t="s">
        <v>666</v>
      </c>
      <c r="D260" t="s">
        <v>667</v>
      </c>
      <c r="E260" t="s">
        <v>206</v>
      </c>
      <c r="F260" t="s">
        <v>920</v>
      </c>
      <c r="G260" t="s">
        <v>921</v>
      </c>
      <c r="H260" t="s">
        <v>922</v>
      </c>
      <c r="I260" t="s">
        <v>809</v>
      </c>
      <c r="K260" t="s">
        <v>38</v>
      </c>
      <c r="L260" t="s">
        <v>47</v>
      </c>
      <c r="M260" t="s">
        <v>48</v>
      </c>
      <c r="N260" t="s">
        <v>55</v>
      </c>
      <c r="O260" t="s">
        <v>76</v>
      </c>
      <c r="P260" t="s">
        <v>33</v>
      </c>
      <c r="Q260">
        <v>0</v>
      </c>
      <c r="R260" s="1">
        <v>1.6203703703703701E-4</v>
      </c>
      <c r="S260" s="1">
        <v>5.7870370370370373E-5</v>
      </c>
    </row>
    <row r="261" spans="1:19" x14ac:dyDescent="0.35">
      <c r="A261" t="s">
        <v>20</v>
      </c>
      <c r="B261">
        <v>17646</v>
      </c>
      <c r="C261" t="s">
        <v>666</v>
      </c>
      <c r="D261" t="s">
        <v>667</v>
      </c>
      <c r="E261" t="s">
        <v>210</v>
      </c>
      <c r="F261" t="s">
        <v>923</v>
      </c>
      <c r="G261" t="s">
        <v>924</v>
      </c>
      <c r="H261" t="s">
        <v>925</v>
      </c>
      <c r="I261" t="s">
        <v>809</v>
      </c>
      <c r="K261" t="s">
        <v>28</v>
      </c>
      <c r="L261" t="s">
        <v>62</v>
      </c>
      <c r="M261" t="s">
        <v>40</v>
      </c>
      <c r="N261" t="s">
        <v>55</v>
      </c>
      <c r="O261" t="s">
        <v>76</v>
      </c>
      <c r="P261" t="s">
        <v>33</v>
      </c>
      <c r="Q261">
        <v>2</v>
      </c>
      <c r="R261" s="1">
        <v>3.2407407407407412E-4</v>
      </c>
      <c r="S261" s="1">
        <v>2.199074074074074E-4</v>
      </c>
    </row>
    <row r="262" spans="1:19" x14ac:dyDescent="0.35">
      <c r="A262" t="s">
        <v>20</v>
      </c>
      <c r="B262">
        <v>17646</v>
      </c>
      <c r="C262" t="s">
        <v>666</v>
      </c>
      <c r="D262" t="s">
        <v>667</v>
      </c>
      <c r="E262" t="s">
        <v>214</v>
      </c>
      <c r="F262" t="s">
        <v>926</v>
      </c>
      <c r="G262" t="s">
        <v>927</v>
      </c>
      <c r="H262" t="s">
        <v>928</v>
      </c>
      <c r="I262" t="s">
        <v>809</v>
      </c>
      <c r="K262" t="s">
        <v>38</v>
      </c>
      <c r="L262" t="s">
        <v>47</v>
      </c>
      <c r="M262" t="s">
        <v>40</v>
      </c>
      <c r="N262" t="s">
        <v>90</v>
      </c>
      <c r="O262" t="s">
        <v>32</v>
      </c>
      <c r="P262" t="s">
        <v>33</v>
      </c>
      <c r="Q262">
        <v>1</v>
      </c>
      <c r="R262" s="1">
        <v>3.7037037037037041E-4</v>
      </c>
      <c r="S262" s="1">
        <v>2.6620370370370372E-4</v>
      </c>
    </row>
    <row r="263" spans="1:19" x14ac:dyDescent="0.35">
      <c r="A263" t="s">
        <v>20</v>
      </c>
      <c r="B263">
        <v>17646</v>
      </c>
      <c r="C263" t="s">
        <v>666</v>
      </c>
      <c r="D263" t="s">
        <v>667</v>
      </c>
      <c r="E263" t="s">
        <v>218</v>
      </c>
      <c r="F263" t="s">
        <v>929</v>
      </c>
      <c r="G263" t="s">
        <v>930</v>
      </c>
      <c r="H263" t="s">
        <v>931</v>
      </c>
      <c r="I263" t="s">
        <v>809</v>
      </c>
      <c r="K263" t="s">
        <v>38</v>
      </c>
      <c r="L263" t="s">
        <v>54</v>
      </c>
      <c r="M263" t="s">
        <v>40</v>
      </c>
      <c r="N263" t="s">
        <v>90</v>
      </c>
      <c r="O263" t="s">
        <v>56</v>
      </c>
      <c r="P263" t="s">
        <v>33</v>
      </c>
      <c r="Q263">
        <v>3</v>
      </c>
      <c r="R263" s="1">
        <v>5.0925925925925921E-4</v>
      </c>
      <c r="S263" s="1">
        <v>4.0509259259259258E-4</v>
      </c>
    </row>
    <row r="264" spans="1:19" x14ac:dyDescent="0.35">
      <c r="A264" t="s">
        <v>20</v>
      </c>
      <c r="B264">
        <v>17646</v>
      </c>
      <c r="C264" t="s">
        <v>666</v>
      </c>
      <c r="D264" t="s">
        <v>667</v>
      </c>
      <c r="E264" t="s">
        <v>222</v>
      </c>
      <c r="F264" t="s">
        <v>932</v>
      </c>
      <c r="G264" t="s">
        <v>933</v>
      </c>
      <c r="H264" t="s">
        <v>934</v>
      </c>
      <c r="I264" t="s">
        <v>809</v>
      </c>
      <c r="K264" t="s">
        <v>46</v>
      </c>
      <c r="L264" t="s">
        <v>62</v>
      </c>
      <c r="M264" t="s">
        <v>40</v>
      </c>
      <c r="N264" t="s">
        <v>41</v>
      </c>
      <c r="O264" t="s">
        <v>32</v>
      </c>
      <c r="P264" t="s">
        <v>33</v>
      </c>
      <c r="Q264">
        <v>0</v>
      </c>
      <c r="R264" s="1">
        <v>1.9675925925925929E-4</v>
      </c>
      <c r="S264" s="1">
        <v>9.2592592592592588E-5</v>
      </c>
    </row>
    <row r="265" spans="1:19" x14ac:dyDescent="0.35">
      <c r="A265" t="s">
        <v>20</v>
      </c>
      <c r="B265">
        <v>17646</v>
      </c>
      <c r="C265" t="s">
        <v>666</v>
      </c>
      <c r="D265" t="s">
        <v>667</v>
      </c>
      <c r="E265" t="s">
        <v>226</v>
      </c>
      <c r="F265" t="s">
        <v>935</v>
      </c>
      <c r="G265" t="s">
        <v>936</v>
      </c>
      <c r="H265" t="s">
        <v>937</v>
      </c>
      <c r="I265" t="s">
        <v>809</v>
      </c>
      <c r="K265" t="s">
        <v>46</v>
      </c>
      <c r="L265" t="s">
        <v>54</v>
      </c>
      <c r="M265" t="s">
        <v>40</v>
      </c>
      <c r="N265" t="s">
        <v>67</v>
      </c>
      <c r="O265" t="s">
        <v>76</v>
      </c>
      <c r="P265" t="s">
        <v>33</v>
      </c>
      <c r="Q265">
        <v>3</v>
      </c>
      <c r="R265" s="1">
        <v>4.6296296296296298E-4</v>
      </c>
      <c r="S265" s="1">
        <v>3.5879629629629629E-4</v>
      </c>
    </row>
    <row r="266" spans="1:19" x14ac:dyDescent="0.35">
      <c r="A266" t="s">
        <v>20</v>
      </c>
      <c r="B266">
        <v>17646</v>
      </c>
      <c r="C266" t="s">
        <v>666</v>
      </c>
      <c r="D266" t="s">
        <v>667</v>
      </c>
      <c r="E266" t="s">
        <v>230</v>
      </c>
      <c r="F266" t="s">
        <v>938</v>
      </c>
      <c r="G266" t="s">
        <v>939</v>
      </c>
      <c r="H266" t="s">
        <v>940</v>
      </c>
      <c r="I266" t="s">
        <v>809</v>
      </c>
      <c r="K266" t="s">
        <v>61</v>
      </c>
      <c r="L266" t="s">
        <v>62</v>
      </c>
      <c r="M266" t="s">
        <v>30</v>
      </c>
      <c r="N266" t="s">
        <v>67</v>
      </c>
      <c r="O266" t="s">
        <v>32</v>
      </c>
      <c r="P266" t="s">
        <v>33</v>
      </c>
      <c r="Q266">
        <v>2</v>
      </c>
      <c r="R266" s="1">
        <v>7.7546296296296293E-4</v>
      </c>
      <c r="S266" s="1">
        <v>6.7129629629629625E-4</v>
      </c>
    </row>
    <row r="267" spans="1:19" x14ac:dyDescent="0.35">
      <c r="A267" t="s">
        <v>20</v>
      </c>
      <c r="B267">
        <v>17646</v>
      </c>
      <c r="C267" t="s">
        <v>666</v>
      </c>
      <c r="D267" t="s">
        <v>667</v>
      </c>
      <c r="E267" t="s">
        <v>941</v>
      </c>
      <c r="F267" t="s">
        <v>942</v>
      </c>
      <c r="G267" t="s">
        <v>943</v>
      </c>
      <c r="H267" t="s">
        <v>944</v>
      </c>
      <c r="I267" t="s">
        <v>809</v>
      </c>
      <c r="K267" t="s">
        <v>61</v>
      </c>
      <c r="L267" t="s">
        <v>85</v>
      </c>
      <c r="M267" t="s">
        <v>30</v>
      </c>
      <c r="N267" t="s">
        <v>67</v>
      </c>
      <c r="O267" t="s">
        <v>32</v>
      </c>
      <c r="P267" t="s">
        <v>33</v>
      </c>
      <c r="Q267">
        <v>8</v>
      </c>
      <c r="R267" s="1">
        <v>8.6805555555555551E-4</v>
      </c>
      <c r="S267" s="1">
        <v>7.6388888888888893E-4</v>
      </c>
    </row>
    <row r="268" spans="1:19" x14ac:dyDescent="0.35">
      <c r="A268" t="s">
        <v>20</v>
      </c>
      <c r="B268">
        <v>17646</v>
      </c>
      <c r="C268" t="s">
        <v>666</v>
      </c>
      <c r="D268" t="s">
        <v>667</v>
      </c>
      <c r="E268" t="s">
        <v>945</v>
      </c>
      <c r="F268" t="s">
        <v>946</v>
      </c>
      <c r="G268" t="s">
        <v>947</v>
      </c>
      <c r="H268" t="s">
        <v>948</v>
      </c>
      <c r="I268" t="s">
        <v>809</v>
      </c>
      <c r="K268" t="s">
        <v>28</v>
      </c>
      <c r="L268" t="s">
        <v>85</v>
      </c>
      <c r="M268" t="s">
        <v>30</v>
      </c>
      <c r="N268" t="s">
        <v>148</v>
      </c>
      <c r="O268" t="s">
        <v>76</v>
      </c>
      <c r="P268" t="s">
        <v>33</v>
      </c>
      <c r="Q268">
        <v>0</v>
      </c>
      <c r="R268" s="1">
        <v>1.50462962962963E-4</v>
      </c>
      <c r="S268" s="1">
        <v>4.6296296296296287E-5</v>
      </c>
    </row>
    <row r="269" spans="1:19" x14ac:dyDescent="0.35">
      <c r="A269" t="s">
        <v>20</v>
      </c>
      <c r="B269">
        <v>17645</v>
      </c>
      <c r="C269" t="s">
        <v>949</v>
      </c>
      <c r="D269" t="s">
        <v>950</v>
      </c>
      <c r="E269" t="s">
        <v>23</v>
      </c>
      <c r="F269" t="s">
        <v>951</v>
      </c>
      <c r="G269" t="s">
        <v>952</v>
      </c>
      <c r="H269" t="s">
        <v>953</v>
      </c>
      <c r="I269" t="s">
        <v>954</v>
      </c>
      <c r="K269" t="s">
        <v>61</v>
      </c>
      <c r="L269" t="s">
        <v>54</v>
      </c>
      <c r="M269" t="s">
        <v>30</v>
      </c>
      <c r="N269" t="s">
        <v>55</v>
      </c>
      <c r="O269" t="s">
        <v>56</v>
      </c>
      <c r="P269" t="s">
        <v>33</v>
      </c>
      <c r="Q269">
        <v>2</v>
      </c>
      <c r="R269" s="1">
        <v>3.2407407407407412E-4</v>
      </c>
      <c r="S269" s="1">
        <v>2.199074074074074E-4</v>
      </c>
    </row>
    <row r="270" spans="1:19" x14ac:dyDescent="0.35">
      <c r="A270" t="s">
        <v>20</v>
      </c>
      <c r="B270">
        <v>17645</v>
      </c>
      <c r="C270" t="s">
        <v>949</v>
      </c>
      <c r="D270" t="s">
        <v>950</v>
      </c>
      <c r="E270" t="s">
        <v>34</v>
      </c>
      <c r="F270" t="s">
        <v>955</v>
      </c>
      <c r="G270" t="s">
        <v>956</v>
      </c>
      <c r="H270" t="s">
        <v>957</v>
      </c>
      <c r="I270" t="s">
        <v>954</v>
      </c>
      <c r="K270" t="s">
        <v>46</v>
      </c>
      <c r="L270" t="s">
        <v>29</v>
      </c>
      <c r="M270" t="s">
        <v>48</v>
      </c>
      <c r="N270" t="s">
        <v>55</v>
      </c>
      <c r="O270" t="s">
        <v>76</v>
      </c>
      <c r="P270" t="s">
        <v>33</v>
      </c>
      <c r="Q270">
        <v>0</v>
      </c>
      <c r="R270" s="1">
        <v>1.041666666666667E-4</v>
      </c>
      <c r="S270" s="1">
        <v>0</v>
      </c>
    </row>
    <row r="271" spans="1:19" x14ac:dyDescent="0.35">
      <c r="A271" t="s">
        <v>20</v>
      </c>
      <c r="B271">
        <v>17645</v>
      </c>
      <c r="C271" t="s">
        <v>949</v>
      </c>
      <c r="D271" t="s">
        <v>950</v>
      </c>
      <c r="E271" t="s">
        <v>42</v>
      </c>
      <c r="F271" t="s">
        <v>958</v>
      </c>
      <c r="G271" t="s">
        <v>959</v>
      </c>
      <c r="H271" t="s">
        <v>960</v>
      </c>
      <c r="I271" t="s">
        <v>954</v>
      </c>
      <c r="K271" t="s">
        <v>46</v>
      </c>
      <c r="L271" t="s">
        <v>29</v>
      </c>
      <c r="M271" t="s">
        <v>40</v>
      </c>
      <c r="N271" t="s">
        <v>41</v>
      </c>
      <c r="O271" t="s">
        <v>56</v>
      </c>
      <c r="P271" t="s">
        <v>33</v>
      </c>
      <c r="Q271">
        <v>1</v>
      </c>
      <c r="R271" s="1">
        <v>3.1250000000000001E-4</v>
      </c>
      <c r="S271" s="1">
        <v>2.0833333333333329E-4</v>
      </c>
    </row>
    <row r="272" spans="1:19" x14ac:dyDescent="0.35">
      <c r="A272" t="s">
        <v>20</v>
      </c>
      <c r="B272">
        <v>17645</v>
      </c>
      <c r="C272" t="s">
        <v>949</v>
      </c>
      <c r="D272" t="s">
        <v>950</v>
      </c>
      <c r="E272" t="s">
        <v>50</v>
      </c>
      <c r="F272" t="s">
        <v>961</v>
      </c>
      <c r="G272" t="s">
        <v>962</v>
      </c>
      <c r="H272" t="s">
        <v>963</v>
      </c>
      <c r="I272" t="s">
        <v>954</v>
      </c>
      <c r="K272" t="s">
        <v>46</v>
      </c>
      <c r="L272" t="s">
        <v>29</v>
      </c>
      <c r="M272" t="s">
        <v>48</v>
      </c>
      <c r="N272" t="s">
        <v>55</v>
      </c>
      <c r="O272" t="s">
        <v>56</v>
      </c>
      <c r="P272" t="s">
        <v>33</v>
      </c>
      <c r="Q272">
        <v>0</v>
      </c>
      <c r="R272" s="1">
        <v>9.2592592592592588E-5</v>
      </c>
      <c r="S272" s="1">
        <v>0</v>
      </c>
    </row>
    <row r="273" spans="1:19" x14ac:dyDescent="0.35">
      <c r="A273" t="s">
        <v>20</v>
      </c>
      <c r="B273">
        <v>17645</v>
      </c>
      <c r="C273" t="s">
        <v>949</v>
      </c>
      <c r="D273" t="s">
        <v>950</v>
      </c>
      <c r="E273" t="s">
        <v>57</v>
      </c>
      <c r="F273" t="s">
        <v>964</v>
      </c>
      <c r="G273" t="s">
        <v>965</v>
      </c>
      <c r="H273" t="s">
        <v>966</v>
      </c>
      <c r="I273" t="s">
        <v>954</v>
      </c>
      <c r="K273" t="s">
        <v>61</v>
      </c>
      <c r="L273" t="s">
        <v>62</v>
      </c>
      <c r="M273" t="s">
        <v>30</v>
      </c>
      <c r="N273" t="s">
        <v>55</v>
      </c>
      <c r="O273" t="s">
        <v>76</v>
      </c>
      <c r="P273" t="s">
        <v>33</v>
      </c>
      <c r="Q273">
        <v>0</v>
      </c>
      <c r="R273" s="1">
        <v>3.1250000000000001E-4</v>
      </c>
      <c r="S273" s="1">
        <v>2.0833333333333329E-4</v>
      </c>
    </row>
    <row r="274" spans="1:19" x14ac:dyDescent="0.35">
      <c r="A274" t="s">
        <v>20</v>
      </c>
      <c r="B274">
        <v>17645</v>
      </c>
      <c r="C274" t="s">
        <v>949</v>
      </c>
      <c r="D274" t="s">
        <v>950</v>
      </c>
      <c r="E274" t="s">
        <v>63</v>
      </c>
      <c r="F274" t="s">
        <v>967</v>
      </c>
      <c r="G274" t="s">
        <v>968</v>
      </c>
      <c r="H274" t="s">
        <v>969</v>
      </c>
      <c r="I274" t="s">
        <v>954</v>
      </c>
      <c r="K274" t="s">
        <v>46</v>
      </c>
      <c r="L274" t="s">
        <v>29</v>
      </c>
      <c r="M274" t="s">
        <v>40</v>
      </c>
      <c r="N274" t="s">
        <v>55</v>
      </c>
      <c r="O274" t="s">
        <v>76</v>
      </c>
      <c r="P274" t="s">
        <v>33</v>
      </c>
      <c r="Q274">
        <v>3</v>
      </c>
      <c r="R274" s="1">
        <v>4.3981481481481481E-4</v>
      </c>
      <c r="S274" s="1">
        <v>3.3564814814814812E-4</v>
      </c>
    </row>
    <row r="275" spans="1:19" x14ac:dyDescent="0.35">
      <c r="A275" t="s">
        <v>20</v>
      </c>
      <c r="B275">
        <v>17645</v>
      </c>
      <c r="C275" t="s">
        <v>949</v>
      </c>
      <c r="D275" t="s">
        <v>950</v>
      </c>
      <c r="E275" t="s">
        <v>68</v>
      </c>
      <c r="F275" t="s">
        <v>970</v>
      </c>
      <c r="G275" t="s">
        <v>971</v>
      </c>
      <c r="H275" t="s">
        <v>972</v>
      </c>
      <c r="I275" t="s">
        <v>954</v>
      </c>
      <c r="K275" t="s">
        <v>61</v>
      </c>
      <c r="L275" t="s">
        <v>62</v>
      </c>
      <c r="M275" t="s">
        <v>30</v>
      </c>
      <c r="N275" t="s">
        <v>67</v>
      </c>
      <c r="O275" t="s">
        <v>76</v>
      </c>
      <c r="P275" t="s">
        <v>33</v>
      </c>
      <c r="Q275">
        <v>1</v>
      </c>
      <c r="R275" s="1">
        <v>4.0509259259259258E-4</v>
      </c>
      <c r="S275" s="1">
        <v>3.0092592592592589E-4</v>
      </c>
    </row>
    <row r="276" spans="1:19" x14ac:dyDescent="0.35">
      <c r="A276" t="s">
        <v>20</v>
      </c>
      <c r="B276">
        <v>17645</v>
      </c>
      <c r="C276" t="s">
        <v>949</v>
      </c>
      <c r="D276" t="s">
        <v>950</v>
      </c>
      <c r="E276" t="s">
        <v>72</v>
      </c>
      <c r="F276" t="s">
        <v>973</v>
      </c>
      <c r="G276" t="s">
        <v>974</v>
      </c>
      <c r="H276" t="s">
        <v>975</v>
      </c>
      <c r="I276" t="s">
        <v>954</v>
      </c>
      <c r="K276" t="s">
        <v>61</v>
      </c>
      <c r="L276" t="s">
        <v>62</v>
      </c>
      <c r="M276" t="s">
        <v>30</v>
      </c>
      <c r="N276" t="s">
        <v>55</v>
      </c>
      <c r="O276" t="s">
        <v>76</v>
      </c>
      <c r="P276" t="s">
        <v>33</v>
      </c>
      <c r="Q276">
        <v>0</v>
      </c>
      <c r="R276" s="1">
        <v>1.9675925925925929E-4</v>
      </c>
      <c r="S276" s="1">
        <v>9.2592592592592588E-5</v>
      </c>
    </row>
    <row r="277" spans="1:19" x14ac:dyDescent="0.35">
      <c r="A277" t="s">
        <v>20</v>
      </c>
      <c r="B277">
        <v>17645</v>
      </c>
      <c r="C277" t="s">
        <v>949</v>
      </c>
      <c r="D277" t="s">
        <v>950</v>
      </c>
      <c r="E277" t="s">
        <v>77</v>
      </c>
      <c r="F277" t="s">
        <v>976</v>
      </c>
      <c r="G277" t="s">
        <v>977</v>
      </c>
      <c r="H277" t="s">
        <v>978</v>
      </c>
      <c r="I277" t="s">
        <v>954</v>
      </c>
      <c r="K277" t="s">
        <v>61</v>
      </c>
      <c r="L277" t="s">
        <v>62</v>
      </c>
      <c r="M277" t="s">
        <v>30</v>
      </c>
      <c r="N277" t="s">
        <v>31</v>
      </c>
      <c r="O277" t="s">
        <v>76</v>
      </c>
      <c r="P277" t="s">
        <v>33</v>
      </c>
      <c r="Q277">
        <v>4</v>
      </c>
      <c r="R277" s="1">
        <v>5.5555555555555556E-4</v>
      </c>
      <c r="S277" s="1">
        <v>4.5138888888888892E-4</v>
      </c>
    </row>
    <row r="278" spans="1:19" x14ac:dyDescent="0.35">
      <c r="A278" t="s">
        <v>20</v>
      </c>
      <c r="B278">
        <v>17645</v>
      </c>
      <c r="C278" t="s">
        <v>949</v>
      </c>
      <c r="D278" t="s">
        <v>950</v>
      </c>
      <c r="E278" t="s">
        <v>81</v>
      </c>
      <c r="F278" t="s">
        <v>979</v>
      </c>
      <c r="G278" t="s">
        <v>980</v>
      </c>
      <c r="H278" t="s">
        <v>981</v>
      </c>
      <c r="I278" t="s">
        <v>954</v>
      </c>
      <c r="K278" t="s">
        <v>28</v>
      </c>
      <c r="L278" t="s">
        <v>62</v>
      </c>
      <c r="M278" t="s">
        <v>40</v>
      </c>
      <c r="N278" t="s">
        <v>67</v>
      </c>
      <c r="O278" t="s">
        <v>76</v>
      </c>
      <c r="P278" t="s">
        <v>33</v>
      </c>
      <c r="Q278">
        <v>1</v>
      </c>
      <c r="R278" s="1">
        <v>2.5462962962962961E-4</v>
      </c>
      <c r="S278" s="1">
        <v>1.50462962962963E-4</v>
      </c>
    </row>
    <row r="279" spans="1:19" x14ac:dyDescent="0.35">
      <c r="A279" t="s">
        <v>20</v>
      </c>
      <c r="B279">
        <v>17645</v>
      </c>
      <c r="C279" t="s">
        <v>949</v>
      </c>
      <c r="D279" t="s">
        <v>950</v>
      </c>
      <c r="E279" t="s">
        <v>86</v>
      </c>
      <c r="F279" t="s">
        <v>982</v>
      </c>
      <c r="G279" t="s">
        <v>983</v>
      </c>
      <c r="H279" t="s">
        <v>984</v>
      </c>
      <c r="I279" t="s">
        <v>954</v>
      </c>
      <c r="K279" t="s">
        <v>61</v>
      </c>
      <c r="L279" t="s">
        <v>62</v>
      </c>
      <c r="M279" t="s">
        <v>30</v>
      </c>
      <c r="N279" t="s">
        <v>55</v>
      </c>
      <c r="O279" t="s">
        <v>32</v>
      </c>
      <c r="P279" t="s">
        <v>33</v>
      </c>
      <c r="Q279">
        <v>0</v>
      </c>
      <c r="R279" s="1">
        <v>1.273148148148148E-4</v>
      </c>
      <c r="S279" s="1">
        <v>2.314814814814815E-5</v>
      </c>
    </row>
    <row r="280" spans="1:19" x14ac:dyDescent="0.35">
      <c r="A280" t="s">
        <v>20</v>
      </c>
      <c r="B280">
        <v>17645</v>
      </c>
      <c r="C280" t="s">
        <v>949</v>
      </c>
      <c r="D280" t="s">
        <v>950</v>
      </c>
      <c r="E280" t="s">
        <v>91</v>
      </c>
      <c r="F280" t="s">
        <v>985</v>
      </c>
      <c r="G280" t="s">
        <v>986</v>
      </c>
      <c r="H280" t="s">
        <v>987</v>
      </c>
      <c r="I280" t="s">
        <v>954</v>
      </c>
      <c r="K280" t="s">
        <v>61</v>
      </c>
      <c r="L280" t="s">
        <v>54</v>
      </c>
      <c r="M280" t="s">
        <v>30</v>
      </c>
      <c r="N280" t="s">
        <v>67</v>
      </c>
      <c r="O280" t="s">
        <v>32</v>
      </c>
      <c r="P280" t="s">
        <v>33</v>
      </c>
      <c r="Q280">
        <v>0</v>
      </c>
      <c r="R280" s="1">
        <v>2.3148148148148149E-4</v>
      </c>
      <c r="S280" s="1">
        <v>1.273148148148148E-4</v>
      </c>
    </row>
    <row r="281" spans="1:19" x14ac:dyDescent="0.35">
      <c r="A281" t="s">
        <v>20</v>
      </c>
      <c r="B281">
        <v>17645</v>
      </c>
      <c r="C281" t="s">
        <v>949</v>
      </c>
      <c r="D281" t="s">
        <v>950</v>
      </c>
      <c r="E281" t="s">
        <v>95</v>
      </c>
      <c r="F281" t="s">
        <v>988</v>
      </c>
      <c r="G281" t="s">
        <v>989</v>
      </c>
      <c r="H281" t="s">
        <v>990</v>
      </c>
      <c r="I281" t="s">
        <v>954</v>
      </c>
      <c r="K281" t="s">
        <v>28</v>
      </c>
      <c r="L281" t="s">
        <v>85</v>
      </c>
      <c r="M281" t="s">
        <v>30</v>
      </c>
      <c r="N281" t="s">
        <v>148</v>
      </c>
      <c r="O281" t="s">
        <v>56</v>
      </c>
      <c r="P281" t="s">
        <v>33</v>
      </c>
      <c r="Q281">
        <v>0</v>
      </c>
      <c r="R281" s="1">
        <v>9.2592592592592588E-5</v>
      </c>
      <c r="S281" s="1">
        <v>0</v>
      </c>
    </row>
    <row r="282" spans="1:19" x14ac:dyDescent="0.35">
      <c r="A282" t="s">
        <v>20</v>
      </c>
      <c r="B282">
        <v>17645</v>
      </c>
      <c r="C282" t="s">
        <v>949</v>
      </c>
      <c r="D282" t="s">
        <v>950</v>
      </c>
      <c r="E282" t="s">
        <v>99</v>
      </c>
      <c r="F282" t="s">
        <v>991</v>
      </c>
      <c r="G282" t="s">
        <v>992</v>
      </c>
      <c r="H282" t="s">
        <v>993</v>
      </c>
      <c r="I282" t="s">
        <v>954</v>
      </c>
      <c r="K282" t="s">
        <v>28</v>
      </c>
      <c r="L282" t="s">
        <v>181</v>
      </c>
      <c r="M282" t="s">
        <v>40</v>
      </c>
      <c r="N282" t="s">
        <v>67</v>
      </c>
      <c r="O282" t="s">
        <v>56</v>
      </c>
      <c r="P282" t="s">
        <v>33</v>
      </c>
      <c r="Q282">
        <v>0</v>
      </c>
      <c r="R282" s="1">
        <v>1.851851851851852E-4</v>
      </c>
      <c r="S282" s="1">
        <v>8.1018518518518516E-5</v>
      </c>
    </row>
    <row r="283" spans="1:19" x14ac:dyDescent="0.35">
      <c r="A283" t="s">
        <v>20</v>
      </c>
      <c r="B283">
        <v>17645</v>
      </c>
      <c r="C283" t="s">
        <v>949</v>
      </c>
      <c r="D283" t="s">
        <v>950</v>
      </c>
      <c r="E283" t="s">
        <v>103</v>
      </c>
      <c r="F283" t="s">
        <v>994</v>
      </c>
      <c r="G283" t="s">
        <v>995</v>
      </c>
      <c r="H283" t="s">
        <v>996</v>
      </c>
      <c r="I283" t="s">
        <v>954</v>
      </c>
      <c r="K283" t="s">
        <v>38</v>
      </c>
      <c r="L283" t="s">
        <v>47</v>
      </c>
      <c r="M283" t="s">
        <v>478</v>
      </c>
      <c r="N283" t="s">
        <v>115</v>
      </c>
      <c r="O283" t="s">
        <v>76</v>
      </c>
      <c r="P283" t="s">
        <v>33</v>
      </c>
      <c r="Q283">
        <v>0</v>
      </c>
      <c r="R283" s="1">
        <v>2.3148148148148149E-4</v>
      </c>
      <c r="S283" s="1">
        <v>1.273148148148148E-4</v>
      </c>
    </row>
    <row r="284" spans="1:19" x14ac:dyDescent="0.35">
      <c r="A284" t="s">
        <v>20</v>
      </c>
      <c r="B284">
        <v>17645</v>
      </c>
      <c r="C284" t="s">
        <v>949</v>
      </c>
      <c r="D284" t="s">
        <v>950</v>
      </c>
      <c r="E284" t="s">
        <v>107</v>
      </c>
      <c r="F284" t="s">
        <v>997</v>
      </c>
      <c r="G284" t="s">
        <v>998</v>
      </c>
      <c r="H284" t="s">
        <v>999</v>
      </c>
      <c r="I284" t="s">
        <v>954</v>
      </c>
      <c r="K284" t="s">
        <v>46</v>
      </c>
      <c r="L284" t="s">
        <v>62</v>
      </c>
      <c r="M284" t="s">
        <v>40</v>
      </c>
      <c r="N284" t="s">
        <v>41</v>
      </c>
      <c r="O284" t="s">
        <v>76</v>
      </c>
      <c r="P284" t="s">
        <v>33</v>
      </c>
      <c r="Q284">
        <v>0</v>
      </c>
      <c r="R284" s="1">
        <v>2.0833333333333329E-4</v>
      </c>
      <c r="S284" s="1">
        <v>1.041666666666667E-4</v>
      </c>
    </row>
    <row r="285" spans="1:19" x14ac:dyDescent="0.35">
      <c r="A285" t="s">
        <v>20</v>
      </c>
      <c r="B285">
        <v>17645</v>
      </c>
      <c r="C285" t="s">
        <v>949</v>
      </c>
      <c r="D285" t="s">
        <v>950</v>
      </c>
      <c r="E285" t="s">
        <v>111</v>
      </c>
      <c r="F285" t="s">
        <v>1000</v>
      </c>
      <c r="G285" t="s">
        <v>1001</v>
      </c>
      <c r="H285" t="s">
        <v>1002</v>
      </c>
      <c r="I285" t="s">
        <v>954</v>
      </c>
      <c r="K285" t="s">
        <v>46</v>
      </c>
      <c r="L285" t="s">
        <v>54</v>
      </c>
      <c r="M285" t="s">
        <v>30</v>
      </c>
      <c r="N285" t="s">
        <v>41</v>
      </c>
      <c r="O285" t="s">
        <v>32</v>
      </c>
      <c r="P285" t="s">
        <v>33</v>
      </c>
      <c r="Q285">
        <v>0</v>
      </c>
      <c r="R285" s="1">
        <v>1.851851851851852E-4</v>
      </c>
      <c r="S285" s="1">
        <v>8.1018518518518516E-5</v>
      </c>
    </row>
    <row r="286" spans="1:19" x14ac:dyDescent="0.35">
      <c r="A286" t="s">
        <v>20</v>
      </c>
      <c r="B286">
        <v>17645</v>
      </c>
      <c r="C286" t="s">
        <v>949</v>
      </c>
      <c r="D286" t="s">
        <v>950</v>
      </c>
      <c r="E286" t="s">
        <v>116</v>
      </c>
      <c r="F286" t="s">
        <v>1003</v>
      </c>
      <c r="G286" t="s">
        <v>1004</v>
      </c>
      <c r="H286" t="s">
        <v>1005</v>
      </c>
      <c r="I286" t="s">
        <v>954</v>
      </c>
      <c r="K286" t="s">
        <v>28</v>
      </c>
      <c r="L286" t="s">
        <v>62</v>
      </c>
      <c r="M286" t="s">
        <v>30</v>
      </c>
      <c r="N286" t="s">
        <v>41</v>
      </c>
      <c r="O286" t="s">
        <v>76</v>
      </c>
      <c r="P286" t="s">
        <v>33</v>
      </c>
      <c r="Q286">
        <v>4</v>
      </c>
      <c r="R286" s="1">
        <v>5.9027777777777778E-4</v>
      </c>
      <c r="S286" s="1">
        <v>4.861111111111111E-4</v>
      </c>
    </row>
    <row r="287" spans="1:19" x14ac:dyDescent="0.35">
      <c r="A287" t="s">
        <v>20</v>
      </c>
      <c r="B287">
        <v>17645</v>
      </c>
      <c r="C287" t="s">
        <v>949</v>
      </c>
      <c r="D287" t="s">
        <v>950</v>
      </c>
      <c r="E287" t="s">
        <v>120</v>
      </c>
      <c r="F287" t="s">
        <v>1006</v>
      </c>
      <c r="G287" t="s">
        <v>1007</v>
      </c>
      <c r="H287" t="s">
        <v>1008</v>
      </c>
      <c r="I287" t="s">
        <v>954</v>
      </c>
      <c r="K287" t="s">
        <v>28</v>
      </c>
      <c r="L287" t="s">
        <v>853</v>
      </c>
      <c r="M287" t="s">
        <v>30</v>
      </c>
      <c r="N287" t="s">
        <v>41</v>
      </c>
      <c r="O287" t="s">
        <v>56</v>
      </c>
      <c r="P287" t="s">
        <v>33</v>
      </c>
      <c r="Q287">
        <v>0</v>
      </c>
      <c r="R287" s="1">
        <v>1.851851851851852E-4</v>
      </c>
      <c r="S287" s="1">
        <v>8.1018518518518516E-5</v>
      </c>
    </row>
    <row r="288" spans="1:19" x14ac:dyDescent="0.35">
      <c r="A288" t="s">
        <v>20</v>
      </c>
      <c r="B288">
        <v>17645</v>
      </c>
      <c r="C288" t="s">
        <v>949</v>
      </c>
      <c r="D288" t="s">
        <v>950</v>
      </c>
      <c r="E288" t="s">
        <v>124</v>
      </c>
      <c r="F288" t="s">
        <v>1009</v>
      </c>
      <c r="G288" t="s">
        <v>1010</v>
      </c>
      <c r="H288" t="s">
        <v>1011</v>
      </c>
      <c r="I288" t="s">
        <v>954</v>
      </c>
      <c r="K288" t="s">
        <v>28</v>
      </c>
      <c r="L288" t="s">
        <v>62</v>
      </c>
      <c r="M288" t="s">
        <v>40</v>
      </c>
      <c r="N288" t="s">
        <v>67</v>
      </c>
      <c r="O288" t="s">
        <v>76</v>
      </c>
      <c r="P288" t="s">
        <v>33</v>
      </c>
      <c r="Q288">
        <v>5</v>
      </c>
      <c r="R288" s="1">
        <v>5.6712962962962967E-4</v>
      </c>
      <c r="S288" s="1">
        <v>4.6296296296296298E-4</v>
      </c>
    </row>
    <row r="289" spans="1:19" x14ac:dyDescent="0.35">
      <c r="A289" t="s">
        <v>20</v>
      </c>
      <c r="B289">
        <v>17645</v>
      </c>
      <c r="C289" t="s">
        <v>949</v>
      </c>
      <c r="D289" t="s">
        <v>950</v>
      </c>
      <c r="E289" t="s">
        <v>128</v>
      </c>
      <c r="F289" t="s">
        <v>1012</v>
      </c>
      <c r="G289" t="s">
        <v>1013</v>
      </c>
      <c r="H289" t="s">
        <v>1014</v>
      </c>
      <c r="I289" t="s">
        <v>954</v>
      </c>
      <c r="K289" t="s">
        <v>28</v>
      </c>
      <c r="L289" t="s">
        <v>85</v>
      </c>
      <c r="M289" t="s">
        <v>30</v>
      </c>
      <c r="N289" t="s">
        <v>148</v>
      </c>
      <c r="O289" t="s">
        <v>56</v>
      </c>
      <c r="P289" t="s">
        <v>33</v>
      </c>
      <c r="Q289">
        <v>0</v>
      </c>
      <c r="R289" s="1">
        <v>9.2592592592592588E-5</v>
      </c>
      <c r="S289" s="1">
        <v>0</v>
      </c>
    </row>
    <row r="290" spans="1:19" x14ac:dyDescent="0.35">
      <c r="A290" t="s">
        <v>20</v>
      </c>
      <c r="B290">
        <v>17645</v>
      </c>
      <c r="C290" t="s">
        <v>949</v>
      </c>
      <c r="D290" t="s">
        <v>950</v>
      </c>
      <c r="E290" t="s">
        <v>132</v>
      </c>
      <c r="F290" t="s">
        <v>1015</v>
      </c>
      <c r="G290" t="s">
        <v>1016</v>
      </c>
      <c r="H290" t="s">
        <v>1017</v>
      </c>
      <c r="I290" t="s">
        <v>954</v>
      </c>
      <c r="K290" t="s">
        <v>46</v>
      </c>
      <c r="L290" t="s">
        <v>29</v>
      </c>
      <c r="M290" t="s">
        <v>40</v>
      </c>
      <c r="N290" t="s">
        <v>41</v>
      </c>
      <c r="O290" t="s">
        <v>76</v>
      </c>
      <c r="P290" t="s">
        <v>33</v>
      </c>
      <c r="Q290">
        <v>0</v>
      </c>
      <c r="R290" s="1">
        <v>1.6203703703703701E-4</v>
      </c>
      <c r="S290" s="1">
        <v>5.7870370370370373E-5</v>
      </c>
    </row>
    <row r="291" spans="1:19" x14ac:dyDescent="0.35">
      <c r="A291" t="s">
        <v>20</v>
      </c>
      <c r="B291">
        <v>17645</v>
      </c>
      <c r="C291" t="s">
        <v>949</v>
      </c>
      <c r="D291" t="s">
        <v>950</v>
      </c>
      <c r="E291" t="s">
        <v>136</v>
      </c>
      <c r="F291" t="s">
        <v>1018</v>
      </c>
      <c r="G291" t="s">
        <v>1019</v>
      </c>
      <c r="H291" t="s">
        <v>1020</v>
      </c>
      <c r="I291" t="s">
        <v>954</v>
      </c>
      <c r="K291" t="s">
        <v>46</v>
      </c>
      <c r="L291" t="s">
        <v>54</v>
      </c>
      <c r="M291" t="s">
        <v>40</v>
      </c>
      <c r="N291" t="s">
        <v>41</v>
      </c>
      <c r="O291" t="s">
        <v>56</v>
      </c>
      <c r="P291" t="s">
        <v>33</v>
      </c>
      <c r="Q291">
        <v>0</v>
      </c>
      <c r="R291" s="1">
        <v>2.3148148148148149E-4</v>
      </c>
      <c r="S291" s="1">
        <v>1.273148148148148E-4</v>
      </c>
    </row>
    <row r="292" spans="1:19" x14ac:dyDescent="0.35">
      <c r="A292" t="s">
        <v>20</v>
      </c>
      <c r="B292">
        <v>17645</v>
      </c>
      <c r="C292" t="s">
        <v>949</v>
      </c>
      <c r="D292" t="s">
        <v>950</v>
      </c>
      <c r="E292" t="s">
        <v>140</v>
      </c>
      <c r="F292" t="s">
        <v>1021</v>
      </c>
      <c r="G292" t="s">
        <v>1022</v>
      </c>
      <c r="H292" t="s">
        <v>1023</v>
      </c>
      <c r="I292" t="s">
        <v>954</v>
      </c>
      <c r="K292" t="s">
        <v>46</v>
      </c>
      <c r="L292" t="s">
        <v>29</v>
      </c>
      <c r="M292" t="s">
        <v>48</v>
      </c>
      <c r="N292" t="s">
        <v>55</v>
      </c>
      <c r="O292" t="s">
        <v>32</v>
      </c>
      <c r="P292" t="s">
        <v>33</v>
      </c>
      <c r="Q292">
        <v>0</v>
      </c>
      <c r="R292" s="1">
        <v>1.7361111111111109E-4</v>
      </c>
      <c r="S292" s="1">
        <v>6.9444444444444444E-5</v>
      </c>
    </row>
    <row r="293" spans="1:19" x14ac:dyDescent="0.35">
      <c r="A293" t="s">
        <v>20</v>
      </c>
      <c r="B293">
        <v>17645</v>
      </c>
      <c r="C293" t="s">
        <v>949</v>
      </c>
      <c r="D293" t="s">
        <v>950</v>
      </c>
      <c r="E293" t="s">
        <v>144</v>
      </c>
      <c r="F293" t="s">
        <v>1024</v>
      </c>
      <c r="G293" t="s">
        <v>1025</v>
      </c>
      <c r="H293" t="s">
        <v>1026</v>
      </c>
      <c r="I293" t="s">
        <v>954</v>
      </c>
      <c r="K293" t="s">
        <v>28</v>
      </c>
      <c r="L293" t="s">
        <v>62</v>
      </c>
      <c r="M293" t="s">
        <v>40</v>
      </c>
      <c r="N293" t="s">
        <v>41</v>
      </c>
      <c r="O293" t="s">
        <v>32</v>
      </c>
      <c r="P293" t="s">
        <v>33</v>
      </c>
      <c r="Q293">
        <v>2</v>
      </c>
      <c r="R293" s="1">
        <v>3.2407407407407412E-4</v>
      </c>
      <c r="S293" s="1">
        <v>2.199074074074074E-4</v>
      </c>
    </row>
    <row r="294" spans="1:19" x14ac:dyDescent="0.35">
      <c r="A294" t="s">
        <v>20</v>
      </c>
      <c r="B294">
        <v>17645</v>
      </c>
      <c r="C294" t="s">
        <v>949</v>
      </c>
      <c r="D294" t="s">
        <v>950</v>
      </c>
      <c r="E294" t="s">
        <v>149</v>
      </c>
      <c r="F294" t="s">
        <v>1027</v>
      </c>
      <c r="G294" t="s">
        <v>1028</v>
      </c>
      <c r="H294" t="s">
        <v>1029</v>
      </c>
      <c r="I294" t="s">
        <v>954</v>
      </c>
      <c r="K294" t="s">
        <v>46</v>
      </c>
      <c r="L294" t="s">
        <v>29</v>
      </c>
      <c r="M294" t="s">
        <v>48</v>
      </c>
      <c r="N294" t="s">
        <v>55</v>
      </c>
      <c r="O294" t="s">
        <v>76</v>
      </c>
      <c r="P294" t="s">
        <v>33</v>
      </c>
      <c r="Q294">
        <v>0</v>
      </c>
      <c r="R294" s="1">
        <v>1.3888888888888889E-4</v>
      </c>
      <c r="S294" s="1">
        <v>3.4722222222222222E-5</v>
      </c>
    </row>
    <row r="295" spans="1:19" x14ac:dyDescent="0.35">
      <c r="A295" t="s">
        <v>20</v>
      </c>
      <c r="B295">
        <v>17645</v>
      </c>
      <c r="C295" t="s">
        <v>949</v>
      </c>
      <c r="D295" t="s">
        <v>950</v>
      </c>
      <c r="E295" t="s">
        <v>153</v>
      </c>
      <c r="F295" t="s">
        <v>1030</v>
      </c>
      <c r="G295" t="s">
        <v>1031</v>
      </c>
      <c r="H295" t="s">
        <v>1032</v>
      </c>
      <c r="I295" t="s">
        <v>954</v>
      </c>
      <c r="K295" t="s">
        <v>46</v>
      </c>
      <c r="L295" t="s">
        <v>62</v>
      </c>
      <c r="M295" t="s">
        <v>40</v>
      </c>
      <c r="N295" t="s">
        <v>41</v>
      </c>
      <c r="O295" t="s">
        <v>32</v>
      </c>
      <c r="P295" t="s">
        <v>33</v>
      </c>
      <c r="Q295">
        <v>0</v>
      </c>
      <c r="R295" s="1">
        <v>1.851851851851852E-4</v>
      </c>
      <c r="S295" s="1">
        <v>8.1018518518518516E-5</v>
      </c>
    </row>
    <row r="296" spans="1:19" x14ac:dyDescent="0.35">
      <c r="A296" t="s">
        <v>20</v>
      </c>
      <c r="B296">
        <v>17645</v>
      </c>
      <c r="C296" t="s">
        <v>949</v>
      </c>
      <c r="D296" t="s">
        <v>950</v>
      </c>
      <c r="E296" t="s">
        <v>157</v>
      </c>
      <c r="F296" t="s">
        <v>1033</v>
      </c>
      <c r="G296" t="s">
        <v>1034</v>
      </c>
      <c r="H296" t="s">
        <v>1035</v>
      </c>
      <c r="I296" t="s">
        <v>954</v>
      </c>
      <c r="K296" t="s">
        <v>46</v>
      </c>
      <c r="L296" t="s">
        <v>47</v>
      </c>
      <c r="M296" t="s">
        <v>48</v>
      </c>
      <c r="N296" t="s">
        <v>55</v>
      </c>
      <c r="O296" t="s">
        <v>56</v>
      </c>
      <c r="P296" t="s">
        <v>33</v>
      </c>
      <c r="Q296">
        <v>0</v>
      </c>
      <c r="R296" s="1">
        <v>1.6203703703703701E-4</v>
      </c>
      <c r="S296" s="1">
        <v>5.7870370370370373E-5</v>
      </c>
    </row>
    <row r="297" spans="1:19" x14ac:dyDescent="0.35">
      <c r="A297" t="s">
        <v>20</v>
      </c>
      <c r="B297">
        <v>17645</v>
      </c>
      <c r="C297" t="s">
        <v>949</v>
      </c>
      <c r="D297" t="s">
        <v>950</v>
      </c>
      <c r="E297" t="s">
        <v>161</v>
      </c>
      <c r="F297" t="s">
        <v>1036</v>
      </c>
      <c r="G297" t="s">
        <v>1037</v>
      </c>
      <c r="H297" t="s">
        <v>1038</v>
      </c>
      <c r="I297" t="s">
        <v>954</v>
      </c>
      <c r="K297" t="s">
        <v>46</v>
      </c>
      <c r="L297" t="s">
        <v>47</v>
      </c>
      <c r="M297" t="s">
        <v>30</v>
      </c>
      <c r="N297" t="s">
        <v>41</v>
      </c>
      <c r="O297" t="s">
        <v>56</v>
      </c>
      <c r="P297" t="s">
        <v>33</v>
      </c>
      <c r="Q297">
        <v>3</v>
      </c>
      <c r="R297" s="1">
        <v>4.3981481481481481E-4</v>
      </c>
      <c r="S297" s="1">
        <v>3.3564814814814812E-4</v>
      </c>
    </row>
    <row r="298" spans="1:19" x14ac:dyDescent="0.35">
      <c r="A298" t="s">
        <v>20</v>
      </c>
      <c r="B298">
        <v>17645</v>
      </c>
      <c r="C298" t="s">
        <v>949</v>
      </c>
      <c r="D298" t="s">
        <v>950</v>
      </c>
      <c r="E298" t="s">
        <v>165</v>
      </c>
      <c r="F298" t="s">
        <v>1039</v>
      </c>
      <c r="G298" t="s">
        <v>1040</v>
      </c>
      <c r="H298" t="s">
        <v>1041</v>
      </c>
      <c r="I298" t="s">
        <v>954</v>
      </c>
      <c r="K298" t="s">
        <v>38</v>
      </c>
      <c r="L298" t="s">
        <v>47</v>
      </c>
      <c r="M298" t="s">
        <v>30</v>
      </c>
      <c r="N298" t="s">
        <v>41</v>
      </c>
      <c r="O298" t="s">
        <v>32</v>
      </c>
      <c r="P298" t="s">
        <v>33</v>
      </c>
      <c r="Q298">
        <v>0</v>
      </c>
      <c r="R298" s="1">
        <v>2.5462962962962961E-4</v>
      </c>
      <c r="S298" s="1">
        <v>1.50462962962963E-4</v>
      </c>
    </row>
    <row r="299" spans="1:19" x14ac:dyDescent="0.35">
      <c r="A299" t="s">
        <v>20</v>
      </c>
      <c r="B299">
        <v>17645</v>
      </c>
      <c r="C299" t="s">
        <v>949</v>
      </c>
      <c r="D299" t="s">
        <v>950</v>
      </c>
      <c r="E299" t="s">
        <v>169</v>
      </c>
      <c r="F299" t="s">
        <v>1042</v>
      </c>
      <c r="G299" t="s">
        <v>1043</v>
      </c>
      <c r="H299" t="s">
        <v>1044</v>
      </c>
      <c r="I299" t="s">
        <v>954</v>
      </c>
      <c r="K299" t="s">
        <v>46</v>
      </c>
      <c r="L299" t="s">
        <v>29</v>
      </c>
      <c r="M299" t="s">
        <v>40</v>
      </c>
      <c r="N299" t="s">
        <v>115</v>
      </c>
      <c r="O299" t="s">
        <v>76</v>
      </c>
      <c r="P299" t="s">
        <v>33</v>
      </c>
      <c r="Q299">
        <v>0</v>
      </c>
      <c r="R299" s="1">
        <v>1.6203703703703701E-4</v>
      </c>
      <c r="S299" s="1">
        <v>5.7870370370370373E-5</v>
      </c>
    </row>
    <row r="300" spans="1:19" x14ac:dyDescent="0.35">
      <c r="A300" t="s">
        <v>20</v>
      </c>
      <c r="B300">
        <v>17645</v>
      </c>
      <c r="C300" t="s">
        <v>949</v>
      </c>
      <c r="D300" t="s">
        <v>950</v>
      </c>
      <c r="E300" t="s">
        <v>173</v>
      </c>
      <c r="F300" t="s">
        <v>1045</v>
      </c>
      <c r="G300" t="s">
        <v>1046</v>
      </c>
      <c r="H300" t="s">
        <v>1047</v>
      </c>
      <c r="I300" t="s">
        <v>954</v>
      </c>
      <c r="K300" t="s">
        <v>61</v>
      </c>
      <c r="L300" t="s">
        <v>62</v>
      </c>
      <c r="M300" t="s">
        <v>30</v>
      </c>
      <c r="N300" t="s">
        <v>31</v>
      </c>
      <c r="O300" t="s">
        <v>76</v>
      </c>
      <c r="P300" t="s">
        <v>33</v>
      </c>
      <c r="Q300">
        <v>1</v>
      </c>
      <c r="R300" s="1">
        <v>4.3981481481481481E-4</v>
      </c>
      <c r="S300" s="1">
        <v>3.3564814814814812E-4</v>
      </c>
    </row>
    <row r="301" spans="1:19" x14ac:dyDescent="0.35">
      <c r="A301" t="s">
        <v>20</v>
      </c>
      <c r="B301">
        <v>17645</v>
      </c>
      <c r="C301" t="s">
        <v>949</v>
      </c>
      <c r="D301" t="s">
        <v>950</v>
      </c>
      <c r="E301" t="s">
        <v>177</v>
      </c>
      <c r="F301" t="s">
        <v>1048</v>
      </c>
      <c r="G301" t="s">
        <v>1049</v>
      </c>
      <c r="H301" t="s">
        <v>1050</v>
      </c>
      <c r="I301" t="s">
        <v>954</v>
      </c>
      <c r="K301" t="s">
        <v>46</v>
      </c>
      <c r="L301" t="s">
        <v>39</v>
      </c>
      <c r="M301" t="s">
        <v>48</v>
      </c>
      <c r="N301" t="s">
        <v>67</v>
      </c>
      <c r="O301" t="s">
        <v>76</v>
      </c>
      <c r="P301" t="s">
        <v>33</v>
      </c>
      <c r="Q301">
        <v>0</v>
      </c>
      <c r="R301" s="1">
        <v>1.7361111111111109E-4</v>
      </c>
      <c r="S301" s="1">
        <v>6.9444444444444444E-5</v>
      </c>
    </row>
    <row r="302" spans="1:19" x14ac:dyDescent="0.35">
      <c r="A302" t="s">
        <v>20</v>
      </c>
      <c r="B302">
        <v>17645</v>
      </c>
      <c r="C302" t="s">
        <v>949</v>
      </c>
      <c r="D302" t="s">
        <v>950</v>
      </c>
      <c r="E302" t="s">
        <v>182</v>
      </c>
      <c r="F302" t="s">
        <v>1051</v>
      </c>
      <c r="G302" t="s">
        <v>1052</v>
      </c>
      <c r="H302" t="s">
        <v>1053</v>
      </c>
      <c r="I302" t="s">
        <v>954</v>
      </c>
      <c r="K302" t="s">
        <v>46</v>
      </c>
      <c r="L302" t="s">
        <v>62</v>
      </c>
      <c r="M302" t="s">
        <v>48</v>
      </c>
      <c r="N302" t="s">
        <v>55</v>
      </c>
      <c r="O302" t="s">
        <v>76</v>
      </c>
      <c r="P302" t="s">
        <v>33</v>
      </c>
      <c r="Q302">
        <v>1</v>
      </c>
      <c r="R302" s="1">
        <v>1.157407407407407E-4</v>
      </c>
      <c r="S302" s="1">
        <v>1.157407407407407E-5</v>
      </c>
    </row>
    <row r="303" spans="1:19" x14ac:dyDescent="0.35">
      <c r="A303" t="s">
        <v>20</v>
      </c>
      <c r="B303">
        <v>17645</v>
      </c>
      <c r="C303" t="s">
        <v>949</v>
      </c>
      <c r="D303" t="s">
        <v>950</v>
      </c>
      <c r="E303" t="s">
        <v>186</v>
      </c>
      <c r="F303" t="s">
        <v>1054</v>
      </c>
      <c r="G303" t="s">
        <v>1055</v>
      </c>
      <c r="H303" t="s">
        <v>1056</v>
      </c>
      <c r="I303" t="s">
        <v>954</v>
      </c>
      <c r="K303" t="s">
        <v>46</v>
      </c>
      <c r="L303" t="s">
        <v>29</v>
      </c>
      <c r="M303" t="s">
        <v>40</v>
      </c>
      <c r="N303" t="s">
        <v>115</v>
      </c>
      <c r="O303" t="s">
        <v>76</v>
      </c>
      <c r="P303" t="s">
        <v>33</v>
      </c>
      <c r="Q303">
        <v>0</v>
      </c>
      <c r="R303" s="1">
        <v>2.7777777777777778E-4</v>
      </c>
      <c r="S303" s="1">
        <v>1.7361111111111109E-4</v>
      </c>
    </row>
    <row r="304" spans="1:19" x14ac:dyDescent="0.35">
      <c r="A304" t="s">
        <v>20</v>
      </c>
      <c r="B304">
        <v>17645</v>
      </c>
      <c r="C304" t="s">
        <v>949</v>
      </c>
      <c r="D304" t="s">
        <v>950</v>
      </c>
      <c r="E304" t="s">
        <v>190</v>
      </c>
      <c r="F304" t="s">
        <v>1057</v>
      </c>
      <c r="G304" t="s">
        <v>1058</v>
      </c>
      <c r="H304" t="s">
        <v>1059</v>
      </c>
      <c r="I304" t="s">
        <v>954</v>
      </c>
      <c r="K304" t="s">
        <v>46</v>
      </c>
      <c r="L304" t="s">
        <v>29</v>
      </c>
      <c r="M304" t="s">
        <v>48</v>
      </c>
      <c r="N304" t="s">
        <v>55</v>
      </c>
      <c r="O304" t="s">
        <v>56</v>
      </c>
      <c r="P304" t="s">
        <v>33</v>
      </c>
      <c r="Q304">
        <v>0</v>
      </c>
      <c r="R304" s="1">
        <v>9.2592592592592588E-5</v>
      </c>
      <c r="S304" s="1">
        <v>0</v>
      </c>
    </row>
    <row r="305" spans="1:19" x14ac:dyDescent="0.35">
      <c r="A305" t="s">
        <v>20</v>
      </c>
      <c r="B305">
        <v>17645</v>
      </c>
      <c r="C305" t="s">
        <v>949</v>
      </c>
      <c r="D305" t="s">
        <v>950</v>
      </c>
      <c r="E305" t="s">
        <v>194</v>
      </c>
      <c r="F305" t="s">
        <v>1060</v>
      </c>
      <c r="G305" t="s">
        <v>1061</v>
      </c>
      <c r="H305" t="s">
        <v>1062</v>
      </c>
      <c r="I305" t="s">
        <v>954</v>
      </c>
      <c r="K305" t="s">
        <v>28</v>
      </c>
      <c r="L305" t="s">
        <v>54</v>
      </c>
      <c r="M305" t="s">
        <v>40</v>
      </c>
      <c r="N305" t="s">
        <v>67</v>
      </c>
      <c r="O305" t="s">
        <v>76</v>
      </c>
      <c r="P305" t="s">
        <v>33</v>
      </c>
      <c r="Q305">
        <v>0</v>
      </c>
      <c r="R305" s="1">
        <v>1.3888888888888889E-4</v>
      </c>
      <c r="S305" s="1">
        <v>3.4722222222222222E-5</v>
      </c>
    </row>
    <row r="306" spans="1:19" x14ac:dyDescent="0.35">
      <c r="A306" t="s">
        <v>20</v>
      </c>
      <c r="B306">
        <v>17645</v>
      </c>
      <c r="C306" t="s">
        <v>949</v>
      </c>
      <c r="D306" t="s">
        <v>950</v>
      </c>
      <c r="E306" t="s">
        <v>198</v>
      </c>
      <c r="F306" t="s">
        <v>1063</v>
      </c>
      <c r="G306" t="s">
        <v>1064</v>
      </c>
      <c r="H306" t="s">
        <v>1065</v>
      </c>
      <c r="I306" t="s">
        <v>954</v>
      </c>
      <c r="K306" t="s">
        <v>61</v>
      </c>
      <c r="L306" t="s">
        <v>62</v>
      </c>
      <c r="M306" t="s">
        <v>30</v>
      </c>
      <c r="N306" t="s">
        <v>55</v>
      </c>
      <c r="O306" t="s">
        <v>76</v>
      </c>
      <c r="P306" t="s">
        <v>33</v>
      </c>
      <c r="Q306">
        <v>0</v>
      </c>
      <c r="R306" s="1">
        <v>1.7361111111111109E-4</v>
      </c>
      <c r="S306" s="1">
        <v>6.9444444444444444E-5</v>
      </c>
    </row>
    <row r="307" spans="1:19" x14ac:dyDescent="0.35">
      <c r="A307" t="s">
        <v>20</v>
      </c>
      <c r="B307">
        <v>17645</v>
      </c>
      <c r="C307" t="s">
        <v>949</v>
      </c>
      <c r="D307" t="s">
        <v>950</v>
      </c>
      <c r="E307" t="s">
        <v>202</v>
      </c>
      <c r="F307" t="s">
        <v>1066</v>
      </c>
      <c r="G307" t="s">
        <v>1067</v>
      </c>
      <c r="H307" t="s">
        <v>1068</v>
      </c>
      <c r="I307" t="s">
        <v>954</v>
      </c>
      <c r="K307" t="s">
        <v>46</v>
      </c>
      <c r="L307" t="s">
        <v>54</v>
      </c>
      <c r="M307" t="s">
        <v>48</v>
      </c>
      <c r="N307" t="s">
        <v>115</v>
      </c>
      <c r="O307" t="s">
        <v>32</v>
      </c>
      <c r="P307" t="s">
        <v>33</v>
      </c>
      <c r="Q307">
        <v>0</v>
      </c>
      <c r="R307" s="1">
        <v>1.157407407407407E-4</v>
      </c>
      <c r="S307" s="1">
        <v>1.157407407407407E-5</v>
      </c>
    </row>
    <row r="308" spans="1:19" x14ac:dyDescent="0.35">
      <c r="A308" t="s">
        <v>20</v>
      </c>
      <c r="B308">
        <v>17645</v>
      </c>
      <c r="C308" t="s">
        <v>949</v>
      </c>
      <c r="D308" t="s">
        <v>950</v>
      </c>
      <c r="E308" t="s">
        <v>206</v>
      </c>
      <c r="F308" t="s">
        <v>1069</v>
      </c>
      <c r="G308" t="s">
        <v>1070</v>
      </c>
      <c r="H308" t="s">
        <v>1071</v>
      </c>
      <c r="I308" t="s">
        <v>954</v>
      </c>
      <c r="K308" t="s">
        <v>46</v>
      </c>
      <c r="L308" t="s">
        <v>62</v>
      </c>
      <c r="M308" t="s">
        <v>48</v>
      </c>
      <c r="N308" t="s">
        <v>55</v>
      </c>
      <c r="O308" t="s">
        <v>32</v>
      </c>
      <c r="P308" t="s">
        <v>33</v>
      </c>
      <c r="Q308">
        <v>0</v>
      </c>
      <c r="R308" s="1">
        <v>1.273148148148148E-4</v>
      </c>
      <c r="S308" s="1">
        <v>2.314814814814815E-5</v>
      </c>
    </row>
    <row r="309" spans="1:19" x14ac:dyDescent="0.35">
      <c r="A309" t="s">
        <v>20</v>
      </c>
      <c r="B309">
        <v>17645</v>
      </c>
      <c r="C309" t="s">
        <v>949</v>
      </c>
      <c r="D309" t="s">
        <v>950</v>
      </c>
      <c r="E309" t="s">
        <v>210</v>
      </c>
      <c r="F309" t="s">
        <v>1072</v>
      </c>
      <c r="G309" t="s">
        <v>1073</v>
      </c>
      <c r="H309" t="s">
        <v>1074</v>
      </c>
      <c r="I309" t="s">
        <v>954</v>
      </c>
      <c r="K309" t="s">
        <v>46</v>
      </c>
      <c r="L309" t="s">
        <v>54</v>
      </c>
      <c r="M309" t="s">
        <v>40</v>
      </c>
      <c r="N309" t="s">
        <v>55</v>
      </c>
      <c r="O309" t="s">
        <v>56</v>
      </c>
      <c r="P309" t="s">
        <v>33</v>
      </c>
      <c r="Q309">
        <v>3</v>
      </c>
      <c r="R309" s="1">
        <v>5.5555555555555556E-4</v>
      </c>
      <c r="S309" s="1">
        <v>4.5138888888888892E-4</v>
      </c>
    </row>
    <row r="310" spans="1:19" x14ac:dyDescent="0.35">
      <c r="A310" t="s">
        <v>20</v>
      </c>
      <c r="B310">
        <v>17645</v>
      </c>
      <c r="C310" t="s">
        <v>949</v>
      </c>
      <c r="D310" t="s">
        <v>950</v>
      </c>
      <c r="E310" t="s">
        <v>214</v>
      </c>
      <c r="F310" t="s">
        <v>1075</v>
      </c>
      <c r="G310" t="s">
        <v>1076</v>
      </c>
      <c r="H310" t="s">
        <v>1077</v>
      </c>
      <c r="I310" t="s">
        <v>954</v>
      </c>
      <c r="K310" t="s">
        <v>28</v>
      </c>
      <c r="L310" t="s">
        <v>29</v>
      </c>
      <c r="M310" t="s">
        <v>30</v>
      </c>
      <c r="N310" t="s">
        <v>67</v>
      </c>
      <c r="O310" t="s">
        <v>76</v>
      </c>
      <c r="P310" t="s">
        <v>33</v>
      </c>
      <c r="Q310">
        <v>2</v>
      </c>
      <c r="R310" s="1">
        <v>3.7037037037037041E-4</v>
      </c>
      <c r="S310" s="1">
        <v>2.6620370370370372E-4</v>
      </c>
    </row>
    <row r="311" spans="1:19" x14ac:dyDescent="0.35">
      <c r="A311" t="s">
        <v>20</v>
      </c>
      <c r="B311">
        <v>17645</v>
      </c>
      <c r="C311" t="s">
        <v>949</v>
      </c>
      <c r="D311" t="s">
        <v>950</v>
      </c>
      <c r="E311" t="s">
        <v>218</v>
      </c>
      <c r="F311" t="s">
        <v>1078</v>
      </c>
      <c r="G311" t="s">
        <v>1079</v>
      </c>
      <c r="H311" t="s">
        <v>1080</v>
      </c>
      <c r="I311" t="s">
        <v>954</v>
      </c>
      <c r="K311" t="s">
        <v>61</v>
      </c>
      <c r="L311" t="s">
        <v>54</v>
      </c>
      <c r="M311" t="s">
        <v>30</v>
      </c>
      <c r="N311" t="s">
        <v>67</v>
      </c>
      <c r="O311" t="s">
        <v>56</v>
      </c>
      <c r="P311" t="s">
        <v>33</v>
      </c>
      <c r="Q311">
        <v>0</v>
      </c>
      <c r="R311" s="1">
        <v>1.7361111111111109E-4</v>
      </c>
      <c r="S311" s="1">
        <v>6.9444444444444444E-5</v>
      </c>
    </row>
    <row r="312" spans="1:19" x14ac:dyDescent="0.35">
      <c r="A312" t="s">
        <v>20</v>
      </c>
      <c r="B312">
        <v>17645</v>
      </c>
      <c r="C312" t="s">
        <v>949</v>
      </c>
      <c r="D312" t="s">
        <v>950</v>
      </c>
      <c r="E312" t="s">
        <v>222</v>
      </c>
      <c r="F312" t="s">
        <v>1081</v>
      </c>
      <c r="G312" t="s">
        <v>1082</v>
      </c>
      <c r="H312" t="s">
        <v>1083</v>
      </c>
      <c r="I312" t="s">
        <v>954</v>
      </c>
      <c r="K312" t="s">
        <v>61</v>
      </c>
      <c r="L312" t="s">
        <v>54</v>
      </c>
      <c r="M312" t="s">
        <v>30</v>
      </c>
      <c r="N312" t="s">
        <v>67</v>
      </c>
      <c r="O312" t="s">
        <v>56</v>
      </c>
      <c r="P312" t="s">
        <v>33</v>
      </c>
      <c r="Q312">
        <v>2</v>
      </c>
      <c r="R312" s="1">
        <v>3.4722222222222218E-4</v>
      </c>
      <c r="S312" s="1">
        <v>2.4305555555555549E-4</v>
      </c>
    </row>
    <row r="313" spans="1:19" x14ac:dyDescent="0.35">
      <c r="A313" t="s">
        <v>20</v>
      </c>
      <c r="B313">
        <v>17645</v>
      </c>
      <c r="C313" t="s">
        <v>949</v>
      </c>
      <c r="D313" t="s">
        <v>950</v>
      </c>
      <c r="E313" t="s">
        <v>226</v>
      </c>
      <c r="F313" t="s">
        <v>1084</v>
      </c>
      <c r="G313" t="s">
        <v>1085</v>
      </c>
      <c r="H313" t="s">
        <v>1086</v>
      </c>
      <c r="I313" t="s">
        <v>954</v>
      </c>
      <c r="K313" t="s">
        <v>61</v>
      </c>
      <c r="L313" t="s">
        <v>54</v>
      </c>
      <c r="M313" t="s">
        <v>30</v>
      </c>
      <c r="N313" t="s">
        <v>55</v>
      </c>
      <c r="O313" t="s">
        <v>56</v>
      </c>
      <c r="P313" t="s">
        <v>33</v>
      </c>
      <c r="Q313">
        <v>0</v>
      </c>
      <c r="R313" s="1">
        <v>1.851851851851852E-4</v>
      </c>
      <c r="S313" s="1">
        <v>8.1018518518518516E-5</v>
      </c>
    </row>
    <row r="314" spans="1:19" x14ac:dyDescent="0.35">
      <c r="A314" t="s">
        <v>20</v>
      </c>
      <c r="B314">
        <v>17645</v>
      </c>
      <c r="C314" t="s">
        <v>949</v>
      </c>
      <c r="D314" t="s">
        <v>950</v>
      </c>
      <c r="E314" t="s">
        <v>234</v>
      </c>
      <c r="F314" t="s">
        <v>1087</v>
      </c>
      <c r="G314" t="s">
        <v>1088</v>
      </c>
      <c r="H314" t="s">
        <v>1089</v>
      </c>
      <c r="I314" t="s">
        <v>1090</v>
      </c>
      <c r="K314" t="s">
        <v>61</v>
      </c>
      <c r="L314" t="s">
        <v>62</v>
      </c>
      <c r="M314" t="s">
        <v>30</v>
      </c>
      <c r="N314" t="s">
        <v>67</v>
      </c>
      <c r="O314" t="s">
        <v>76</v>
      </c>
      <c r="P314" t="s">
        <v>33</v>
      </c>
      <c r="Q314">
        <v>2</v>
      </c>
      <c r="R314" s="1">
        <v>5.4398148148148144E-4</v>
      </c>
      <c r="S314" s="1">
        <v>4.3981481481481481E-4</v>
      </c>
    </row>
    <row r="315" spans="1:19" x14ac:dyDescent="0.35">
      <c r="A315" t="s">
        <v>20</v>
      </c>
      <c r="B315">
        <v>17645</v>
      </c>
      <c r="C315" t="s">
        <v>949</v>
      </c>
      <c r="D315" t="s">
        <v>950</v>
      </c>
      <c r="E315" t="s">
        <v>239</v>
      </c>
      <c r="F315" t="s">
        <v>1091</v>
      </c>
      <c r="G315" t="s">
        <v>1092</v>
      </c>
      <c r="H315" t="s">
        <v>1093</v>
      </c>
      <c r="I315" t="s">
        <v>1090</v>
      </c>
      <c r="K315" t="s">
        <v>61</v>
      </c>
      <c r="L315" t="s">
        <v>62</v>
      </c>
      <c r="M315" t="s">
        <v>30</v>
      </c>
      <c r="N315" t="s">
        <v>67</v>
      </c>
      <c r="O315" t="s">
        <v>76</v>
      </c>
      <c r="P315" t="s">
        <v>33</v>
      </c>
      <c r="Q315">
        <v>0</v>
      </c>
      <c r="R315" s="1">
        <v>2.8935185185185178E-4</v>
      </c>
      <c r="S315" s="1">
        <v>1.851851851851852E-4</v>
      </c>
    </row>
    <row r="316" spans="1:19" x14ac:dyDescent="0.35">
      <c r="A316" t="s">
        <v>20</v>
      </c>
      <c r="B316">
        <v>17645</v>
      </c>
      <c r="C316" t="s">
        <v>949</v>
      </c>
      <c r="D316" t="s">
        <v>950</v>
      </c>
      <c r="E316" t="s">
        <v>243</v>
      </c>
      <c r="F316" t="s">
        <v>1094</v>
      </c>
      <c r="G316" t="s">
        <v>1095</v>
      </c>
      <c r="H316" t="s">
        <v>1096</v>
      </c>
      <c r="I316" t="s">
        <v>1090</v>
      </c>
      <c r="K316" t="s">
        <v>61</v>
      </c>
      <c r="L316" t="s">
        <v>62</v>
      </c>
      <c r="M316" t="s">
        <v>30</v>
      </c>
      <c r="N316" t="s">
        <v>31</v>
      </c>
      <c r="O316" t="s">
        <v>76</v>
      </c>
      <c r="P316" t="s">
        <v>33</v>
      </c>
      <c r="Q316">
        <v>0</v>
      </c>
      <c r="R316" s="1">
        <v>2.4305555555555549E-4</v>
      </c>
      <c r="S316" s="1">
        <v>1.3888888888888889E-4</v>
      </c>
    </row>
    <row r="317" spans="1:19" x14ac:dyDescent="0.35">
      <c r="A317" t="s">
        <v>20</v>
      </c>
      <c r="B317">
        <v>17645</v>
      </c>
      <c r="C317" t="s">
        <v>949</v>
      </c>
      <c r="D317" t="s">
        <v>950</v>
      </c>
      <c r="E317" t="s">
        <v>247</v>
      </c>
      <c r="F317" t="s">
        <v>1097</v>
      </c>
      <c r="G317" t="s">
        <v>1098</v>
      </c>
      <c r="H317" t="s">
        <v>1099</v>
      </c>
      <c r="I317" t="s">
        <v>1090</v>
      </c>
      <c r="K317" t="s">
        <v>38</v>
      </c>
      <c r="L317" t="s">
        <v>39</v>
      </c>
      <c r="M317" t="s">
        <v>478</v>
      </c>
      <c r="N317" t="s">
        <v>55</v>
      </c>
      <c r="O317" t="s">
        <v>56</v>
      </c>
      <c r="P317" t="s">
        <v>33</v>
      </c>
      <c r="Q317">
        <v>0</v>
      </c>
      <c r="R317" s="1">
        <v>1.273148148148148E-4</v>
      </c>
      <c r="S317" s="1">
        <v>2.314814814814815E-5</v>
      </c>
    </row>
    <row r="318" spans="1:19" x14ac:dyDescent="0.35">
      <c r="A318" t="s">
        <v>20</v>
      </c>
      <c r="B318">
        <v>17645</v>
      </c>
      <c r="C318" t="s">
        <v>949</v>
      </c>
      <c r="D318" t="s">
        <v>950</v>
      </c>
      <c r="E318" t="s">
        <v>251</v>
      </c>
      <c r="F318" t="s">
        <v>1100</v>
      </c>
      <c r="G318" t="s">
        <v>1101</v>
      </c>
      <c r="H318" t="s">
        <v>1102</v>
      </c>
      <c r="I318" t="s">
        <v>1090</v>
      </c>
      <c r="K318" t="s">
        <v>61</v>
      </c>
      <c r="L318" t="s">
        <v>47</v>
      </c>
      <c r="M318" t="s">
        <v>30</v>
      </c>
      <c r="N318" t="s">
        <v>49</v>
      </c>
      <c r="O318" t="s">
        <v>56</v>
      </c>
      <c r="P318" t="s">
        <v>33</v>
      </c>
      <c r="Q318">
        <v>0</v>
      </c>
      <c r="R318" s="1">
        <v>1.6203703703703701E-4</v>
      </c>
      <c r="S318" s="1">
        <v>5.7870370370370373E-5</v>
      </c>
    </row>
    <row r="319" spans="1:19" x14ac:dyDescent="0.35">
      <c r="A319" t="s">
        <v>20</v>
      </c>
      <c r="B319">
        <v>17645</v>
      </c>
      <c r="C319" t="s">
        <v>949</v>
      </c>
      <c r="D319" t="s">
        <v>950</v>
      </c>
      <c r="E319" t="s">
        <v>255</v>
      </c>
      <c r="F319" t="s">
        <v>1103</v>
      </c>
      <c r="G319" t="s">
        <v>1104</v>
      </c>
      <c r="H319" t="s">
        <v>1105</v>
      </c>
      <c r="I319" t="s">
        <v>1090</v>
      </c>
      <c r="K319" t="s">
        <v>38</v>
      </c>
      <c r="L319" t="s">
        <v>54</v>
      </c>
      <c r="M319" t="s">
        <v>478</v>
      </c>
      <c r="N319" t="s">
        <v>67</v>
      </c>
      <c r="O319" t="s">
        <v>56</v>
      </c>
      <c r="P319" t="s">
        <v>33</v>
      </c>
      <c r="Q319">
        <v>0</v>
      </c>
      <c r="R319" s="1">
        <v>1.6203703703703701E-4</v>
      </c>
      <c r="S319" s="1">
        <v>5.7870370370370373E-5</v>
      </c>
    </row>
    <row r="320" spans="1:19" x14ac:dyDescent="0.35">
      <c r="A320" t="s">
        <v>20</v>
      </c>
      <c r="B320">
        <v>17645</v>
      </c>
      <c r="C320" t="s">
        <v>949</v>
      </c>
      <c r="D320" t="s">
        <v>950</v>
      </c>
      <c r="E320" t="s">
        <v>259</v>
      </c>
      <c r="F320" t="s">
        <v>1106</v>
      </c>
      <c r="G320" t="s">
        <v>1107</v>
      </c>
      <c r="H320" t="s">
        <v>1108</v>
      </c>
      <c r="I320" t="s">
        <v>1090</v>
      </c>
      <c r="K320" t="s">
        <v>46</v>
      </c>
      <c r="L320" t="s">
        <v>62</v>
      </c>
      <c r="M320" t="s">
        <v>40</v>
      </c>
      <c r="N320" t="s">
        <v>41</v>
      </c>
      <c r="O320" t="s">
        <v>32</v>
      </c>
      <c r="P320" t="s">
        <v>33</v>
      </c>
      <c r="Q320">
        <v>3</v>
      </c>
      <c r="R320" s="1">
        <v>3.7037037037037041E-4</v>
      </c>
      <c r="S320" s="1">
        <v>2.6620370370370372E-4</v>
      </c>
    </row>
    <row r="321" spans="1:19" x14ac:dyDescent="0.35">
      <c r="A321" t="s">
        <v>20</v>
      </c>
      <c r="B321">
        <v>17645</v>
      </c>
      <c r="C321" t="s">
        <v>949</v>
      </c>
      <c r="D321" t="s">
        <v>950</v>
      </c>
      <c r="E321" t="s">
        <v>263</v>
      </c>
      <c r="F321" t="s">
        <v>1109</v>
      </c>
      <c r="G321" t="s">
        <v>1110</v>
      </c>
      <c r="H321" t="s">
        <v>1111</v>
      </c>
      <c r="I321" t="s">
        <v>1090</v>
      </c>
      <c r="K321" t="s">
        <v>28</v>
      </c>
      <c r="L321" t="s">
        <v>47</v>
      </c>
      <c r="M321" t="s">
        <v>40</v>
      </c>
      <c r="N321" t="s">
        <v>41</v>
      </c>
      <c r="O321" t="s">
        <v>32</v>
      </c>
      <c r="P321" t="s">
        <v>33</v>
      </c>
      <c r="Q321">
        <v>2</v>
      </c>
      <c r="R321" s="1">
        <v>2.7777777777777778E-4</v>
      </c>
      <c r="S321" s="1">
        <v>1.7361111111111109E-4</v>
      </c>
    </row>
    <row r="322" spans="1:19" x14ac:dyDescent="0.35">
      <c r="A322" t="s">
        <v>20</v>
      </c>
      <c r="B322">
        <v>17645</v>
      </c>
      <c r="C322" t="s">
        <v>949</v>
      </c>
      <c r="D322" t="s">
        <v>950</v>
      </c>
      <c r="E322" t="s">
        <v>267</v>
      </c>
      <c r="F322" t="s">
        <v>1112</v>
      </c>
      <c r="G322" t="s">
        <v>1113</v>
      </c>
      <c r="H322" t="s">
        <v>961</v>
      </c>
      <c r="I322" t="s">
        <v>1090</v>
      </c>
      <c r="K322" t="s">
        <v>38</v>
      </c>
      <c r="L322" t="s">
        <v>29</v>
      </c>
      <c r="M322" t="s">
        <v>40</v>
      </c>
      <c r="N322" t="s">
        <v>41</v>
      </c>
      <c r="O322" t="s">
        <v>56</v>
      </c>
      <c r="P322" t="s">
        <v>33</v>
      </c>
      <c r="Q322">
        <v>0</v>
      </c>
      <c r="R322" s="1">
        <v>1.851851851851852E-4</v>
      </c>
      <c r="S322" s="1">
        <v>8.1018518518518516E-5</v>
      </c>
    </row>
    <row r="323" spans="1:19" x14ac:dyDescent="0.35">
      <c r="A323" t="s">
        <v>20</v>
      </c>
      <c r="B323">
        <v>17645</v>
      </c>
      <c r="C323" t="s">
        <v>949</v>
      </c>
      <c r="D323" t="s">
        <v>950</v>
      </c>
      <c r="E323" t="s">
        <v>271</v>
      </c>
      <c r="F323" t="s">
        <v>1114</v>
      </c>
      <c r="G323" t="s">
        <v>1115</v>
      </c>
      <c r="H323" t="s">
        <v>1116</v>
      </c>
      <c r="I323" t="s">
        <v>1090</v>
      </c>
      <c r="K323" t="s">
        <v>28</v>
      </c>
      <c r="L323" t="s">
        <v>54</v>
      </c>
      <c r="M323" t="s">
        <v>40</v>
      </c>
      <c r="N323" t="s">
        <v>67</v>
      </c>
      <c r="O323" t="s">
        <v>56</v>
      </c>
      <c r="P323" t="s">
        <v>33</v>
      </c>
      <c r="Q323">
        <v>0</v>
      </c>
      <c r="R323" s="1">
        <v>1.3888888888888889E-4</v>
      </c>
      <c r="S323" s="1">
        <v>3.4722222222222222E-5</v>
      </c>
    </row>
    <row r="324" spans="1:19" x14ac:dyDescent="0.35">
      <c r="A324" t="s">
        <v>20</v>
      </c>
      <c r="B324">
        <v>17645</v>
      </c>
      <c r="C324" t="s">
        <v>949</v>
      </c>
      <c r="D324" t="s">
        <v>950</v>
      </c>
      <c r="E324" t="s">
        <v>275</v>
      </c>
      <c r="F324" t="s">
        <v>1117</v>
      </c>
      <c r="G324" t="s">
        <v>1118</v>
      </c>
      <c r="H324" t="s">
        <v>1119</v>
      </c>
      <c r="I324" t="s">
        <v>1090</v>
      </c>
      <c r="K324" t="s">
        <v>28</v>
      </c>
      <c r="L324" t="s">
        <v>85</v>
      </c>
      <c r="M324" t="s">
        <v>30</v>
      </c>
      <c r="N324" t="s">
        <v>148</v>
      </c>
      <c r="O324" t="s">
        <v>56</v>
      </c>
      <c r="P324" t="s">
        <v>33</v>
      </c>
      <c r="Q324">
        <v>0</v>
      </c>
      <c r="R324" s="1">
        <v>1.273148148148148E-4</v>
      </c>
      <c r="S324" s="1">
        <v>2.314814814814815E-5</v>
      </c>
    </row>
    <row r="325" spans="1:19" x14ac:dyDescent="0.35">
      <c r="A325" t="s">
        <v>20</v>
      </c>
      <c r="B325">
        <v>17645</v>
      </c>
      <c r="C325" t="s">
        <v>949</v>
      </c>
      <c r="D325" t="s">
        <v>950</v>
      </c>
      <c r="E325" t="s">
        <v>279</v>
      </c>
      <c r="F325" t="s">
        <v>1120</v>
      </c>
      <c r="G325" t="s">
        <v>1121</v>
      </c>
      <c r="H325" t="s">
        <v>1122</v>
      </c>
      <c r="I325" t="s">
        <v>1090</v>
      </c>
      <c r="K325" t="s">
        <v>38</v>
      </c>
      <c r="L325" t="s">
        <v>39</v>
      </c>
      <c r="M325" t="s">
        <v>478</v>
      </c>
      <c r="N325" t="s">
        <v>115</v>
      </c>
      <c r="O325" t="s">
        <v>32</v>
      </c>
      <c r="P325" t="s">
        <v>33</v>
      </c>
      <c r="Q325">
        <v>0</v>
      </c>
      <c r="R325" s="1">
        <v>1.851851851851852E-4</v>
      </c>
      <c r="S325" s="1">
        <v>8.1018518518518516E-5</v>
      </c>
    </row>
    <row r="326" spans="1:19" x14ac:dyDescent="0.35">
      <c r="A326" t="s">
        <v>20</v>
      </c>
      <c r="B326">
        <v>17645</v>
      </c>
      <c r="C326" t="s">
        <v>949</v>
      </c>
      <c r="D326" t="s">
        <v>950</v>
      </c>
      <c r="E326" t="s">
        <v>283</v>
      </c>
      <c r="F326" t="s">
        <v>1123</v>
      </c>
      <c r="G326" t="s">
        <v>1124</v>
      </c>
      <c r="H326" t="s">
        <v>1125</v>
      </c>
      <c r="I326" t="s">
        <v>1090</v>
      </c>
      <c r="K326" t="s">
        <v>46</v>
      </c>
      <c r="L326" t="s">
        <v>54</v>
      </c>
      <c r="M326" t="s">
        <v>48</v>
      </c>
      <c r="N326" t="s">
        <v>115</v>
      </c>
      <c r="O326" t="s">
        <v>56</v>
      </c>
      <c r="P326" t="s">
        <v>33</v>
      </c>
      <c r="Q326">
        <v>0</v>
      </c>
      <c r="R326" s="1">
        <v>1.3888888888888889E-4</v>
      </c>
      <c r="S326" s="1">
        <v>3.4722222222222222E-5</v>
      </c>
    </row>
    <row r="327" spans="1:19" x14ac:dyDescent="0.35">
      <c r="A327" t="s">
        <v>20</v>
      </c>
      <c r="B327">
        <v>17645</v>
      </c>
      <c r="C327" t="s">
        <v>949</v>
      </c>
      <c r="D327" t="s">
        <v>950</v>
      </c>
      <c r="E327" t="s">
        <v>288</v>
      </c>
      <c r="F327" t="s">
        <v>1126</v>
      </c>
      <c r="G327" t="s">
        <v>1127</v>
      </c>
      <c r="H327" t="s">
        <v>1128</v>
      </c>
      <c r="I327" t="s">
        <v>1090</v>
      </c>
      <c r="K327" t="s">
        <v>46</v>
      </c>
      <c r="L327" t="s">
        <v>39</v>
      </c>
      <c r="M327" t="s">
        <v>48</v>
      </c>
      <c r="N327" t="s">
        <v>67</v>
      </c>
      <c r="O327" t="s">
        <v>56</v>
      </c>
      <c r="P327" t="s">
        <v>33</v>
      </c>
      <c r="Q327">
        <v>0</v>
      </c>
      <c r="R327" s="1">
        <v>1.851851851851852E-4</v>
      </c>
      <c r="S327" s="1">
        <v>8.1018518518518516E-5</v>
      </c>
    </row>
    <row r="328" spans="1:19" x14ac:dyDescent="0.35">
      <c r="A328" t="s">
        <v>20</v>
      </c>
      <c r="B328">
        <v>17645</v>
      </c>
      <c r="C328" t="s">
        <v>949</v>
      </c>
      <c r="D328" t="s">
        <v>950</v>
      </c>
      <c r="E328" t="s">
        <v>292</v>
      </c>
      <c r="F328" t="s">
        <v>984</v>
      </c>
      <c r="G328" t="s">
        <v>1129</v>
      </c>
      <c r="H328" t="s">
        <v>1130</v>
      </c>
      <c r="I328" t="s">
        <v>1090</v>
      </c>
      <c r="K328" t="s">
        <v>38</v>
      </c>
      <c r="L328" t="s">
        <v>181</v>
      </c>
      <c r="M328" t="s">
        <v>48</v>
      </c>
      <c r="N328" t="s">
        <v>55</v>
      </c>
      <c r="O328" t="s">
        <v>76</v>
      </c>
      <c r="P328" t="s">
        <v>33</v>
      </c>
      <c r="Q328">
        <v>0</v>
      </c>
      <c r="R328" s="1">
        <v>1.273148148148148E-4</v>
      </c>
      <c r="S328" s="1">
        <v>2.314814814814815E-5</v>
      </c>
    </row>
    <row r="329" spans="1:19" x14ac:dyDescent="0.35">
      <c r="A329" t="s">
        <v>20</v>
      </c>
      <c r="B329">
        <v>17645</v>
      </c>
      <c r="C329" t="s">
        <v>949</v>
      </c>
      <c r="D329" t="s">
        <v>950</v>
      </c>
      <c r="E329" t="s">
        <v>296</v>
      </c>
      <c r="F329" t="s">
        <v>1131</v>
      </c>
      <c r="G329" t="s">
        <v>1132</v>
      </c>
      <c r="H329" t="s">
        <v>1133</v>
      </c>
      <c r="I329" t="s">
        <v>1090</v>
      </c>
      <c r="K329" t="s">
        <v>46</v>
      </c>
      <c r="L329" t="s">
        <v>39</v>
      </c>
      <c r="M329" t="s">
        <v>48</v>
      </c>
      <c r="N329" t="s">
        <v>55</v>
      </c>
      <c r="O329" t="s">
        <v>56</v>
      </c>
      <c r="P329" t="s">
        <v>33</v>
      </c>
      <c r="Q329">
        <v>1</v>
      </c>
      <c r="R329" s="1">
        <v>1.50462962962963E-4</v>
      </c>
      <c r="S329" s="1">
        <v>4.6296296296296287E-5</v>
      </c>
    </row>
    <row r="330" spans="1:19" x14ac:dyDescent="0.35">
      <c r="A330" t="s">
        <v>20</v>
      </c>
      <c r="B330">
        <v>17645</v>
      </c>
      <c r="C330" t="s">
        <v>949</v>
      </c>
      <c r="D330" t="s">
        <v>950</v>
      </c>
      <c r="E330" t="s">
        <v>300</v>
      </c>
      <c r="F330" t="s">
        <v>1134</v>
      </c>
      <c r="G330" t="s">
        <v>1135</v>
      </c>
      <c r="H330" t="s">
        <v>1136</v>
      </c>
      <c r="I330" t="s">
        <v>1090</v>
      </c>
      <c r="K330" t="s">
        <v>28</v>
      </c>
      <c r="L330" t="s">
        <v>85</v>
      </c>
      <c r="M330" t="s">
        <v>30</v>
      </c>
      <c r="N330" t="s">
        <v>148</v>
      </c>
      <c r="O330" t="s">
        <v>56</v>
      </c>
      <c r="P330" t="s">
        <v>33</v>
      </c>
      <c r="Q330">
        <v>0</v>
      </c>
      <c r="R330" s="1">
        <v>1.273148148148148E-4</v>
      </c>
      <c r="S330" s="1">
        <v>2.314814814814815E-5</v>
      </c>
    </row>
    <row r="331" spans="1:19" x14ac:dyDescent="0.35">
      <c r="A331" t="s">
        <v>20</v>
      </c>
      <c r="B331">
        <v>17645</v>
      </c>
      <c r="C331" t="s">
        <v>949</v>
      </c>
      <c r="D331" t="s">
        <v>950</v>
      </c>
      <c r="E331" t="s">
        <v>304</v>
      </c>
      <c r="F331" t="s">
        <v>1137</v>
      </c>
      <c r="G331" t="s">
        <v>1138</v>
      </c>
      <c r="H331" t="s">
        <v>1139</v>
      </c>
      <c r="I331" t="s">
        <v>1090</v>
      </c>
      <c r="K331" t="s">
        <v>46</v>
      </c>
      <c r="L331" t="s">
        <v>54</v>
      </c>
      <c r="M331" t="s">
        <v>30</v>
      </c>
      <c r="N331" t="s">
        <v>41</v>
      </c>
      <c r="O331" t="s">
        <v>56</v>
      </c>
      <c r="P331" t="s">
        <v>33</v>
      </c>
      <c r="Q331">
        <v>0</v>
      </c>
      <c r="R331" s="1">
        <v>2.5462962962962961E-4</v>
      </c>
      <c r="S331" s="1">
        <v>1.50462962962963E-4</v>
      </c>
    </row>
    <row r="332" spans="1:19" x14ac:dyDescent="0.35">
      <c r="A332" t="s">
        <v>20</v>
      </c>
      <c r="B332">
        <v>17645</v>
      </c>
      <c r="C332" t="s">
        <v>949</v>
      </c>
      <c r="D332" t="s">
        <v>950</v>
      </c>
      <c r="E332" t="s">
        <v>308</v>
      </c>
      <c r="F332" t="s">
        <v>1140</v>
      </c>
      <c r="G332" t="s">
        <v>1141</v>
      </c>
      <c r="H332" t="s">
        <v>1142</v>
      </c>
      <c r="I332" t="s">
        <v>1090</v>
      </c>
      <c r="K332" t="s">
        <v>61</v>
      </c>
      <c r="L332" t="s">
        <v>62</v>
      </c>
      <c r="M332" t="s">
        <v>30</v>
      </c>
      <c r="N332" t="s">
        <v>115</v>
      </c>
      <c r="O332" t="s">
        <v>32</v>
      </c>
      <c r="P332" t="s">
        <v>33</v>
      </c>
      <c r="Q332">
        <v>0</v>
      </c>
      <c r="R332" s="1">
        <v>2.199074074074074E-4</v>
      </c>
      <c r="S332" s="1">
        <v>1.157407407407407E-4</v>
      </c>
    </row>
    <row r="333" spans="1:19" x14ac:dyDescent="0.35">
      <c r="A333" t="s">
        <v>20</v>
      </c>
      <c r="B333">
        <v>17645</v>
      </c>
      <c r="C333" t="s">
        <v>949</v>
      </c>
      <c r="D333" t="s">
        <v>950</v>
      </c>
      <c r="E333" t="s">
        <v>312</v>
      </c>
      <c r="F333" t="s">
        <v>1143</v>
      </c>
      <c r="G333" t="s">
        <v>1144</v>
      </c>
      <c r="H333" t="s">
        <v>1145</v>
      </c>
      <c r="I333" t="s">
        <v>1090</v>
      </c>
      <c r="K333" t="s">
        <v>46</v>
      </c>
      <c r="L333" t="s">
        <v>29</v>
      </c>
      <c r="M333" t="s">
        <v>40</v>
      </c>
      <c r="N333" t="s">
        <v>55</v>
      </c>
      <c r="O333" t="s">
        <v>56</v>
      </c>
      <c r="P333" t="s">
        <v>33</v>
      </c>
      <c r="Q333">
        <v>2</v>
      </c>
      <c r="R333" s="1">
        <v>3.3564814814814812E-4</v>
      </c>
      <c r="S333" s="1">
        <v>2.3148148148148149E-4</v>
      </c>
    </row>
    <row r="334" spans="1:19" x14ac:dyDescent="0.35">
      <c r="A334" t="s">
        <v>20</v>
      </c>
      <c r="B334">
        <v>17645</v>
      </c>
      <c r="C334" t="s">
        <v>949</v>
      </c>
      <c r="D334" t="s">
        <v>950</v>
      </c>
      <c r="E334" t="s">
        <v>316</v>
      </c>
      <c r="F334" t="s">
        <v>1002</v>
      </c>
      <c r="G334" t="s">
        <v>1146</v>
      </c>
      <c r="H334" t="s">
        <v>1147</v>
      </c>
      <c r="I334" t="s">
        <v>1090</v>
      </c>
      <c r="K334" t="s">
        <v>38</v>
      </c>
      <c r="L334" t="s">
        <v>47</v>
      </c>
      <c r="M334" t="s">
        <v>48</v>
      </c>
      <c r="N334" t="s">
        <v>67</v>
      </c>
      <c r="O334" t="s">
        <v>56</v>
      </c>
      <c r="P334" t="s">
        <v>33</v>
      </c>
      <c r="Q334">
        <v>4</v>
      </c>
      <c r="R334" s="1">
        <v>6.018518518518519E-4</v>
      </c>
      <c r="S334" s="1">
        <v>4.9768518518518521E-4</v>
      </c>
    </row>
    <row r="335" spans="1:19" x14ac:dyDescent="0.35">
      <c r="A335" t="s">
        <v>20</v>
      </c>
      <c r="B335">
        <v>17645</v>
      </c>
      <c r="C335" t="s">
        <v>949</v>
      </c>
      <c r="D335" t="s">
        <v>950</v>
      </c>
      <c r="E335" t="s">
        <v>320</v>
      </c>
      <c r="F335" t="s">
        <v>1148</v>
      </c>
      <c r="G335" t="s">
        <v>1149</v>
      </c>
      <c r="H335" t="s">
        <v>1150</v>
      </c>
      <c r="I335" t="s">
        <v>1090</v>
      </c>
      <c r="K335" t="s">
        <v>28</v>
      </c>
      <c r="L335" t="s">
        <v>62</v>
      </c>
      <c r="M335" t="s">
        <v>40</v>
      </c>
      <c r="N335" t="s">
        <v>67</v>
      </c>
      <c r="O335" t="s">
        <v>76</v>
      </c>
      <c r="P335" t="s">
        <v>33</v>
      </c>
      <c r="Q335">
        <v>2</v>
      </c>
      <c r="R335" s="1">
        <v>3.8194444444444452E-4</v>
      </c>
      <c r="S335" s="1">
        <v>2.7777777777777778E-4</v>
      </c>
    </row>
    <row r="336" spans="1:19" x14ac:dyDescent="0.35">
      <c r="A336" t="s">
        <v>20</v>
      </c>
      <c r="B336">
        <v>17645</v>
      </c>
      <c r="C336" t="s">
        <v>949</v>
      </c>
      <c r="D336" t="s">
        <v>950</v>
      </c>
      <c r="E336" t="s">
        <v>324</v>
      </c>
      <c r="F336" t="s">
        <v>1151</v>
      </c>
      <c r="G336" t="s">
        <v>1152</v>
      </c>
      <c r="H336" t="s">
        <v>1153</v>
      </c>
      <c r="I336" t="s">
        <v>1090</v>
      </c>
      <c r="K336" t="s">
        <v>61</v>
      </c>
      <c r="L336" t="s">
        <v>62</v>
      </c>
      <c r="M336" t="s">
        <v>30</v>
      </c>
      <c r="N336" t="s">
        <v>31</v>
      </c>
      <c r="O336" t="s">
        <v>32</v>
      </c>
      <c r="P336" t="s">
        <v>33</v>
      </c>
      <c r="Q336">
        <v>0</v>
      </c>
      <c r="R336" s="1">
        <v>3.1250000000000001E-4</v>
      </c>
      <c r="S336" s="1">
        <v>2.0833333333333329E-4</v>
      </c>
    </row>
    <row r="337" spans="1:19" x14ac:dyDescent="0.35">
      <c r="A337" t="s">
        <v>20</v>
      </c>
      <c r="B337">
        <v>17645</v>
      </c>
      <c r="C337" t="s">
        <v>949</v>
      </c>
      <c r="D337" t="s">
        <v>950</v>
      </c>
      <c r="E337" t="s">
        <v>328</v>
      </c>
      <c r="F337" t="s">
        <v>1154</v>
      </c>
      <c r="G337" t="s">
        <v>1155</v>
      </c>
      <c r="H337" t="s">
        <v>1156</v>
      </c>
      <c r="I337" t="s">
        <v>1090</v>
      </c>
      <c r="K337" t="s">
        <v>38</v>
      </c>
      <c r="L337" t="s">
        <v>39</v>
      </c>
      <c r="M337" t="s">
        <v>48</v>
      </c>
      <c r="N337" t="s">
        <v>90</v>
      </c>
      <c r="O337" t="s">
        <v>56</v>
      </c>
      <c r="P337" t="s">
        <v>33</v>
      </c>
      <c r="Q337">
        <v>1</v>
      </c>
      <c r="R337" s="1">
        <v>3.0092592592592589E-4</v>
      </c>
      <c r="S337" s="1">
        <v>1.9675925925925929E-4</v>
      </c>
    </row>
    <row r="338" spans="1:19" x14ac:dyDescent="0.35">
      <c r="A338" t="s">
        <v>20</v>
      </c>
      <c r="B338">
        <v>17645</v>
      </c>
      <c r="C338" t="s">
        <v>949</v>
      </c>
      <c r="D338" t="s">
        <v>950</v>
      </c>
      <c r="E338" t="s">
        <v>332</v>
      </c>
      <c r="F338" t="s">
        <v>1157</v>
      </c>
      <c r="G338" t="s">
        <v>1158</v>
      </c>
      <c r="H338" t="s">
        <v>1159</v>
      </c>
      <c r="I338" t="s">
        <v>1090</v>
      </c>
      <c r="K338" t="s">
        <v>38</v>
      </c>
      <c r="L338" t="s">
        <v>29</v>
      </c>
      <c r="M338" t="s">
        <v>48</v>
      </c>
      <c r="N338" t="s">
        <v>90</v>
      </c>
      <c r="O338" t="s">
        <v>56</v>
      </c>
      <c r="P338" t="s">
        <v>33</v>
      </c>
      <c r="Q338">
        <v>0</v>
      </c>
      <c r="R338" s="1">
        <v>1.6203703703703701E-4</v>
      </c>
      <c r="S338" s="1">
        <v>5.7870370370370373E-5</v>
      </c>
    </row>
    <row r="339" spans="1:19" x14ac:dyDescent="0.35">
      <c r="A339" t="s">
        <v>20</v>
      </c>
      <c r="B339">
        <v>17645</v>
      </c>
      <c r="C339" t="s">
        <v>949</v>
      </c>
      <c r="D339" t="s">
        <v>950</v>
      </c>
      <c r="E339" t="s">
        <v>336</v>
      </c>
      <c r="F339" t="s">
        <v>1160</v>
      </c>
      <c r="G339" t="s">
        <v>1161</v>
      </c>
      <c r="H339" t="s">
        <v>1162</v>
      </c>
      <c r="I339" t="s">
        <v>1090</v>
      </c>
      <c r="K339" t="s">
        <v>38</v>
      </c>
      <c r="L339" t="s">
        <v>39</v>
      </c>
      <c r="M339" t="s">
        <v>40</v>
      </c>
      <c r="N339" t="s">
        <v>41</v>
      </c>
      <c r="O339" t="s">
        <v>32</v>
      </c>
      <c r="P339" t="s">
        <v>33</v>
      </c>
      <c r="Q339">
        <v>1</v>
      </c>
      <c r="R339" s="1">
        <v>2.7777777777777778E-4</v>
      </c>
      <c r="S339" s="1">
        <v>1.7361111111111109E-4</v>
      </c>
    </row>
    <row r="340" spans="1:19" x14ac:dyDescent="0.35">
      <c r="A340" t="s">
        <v>20</v>
      </c>
      <c r="B340">
        <v>17645</v>
      </c>
      <c r="C340" t="s">
        <v>949</v>
      </c>
      <c r="D340" t="s">
        <v>950</v>
      </c>
      <c r="E340" t="s">
        <v>340</v>
      </c>
      <c r="F340" t="s">
        <v>1163</v>
      </c>
      <c r="G340" t="s">
        <v>1164</v>
      </c>
      <c r="H340" t="s">
        <v>1165</v>
      </c>
      <c r="I340" t="s">
        <v>1090</v>
      </c>
      <c r="K340" t="s">
        <v>46</v>
      </c>
      <c r="L340" t="s">
        <v>29</v>
      </c>
      <c r="M340" t="s">
        <v>40</v>
      </c>
      <c r="N340" t="s">
        <v>55</v>
      </c>
      <c r="O340" t="s">
        <v>76</v>
      </c>
      <c r="P340" t="s">
        <v>33</v>
      </c>
      <c r="Q340">
        <v>1</v>
      </c>
      <c r="R340" s="1">
        <v>3.2407407407407412E-4</v>
      </c>
      <c r="S340" s="1">
        <v>2.199074074074074E-4</v>
      </c>
    </row>
    <row r="341" spans="1:19" x14ac:dyDescent="0.35">
      <c r="A341" t="s">
        <v>20</v>
      </c>
      <c r="B341">
        <v>17645</v>
      </c>
      <c r="C341" t="s">
        <v>949</v>
      </c>
      <c r="D341" t="s">
        <v>950</v>
      </c>
      <c r="E341" t="s">
        <v>344</v>
      </c>
      <c r="F341" t="s">
        <v>1166</v>
      </c>
      <c r="G341" t="s">
        <v>1167</v>
      </c>
      <c r="H341" t="s">
        <v>1168</v>
      </c>
      <c r="I341" t="s">
        <v>1090</v>
      </c>
      <c r="K341" t="s">
        <v>46</v>
      </c>
      <c r="L341" t="s">
        <v>47</v>
      </c>
      <c r="M341" t="s">
        <v>40</v>
      </c>
      <c r="N341" t="s">
        <v>41</v>
      </c>
      <c r="O341" t="s">
        <v>56</v>
      </c>
      <c r="P341" t="s">
        <v>33</v>
      </c>
      <c r="Q341">
        <v>0</v>
      </c>
      <c r="R341" s="1">
        <v>1.9675925925925929E-4</v>
      </c>
      <c r="S341" s="1">
        <v>9.2592592592592588E-5</v>
      </c>
    </row>
    <row r="342" spans="1:19" x14ac:dyDescent="0.35">
      <c r="A342" t="s">
        <v>20</v>
      </c>
      <c r="B342">
        <v>17645</v>
      </c>
      <c r="C342" t="s">
        <v>949</v>
      </c>
      <c r="D342" t="s">
        <v>950</v>
      </c>
      <c r="E342" t="s">
        <v>348</v>
      </c>
      <c r="F342" t="s">
        <v>1169</v>
      </c>
      <c r="G342" t="s">
        <v>1170</v>
      </c>
      <c r="H342" t="s">
        <v>1171</v>
      </c>
      <c r="I342" t="s">
        <v>1090</v>
      </c>
      <c r="K342" t="s">
        <v>28</v>
      </c>
      <c r="L342" t="s">
        <v>47</v>
      </c>
      <c r="M342" t="s">
        <v>40</v>
      </c>
      <c r="N342" t="s">
        <v>55</v>
      </c>
      <c r="O342" t="s">
        <v>76</v>
      </c>
      <c r="P342" t="s">
        <v>33</v>
      </c>
      <c r="Q342">
        <v>0</v>
      </c>
      <c r="R342" s="1">
        <v>1.3888888888888889E-4</v>
      </c>
      <c r="S342" s="1">
        <v>3.4722222222222222E-5</v>
      </c>
    </row>
    <row r="343" spans="1:19" x14ac:dyDescent="0.35">
      <c r="A343" t="s">
        <v>20</v>
      </c>
      <c r="B343">
        <v>17645</v>
      </c>
      <c r="C343" t="s">
        <v>949</v>
      </c>
      <c r="D343" t="s">
        <v>950</v>
      </c>
      <c r="E343" t="s">
        <v>352</v>
      </c>
      <c r="F343" t="s">
        <v>1172</v>
      </c>
      <c r="G343" t="s">
        <v>1173</v>
      </c>
      <c r="H343" t="s">
        <v>1174</v>
      </c>
      <c r="I343" t="s">
        <v>1090</v>
      </c>
      <c r="K343" t="s">
        <v>46</v>
      </c>
      <c r="L343" t="s">
        <v>47</v>
      </c>
      <c r="M343" t="s">
        <v>48</v>
      </c>
      <c r="N343" t="s">
        <v>67</v>
      </c>
      <c r="O343" t="s">
        <v>76</v>
      </c>
      <c r="P343" t="s">
        <v>33</v>
      </c>
      <c r="Q343">
        <v>0</v>
      </c>
      <c r="R343" s="1">
        <v>2.4305555555555549E-4</v>
      </c>
      <c r="S343" s="1">
        <v>1.3888888888888889E-4</v>
      </c>
    </row>
    <row r="344" spans="1:19" x14ac:dyDescent="0.35">
      <c r="A344" t="s">
        <v>20</v>
      </c>
      <c r="B344">
        <v>17645</v>
      </c>
      <c r="C344" t="s">
        <v>949</v>
      </c>
      <c r="D344" t="s">
        <v>950</v>
      </c>
      <c r="E344" t="s">
        <v>356</v>
      </c>
      <c r="F344" t="s">
        <v>1175</v>
      </c>
      <c r="G344" t="s">
        <v>1176</v>
      </c>
      <c r="H344" t="s">
        <v>1177</v>
      </c>
      <c r="I344" t="s">
        <v>1090</v>
      </c>
      <c r="K344" t="s">
        <v>28</v>
      </c>
      <c r="L344" t="s">
        <v>62</v>
      </c>
      <c r="M344" t="s">
        <v>40</v>
      </c>
      <c r="N344" t="s">
        <v>55</v>
      </c>
      <c r="O344" t="s">
        <v>76</v>
      </c>
      <c r="P344" t="s">
        <v>33</v>
      </c>
      <c r="Q344">
        <v>3</v>
      </c>
      <c r="R344" s="1">
        <v>5.2083333333333333E-4</v>
      </c>
      <c r="S344" s="1">
        <v>4.1666666666666669E-4</v>
      </c>
    </row>
    <row r="345" spans="1:19" x14ac:dyDescent="0.35">
      <c r="A345" t="s">
        <v>20</v>
      </c>
      <c r="B345">
        <v>17645</v>
      </c>
      <c r="C345" t="s">
        <v>949</v>
      </c>
      <c r="D345" t="s">
        <v>950</v>
      </c>
      <c r="E345" t="s">
        <v>360</v>
      </c>
      <c r="F345" t="s">
        <v>1178</v>
      </c>
      <c r="G345" t="s">
        <v>1179</v>
      </c>
      <c r="H345" t="s">
        <v>1180</v>
      </c>
      <c r="I345" t="s">
        <v>1090</v>
      </c>
      <c r="K345" t="s">
        <v>28</v>
      </c>
      <c r="L345" t="s">
        <v>85</v>
      </c>
      <c r="M345" t="s">
        <v>30</v>
      </c>
      <c r="N345" t="s">
        <v>148</v>
      </c>
      <c r="O345" t="s">
        <v>56</v>
      </c>
      <c r="P345" t="s">
        <v>33</v>
      </c>
      <c r="Q345">
        <v>0</v>
      </c>
      <c r="R345" s="1">
        <v>1.6203703703703701E-4</v>
      </c>
      <c r="S345" s="1">
        <v>5.7870370370370373E-5</v>
      </c>
    </row>
    <row r="346" spans="1:19" x14ac:dyDescent="0.35">
      <c r="A346" t="s">
        <v>20</v>
      </c>
      <c r="B346">
        <v>17645</v>
      </c>
      <c r="C346" t="s">
        <v>949</v>
      </c>
      <c r="D346" t="s">
        <v>950</v>
      </c>
      <c r="E346" t="s">
        <v>364</v>
      </c>
      <c r="F346" t="s">
        <v>1181</v>
      </c>
      <c r="G346" t="s">
        <v>1182</v>
      </c>
      <c r="H346" t="s">
        <v>1183</v>
      </c>
      <c r="I346" t="s">
        <v>1090</v>
      </c>
      <c r="K346" t="s">
        <v>38</v>
      </c>
      <c r="L346" t="s">
        <v>39</v>
      </c>
      <c r="M346" t="s">
        <v>40</v>
      </c>
      <c r="N346" t="s">
        <v>41</v>
      </c>
      <c r="O346" t="s">
        <v>32</v>
      </c>
      <c r="P346" t="s">
        <v>33</v>
      </c>
      <c r="Q346">
        <v>2</v>
      </c>
      <c r="R346" s="1">
        <v>4.2824074074074081E-4</v>
      </c>
      <c r="S346" s="1">
        <v>3.2407407407407412E-4</v>
      </c>
    </row>
    <row r="347" spans="1:19" x14ac:dyDescent="0.35">
      <c r="A347" t="s">
        <v>20</v>
      </c>
      <c r="B347">
        <v>17645</v>
      </c>
      <c r="C347" t="s">
        <v>949</v>
      </c>
      <c r="D347" t="s">
        <v>950</v>
      </c>
      <c r="E347" t="s">
        <v>368</v>
      </c>
      <c r="F347" t="s">
        <v>1184</v>
      </c>
      <c r="G347" t="s">
        <v>1185</v>
      </c>
      <c r="H347" t="s">
        <v>1186</v>
      </c>
      <c r="I347" t="s">
        <v>1090</v>
      </c>
      <c r="K347" t="s">
        <v>28</v>
      </c>
      <c r="L347" t="s">
        <v>54</v>
      </c>
      <c r="M347" t="s">
        <v>40</v>
      </c>
      <c r="N347" t="s">
        <v>115</v>
      </c>
      <c r="O347" t="s">
        <v>56</v>
      </c>
      <c r="P347" t="s">
        <v>33</v>
      </c>
      <c r="Q347">
        <v>2</v>
      </c>
      <c r="R347" s="1">
        <v>4.5138888888888892E-4</v>
      </c>
      <c r="S347" s="1">
        <v>3.4722222222222218E-4</v>
      </c>
    </row>
    <row r="348" spans="1:19" x14ac:dyDescent="0.35">
      <c r="A348" t="s">
        <v>20</v>
      </c>
      <c r="B348">
        <v>17645</v>
      </c>
      <c r="C348" t="s">
        <v>949</v>
      </c>
      <c r="D348" t="s">
        <v>950</v>
      </c>
      <c r="E348" t="s">
        <v>372</v>
      </c>
      <c r="F348" t="s">
        <v>1187</v>
      </c>
      <c r="G348" t="s">
        <v>1188</v>
      </c>
      <c r="H348" t="s">
        <v>1189</v>
      </c>
      <c r="I348" t="s">
        <v>1090</v>
      </c>
      <c r="K348" t="s">
        <v>46</v>
      </c>
      <c r="L348" t="s">
        <v>29</v>
      </c>
      <c r="M348" t="s">
        <v>40</v>
      </c>
      <c r="N348" t="s">
        <v>55</v>
      </c>
      <c r="O348" t="s">
        <v>56</v>
      </c>
      <c r="P348" t="s">
        <v>33</v>
      </c>
      <c r="Q348">
        <v>3</v>
      </c>
      <c r="R348" s="1">
        <v>4.1666666666666669E-4</v>
      </c>
      <c r="S348" s="1">
        <v>3.1250000000000001E-4</v>
      </c>
    </row>
    <row r="349" spans="1:19" x14ac:dyDescent="0.35">
      <c r="A349" t="s">
        <v>20</v>
      </c>
      <c r="B349">
        <v>17645</v>
      </c>
      <c r="C349" t="s">
        <v>949</v>
      </c>
      <c r="D349" t="s">
        <v>950</v>
      </c>
      <c r="E349" t="s">
        <v>376</v>
      </c>
      <c r="F349" t="s">
        <v>1190</v>
      </c>
      <c r="G349" t="s">
        <v>1191</v>
      </c>
      <c r="H349" t="s">
        <v>1192</v>
      </c>
      <c r="I349" t="s">
        <v>1090</v>
      </c>
      <c r="K349" t="s">
        <v>28</v>
      </c>
      <c r="L349" t="s">
        <v>62</v>
      </c>
      <c r="M349" t="s">
        <v>40</v>
      </c>
      <c r="N349" t="s">
        <v>55</v>
      </c>
      <c r="O349" t="s">
        <v>76</v>
      </c>
      <c r="P349" t="s">
        <v>33</v>
      </c>
      <c r="Q349">
        <v>0</v>
      </c>
      <c r="R349" s="1">
        <v>1.7361111111111109E-4</v>
      </c>
      <c r="S349" s="1">
        <v>6.9444444444444444E-5</v>
      </c>
    </row>
    <row r="350" spans="1:19" x14ac:dyDescent="0.35">
      <c r="A350" t="s">
        <v>20</v>
      </c>
      <c r="B350">
        <v>17645</v>
      </c>
      <c r="C350" t="s">
        <v>949</v>
      </c>
      <c r="D350" t="s">
        <v>950</v>
      </c>
      <c r="E350" t="s">
        <v>380</v>
      </c>
      <c r="F350" t="s">
        <v>1193</v>
      </c>
      <c r="G350" t="s">
        <v>1194</v>
      </c>
      <c r="H350" t="s">
        <v>1195</v>
      </c>
      <c r="I350" t="s">
        <v>1090</v>
      </c>
      <c r="K350" t="s">
        <v>38</v>
      </c>
      <c r="L350" t="s">
        <v>47</v>
      </c>
      <c r="M350" t="s">
        <v>40</v>
      </c>
      <c r="N350" t="s">
        <v>41</v>
      </c>
      <c r="O350" t="s">
        <v>76</v>
      </c>
      <c r="P350" t="s">
        <v>33</v>
      </c>
      <c r="Q350">
        <v>0</v>
      </c>
      <c r="R350" s="1">
        <v>2.0833333333333329E-4</v>
      </c>
      <c r="S350" s="1">
        <v>1.041666666666667E-4</v>
      </c>
    </row>
    <row r="351" spans="1:19" x14ac:dyDescent="0.35">
      <c r="A351" t="s">
        <v>20</v>
      </c>
      <c r="B351">
        <v>17645</v>
      </c>
      <c r="C351" t="s">
        <v>949</v>
      </c>
      <c r="D351" t="s">
        <v>950</v>
      </c>
      <c r="E351" t="s">
        <v>383</v>
      </c>
      <c r="F351" t="s">
        <v>1196</v>
      </c>
      <c r="G351" t="s">
        <v>1197</v>
      </c>
      <c r="H351" t="s">
        <v>1198</v>
      </c>
      <c r="I351" t="s">
        <v>1090</v>
      </c>
      <c r="K351" t="s">
        <v>38</v>
      </c>
      <c r="L351" t="s">
        <v>47</v>
      </c>
      <c r="M351" t="s">
        <v>40</v>
      </c>
      <c r="N351" t="s">
        <v>41</v>
      </c>
      <c r="O351" t="s">
        <v>32</v>
      </c>
      <c r="P351" t="s">
        <v>33</v>
      </c>
      <c r="Q351">
        <v>0</v>
      </c>
      <c r="R351" s="1">
        <v>1.9675925925925929E-4</v>
      </c>
      <c r="S351" s="1">
        <v>9.2592592592592588E-5</v>
      </c>
    </row>
    <row r="352" spans="1:19" x14ac:dyDescent="0.35">
      <c r="A352" t="s">
        <v>20</v>
      </c>
      <c r="B352">
        <v>17645</v>
      </c>
      <c r="C352" t="s">
        <v>949</v>
      </c>
      <c r="D352" t="s">
        <v>950</v>
      </c>
      <c r="E352" t="s">
        <v>387</v>
      </c>
      <c r="F352" t="s">
        <v>1199</v>
      </c>
      <c r="G352" t="s">
        <v>1200</v>
      </c>
      <c r="H352" t="s">
        <v>1201</v>
      </c>
      <c r="I352" t="s">
        <v>1090</v>
      </c>
      <c r="K352" t="s">
        <v>28</v>
      </c>
      <c r="L352" t="s">
        <v>181</v>
      </c>
      <c r="M352" t="s">
        <v>40</v>
      </c>
      <c r="N352" t="s">
        <v>55</v>
      </c>
      <c r="O352" t="s">
        <v>32</v>
      </c>
      <c r="P352" t="s">
        <v>33</v>
      </c>
      <c r="Q352">
        <v>0</v>
      </c>
      <c r="R352" s="1">
        <v>2.199074074074074E-4</v>
      </c>
      <c r="S352" s="1">
        <v>1.157407407407407E-4</v>
      </c>
    </row>
    <row r="353" spans="1:19" x14ac:dyDescent="0.35">
      <c r="A353" t="s">
        <v>20</v>
      </c>
      <c r="B353">
        <v>17645</v>
      </c>
      <c r="C353" t="s">
        <v>949</v>
      </c>
      <c r="D353" t="s">
        <v>950</v>
      </c>
      <c r="E353" t="s">
        <v>391</v>
      </c>
      <c r="F353" t="s">
        <v>1202</v>
      </c>
      <c r="G353" t="s">
        <v>1203</v>
      </c>
      <c r="H353" t="s">
        <v>1204</v>
      </c>
      <c r="I353" t="s">
        <v>1090</v>
      </c>
      <c r="K353" t="s">
        <v>28</v>
      </c>
      <c r="L353" t="s">
        <v>39</v>
      </c>
      <c r="M353" t="s">
        <v>30</v>
      </c>
      <c r="N353" t="s">
        <v>148</v>
      </c>
      <c r="O353" t="s">
        <v>56</v>
      </c>
      <c r="P353" t="s">
        <v>33</v>
      </c>
      <c r="Q353">
        <v>0</v>
      </c>
      <c r="R353" s="1">
        <v>1.3888888888888889E-4</v>
      </c>
      <c r="S353" s="1">
        <v>3.4722222222222222E-5</v>
      </c>
    </row>
    <row r="354" spans="1:19" x14ac:dyDescent="0.35">
      <c r="A354" t="s">
        <v>20</v>
      </c>
      <c r="B354">
        <v>17645</v>
      </c>
      <c r="C354" t="s">
        <v>949</v>
      </c>
      <c r="D354" t="s">
        <v>950</v>
      </c>
      <c r="E354" t="s">
        <v>394</v>
      </c>
      <c r="F354" t="s">
        <v>1205</v>
      </c>
      <c r="G354" t="s">
        <v>1206</v>
      </c>
      <c r="H354" t="s">
        <v>1207</v>
      </c>
      <c r="I354" t="s">
        <v>1090</v>
      </c>
      <c r="K354" t="s">
        <v>38</v>
      </c>
      <c r="L354" t="s">
        <v>39</v>
      </c>
      <c r="M354" t="s">
        <v>40</v>
      </c>
      <c r="N354" t="s">
        <v>41</v>
      </c>
      <c r="O354" t="s">
        <v>32</v>
      </c>
      <c r="P354" t="s">
        <v>33</v>
      </c>
      <c r="Q354">
        <v>0</v>
      </c>
      <c r="R354" s="1">
        <v>1.7361111111111109E-4</v>
      </c>
      <c r="S354" s="1">
        <v>6.9444444444444444E-5</v>
      </c>
    </row>
    <row r="355" spans="1:19" x14ac:dyDescent="0.35">
      <c r="A355" t="s">
        <v>20</v>
      </c>
      <c r="B355">
        <v>17645</v>
      </c>
      <c r="C355" t="s">
        <v>949</v>
      </c>
      <c r="D355" t="s">
        <v>950</v>
      </c>
      <c r="E355" t="s">
        <v>398</v>
      </c>
      <c r="F355" t="s">
        <v>1208</v>
      </c>
      <c r="G355" t="s">
        <v>1209</v>
      </c>
      <c r="H355" t="s">
        <v>1210</v>
      </c>
      <c r="I355" t="s">
        <v>1090</v>
      </c>
      <c r="K355" t="s">
        <v>28</v>
      </c>
      <c r="L355" t="s">
        <v>39</v>
      </c>
      <c r="M355" t="s">
        <v>30</v>
      </c>
      <c r="N355" t="s">
        <v>148</v>
      </c>
      <c r="O355" t="s">
        <v>32</v>
      </c>
      <c r="P355" t="s">
        <v>33</v>
      </c>
      <c r="Q355">
        <v>0</v>
      </c>
      <c r="R355" s="1">
        <v>1.9675925925925929E-4</v>
      </c>
      <c r="S355" s="1">
        <v>9.2592592592592588E-5</v>
      </c>
    </row>
    <row r="356" spans="1:19" x14ac:dyDescent="0.35">
      <c r="A356" t="s">
        <v>20</v>
      </c>
      <c r="B356">
        <v>17645</v>
      </c>
      <c r="C356" t="s">
        <v>949</v>
      </c>
      <c r="D356" t="s">
        <v>950</v>
      </c>
      <c r="E356" t="s">
        <v>402</v>
      </c>
      <c r="F356" t="s">
        <v>1211</v>
      </c>
      <c r="G356" t="s">
        <v>1212</v>
      </c>
      <c r="H356" t="s">
        <v>1057</v>
      </c>
      <c r="I356" t="s">
        <v>1090</v>
      </c>
      <c r="K356" t="s">
        <v>46</v>
      </c>
      <c r="L356" t="s">
        <v>39</v>
      </c>
      <c r="M356" t="s">
        <v>40</v>
      </c>
      <c r="N356" t="s">
        <v>41</v>
      </c>
      <c r="O356" t="s">
        <v>32</v>
      </c>
      <c r="P356" t="s">
        <v>33</v>
      </c>
      <c r="Q356">
        <v>2</v>
      </c>
      <c r="R356" s="1">
        <v>3.0092592592592589E-4</v>
      </c>
      <c r="S356" s="1">
        <v>1.9675925925925929E-4</v>
      </c>
    </row>
    <row r="357" spans="1:19" x14ac:dyDescent="0.35">
      <c r="A357" t="s">
        <v>20</v>
      </c>
      <c r="B357">
        <v>17645</v>
      </c>
      <c r="C357" t="s">
        <v>949</v>
      </c>
      <c r="D357" t="s">
        <v>950</v>
      </c>
      <c r="E357" t="s">
        <v>406</v>
      </c>
      <c r="F357" t="s">
        <v>1213</v>
      </c>
      <c r="G357" t="s">
        <v>1214</v>
      </c>
      <c r="H357" t="s">
        <v>1215</v>
      </c>
      <c r="I357" t="s">
        <v>1090</v>
      </c>
      <c r="K357" t="s">
        <v>28</v>
      </c>
      <c r="L357" t="s">
        <v>47</v>
      </c>
      <c r="M357" t="s">
        <v>40</v>
      </c>
      <c r="N357" t="s">
        <v>67</v>
      </c>
      <c r="O357" t="s">
        <v>32</v>
      </c>
      <c r="P357" t="s">
        <v>33</v>
      </c>
      <c r="Q357">
        <v>6</v>
      </c>
      <c r="R357" s="1">
        <v>6.7129629629629625E-4</v>
      </c>
      <c r="S357" s="1">
        <v>5.6712962962962967E-4</v>
      </c>
    </row>
    <row r="358" spans="1:19" x14ac:dyDescent="0.35">
      <c r="A358" t="s">
        <v>20</v>
      </c>
      <c r="B358">
        <v>17645</v>
      </c>
      <c r="C358" t="s">
        <v>949</v>
      </c>
      <c r="D358" t="s">
        <v>950</v>
      </c>
      <c r="E358" t="s">
        <v>410</v>
      </c>
      <c r="F358" t="s">
        <v>1216</v>
      </c>
      <c r="G358" t="s">
        <v>1217</v>
      </c>
      <c r="H358" t="s">
        <v>1218</v>
      </c>
      <c r="I358" t="s">
        <v>1090</v>
      </c>
      <c r="K358" t="s">
        <v>28</v>
      </c>
      <c r="L358" t="s">
        <v>85</v>
      </c>
      <c r="M358" t="s">
        <v>30</v>
      </c>
      <c r="N358" t="s">
        <v>148</v>
      </c>
      <c r="O358" t="s">
        <v>56</v>
      </c>
      <c r="P358" t="s">
        <v>33</v>
      </c>
      <c r="Q358">
        <v>0</v>
      </c>
      <c r="R358" s="1">
        <v>1.50462962962963E-4</v>
      </c>
      <c r="S358" s="1">
        <v>4.6296296296296287E-5</v>
      </c>
    </row>
    <row r="359" spans="1:19" x14ac:dyDescent="0.35">
      <c r="A359" t="s">
        <v>20</v>
      </c>
      <c r="B359">
        <v>17645</v>
      </c>
      <c r="C359" t="s">
        <v>949</v>
      </c>
      <c r="D359" t="s">
        <v>950</v>
      </c>
      <c r="E359" t="s">
        <v>414</v>
      </c>
      <c r="F359" t="s">
        <v>1219</v>
      </c>
      <c r="G359" t="s">
        <v>1220</v>
      </c>
      <c r="H359" t="s">
        <v>1221</v>
      </c>
      <c r="I359" t="s">
        <v>1090</v>
      </c>
      <c r="K359" t="s">
        <v>46</v>
      </c>
      <c r="L359" t="s">
        <v>39</v>
      </c>
      <c r="M359" t="s">
        <v>30</v>
      </c>
      <c r="N359" t="s">
        <v>31</v>
      </c>
      <c r="O359" t="s">
        <v>32</v>
      </c>
      <c r="P359" t="s">
        <v>33</v>
      </c>
      <c r="Q359">
        <v>0</v>
      </c>
      <c r="R359" s="1">
        <v>2.3148148148148149E-4</v>
      </c>
      <c r="S359" s="1">
        <v>1.273148148148148E-4</v>
      </c>
    </row>
    <row r="360" spans="1:19" x14ac:dyDescent="0.35">
      <c r="A360" t="s">
        <v>20</v>
      </c>
      <c r="B360">
        <v>17645</v>
      </c>
      <c r="C360" t="s">
        <v>949</v>
      </c>
      <c r="D360" t="s">
        <v>950</v>
      </c>
      <c r="E360" t="s">
        <v>418</v>
      </c>
      <c r="F360" t="s">
        <v>1222</v>
      </c>
      <c r="G360" t="s">
        <v>1223</v>
      </c>
      <c r="H360" t="s">
        <v>1224</v>
      </c>
      <c r="I360" t="s">
        <v>1090</v>
      </c>
      <c r="K360" t="s">
        <v>46</v>
      </c>
      <c r="L360" t="s">
        <v>39</v>
      </c>
      <c r="M360" t="s">
        <v>48</v>
      </c>
      <c r="N360" t="s">
        <v>55</v>
      </c>
      <c r="O360" t="s">
        <v>32</v>
      </c>
      <c r="P360" t="s">
        <v>33</v>
      </c>
      <c r="Q360">
        <v>0</v>
      </c>
      <c r="R360" s="1">
        <v>1.3888888888888889E-4</v>
      </c>
      <c r="S360" s="1">
        <v>3.4722222222222222E-5</v>
      </c>
    </row>
    <row r="361" spans="1:19" x14ac:dyDescent="0.35">
      <c r="A361" t="s">
        <v>20</v>
      </c>
      <c r="B361">
        <v>17645</v>
      </c>
      <c r="C361" t="s">
        <v>949</v>
      </c>
      <c r="D361" t="s">
        <v>950</v>
      </c>
      <c r="E361" t="s">
        <v>422</v>
      </c>
      <c r="F361" t="s">
        <v>1225</v>
      </c>
      <c r="G361" t="s">
        <v>1226</v>
      </c>
      <c r="H361" t="s">
        <v>1227</v>
      </c>
      <c r="I361" t="s">
        <v>1090</v>
      </c>
      <c r="K361" t="s">
        <v>38</v>
      </c>
      <c r="L361" t="s">
        <v>181</v>
      </c>
      <c r="M361" t="s">
        <v>48</v>
      </c>
      <c r="N361" t="s">
        <v>90</v>
      </c>
      <c r="O361" t="s">
        <v>32</v>
      </c>
      <c r="P361" t="s">
        <v>33</v>
      </c>
      <c r="Q361">
        <v>1</v>
      </c>
      <c r="R361" s="1">
        <v>2.5462962962962961E-4</v>
      </c>
      <c r="S361" s="1">
        <v>1.50462962962963E-4</v>
      </c>
    </row>
    <row r="362" spans="1:19" x14ac:dyDescent="0.35">
      <c r="A362" t="s">
        <v>20</v>
      </c>
      <c r="B362">
        <v>17645</v>
      </c>
      <c r="C362" t="s">
        <v>949</v>
      </c>
      <c r="D362" t="s">
        <v>950</v>
      </c>
      <c r="E362" t="s">
        <v>1228</v>
      </c>
      <c r="F362" t="s">
        <v>1229</v>
      </c>
      <c r="G362" t="s">
        <v>1230</v>
      </c>
      <c r="H362" t="s">
        <v>1231</v>
      </c>
      <c r="I362" t="s">
        <v>1090</v>
      </c>
      <c r="K362" t="s">
        <v>46</v>
      </c>
      <c r="L362" t="s">
        <v>54</v>
      </c>
      <c r="M362" t="s">
        <v>40</v>
      </c>
      <c r="N362" t="s">
        <v>55</v>
      </c>
      <c r="O362" t="s">
        <v>32</v>
      </c>
      <c r="P362" t="s">
        <v>33</v>
      </c>
      <c r="Q362">
        <v>1</v>
      </c>
      <c r="R362" s="1">
        <v>3.3564814814814812E-4</v>
      </c>
      <c r="S362" s="1">
        <v>2.3148148148148149E-4</v>
      </c>
    </row>
    <row r="363" spans="1:19" x14ac:dyDescent="0.35">
      <c r="A363" t="s">
        <v>20</v>
      </c>
      <c r="B363">
        <v>17645</v>
      </c>
      <c r="C363" t="s">
        <v>949</v>
      </c>
      <c r="D363" t="s">
        <v>950</v>
      </c>
      <c r="E363" t="s">
        <v>1232</v>
      </c>
      <c r="F363" t="s">
        <v>1233</v>
      </c>
      <c r="G363" t="s">
        <v>1234</v>
      </c>
      <c r="H363" t="s">
        <v>1235</v>
      </c>
      <c r="I363" t="s">
        <v>1090</v>
      </c>
      <c r="K363" t="s">
        <v>61</v>
      </c>
      <c r="L363" t="s">
        <v>62</v>
      </c>
      <c r="M363" t="s">
        <v>30</v>
      </c>
      <c r="N363" t="s">
        <v>67</v>
      </c>
      <c r="O363" t="s">
        <v>76</v>
      </c>
      <c r="P363" t="s">
        <v>33</v>
      </c>
      <c r="Q363">
        <v>0</v>
      </c>
      <c r="R363" s="1">
        <v>3.8194444444444452E-4</v>
      </c>
      <c r="S363" s="1">
        <v>2.7777777777777778E-4</v>
      </c>
    </row>
    <row r="364" spans="1:19" x14ac:dyDescent="0.35">
      <c r="A364" t="s">
        <v>20</v>
      </c>
      <c r="B364">
        <v>17645</v>
      </c>
      <c r="C364" t="s">
        <v>949</v>
      </c>
      <c r="D364" t="s">
        <v>950</v>
      </c>
      <c r="E364" t="s">
        <v>1236</v>
      </c>
      <c r="F364" t="s">
        <v>1237</v>
      </c>
      <c r="G364" t="s">
        <v>1238</v>
      </c>
      <c r="H364" t="s">
        <v>1239</v>
      </c>
      <c r="I364" t="s">
        <v>1090</v>
      </c>
      <c r="K364" t="s">
        <v>61</v>
      </c>
      <c r="L364" t="s">
        <v>62</v>
      </c>
      <c r="M364" t="s">
        <v>30</v>
      </c>
      <c r="N364" t="s">
        <v>115</v>
      </c>
      <c r="O364" t="s">
        <v>76</v>
      </c>
      <c r="P364" t="s">
        <v>33</v>
      </c>
      <c r="Q364">
        <v>3</v>
      </c>
      <c r="R364" s="1">
        <v>3.8194444444444452E-4</v>
      </c>
      <c r="S364" s="1">
        <v>2.7777777777777778E-4</v>
      </c>
    </row>
    <row r="365" spans="1:19" x14ac:dyDescent="0.35">
      <c r="A365" t="s">
        <v>20</v>
      </c>
      <c r="B365">
        <v>17645</v>
      </c>
      <c r="C365" t="s">
        <v>949</v>
      </c>
      <c r="D365" t="s">
        <v>950</v>
      </c>
      <c r="E365" t="s">
        <v>1240</v>
      </c>
      <c r="F365" t="s">
        <v>1241</v>
      </c>
      <c r="G365" t="s">
        <v>1242</v>
      </c>
      <c r="H365" t="s">
        <v>1243</v>
      </c>
      <c r="I365" t="s">
        <v>1090</v>
      </c>
      <c r="K365" t="s">
        <v>28</v>
      </c>
      <c r="L365" t="s">
        <v>62</v>
      </c>
      <c r="M365" t="s">
        <v>40</v>
      </c>
      <c r="N365" t="s">
        <v>55</v>
      </c>
      <c r="O365" t="s">
        <v>76</v>
      </c>
      <c r="P365" t="s">
        <v>33</v>
      </c>
      <c r="Q365">
        <v>4</v>
      </c>
      <c r="R365" s="1">
        <v>4.5138888888888892E-4</v>
      </c>
      <c r="S365" s="1">
        <v>3.4722222222222218E-4</v>
      </c>
    </row>
    <row r="366" spans="1:19" x14ac:dyDescent="0.35">
      <c r="A366" t="s">
        <v>20</v>
      </c>
      <c r="B366">
        <v>17645</v>
      </c>
      <c r="C366" t="s">
        <v>949</v>
      </c>
      <c r="D366" t="s">
        <v>950</v>
      </c>
      <c r="E366" t="s">
        <v>1244</v>
      </c>
      <c r="F366" t="s">
        <v>1245</v>
      </c>
      <c r="G366" t="s">
        <v>1246</v>
      </c>
      <c r="H366" t="s">
        <v>1247</v>
      </c>
      <c r="I366" t="s">
        <v>1090</v>
      </c>
      <c r="K366" t="s">
        <v>46</v>
      </c>
      <c r="L366" t="s">
        <v>47</v>
      </c>
      <c r="M366" t="s">
        <v>48</v>
      </c>
      <c r="N366" t="s">
        <v>41</v>
      </c>
      <c r="O366" t="s">
        <v>56</v>
      </c>
      <c r="P366" t="s">
        <v>33</v>
      </c>
      <c r="Q366">
        <v>2</v>
      </c>
      <c r="R366" s="1">
        <v>3.3564814814814812E-4</v>
      </c>
      <c r="S366" s="1">
        <v>2.3148148148148149E-4</v>
      </c>
    </row>
    <row r="367" spans="1:19" x14ac:dyDescent="0.35">
      <c r="A367" t="s">
        <v>20</v>
      </c>
      <c r="B367">
        <v>17645</v>
      </c>
      <c r="C367" t="s">
        <v>949</v>
      </c>
      <c r="D367" t="s">
        <v>950</v>
      </c>
      <c r="E367" t="s">
        <v>1248</v>
      </c>
      <c r="F367" t="s">
        <v>1249</v>
      </c>
      <c r="G367" t="s">
        <v>1250</v>
      </c>
      <c r="H367" t="s">
        <v>1251</v>
      </c>
      <c r="I367" t="s">
        <v>1090</v>
      </c>
      <c r="K367" t="s">
        <v>38</v>
      </c>
      <c r="L367" t="s">
        <v>47</v>
      </c>
      <c r="M367" t="s">
        <v>40</v>
      </c>
      <c r="N367" t="s">
        <v>55</v>
      </c>
      <c r="O367" t="s">
        <v>56</v>
      </c>
      <c r="P367" t="s">
        <v>33</v>
      </c>
      <c r="Q367">
        <v>0</v>
      </c>
      <c r="R367" s="1">
        <v>2.0833333333333329E-4</v>
      </c>
      <c r="S367" s="1">
        <v>1.041666666666667E-4</v>
      </c>
    </row>
    <row r="368" spans="1:19" x14ac:dyDescent="0.35">
      <c r="A368" t="s">
        <v>20</v>
      </c>
      <c r="B368">
        <v>17647</v>
      </c>
      <c r="C368" t="s">
        <v>1252</v>
      </c>
      <c r="D368" t="s">
        <v>1253</v>
      </c>
      <c r="E368" t="s">
        <v>23</v>
      </c>
      <c r="F368" t="s">
        <v>1254</v>
      </c>
      <c r="G368" t="s">
        <v>1255</v>
      </c>
      <c r="H368" t="s">
        <v>1256</v>
      </c>
      <c r="I368" t="s">
        <v>1257</v>
      </c>
      <c r="K368" t="s">
        <v>28</v>
      </c>
      <c r="L368" t="s">
        <v>29</v>
      </c>
      <c r="M368" t="s">
        <v>40</v>
      </c>
      <c r="N368" t="s">
        <v>41</v>
      </c>
      <c r="O368" t="s">
        <v>76</v>
      </c>
      <c r="P368" t="s">
        <v>33</v>
      </c>
      <c r="Q368">
        <v>9</v>
      </c>
      <c r="R368" s="1">
        <v>1.0879629629629631E-3</v>
      </c>
      <c r="S368" s="1">
        <v>9.837962962962962E-4</v>
      </c>
    </row>
    <row r="369" spans="1:19" x14ac:dyDescent="0.35">
      <c r="A369" t="s">
        <v>20</v>
      </c>
      <c r="B369">
        <v>17647</v>
      </c>
      <c r="C369" t="s">
        <v>1252</v>
      </c>
      <c r="D369" t="s">
        <v>1253</v>
      </c>
      <c r="E369" t="s">
        <v>34</v>
      </c>
      <c r="F369" t="s">
        <v>1258</v>
      </c>
      <c r="G369" t="s">
        <v>1259</v>
      </c>
      <c r="H369" t="s">
        <v>1260</v>
      </c>
      <c r="I369" t="s">
        <v>1257</v>
      </c>
      <c r="K369" t="s">
        <v>28</v>
      </c>
      <c r="L369" t="s">
        <v>85</v>
      </c>
      <c r="M369" t="s">
        <v>30</v>
      </c>
      <c r="N369" t="s">
        <v>148</v>
      </c>
      <c r="O369" t="s">
        <v>56</v>
      </c>
      <c r="P369" t="s">
        <v>33</v>
      </c>
      <c r="Q369">
        <v>0</v>
      </c>
      <c r="R369" s="1">
        <v>1.157407407407407E-4</v>
      </c>
      <c r="S369" s="1">
        <v>1.157407407407407E-5</v>
      </c>
    </row>
    <row r="370" spans="1:19" x14ac:dyDescent="0.35">
      <c r="A370" t="s">
        <v>20</v>
      </c>
      <c r="B370">
        <v>17647</v>
      </c>
      <c r="C370" t="s">
        <v>1252</v>
      </c>
      <c r="D370" t="s">
        <v>1253</v>
      </c>
      <c r="E370" t="s">
        <v>42</v>
      </c>
      <c r="F370" t="s">
        <v>1261</v>
      </c>
      <c r="G370" t="s">
        <v>1262</v>
      </c>
      <c r="H370" t="s">
        <v>1263</v>
      </c>
      <c r="I370" t="s">
        <v>1257</v>
      </c>
      <c r="K370" t="s">
        <v>46</v>
      </c>
      <c r="L370" t="s">
        <v>39</v>
      </c>
      <c r="M370" t="s">
        <v>48</v>
      </c>
      <c r="N370" t="s">
        <v>55</v>
      </c>
      <c r="O370" t="s">
        <v>32</v>
      </c>
      <c r="P370" t="s">
        <v>33</v>
      </c>
      <c r="Q370">
        <v>0</v>
      </c>
      <c r="R370" s="1">
        <v>1.3888888888888889E-4</v>
      </c>
      <c r="S370" s="1">
        <v>3.4722222222222222E-5</v>
      </c>
    </row>
    <row r="371" spans="1:19" x14ac:dyDescent="0.35">
      <c r="A371" t="s">
        <v>20</v>
      </c>
      <c r="B371">
        <v>17647</v>
      </c>
      <c r="C371" t="s">
        <v>1252</v>
      </c>
      <c r="D371" t="s">
        <v>1253</v>
      </c>
      <c r="E371" t="s">
        <v>50</v>
      </c>
      <c r="F371" t="s">
        <v>1264</v>
      </c>
      <c r="G371" t="s">
        <v>1265</v>
      </c>
      <c r="H371" t="s">
        <v>1266</v>
      </c>
      <c r="I371" t="s">
        <v>1257</v>
      </c>
      <c r="K371" t="s">
        <v>61</v>
      </c>
      <c r="L371" t="s">
        <v>62</v>
      </c>
      <c r="M371" t="s">
        <v>30</v>
      </c>
      <c r="N371" t="s">
        <v>55</v>
      </c>
      <c r="O371" t="s">
        <v>76</v>
      </c>
      <c r="P371" t="s">
        <v>33</v>
      </c>
      <c r="Q371">
        <v>0</v>
      </c>
      <c r="R371" s="1">
        <v>1.851851851851852E-4</v>
      </c>
      <c r="S371" s="1">
        <v>8.1018518518518516E-5</v>
      </c>
    </row>
    <row r="372" spans="1:19" x14ac:dyDescent="0.35">
      <c r="A372" t="s">
        <v>20</v>
      </c>
      <c r="B372">
        <v>17647</v>
      </c>
      <c r="C372" t="s">
        <v>1252</v>
      </c>
      <c r="D372" t="s">
        <v>1253</v>
      </c>
      <c r="E372" t="s">
        <v>57</v>
      </c>
      <c r="F372" t="s">
        <v>1267</v>
      </c>
      <c r="G372" t="s">
        <v>1268</v>
      </c>
      <c r="H372" t="s">
        <v>1269</v>
      </c>
      <c r="I372" t="s">
        <v>1257</v>
      </c>
      <c r="K372" t="s">
        <v>61</v>
      </c>
      <c r="L372" t="s">
        <v>54</v>
      </c>
      <c r="M372" t="s">
        <v>30</v>
      </c>
      <c r="N372" t="s">
        <v>31</v>
      </c>
      <c r="O372" t="s">
        <v>56</v>
      </c>
      <c r="P372" t="s">
        <v>33</v>
      </c>
      <c r="Q372">
        <v>3</v>
      </c>
      <c r="R372" s="1">
        <v>4.2824074074074081E-4</v>
      </c>
      <c r="S372" s="1">
        <v>3.2407407407407412E-4</v>
      </c>
    </row>
    <row r="373" spans="1:19" x14ac:dyDescent="0.35">
      <c r="A373" t="s">
        <v>20</v>
      </c>
      <c r="B373">
        <v>17647</v>
      </c>
      <c r="C373" t="s">
        <v>1252</v>
      </c>
      <c r="D373" t="s">
        <v>1253</v>
      </c>
      <c r="E373" t="s">
        <v>63</v>
      </c>
      <c r="F373" t="s">
        <v>1270</v>
      </c>
      <c r="G373" t="s">
        <v>1271</v>
      </c>
      <c r="H373" t="s">
        <v>1272</v>
      </c>
      <c r="I373" t="s">
        <v>1257</v>
      </c>
      <c r="K373" t="s">
        <v>46</v>
      </c>
      <c r="L373" t="s">
        <v>39</v>
      </c>
      <c r="M373" t="s">
        <v>48</v>
      </c>
      <c r="N373" t="s">
        <v>55</v>
      </c>
      <c r="O373" t="s">
        <v>32</v>
      </c>
      <c r="P373" t="s">
        <v>33</v>
      </c>
      <c r="Q373">
        <v>0</v>
      </c>
      <c r="R373" s="1">
        <v>1.6203703703703701E-4</v>
      </c>
      <c r="S373" s="1">
        <v>5.7870370370370373E-5</v>
      </c>
    </row>
    <row r="374" spans="1:19" x14ac:dyDescent="0.35">
      <c r="A374" t="s">
        <v>20</v>
      </c>
      <c r="B374">
        <v>17647</v>
      </c>
      <c r="C374" t="s">
        <v>1252</v>
      </c>
      <c r="D374" t="s">
        <v>1253</v>
      </c>
      <c r="E374" t="s">
        <v>68</v>
      </c>
      <c r="F374" t="s">
        <v>1273</v>
      </c>
      <c r="G374" t="s">
        <v>1274</v>
      </c>
      <c r="H374" t="s">
        <v>1275</v>
      </c>
      <c r="I374" t="s">
        <v>1257</v>
      </c>
      <c r="K374" t="s">
        <v>46</v>
      </c>
      <c r="L374" t="s">
        <v>62</v>
      </c>
      <c r="M374" t="s">
        <v>40</v>
      </c>
      <c r="N374" t="s">
        <v>41</v>
      </c>
      <c r="O374" t="s">
        <v>32</v>
      </c>
      <c r="P374" t="s">
        <v>33</v>
      </c>
      <c r="Q374">
        <v>2</v>
      </c>
      <c r="R374" s="1">
        <v>5.3240740740740744E-4</v>
      </c>
      <c r="S374" s="1">
        <v>4.2824074074074081E-4</v>
      </c>
    </row>
    <row r="375" spans="1:19" x14ac:dyDescent="0.35">
      <c r="A375" t="s">
        <v>20</v>
      </c>
      <c r="B375">
        <v>17647</v>
      </c>
      <c r="C375" t="s">
        <v>1252</v>
      </c>
      <c r="D375" t="s">
        <v>1253</v>
      </c>
      <c r="E375" t="s">
        <v>72</v>
      </c>
      <c r="F375" t="s">
        <v>1276</v>
      </c>
      <c r="G375" t="s">
        <v>1277</v>
      </c>
      <c r="H375" t="s">
        <v>1278</v>
      </c>
      <c r="I375" t="s">
        <v>1257</v>
      </c>
      <c r="K375" t="s">
        <v>28</v>
      </c>
      <c r="L375" t="s">
        <v>54</v>
      </c>
      <c r="M375" t="s">
        <v>48</v>
      </c>
      <c r="N375" t="s">
        <v>115</v>
      </c>
      <c r="O375" t="s">
        <v>56</v>
      </c>
      <c r="P375" t="s">
        <v>33</v>
      </c>
      <c r="Q375">
        <v>0</v>
      </c>
      <c r="R375" s="1">
        <v>1.157407407407407E-4</v>
      </c>
      <c r="S375" s="1">
        <v>1.157407407407407E-5</v>
      </c>
    </row>
    <row r="376" spans="1:19" x14ac:dyDescent="0.35">
      <c r="A376" t="s">
        <v>20</v>
      </c>
      <c r="B376">
        <v>17647</v>
      </c>
      <c r="C376" t="s">
        <v>1252</v>
      </c>
      <c r="D376" t="s">
        <v>1253</v>
      </c>
      <c r="E376" t="s">
        <v>77</v>
      </c>
      <c r="F376" t="s">
        <v>1279</v>
      </c>
      <c r="G376" t="s">
        <v>1280</v>
      </c>
      <c r="H376" t="s">
        <v>1281</v>
      </c>
      <c r="I376" t="s">
        <v>1257</v>
      </c>
      <c r="K376" t="s">
        <v>46</v>
      </c>
      <c r="L376" t="s">
        <v>54</v>
      </c>
      <c r="M376" t="s">
        <v>48</v>
      </c>
      <c r="N376" t="s">
        <v>67</v>
      </c>
      <c r="O376" t="s">
        <v>56</v>
      </c>
      <c r="P376" t="s">
        <v>33</v>
      </c>
      <c r="Q376">
        <v>0</v>
      </c>
      <c r="R376" s="1">
        <v>1.851851851851852E-4</v>
      </c>
      <c r="S376" s="1">
        <v>8.1018518518518516E-5</v>
      </c>
    </row>
    <row r="377" spans="1:19" x14ac:dyDescent="0.35">
      <c r="A377" t="s">
        <v>20</v>
      </c>
      <c r="B377">
        <v>17647</v>
      </c>
      <c r="C377" t="s">
        <v>1252</v>
      </c>
      <c r="D377" t="s">
        <v>1253</v>
      </c>
      <c r="E377" t="s">
        <v>81</v>
      </c>
      <c r="F377" t="s">
        <v>1282</v>
      </c>
      <c r="G377" t="s">
        <v>1283</v>
      </c>
      <c r="H377" t="s">
        <v>1284</v>
      </c>
      <c r="I377" t="s">
        <v>1257</v>
      </c>
      <c r="K377" t="s">
        <v>28</v>
      </c>
      <c r="L377" t="s">
        <v>62</v>
      </c>
      <c r="M377" t="s">
        <v>40</v>
      </c>
      <c r="N377" t="s">
        <v>55</v>
      </c>
      <c r="O377" t="s">
        <v>32</v>
      </c>
      <c r="P377" t="s">
        <v>33</v>
      </c>
      <c r="Q377">
        <v>2</v>
      </c>
      <c r="R377" s="1">
        <v>3.5879629629629629E-4</v>
      </c>
      <c r="S377" s="1">
        <v>2.5462962962962961E-4</v>
      </c>
    </row>
    <row r="378" spans="1:19" x14ac:dyDescent="0.35">
      <c r="A378" t="s">
        <v>20</v>
      </c>
      <c r="B378">
        <v>17647</v>
      </c>
      <c r="C378" t="s">
        <v>1252</v>
      </c>
      <c r="D378" t="s">
        <v>1253</v>
      </c>
      <c r="E378" t="s">
        <v>86</v>
      </c>
      <c r="F378" t="s">
        <v>1285</v>
      </c>
      <c r="G378" t="s">
        <v>1286</v>
      </c>
      <c r="H378" t="s">
        <v>1287</v>
      </c>
      <c r="I378" t="s">
        <v>1257</v>
      </c>
      <c r="K378" t="s">
        <v>38</v>
      </c>
      <c r="L378" t="s">
        <v>47</v>
      </c>
      <c r="M378" t="s">
        <v>48</v>
      </c>
      <c r="N378" t="s">
        <v>90</v>
      </c>
      <c r="O378" t="s">
        <v>56</v>
      </c>
      <c r="P378" t="s">
        <v>33</v>
      </c>
      <c r="Q378">
        <v>2</v>
      </c>
      <c r="R378" s="1">
        <v>5.4398148148148144E-4</v>
      </c>
      <c r="S378" s="1">
        <v>4.3981481481481481E-4</v>
      </c>
    </row>
    <row r="379" spans="1:19" x14ac:dyDescent="0.35">
      <c r="A379" t="s">
        <v>20</v>
      </c>
      <c r="B379">
        <v>17647</v>
      </c>
      <c r="C379" t="s">
        <v>1252</v>
      </c>
      <c r="D379" t="s">
        <v>1253</v>
      </c>
      <c r="E379" t="s">
        <v>91</v>
      </c>
      <c r="F379" t="s">
        <v>1288</v>
      </c>
      <c r="G379" t="s">
        <v>1289</v>
      </c>
      <c r="H379" t="s">
        <v>1290</v>
      </c>
      <c r="I379" t="s">
        <v>1257</v>
      </c>
      <c r="K379" t="s">
        <v>28</v>
      </c>
      <c r="L379" t="s">
        <v>62</v>
      </c>
      <c r="M379" t="s">
        <v>40</v>
      </c>
      <c r="N379" t="s">
        <v>55</v>
      </c>
      <c r="O379" t="s">
        <v>32</v>
      </c>
      <c r="P379" t="s">
        <v>33</v>
      </c>
      <c r="Q379">
        <v>0</v>
      </c>
      <c r="R379" s="1">
        <v>2.199074074074074E-4</v>
      </c>
      <c r="S379" s="1">
        <v>1.157407407407407E-4</v>
      </c>
    </row>
    <row r="380" spans="1:19" x14ac:dyDescent="0.35">
      <c r="A380" t="s">
        <v>20</v>
      </c>
      <c r="B380">
        <v>17647</v>
      </c>
      <c r="C380" t="s">
        <v>1252</v>
      </c>
      <c r="D380" t="s">
        <v>1253</v>
      </c>
      <c r="E380" t="s">
        <v>95</v>
      </c>
      <c r="F380" t="s">
        <v>1291</v>
      </c>
      <c r="G380" t="s">
        <v>1292</v>
      </c>
      <c r="H380" t="s">
        <v>1293</v>
      </c>
      <c r="I380" t="s">
        <v>1257</v>
      </c>
      <c r="K380" t="s">
        <v>28</v>
      </c>
      <c r="L380" t="s">
        <v>85</v>
      </c>
      <c r="M380" t="s">
        <v>30</v>
      </c>
      <c r="N380" t="s">
        <v>148</v>
      </c>
      <c r="O380" t="s">
        <v>32</v>
      </c>
      <c r="P380" t="s">
        <v>33</v>
      </c>
      <c r="Q380">
        <v>0</v>
      </c>
      <c r="R380" s="1">
        <v>2.0833333333333329E-4</v>
      </c>
      <c r="S380" s="1">
        <v>1.041666666666667E-4</v>
      </c>
    </row>
    <row r="381" spans="1:19" x14ac:dyDescent="0.35">
      <c r="A381" t="s">
        <v>20</v>
      </c>
      <c r="B381">
        <v>17647</v>
      </c>
      <c r="C381" t="s">
        <v>1252</v>
      </c>
      <c r="D381" t="s">
        <v>1253</v>
      </c>
      <c r="E381" t="s">
        <v>99</v>
      </c>
      <c r="F381" t="s">
        <v>1294</v>
      </c>
      <c r="G381" t="s">
        <v>1295</v>
      </c>
      <c r="H381" t="s">
        <v>1296</v>
      </c>
      <c r="I381" t="s">
        <v>1257</v>
      </c>
      <c r="K381" t="s">
        <v>46</v>
      </c>
      <c r="L381" t="s">
        <v>29</v>
      </c>
      <c r="M381" t="s">
        <v>40</v>
      </c>
      <c r="N381" t="s">
        <v>41</v>
      </c>
      <c r="O381" t="s">
        <v>76</v>
      </c>
      <c r="P381" t="s">
        <v>33</v>
      </c>
      <c r="Q381">
        <v>0</v>
      </c>
      <c r="R381" s="1">
        <v>1.7361111111111109E-4</v>
      </c>
      <c r="S381" s="1">
        <v>6.9444444444444444E-5</v>
      </c>
    </row>
    <row r="382" spans="1:19" x14ac:dyDescent="0.35">
      <c r="A382" t="s">
        <v>20</v>
      </c>
      <c r="B382">
        <v>17647</v>
      </c>
      <c r="C382" t="s">
        <v>1252</v>
      </c>
      <c r="D382" t="s">
        <v>1253</v>
      </c>
      <c r="E382" t="s">
        <v>103</v>
      </c>
      <c r="F382" t="s">
        <v>1297</v>
      </c>
      <c r="G382" t="s">
        <v>1298</v>
      </c>
      <c r="H382" t="s">
        <v>1299</v>
      </c>
      <c r="I382" t="s">
        <v>1257</v>
      </c>
      <c r="K382" t="s">
        <v>38</v>
      </c>
      <c r="L382" t="s">
        <v>47</v>
      </c>
      <c r="M382" t="s">
        <v>48</v>
      </c>
      <c r="N382" t="s">
        <v>90</v>
      </c>
      <c r="O382" t="s">
        <v>56</v>
      </c>
      <c r="P382" t="s">
        <v>33</v>
      </c>
      <c r="Q382">
        <v>0</v>
      </c>
      <c r="R382" s="1">
        <v>1.6203703703703701E-4</v>
      </c>
      <c r="S382" s="1">
        <v>5.7870370370370373E-5</v>
      </c>
    </row>
    <row r="383" spans="1:19" x14ac:dyDescent="0.35">
      <c r="A383" t="s">
        <v>20</v>
      </c>
      <c r="B383">
        <v>17647</v>
      </c>
      <c r="C383" t="s">
        <v>1252</v>
      </c>
      <c r="D383" t="s">
        <v>1253</v>
      </c>
      <c r="E383" t="s">
        <v>107</v>
      </c>
      <c r="F383" t="s">
        <v>1300</v>
      </c>
      <c r="G383" t="s">
        <v>1301</v>
      </c>
      <c r="H383" t="s">
        <v>1302</v>
      </c>
      <c r="I383" t="s">
        <v>1257</v>
      </c>
      <c r="K383" t="s">
        <v>46</v>
      </c>
      <c r="L383" t="s">
        <v>181</v>
      </c>
      <c r="M383" t="s">
        <v>40</v>
      </c>
      <c r="N383" t="s">
        <v>41</v>
      </c>
      <c r="O383" t="s">
        <v>76</v>
      </c>
      <c r="P383" t="s">
        <v>33</v>
      </c>
      <c r="Q383">
        <v>3</v>
      </c>
      <c r="R383" s="1">
        <v>5.5555555555555556E-4</v>
      </c>
      <c r="S383" s="1">
        <v>4.5138888888888892E-4</v>
      </c>
    </row>
    <row r="384" spans="1:19" x14ac:dyDescent="0.35">
      <c r="A384" t="s">
        <v>20</v>
      </c>
      <c r="B384">
        <v>17647</v>
      </c>
      <c r="C384" t="s">
        <v>1252</v>
      </c>
      <c r="D384" t="s">
        <v>1253</v>
      </c>
      <c r="E384" t="s">
        <v>111</v>
      </c>
      <c r="F384" t="s">
        <v>1303</v>
      </c>
      <c r="G384" t="s">
        <v>1304</v>
      </c>
      <c r="H384" t="s">
        <v>1305</v>
      </c>
      <c r="I384" t="s">
        <v>1257</v>
      </c>
      <c r="K384" t="s">
        <v>28</v>
      </c>
      <c r="L384" t="s">
        <v>54</v>
      </c>
      <c r="M384" t="s">
        <v>40</v>
      </c>
      <c r="N384" t="s">
        <v>67</v>
      </c>
      <c r="O384" t="s">
        <v>56</v>
      </c>
      <c r="P384" t="s">
        <v>33</v>
      </c>
      <c r="Q384">
        <v>0</v>
      </c>
      <c r="R384" s="1">
        <v>1.851851851851852E-4</v>
      </c>
      <c r="S384" s="1">
        <v>8.1018518518518516E-5</v>
      </c>
    </row>
    <row r="385" spans="1:19" x14ac:dyDescent="0.35">
      <c r="A385" t="s">
        <v>20</v>
      </c>
      <c r="B385">
        <v>17647</v>
      </c>
      <c r="C385" t="s">
        <v>1252</v>
      </c>
      <c r="D385" t="s">
        <v>1253</v>
      </c>
      <c r="E385" t="s">
        <v>116</v>
      </c>
      <c r="F385" t="s">
        <v>1306</v>
      </c>
      <c r="G385" t="s">
        <v>1307</v>
      </c>
      <c r="H385" t="s">
        <v>1308</v>
      </c>
      <c r="I385" t="s">
        <v>1257</v>
      </c>
      <c r="K385" t="s">
        <v>61</v>
      </c>
      <c r="L385" t="s">
        <v>62</v>
      </c>
      <c r="M385" t="s">
        <v>30</v>
      </c>
      <c r="N385" t="s">
        <v>67</v>
      </c>
      <c r="O385" t="s">
        <v>32</v>
      </c>
      <c r="P385" t="s">
        <v>33</v>
      </c>
      <c r="Q385">
        <v>0</v>
      </c>
      <c r="R385" s="1">
        <v>4.1666666666666669E-4</v>
      </c>
      <c r="S385" s="1">
        <v>3.1250000000000001E-4</v>
      </c>
    </row>
    <row r="386" spans="1:19" x14ac:dyDescent="0.35">
      <c r="A386" t="s">
        <v>20</v>
      </c>
      <c r="B386">
        <v>17647</v>
      </c>
      <c r="C386" t="s">
        <v>1252</v>
      </c>
      <c r="D386" t="s">
        <v>1253</v>
      </c>
      <c r="E386" t="s">
        <v>120</v>
      </c>
      <c r="F386" t="s">
        <v>1309</v>
      </c>
      <c r="G386" t="s">
        <v>1310</v>
      </c>
      <c r="H386" t="s">
        <v>1311</v>
      </c>
      <c r="I386" t="s">
        <v>1257</v>
      </c>
      <c r="K386" t="s">
        <v>61</v>
      </c>
      <c r="L386" t="s">
        <v>54</v>
      </c>
      <c r="M386" t="s">
        <v>30</v>
      </c>
      <c r="N386" t="s">
        <v>115</v>
      </c>
      <c r="O386" t="s">
        <v>56</v>
      </c>
      <c r="P386" t="s">
        <v>33</v>
      </c>
      <c r="Q386">
        <v>0</v>
      </c>
      <c r="R386" s="1">
        <v>1.851851851851852E-4</v>
      </c>
      <c r="S386" s="1">
        <v>8.1018518518518516E-5</v>
      </c>
    </row>
    <row r="387" spans="1:19" x14ac:dyDescent="0.35">
      <c r="A387" t="s">
        <v>20</v>
      </c>
      <c r="B387">
        <v>17647</v>
      </c>
      <c r="C387" t="s">
        <v>1252</v>
      </c>
      <c r="D387" t="s">
        <v>1253</v>
      </c>
      <c r="E387" t="s">
        <v>124</v>
      </c>
      <c r="F387" t="s">
        <v>1312</v>
      </c>
      <c r="G387" t="s">
        <v>1313</v>
      </c>
      <c r="H387" t="s">
        <v>1314</v>
      </c>
      <c r="I387" t="s">
        <v>1257</v>
      </c>
      <c r="K387" t="s">
        <v>61</v>
      </c>
      <c r="L387" t="s">
        <v>62</v>
      </c>
      <c r="M387" t="s">
        <v>30</v>
      </c>
      <c r="N387" t="s">
        <v>31</v>
      </c>
      <c r="O387" t="s">
        <v>76</v>
      </c>
      <c r="P387" t="s">
        <v>33</v>
      </c>
      <c r="Q387">
        <v>0</v>
      </c>
      <c r="R387" s="1">
        <v>3.0092592592592589E-4</v>
      </c>
      <c r="S387" s="1">
        <v>1.9675925925925929E-4</v>
      </c>
    </row>
    <row r="388" spans="1:19" x14ac:dyDescent="0.35">
      <c r="A388" t="s">
        <v>20</v>
      </c>
      <c r="B388">
        <v>17647</v>
      </c>
      <c r="C388" t="s">
        <v>1252</v>
      </c>
      <c r="D388" t="s">
        <v>1253</v>
      </c>
      <c r="E388" t="s">
        <v>128</v>
      </c>
      <c r="F388" t="s">
        <v>1315</v>
      </c>
      <c r="G388" t="s">
        <v>1316</v>
      </c>
      <c r="H388" t="s">
        <v>1317</v>
      </c>
      <c r="I388" t="s">
        <v>1257</v>
      </c>
      <c r="K388" t="s">
        <v>46</v>
      </c>
      <c r="L388" t="s">
        <v>54</v>
      </c>
      <c r="M388" t="s">
        <v>30</v>
      </c>
      <c r="N388" t="s">
        <v>41</v>
      </c>
      <c r="O388" t="s">
        <v>56</v>
      </c>
      <c r="P388" t="s">
        <v>33</v>
      </c>
      <c r="Q388">
        <v>0</v>
      </c>
      <c r="R388" s="1">
        <v>2.4305555555555549E-4</v>
      </c>
      <c r="S388" s="1">
        <v>1.3888888888888889E-4</v>
      </c>
    </row>
    <row r="389" spans="1:19" x14ac:dyDescent="0.35">
      <c r="A389" t="s">
        <v>20</v>
      </c>
      <c r="B389">
        <v>17647</v>
      </c>
      <c r="C389" t="s">
        <v>1252</v>
      </c>
      <c r="D389" t="s">
        <v>1253</v>
      </c>
      <c r="E389" t="s">
        <v>132</v>
      </c>
      <c r="F389" t="s">
        <v>1318</v>
      </c>
      <c r="G389" t="s">
        <v>1319</v>
      </c>
      <c r="H389" t="s">
        <v>1320</v>
      </c>
      <c r="I389" t="s">
        <v>1257</v>
      </c>
      <c r="K389" t="s">
        <v>28</v>
      </c>
      <c r="L389" t="s">
        <v>62</v>
      </c>
      <c r="M389" t="s">
        <v>40</v>
      </c>
      <c r="N389" t="s">
        <v>55</v>
      </c>
      <c r="O389" t="s">
        <v>32</v>
      </c>
      <c r="P389" t="s">
        <v>33</v>
      </c>
      <c r="Q389">
        <v>0</v>
      </c>
      <c r="R389" s="1">
        <v>1.6203703703703701E-4</v>
      </c>
      <c r="S389" s="1">
        <v>5.7870370370370373E-5</v>
      </c>
    </row>
    <row r="390" spans="1:19" x14ac:dyDescent="0.35">
      <c r="A390" t="s">
        <v>20</v>
      </c>
      <c r="B390">
        <v>17647</v>
      </c>
      <c r="C390" t="s">
        <v>1252</v>
      </c>
      <c r="D390" t="s">
        <v>1253</v>
      </c>
      <c r="E390" t="s">
        <v>136</v>
      </c>
      <c r="F390" t="s">
        <v>1321</v>
      </c>
      <c r="G390" t="s">
        <v>1322</v>
      </c>
      <c r="H390" t="s">
        <v>1323</v>
      </c>
      <c r="I390" t="s">
        <v>1257</v>
      </c>
      <c r="K390" t="s">
        <v>46</v>
      </c>
      <c r="L390" t="s">
        <v>39</v>
      </c>
      <c r="M390" t="s">
        <v>48</v>
      </c>
      <c r="N390" t="s">
        <v>49</v>
      </c>
      <c r="O390" t="s">
        <v>32</v>
      </c>
      <c r="P390" t="s">
        <v>33</v>
      </c>
      <c r="Q390">
        <v>1</v>
      </c>
      <c r="R390" s="1">
        <v>2.3148148148148149E-4</v>
      </c>
      <c r="S390" s="1">
        <v>1.273148148148148E-4</v>
      </c>
    </row>
    <row r="391" spans="1:19" x14ac:dyDescent="0.35">
      <c r="A391" t="s">
        <v>20</v>
      </c>
      <c r="B391">
        <v>17647</v>
      </c>
      <c r="C391" t="s">
        <v>1252</v>
      </c>
      <c r="D391" t="s">
        <v>1253</v>
      </c>
      <c r="E391" t="s">
        <v>140</v>
      </c>
      <c r="F391" t="s">
        <v>1324</v>
      </c>
      <c r="G391" t="s">
        <v>1325</v>
      </c>
      <c r="H391" t="s">
        <v>1326</v>
      </c>
      <c r="I391" t="s">
        <v>1257</v>
      </c>
      <c r="K391" t="s">
        <v>46</v>
      </c>
      <c r="L391" t="s">
        <v>54</v>
      </c>
      <c r="M391" t="s">
        <v>40</v>
      </c>
      <c r="N391" t="s">
        <v>41</v>
      </c>
      <c r="O391" t="s">
        <v>56</v>
      </c>
      <c r="P391" t="s">
        <v>33</v>
      </c>
      <c r="Q391">
        <v>0</v>
      </c>
      <c r="R391" s="1">
        <v>1.851851851851852E-4</v>
      </c>
      <c r="S391" s="1">
        <v>8.1018518518518516E-5</v>
      </c>
    </row>
    <row r="392" spans="1:19" x14ac:dyDescent="0.35">
      <c r="A392" t="s">
        <v>20</v>
      </c>
      <c r="B392">
        <v>17647</v>
      </c>
      <c r="C392" t="s">
        <v>1252</v>
      </c>
      <c r="D392" t="s">
        <v>1253</v>
      </c>
      <c r="E392" t="s">
        <v>144</v>
      </c>
      <c r="F392" t="s">
        <v>1327</v>
      </c>
      <c r="G392" t="s">
        <v>1328</v>
      </c>
      <c r="H392" t="s">
        <v>1329</v>
      </c>
      <c r="I392" t="s">
        <v>1257</v>
      </c>
      <c r="K392" t="s">
        <v>46</v>
      </c>
      <c r="L392" t="s">
        <v>29</v>
      </c>
      <c r="M392" t="s">
        <v>48</v>
      </c>
      <c r="N392" t="s">
        <v>115</v>
      </c>
      <c r="O392" t="s">
        <v>56</v>
      </c>
      <c r="P392" t="s">
        <v>33</v>
      </c>
      <c r="Q392">
        <v>0</v>
      </c>
      <c r="R392" s="1">
        <v>1.7361111111111109E-4</v>
      </c>
      <c r="S392" s="1">
        <v>6.9444444444444444E-5</v>
      </c>
    </row>
    <row r="393" spans="1:19" x14ac:dyDescent="0.35">
      <c r="A393" t="s">
        <v>20</v>
      </c>
      <c r="B393">
        <v>17647</v>
      </c>
      <c r="C393" t="s">
        <v>1252</v>
      </c>
      <c r="D393" t="s">
        <v>1253</v>
      </c>
      <c r="E393" t="s">
        <v>149</v>
      </c>
      <c r="F393" t="s">
        <v>1330</v>
      </c>
      <c r="G393" t="s">
        <v>1331</v>
      </c>
      <c r="H393" t="s">
        <v>1332</v>
      </c>
      <c r="I393" t="s">
        <v>1257</v>
      </c>
      <c r="K393" t="s">
        <v>38</v>
      </c>
      <c r="L393" t="s">
        <v>47</v>
      </c>
      <c r="M393" t="s">
        <v>478</v>
      </c>
      <c r="N393" t="s">
        <v>41</v>
      </c>
      <c r="O393" t="s">
        <v>76</v>
      </c>
      <c r="P393" t="s">
        <v>33</v>
      </c>
      <c r="Q393">
        <v>2</v>
      </c>
      <c r="R393" s="1">
        <v>3.9351851851851852E-4</v>
      </c>
      <c r="S393" s="1">
        <v>2.8935185185185178E-4</v>
      </c>
    </row>
    <row r="394" spans="1:19" x14ac:dyDescent="0.35">
      <c r="A394" t="s">
        <v>20</v>
      </c>
      <c r="B394">
        <v>17647</v>
      </c>
      <c r="C394" t="s">
        <v>1252</v>
      </c>
      <c r="D394" t="s">
        <v>1253</v>
      </c>
      <c r="E394" t="s">
        <v>153</v>
      </c>
      <c r="F394" t="s">
        <v>1333</v>
      </c>
      <c r="G394" t="s">
        <v>1334</v>
      </c>
      <c r="H394" t="s">
        <v>1335</v>
      </c>
      <c r="I394" t="s">
        <v>1257</v>
      </c>
      <c r="K394" t="s">
        <v>46</v>
      </c>
      <c r="L394" t="s">
        <v>62</v>
      </c>
      <c r="M394" t="s">
        <v>48</v>
      </c>
      <c r="N394" t="s">
        <v>55</v>
      </c>
      <c r="O394" t="s">
        <v>76</v>
      </c>
      <c r="P394" t="s">
        <v>33</v>
      </c>
      <c r="Q394">
        <v>0</v>
      </c>
      <c r="R394" s="1">
        <v>1.7361111111111109E-4</v>
      </c>
      <c r="S394" s="1">
        <v>6.9444444444444444E-5</v>
      </c>
    </row>
    <row r="395" spans="1:19" x14ac:dyDescent="0.35">
      <c r="A395" t="s">
        <v>20</v>
      </c>
      <c r="B395">
        <v>17647</v>
      </c>
      <c r="C395" t="s">
        <v>1252</v>
      </c>
      <c r="D395" t="s">
        <v>1253</v>
      </c>
      <c r="E395" t="s">
        <v>157</v>
      </c>
      <c r="F395" t="s">
        <v>1336</v>
      </c>
      <c r="G395" t="s">
        <v>1337</v>
      </c>
      <c r="H395" t="s">
        <v>1338</v>
      </c>
      <c r="I395" t="s">
        <v>1257</v>
      </c>
      <c r="K395" t="s">
        <v>46</v>
      </c>
      <c r="L395" t="s">
        <v>29</v>
      </c>
      <c r="M395" t="s">
        <v>40</v>
      </c>
      <c r="N395" t="s">
        <v>41</v>
      </c>
      <c r="O395" t="s">
        <v>56</v>
      </c>
      <c r="P395" t="s">
        <v>33</v>
      </c>
      <c r="Q395">
        <v>0</v>
      </c>
      <c r="R395" s="1">
        <v>1.6203703703703701E-4</v>
      </c>
      <c r="S395" s="1">
        <v>5.7870370370370373E-5</v>
      </c>
    </row>
    <row r="396" spans="1:19" x14ac:dyDescent="0.35">
      <c r="A396" t="s">
        <v>20</v>
      </c>
      <c r="B396">
        <v>17647</v>
      </c>
      <c r="C396" t="s">
        <v>1252</v>
      </c>
      <c r="D396" t="s">
        <v>1253</v>
      </c>
      <c r="E396" t="s">
        <v>161</v>
      </c>
      <c r="F396" t="s">
        <v>1339</v>
      </c>
      <c r="G396" t="s">
        <v>1340</v>
      </c>
      <c r="H396" t="s">
        <v>1341</v>
      </c>
      <c r="I396" t="s">
        <v>1257</v>
      </c>
      <c r="K396" t="s">
        <v>28</v>
      </c>
      <c r="L396" t="s">
        <v>62</v>
      </c>
      <c r="M396" t="s">
        <v>30</v>
      </c>
      <c r="N396" t="s">
        <v>31</v>
      </c>
      <c r="O396" t="s">
        <v>32</v>
      </c>
      <c r="P396" t="s">
        <v>33</v>
      </c>
      <c r="Q396">
        <v>5</v>
      </c>
      <c r="R396" s="1">
        <v>6.2500000000000001E-4</v>
      </c>
      <c r="S396" s="1">
        <v>5.2083333333333333E-4</v>
      </c>
    </row>
    <row r="397" spans="1:19" x14ac:dyDescent="0.35">
      <c r="A397" t="s">
        <v>20</v>
      </c>
      <c r="B397">
        <v>17647</v>
      </c>
      <c r="C397" t="s">
        <v>1252</v>
      </c>
      <c r="D397" t="s">
        <v>1253</v>
      </c>
      <c r="E397" t="s">
        <v>165</v>
      </c>
      <c r="F397" t="s">
        <v>1342</v>
      </c>
      <c r="G397" t="s">
        <v>1343</v>
      </c>
      <c r="H397" t="s">
        <v>1344</v>
      </c>
      <c r="I397" t="s">
        <v>1257</v>
      </c>
      <c r="K397" t="s">
        <v>38</v>
      </c>
      <c r="L397" t="s">
        <v>39</v>
      </c>
      <c r="M397" t="s">
        <v>40</v>
      </c>
      <c r="N397" t="s">
        <v>41</v>
      </c>
      <c r="O397" t="s">
        <v>32</v>
      </c>
      <c r="P397" t="s">
        <v>33</v>
      </c>
      <c r="Q397">
        <v>0</v>
      </c>
      <c r="R397" s="1">
        <v>1.7361111111111109E-4</v>
      </c>
      <c r="S397" s="1">
        <v>6.9444444444444444E-5</v>
      </c>
    </row>
    <row r="398" spans="1:19" x14ac:dyDescent="0.35">
      <c r="A398" t="s">
        <v>20</v>
      </c>
      <c r="B398">
        <v>17647</v>
      </c>
      <c r="C398" t="s">
        <v>1252</v>
      </c>
      <c r="D398" t="s">
        <v>1253</v>
      </c>
      <c r="E398" t="s">
        <v>169</v>
      </c>
      <c r="F398" t="s">
        <v>1345</v>
      </c>
      <c r="G398" t="s">
        <v>1346</v>
      </c>
      <c r="H398" t="s">
        <v>1347</v>
      </c>
      <c r="I398" t="s">
        <v>1257</v>
      </c>
      <c r="K398" t="s">
        <v>28</v>
      </c>
      <c r="L398" t="s">
        <v>85</v>
      </c>
      <c r="M398" t="s">
        <v>30</v>
      </c>
      <c r="N398" t="s">
        <v>41</v>
      </c>
      <c r="O398" t="s">
        <v>32</v>
      </c>
      <c r="P398" t="s">
        <v>33</v>
      </c>
      <c r="Q398">
        <v>5</v>
      </c>
      <c r="R398" s="1">
        <v>6.7129629629629625E-4</v>
      </c>
      <c r="S398" s="1">
        <v>5.6712962962962967E-4</v>
      </c>
    </row>
    <row r="399" spans="1:19" x14ac:dyDescent="0.35">
      <c r="A399" t="s">
        <v>20</v>
      </c>
      <c r="B399">
        <v>17647</v>
      </c>
      <c r="C399" t="s">
        <v>1252</v>
      </c>
      <c r="D399" t="s">
        <v>1253</v>
      </c>
      <c r="E399" t="s">
        <v>173</v>
      </c>
      <c r="F399" t="s">
        <v>1348</v>
      </c>
      <c r="G399" t="s">
        <v>1349</v>
      </c>
      <c r="H399" t="s">
        <v>1350</v>
      </c>
      <c r="I399" t="s">
        <v>1257</v>
      </c>
      <c r="K399" t="s">
        <v>28</v>
      </c>
      <c r="L399" t="s">
        <v>62</v>
      </c>
      <c r="M399" t="s">
        <v>30</v>
      </c>
      <c r="N399" t="s">
        <v>67</v>
      </c>
      <c r="O399" t="s">
        <v>32</v>
      </c>
      <c r="P399" t="s">
        <v>33</v>
      </c>
      <c r="Q399">
        <v>0</v>
      </c>
      <c r="R399" s="1">
        <v>4.1666666666666669E-4</v>
      </c>
      <c r="S399" s="1">
        <v>3.1250000000000001E-4</v>
      </c>
    </row>
    <row r="400" spans="1:19" x14ac:dyDescent="0.35">
      <c r="A400" t="s">
        <v>20</v>
      </c>
      <c r="B400">
        <v>17647</v>
      </c>
      <c r="C400" t="s">
        <v>1252</v>
      </c>
      <c r="D400" t="s">
        <v>1253</v>
      </c>
      <c r="E400" t="s">
        <v>177</v>
      </c>
      <c r="F400" t="s">
        <v>1351</v>
      </c>
      <c r="G400" t="s">
        <v>1352</v>
      </c>
      <c r="H400" t="s">
        <v>1351</v>
      </c>
      <c r="I400" t="s">
        <v>1257</v>
      </c>
      <c r="K400" t="s">
        <v>61</v>
      </c>
      <c r="L400" t="s">
        <v>85</v>
      </c>
      <c r="M400" t="s">
        <v>30</v>
      </c>
      <c r="N400" t="s">
        <v>148</v>
      </c>
      <c r="O400" t="s">
        <v>56</v>
      </c>
      <c r="P400" t="s">
        <v>33</v>
      </c>
      <c r="Q400">
        <v>0</v>
      </c>
      <c r="R400" s="1">
        <v>8.1018518518518516E-5</v>
      </c>
      <c r="S400" s="1">
        <v>0</v>
      </c>
    </row>
    <row r="401" spans="1:19" x14ac:dyDescent="0.35">
      <c r="A401" t="s">
        <v>20</v>
      </c>
      <c r="B401">
        <v>17647</v>
      </c>
      <c r="C401" t="s">
        <v>1252</v>
      </c>
      <c r="D401" t="s">
        <v>1253</v>
      </c>
      <c r="E401" t="s">
        <v>182</v>
      </c>
      <c r="F401" t="s">
        <v>1353</v>
      </c>
      <c r="G401" t="s">
        <v>1354</v>
      </c>
      <c r="H401" t="s">
        <v>1355</v>
      </c>
      <c r="I401" t="s">
        <v>1257</v>
      </c>
      <c r="K401" t="s">
        <v>46</v>
      </c>
      <c r="L401" t="s">
        <v>62</v>
      </c>
      <c r="M401" t="s">
        <v>48</v>
      </c>
      <c r="N401" t="s">
        <v>90</v>
      </c>
      <c r="O401" t="s">
        <v>32</v>
      </c>
      <c r="P401" t="s">
        <v>33</v>
      </c>
      <c r="Q401">
        <v>1</v>
      </c>
      <c r="R401" s="1">
        <v>4.2824074074074081E-4</v>
      </c>
      <c r="S401" s="1">
        <v>3.2407407407407412E-4</v>
      </c>
    </row>
    <row r="402" spans="1:19" x14ac:dyDescent="0.35">
      <c r="A402" t="s">
        <v>20</v>
      </c>
      <c r="B402">
        <v>17647</v>
      </c>
      <c r="C402" t="s">
        <v>1252</v>
      </c>
      <c r="D402" t="s">
        <v>1253</v>
      </c>
      <c r="E402" t="s">
        <v>186</v>
      </c>
      <c r="F402" t="s">
        <v>1356</v>
      </c>
      <c r="G402" t="s">
        <v>1357</v>
      </c>
      <c r="H402" t="s">
        <v>1358</v>
      </c>
      <c r="I402" t="s">
        <v>1257</v>
      </c>
      <c r="K402" t="s">
        <v>46</v>
      </c>
      <c r="L402" t="s">
        <v>47</v>
      </c>
      <c r="M402" t="s">
        <v>40</v>
      </c>
      <c r="N402" t="s">
        <v>41</v>
      </c>
      <c r="O402" t="s">
        <v>56</v>
      </c>
      <c r="P402" t="s">
        <v>33</v>
      </c>
      <c r="Q402">
        <v>0</v>
      </c>
      <c r="R402" s="1">
        <v>1.851851851851852E-4</v>
      </c>
      <c r="S402" s="1">
        <v>8.1018518518518516E-5</v>
      </c>
    </row>
    <row r="403" spans="1:19" x14ac:dyDescent="0.35">
      <c r="A403" t="s">
        <v>20</v>
      </c>
      <c r="B403">
        <v>17647</v>
      </c>
      <c r="C403" t="s">
        <v>1252</v>
      </c>
      <c r="D403" t="s">
        <v>1253</v>
      </c>
      <c r="E403" t="s">
        <v>190</v>
      </c>
      <c r="F403" t="s">
        <v>1359</v>
      </c>
      <c r="G403" t="s">
        <v>1360</v>
      </c>
      <c r="H403" t="s">
        <v>1361</v>
      </c>
      <c r="I403" t="s">
        <v>1257</v>
      </c>
      <c r="K403" t="s">
        <v>28</v>
      </c>
      <c r="L403" t="s">
        <v>62</v>
      </c>
      <c r="M403" t="s">
        <v>30</v>
      </c>
      <c r="N403" t="s">
        <v>41</v>
      </c>
      <c r="O403" t="s">
        <v>32</v>
      </c>
      <c r="P403" t="s">
        <v>33</v>
      </c>
      <c r="Q403">
        <v>1</v>
      </c>
      <c r="R403" s="1">
        <v>2.7777777777777778E-4</v>
      </c>
      <c r="S403" s="1">
        <v>1.7361111111111109E-4</v>
      </c>
    </row>
    <row r="404" spans="1:19" x14ac:dyDescent="0.35">
      <c r="A404" t="s">
        <v>20</v>
      </c>
      <c r="B404">
        <v>17647</v>
      </c>
      <c r="C404" t="s">
        <v>1252</v>
      </c>
      <c r="D404" t="s">
        <v>1253</v>
      </c>
      <c r="E404" t="s">
        <v>194</v>
      </c>
      <c r="F404" t="s">
        <v>1362</v>
      </c>
      <c r="G404" t="s">
        <v>1363</v>
      </c>
      <c r="H404" t="s">
        <v>1364</v>
      </c>
      <c r="I404" t="s">
        <v>1257</v>
      </c>
      <c r="K404" t="s">
        <v>46</v>
      </c>
      <c r="L404" t="s">
        <v>29</v>
      </c>
      <c r="M404" t="s">
        <v>48</v>
      </c>
      <c r="N404" t="s">
        <v>55</v>
      </c>
      <c r="O404" t="s">
        <v>56</v>
      </c>
      <c r="P404" t="s">
        <v>33</v>
      </c>
      <c r="Q404">
        <v>0</v>
      </c>
      <c r="R404" s="1">
        <v>1.50462962962963E-4</v>
      </c>
      <c r="S404" s="1">
        <v>4.6296296296296287E-5</v>
      </c>
    </row>
    <row r="405" spans="1:19" x14ac:dyDescent="0.35">
      <c r="A405" t="s">
        <v>20</v>
      </c>
      <c r="B405">
        <v>17647</v>
      </c>
      <c r="C405" t="s">
        <v>1252</v>
      </c>
      <c r="D405" t="s">
        <v>1253</v>
      </c>
      <c r="E405" t="s">
        <v>198</v>
      </c>
      <c r="F405" t="s">
        <v>1365</v>
      </c>
      <c r="G405" t="s">
        <v>1366</v>
      </c>
      <c r="H405" t="s">
        <v>1367</v>
      </c>
      <c r="I405" t="s">
        <v>1257</v>
      </c>
      <c r="K405" t="s">
        <v>38</v>
      </c>
      <c r="L405" t="s">
        <v>47</v>
      </c>
      <c r="M405" t="s">
        <v>48</v>
      </c>
      <c r="N405" t="s">
        <v>41</v>
      </c>
      <c r="O405" t="s">
        <v>56</v>
      </c>
      <c r="P405" t="s">
        <v>33</v>
      </c>
      <c r="Q405">
        <v>2</v>
      </c>
      <c r="R405" s="1">
        <v>3.3564814814814812E-4</v>
      </c>
      <c r="S405" s="1">
        <v>2.3148148148148149E-4</v>
      </c>
    </row>
    <row r="406" spans="1:19" x14ac:dyDescent="0.35">
      <c r="A406" t="s">
        <v>20</v>
      </c>
      <c r="B406">
        <v>17647</v>
      </c>
      <c r="C406" t="s">
        <v>1252</v>
      </c>
      <c r="D406" t="s">
        <v>1253</v>
      </c>
      <c r="E406" t="s">
        <v>202</v>
      </c>
      <c r="F406" t="s">
        <v>1368</v>
      </c>
      <c r="G406" t="s">
        <v>1369</v>
      </c>
      <c r="H406" t="s">
        <v>1370</v>
      </c>
      <c r="I406" t="s">
        <v>1257</v>
      </c>
      <c r="K406" t="s">
        <v>46</v>
      </c>
      <c r="L406" t="s">
        <v>54</v>
      </c>
      <c r="M406" t="s">
        <v>40</v>
      </c>
      <c r="N406" t="s">
        <v>41</v>
      </c>
      <c r="O406" t="s">
        <v>56</v>
      </c>
      <c r="P406" t="s">
        <v>33</v>
      </c>
      <c r="Q406">
        <v>0</v>
      </c>
      <c r="R406" s="1">
        <v>1.851851851851852E-4</v>
      </c>
      <c r="S406" s="1">
        <v>8.1018518518518516E-5</v>
      </c>
    </row>
    <row r="407" spans="1:19" x14ac:dyDescent="0.35">
      <c r="A407" t="s">
        <v>20</v>
      </c>
      <c r="B407">
        <v>17647</v>
      </c>
      <c r="C407" t="s">
        <v>1252</v>
      </c>
      <c r="D407" t="s">
        <v>1253</v>
      </c>
      <c r="E407" t="s">
        <v>206</v>
      </c>
      <c r="F407" t="s">
        <v>1371</v>
      </c>
      <c r="G407" t="s">
        <v>1372</v>
      </c>
      <c r="H407" t="s">
        <v>1373</v>
      </c>
      <c r="I407" t="s">
        <v>1257</v>
      </c>
      <c r="K407" t="s">
        <v>46</v>
      </c>
      <c r="L407" t="s">
        <v>29</v>
      </c>
      <c r="M407" t="s">
        <v>40</v>
      </c>
      <c r="N407" t="s">
        <v>41</v>
      </c>
      <c r="O407" t="s">
        <v>32</v>
      </c>
      <c r="P407" t="s">
        <v>33</v>
      </c>
      <c r="Q407">
        <v>2</v>
      </c>
      <c r="R407" s="1">
        <v>4.0509259259259258E-4</v>
      </c>
      <c r="S407" s="1">
        <v>3.0092592592592589E-4</v>
      </c>
    </row>
    <row r="408" spans="1:19" x14ac:dyDescent="0.35">
      <c r="A408" t="s">
        <v>20</v>
      </c>
      <c r="B408">
        <v>17647</v>
      </c>
      <c r="C408" t="s">
        <v>1252</v>
      </c>
      <c r="D408" t="s">
        <v>1253</v>
      </c>
      <c r="E408" t="s">
        <v>210</v>
      </c>
      <c r="F408" t="s">
        <v>1374</v>
      </c>
      <c r="G408" t="s">
        <v>1375</v>
      </c>
      <c r="H408" t="s">
        <v>1376</v>
      </c>
      <c r="I408" t="s">
        <v>1257</v>
      </c>
      <c r="K408" t="s">
        <v>28</v>
      </c>
      <c r="L408" t="s">
        <v>47</v>
      </c>
      <c r="M408" t="s">
        <v>40</v>
      </c>
      <c r="N408" t="s">
        <v>49</v>
      </c>
      <c r="O408" t="s">
        <v>56</v>
      </c>
      <c r="P408" t="s">
        <v>33</v>
      </c>
      <c r="Q408">
        <v>3</v>
      </c>
      <c r="R408" s="1">
        <v>4.0509259259259258E-4</v>
      </c>
      <c r="S408" s="1">
        <v>3.0092592592592589E-4</v>
      </c>
    </row>
    <row r="409" spans="1:19" x14ac:dyDescent="0.35">
      <c r="A409" t="s">
        <v>20</v>
      </c>
      <c r="B409">
        <v>17647</v>
      </c>
      <c r="C409" t="s">
        <v>1252</v>
      </c>
      <c r="D409" t="s">
        <v>1253</v>
      </c>
      <c r="E409" t="s">
        <v>214</v>
      </c>
      <c r="F409" t="s">
        <v>1377</v>
      </c>
      <c r="G409" t="s">
        <v>1378</v>
      </c>
      <c r="H409" t="s">
        <v>1379</v>
      </c>
      <c r="I409" t="s">
        <v>1257</v>
      </c>
      <c r="K409" t="s">
        <v>28</v>
      </c>
      <c r="L409" t="s">
        <v>54</v>
      </c>
      <c r="M409" t="s">
        <v>30</v>
      </c>
      <c r="N409" t="s">
        <v>31</v>
      </c>
      <c r="O409" t="s">
        <v>56</v>
      </c>
      <c r="P409" t="s">
        <v>33</v>
      </c>
      <c r="Q409">
        <v>0</v>
      </c>
      <c r="R409" s="1">
        <v>2.0833333333333329E-4</v>
      </c>
      <c r="S409" s="1">
        <v>1.041666666666667E-4</v>
      </c>
    </row>
    <row r="410" spans="1:19" x14ac:dyDescent="0.35">
      <c r="A410" t="s">
        <v>20</v>
      </c>
      <c r="B410">
        <v>17647</v>
      </c>
      <c r="C410" t="s">
        <v>1252</v>
      </c>
      <c r="D410" t="s">
        <v>1253</v>
      </c>
      <c r="E410" t="s">
        <v>218</v>
      </c>
      <c r="F410" t="s">
        <v>1380</v>
      </c>
      <c r="G410" t="s">
        <v>1381</v>
      </c>
      <c r="H410" t="s">
        <v>1382</v>
      </c>
      <c r="I410" t="s">
        <v>1257</v>
      </c>
      <c r="K410" t="s">
        <v>46</v>
      </c>
      <c r="L410" t="s">
        <v>39</v>
      </c>
      <c r="M410" t="s">
        <v>48</v>
      </c>
      <c r="N410" t="s">
        <v>41</v>
      </c>
      <c r="O410" t="s">
        <v>32</v>
      </c>
      <c r="P410" t="s">
        <v>33</v>
      </c>
      <c r="Q410">
        <v>1</v>
      </c>
      <c r="R410" s="1">
        <v>3.1250000000000001E-4</v>
      </c>
      <c r="S410" s="1">
        <v>2.0833333333333329E-4</v>
      </c>
    </row>
    <row r="411" spans="1:19" x14ac:dyDescent="0.35">
      <c r="A411" t="s">
        <v>20</v>
      </c>
      <c r="B411">
        <v>17647</v>
      </c>
      <c r="C411" t="s">
        <v>1252</v>
      </c>
      <c r="D411" t="s">
        <v>1253</v>
      </c>
      <c r="E411" t="s">
        <v>222</v>
      </c>
      <c r="F411" t="s">
        <v>1383</v>
      </c>
      <c r="G411" t="s">
        <v>1384</v>
      </c>
      <c r="H411" t="s">
        <v>1385</v>
      </c>
      <c r="I411" t="s">
        <v>1257</v>
      </c>
      <c r="K411" t="s">
        <v>38</v>
      </c>
      <c r="L411" t="s">
        <v>47</v>
      </c>
      <c r="M411" t="s">
        <v>48</v>
      </c>
      <c r="N411" t="s">
        <v>90</v>
      </c>
      <c r="O411" t="s">
        <v>56</v>
      </c>
      <c r="P411" t="s">
        <v>33</v>
      </c>
      <c r="Q411">
        <v>1</v>
      </c>
      <c r="R411" s="1">
        <v>1.9675925925925929E-4</v>
      </c>
      <c r="S411" s="1">
        <v>9.2592592592592588E-5</v>
      </c>
    </row>
    <row r="412" spans="1:19" x14ac:dyDescent="0.35">
      <c r="A412" t="s">
        <v>20</v>
      </c>
      <c r="B412">
        <v>17647</v>
      </c>
      <c r="C412" t="s">
        <v>1252</v>
      </c>
      <c r="D412" t="s">
        <v>1253</v>
      </c>
      <c r="E412" t="s">
        <v>226</v>
      </c>
      <c r="F412" t="s">
        <v>1386</v>
      </c>
      <c r="G412" t="s">
        <v>1387</v>
      </c>
      <c r="H412" t="s">
        <v>1388</v>
      </c>
      <c r="I412" t="s">
        <v>1257</v>
      </c>
      <c r="K412" t="s">
        <v>61</v>
      </c>
      <c r="L412" t="s">
        <v>54</v>
      </c>
      <c r="M412" t="s">
        <v>30</v>
      </c>
      <c r="N412" t="s">
        <v>115</v>
      </c>
      <c r="O412" t="s">
        <v>56</v>
      </c>
      <c r="P412" t="s">
        <v>33</v>
      </c>
      <c r="Q412">
        <v>2</v>
      </c>
      <c r="R412" s="1">
        <v>5.2083333333333333E-4</v>
      </c>
      <c r="S412" s="1">
        <v>4.1666666666666669E-4</v>
      </c>
    </row>
    <row r="413" spans="1:19" x14ac:dyDescent="0.35">
      <c r="A413" t="s">
        <v>20</v>
      </c>
      <c r="B413">
        <v>17647</v>
      </c>
      <c r="C413" t="s">
        <v>1252</v>
      </c>
      <c r="D413" t="s">
        <v>1253</v>
      </c>
      <c r="E413" t="s">
        <v>230</v>
      </c>
      <c r="F413" t="s">
        <v>1389</v>
      </c>
      <c r="G413" t="s">
        <v>1390</v>
      </c>
      <c r="H413" t="s">
        <v>1391</v>
      </c>
      <c r="I413" t="s">
        <v>1257</v>
      </c>
      <c r="K413" t="s">
        <v>28</v>
      </c>
      <c r="L413" t="s">
        <v>62</v>
      </c>
      <c r="M413" t="s">
        <v>30</v>
      </c>
      <c r="N413" t="s">
        <v>41</v>
      </c>
      <c r="O413" t="s">
        <v>76</v>
      </c>
      <c r="P413" t="s">
        <v>33</v>
      </c>
      <c r="Q413">
        <v>1</v>
      </c>
      <c r="R413" s="1">
        <v>2.7777777777777778E-4</v>
      </c>
      <c r="S413" s="1">
        <v>1.7361111111111109E-4</v>
      </c>
    </row>
    <row r="414" spans="1:19" x14ac:dyDescent="0.35">
      <c r="A414" t="s">
        <v>20</v>
      </c>
      <c r="B414">
        <v>17647</v>
      </c>
      <c r="C414" t="s">
        <v>1252</v>
      </c>
      <c r="D414" t="s">
        <v>1253</v>
      </c>
      <c r="E414" t="s">
        <v>234</v>
      </c>
      <c r="F414" t="s">
        <v>1392</v>
      </c>
      <c r="G414" t="s">
        <v>1393</v>
      </c>
      <c r="H414" t="s">
        <v>1394</v>
      </c>
      <c r="I414" t="s">
        <v>1395</v>
      </c>
      <c r="K414" t="s">
        <v>38</v>
      </c>
      <c r="L414" t="s">
        <v>39</v>
      </c>
      <c r="M414" t="s">
        <v>48</v>
      </c>
      <c r="N414" t="s">
        <v>41</v>
      </c>
      <c r="O414" t="s">
        <v>32</v>
      </c>
      <c r="P414" t="s">
        <v>33</v>
      </c>
      <c r="Q414">
        <v>0</v>
      </c>
      <c r="R414" s="1">
        <v>4.7453703703703698E-4</v>
      </c>
      <c r="S414" s="1">
        <v>3.7037037037037041E-4</v>
      </c>
    </row>
    <row r="415" spans="1:19" x14ac:dyDescent="0.35">
      <c r="A415" t="s">
        <v>20</v>
      </c>
      <c r="B415">
        <v>17647</v>
      </c>
      <c r="C415" t="s">
        <v>1252</v>
      </c>
      <c r="D415" t="s">
        <v>1253</v>
      </c>
      <c r="E415" t="s">
        <v>239</v>
      </c>
      <c r="F415" t="s">
        <v>1396</v>
      </c>
      <c r="G415" t="s">
        <v>1397</v>
      </c>
      <c r="H415" t="s">
        <v>1398</v>
      </c>
      <c r="I415" t="s">
        <v>1395</v>
      </c>
      <c r="K415" t="s">
        <v>46</v>
      </c>
      <c r="L415" t="s">
        <v>54</v>
      </c>
      <c r="M415" t="s">
        <v>48</v>
      </c>
      <c r="N415" t="s">
        <v>115</v>
      </c>
      <c r="O415" t="s">
        <v>56</v>
      </c>
      <c r="P415" t="s">
        <v>33</v>
      </c>
      <c r="Q415">
        <v>0</v>
      </c>
      <c r="R415" s="1">
        <v>1.7361111111111109E-4</v>
      </c>
      <c r="S415" s="1">
        <v>6.9444444444444444E-5</v>
      </c>
    </row>
    <row r="416" spans="1:19" x14ac:dyDescent="0.35">
      <c r="A416" t="s">
        <v>20</v>
      </c>
      <c r="B416">
        <v>17647</v>
      </c>
      <c r="C416" t="s">
        <v>1252</v>
      </c>
      <c r="D416" t="s">
        <v>1253</v>
      </c>
      <c r="E416" t="s">
        <v>243</v>
      </c>
      <c r="F416" t="s">
        <v>1261</v>
      </c>
      <c r="G416" t="s">
        <v>1262</v>
      </c>
      <c r="H416" t="s">
        <v>1399</v>
      </c>
      <c r="I416" t="s">
        <v>1395</v>
      </c>
      <c r="K416" t="s">
        <v>28</v>
      </c>
      <c r="L416" t="s">
        <v>181</v>
      </c>
      <c r="M416" t="s">
        <v>30</v>
      </c>
      <c r="N416" t="s">
        <v>67</v>
      </c>
      <c r="O416" t="s">
        <v>76</v>
      </c>
      <c r="P416" t="s">
        <v>33</v>
      </c>
      <c r="Q416">
        <v>0</v>
      </c>
      <c r="R416" s="1">
        <v>1.0416666666666671E-3</v>
      </c>
      <c r="S416" s="1">
        <v>9.3749999999999997E-4</v>
      </c>
    </row>
    <row r="417" spans="1:19" x14ac:dyDescent="0.35">
      <c r="A417" t="s">
        <v>20</v>
      </c>
      <c r="B417">
        <v>17647</v>
      </c>
      <c r="C417" t="s">
        <v>1252</v>
      </c>
      <c r="D417" t="s">
        <v>1253</v>
      </c>
      <c r="E417" t="s">
        <v>247</v>
      </c>
      <c r="F417" t="s">
        <v>1400</v>
      </c>
      <c r="G417" t="s">
        <v>1401</v>
      </c>
      <c r="H417" t="s">
        <v>1402</v>
      </c>
      <c r="I417" t="s">
        <v>1395</v>
      </c>
      <c r="K417" t="s">
        <v>61</v>
      </c>
      <c r="L417" t="s">
        <v>85</v>
      </c>
      <c r="M417" t="s">
        <v>30</v>
      </c>
      <c r="N417" t="s">
        <v>148</v>
      </c>
      <c r="O417" t="s">
        <v>56</v>
      </c>
      <c r="P417" t="s">
        <v>33</v>
      </c>
      <c r="Q417">
        <v>0</v>
      </c>
      <c r="R417" s="1">
        <v>1.157407407407407E-4</v>
      </c>
      <c r="S417" s="1">
        <v>1.157407407407407E-5</v>
      </c>
    </row>
    <row r="418" spans="1:19" x14ac:dyDescent="0.35">
      <c r="A418" t="s">
        <v>20</v>
      </c>
      <c r="B418">
        <v>17647</v>
      </c>
      <c r="C418" t="s">
        <v>1252</v>
      </c>
      <c r="D418" t="s">
        <v>1253</v>
      </c>
      <c r="E418" t="s">
        <v>251</v>
      </c>
      <c r="F418" t="s">
        <v>1403</v>
      </c>
      <c r="G418" t="s">
        <v>1404</v>
      </c>
      <c r="H418" t="s">
        <v>1405</v>
      </c>
      <c r="I418" t="s">
        <v>1395</v>
      </c>
      <c r="K418" t="s">
        <v>38</v>
      </c>
      <c r="L418" t="s">
        <v>39</v>
      </c>
      <c r="M418" t="s">
        <v>478</v>
      </c>
      <c r="N418" t="s">
        <v>115</v>
      </c>
      <c r="O418" t="s">
        <v>32</v>
      </c>
      <c r="P418" t="s">
        <v>33</v>
      </c>
      <c r="Q418">
        <v>0</v>
      </c>
      <c r="R418" s="1">
        <v>1.50462962962963E-4</v>
      </c>
      <c r="S418" s="1">
        <v>4.6296296296296287E-5</v>
      </c>
    </row>
    <row r="419" spans="1:19" x14ac:dyDescent="0.35">
      <c r="A419" t="s">
        <v>20</v>
      </c>
      <c r="B419">
        <v>17647</v>
      </c>
      <c r="C419" t="s">
        <v>1252</v>
      </c>
      <c r="D419" t="s">
        <v>1253</v>
      </c>
      <c r="E419" t="s">
        <v>255</v>
      </c>
      <c r="F419" t="s">
        <v>1406</v>
      </c>
      <c r="G419" t="s">
        <v>1407</v>
      </c>
      <c r="H419" t="s">
        <v>1408</v>
      </c>
      <c r="I419" t="s">
        <v>1395</v>
      </c>
      <c r="K419" t="s">
        <v>38</v>
      </c>
      <c r="L419" t="s">
        <v>181</v>
      </c>
      <c r="M419" t="s">
        <v>478</v>
      </c>
      <c r="N419" t="s">
        <v>55</v>
      </c>
      <c r="O419" t="s">
        <v>32</v>
      </c>
      <c r="P419" t="s">
        <v>33</v>
      </c>
      <c r="Q419">
        <v>0</v>
      </c>
      <c r="R419" s="1">
        <v>1.041666666666667E-4</v>
      </c>
      <c r="S419" s="1">
        <v>0</v>
      </c>
    </row>
    <row r="420" spans="1:19" x14ac:dyDescent="0.35">
      <c r="A420" t="s">
        <v>20</v>
      </c>
      <c r="B420">
        <v>17647</v>
      </c>
      <c r="C420" t="s">
        <v>1252</v>
      </c>
      <c r="D420" t="s">
        <v>1253</v>
      </c>
      <c r="E420" t="s">
        <v>259</v>
      </c>
      <c r="F420" t="s">
        <v>1409</v>
      </c>
      <c r="G420" t="s">
        <v>1410</v>
      </c>
      <c r="H420" t="s">
        <v>1411</v>
      </c>
      <c r="I420" t="s">
        <v>1395</v>
      </c>
      <c r="K420" t="s">
        <v>28</v>
      </c>
      <c r="L420" t="s">
        <v>47</v>
      </c>
      <c r="M420" t="s">
        <v>30</v>
      </c>
      <c r="N420" t="s">
        <v>115</v>
      </c>
      <c r="O420" t="s">
        <v>76</v>
      </c>
      <c r="P420" t="s">
        <v>33</v>
      </c>
      <c r="Q420">
        <v>0</v>
      </c>
      <c r="R420" s="1">
        <v>6.2500000000000001E-4</v>
      </c>
      <c r="S420" s="1">
        <v>5.2083333333333333E-4</v>
      </c>
    </row>
    <row r="421" spans="1:19" x14ac:dyDescent="0.35">
      <c r="A421" t="s">
        <v>20</v>
      </c>
      <c r="B421">
        <v>17647</v>
      </c>
      <c r="C421" t="s">
        <v>1252</v>
      </c>
      <c r="D421" t="s">
        <v>1253</v>
      </c>
      <c r="E421" t="s">
        <v>263</v>
      </c>
      <c r="F421" t="s">
        <v>1412</v>
      </c>
      <c r="G421" t="s">
        <v>1413</v>
      </c>
      <c r="H421" t="s">
        <v>1414</v>
      </c>
      <c r="I421" t="s">
        <v>1395</v>
      </c>
      <c r="K421" t="s">
        <v>46</v>
      </c>
      <c r="L421" t="s">
        <v>29</v>
      </c>
      <c r="M421" t="s">
        <v>48</v>
      </c>
      <c r="N421" t="s">
        <v>67</v>
      </c>
      <c r="O421" t="s">
        <v>56</v>
      </c>
      <c r="P421" t="s">
        <v>33</v>
      </c>
      <c r="Q421">
        <v>0</v>
      </c>
      <c r="R421" s="1">
        <v>2.199074074074074E-4</v>
      </c>
      <c r="S421" s="1">
        <v>1.157407407407407E-4</v>
      </c>
    </row>
    <row r="422" spans="1:19" x14ac:dyDescent="0.35">
      <c r="A422" t="s">
        <v>20</v>
      </c>
      <c r="B422">
        <v>17647</v>
      </c>
      <c r="C422" t="s">
        <v>1252</v>
      </c>
      <c r="D422" t="s">
        <v>1253</v>
      </c>
      <c r="E422" t="s">
        <v>267</v>
      </c>
      <c r="F422" t="s">
        <v>1415</v>
      </c>
      <c r="G422" t="s">
        <v>1416</v>
      </c>
      <c r="H422" t="s">
        <v>1417</v>
      </c>
      <c r="I422" t="s">
        <v>1395</v>
      </c>
      <c r="K422" t="s">
        <v>28</v>
      </c>
      <c r="L422" t="s">
        <v>62</v>
      </c>
      <c r="M422" t="s">
        <v>40</v>
      </c>
      <c r="N422" t="s">
        <v>67</v>
      </c>
      <c r="O422" t="s">
        <v>76</v>
      </c>
      <c r="P422" t="s">
        <v>33</v>
      </c>
      <c r="Q422">
        <v>0</v>
      </c>
      <c r="R422" s="1">
        <v>3.2407407407407412E-4</v>
      </c>
      <c r="S422" s="1">
        <v>2.199074074074074E-4</v>
      </c>
    </row>
    <row r="423" spans="1:19" x14ac:dyDescent="0.35">
      <c r="A423" t="s">
        <v>20</v>
      </c>
      <c r="B423">
        <v>17647</v>
      </c>
      <c r="C423" t="s">
        <v>1252</v>
      </c>
      <c r="D423" t="s">
        <v>1253</v>
      </c>
      <c r="E423" t="s">
        <v>271</v>
      </c>
      <c r="F423" t="s">
        <v>1418</v>
      </c>
      <c r="G423" t="s">
        <v>1419</v>
      </c>
      <c r="H423" t="s">
        <v>1420</v>
      </c>
      <c r="I423" t="s">
        <v>1395</v>
      </c>
      <c r="K423" t="s">
        <v>61</v>
      </c>
      <c r="L423" t="s">
        <v>62</v>
      </c>
      <c r="M423" t="s">
        <v>30</v>
      </c>
      <c r="N423" t="s">
        <v>67</v>
      </c>
      <c r="O423" t="s">
        <v>76</v>
      </c>
      <c r="P423" t="s">
        <v>33</v>
      </c>
      <c r="Q423">
        <v>0</v>
      </c>
      <c r="R423" s="1">
        <v>6.7129629629629625E-4</v>
      </c>
      <c r="S423" s="1">
        <v>5.6712962962962967E-4</v>
      </c>
    </row>
    <row r="424" spans="1:19" x14ac:dyDescent="0.35">
      <c r="A424" t="s">
        <v>20</v>
      </c>
      <c r="B424">
        <v>17647</v>
      </c>
      <c r="C424" t="s">
        <v>1252</v>
      </c>
      <c r="D424" t="s">
        <v>1253</v>
      </c>
      <c r="E424" t="s">
        <v>275</v>
      </c>
      <c r="F424" t="s">
        <v>1421</v>
      </c>
      <c r="G424" t="s">
        <v>1422</v>
      </c>
      <c r="H424" t="s">
        <v>1423</v>
      </c>
      <c r="I424" t="s">
        <v>1395</v>
      </c>
      <c r="K424" t="s">
        <v>61</v>
      </c>
      <c r="L424" t="s">
        <v>85</v>
      </c>
      <c r="M424" t="s">
        <v>30</v>
      </c>
      <c r="N424" t="s">
        <v>148</v>
      </c>
      <c r="O424" t="s">
        <v>32</v>
      </c>
      <c r="P424" t="s">
        <v>33</v>
      </c>
      <c r="Q424">
        <v>0</v>
      </c>
      <c r="R424" s="1">
        <v>1.273148148148148E-4</v>
      </c>
      <c r="S424" s="1">
        <v>2.314814814814815E-5</v>
      </c>
    </row>
    <row r="425" spans="1:19" x14ac:dyDescent="0.35">
      <c r="A425" t="s">
        <v>20</v>
      </c>
      <c r="B425">
        <v>17647</v>
      </c>
      <c r="C425" t="s">
        <v>1252</v>
      </c>
      <c r="D425" t="s">
        <v>1253</v>
      </c>
      <c r="E425" t="s">
        <v>279</v>
      </c>
      <c r="F425" t="s">
        <v>1424</v>
      </c>
      <c r="G425" t="s">
        <v>1425</v>
      </c>
      <c r="H425" t="s">
        <v>1426</v>
      </c>
      <c r="I425" t="s">
        <v>1395</v>
      </c>
      <c r="K425" t="s">
        <v>46</v>
      </c>
      <c r="L425" t="s">
        <v>62</v>
      </c>
      <c r="M425" t="s">
        <v>40</v>
      </c>
      <c r="N425" t="s">
        <v>55</v>
      </c>
      <c r="O425" t="s">
        <v>32</v>
      </c>
      <c r="P425" t="s">
        <v>33</v>
      </c>
      <c r="Q425">
        <v>0</v>
      </c>
      <c r="R425" s="1">
        <v>4.2824074074074081E-4</v>
      </c>
      <c r="S425" s="1">
        <v>3.2407407407407412E-4</v>
      </c>
    </row>
    <row r="426" spans="1:19" x14ac:dyDescent="0.35">
      <c r="A426" t="s">
        <v>20</v>
      </c>
      <c r="B426">
        <v>17647</v>
      </c>
      <c r="C426" t="s">
        <v>1252</v>
      </c>
      <c r="D426" t="s">
        <v>1253</v>
      </c>
      <c r="E426" t="s">
        <v>283</v>
      </c>
      <c r="F426" t="s">
        <v>1427</v>
      </c>
      <c r="G426" t="s">
        <v>1428</v>
      </c>
      <c r="H426" t="s">
        <v>1285</v>
      </c>
      <c r="I426" t="s">
        <v>1395</v>
      </c>
      <c r="K426" t="s">
        <v>46</v>
      </c>
      <c r="L426" t="s">
        <v>47</v>
      </c>
      <c r="M426" t="s">
        <v>30</v>
      </c>
      <c r="N426" t="s">
        <v>41</v>
      </c>
      <c r="O426" t="s">
        <v>56</v>
      </c>
      <c r="P426" t="s">
        <v>33</v>
      </c>
      <c r="Q426">
        <v>0</v>
      </c>
      <c r="R426" s="1">
        <v>1.851851851851852E-4</v>
      </c>
      <c r="S426" s="1">
        <v>8.1018518518518516E-5</v>
      </c>
    </row>
    <row r="427" spans="1:19" x14ac:dyDescent="0.35">
      <c r="A427" t="s">
        <v>20</v>
      </c>
      <c r="B427">
        <v>17647</v>
      </c>
      <c r="C427" t="s">
        <v>1252</v>
      </c>
      <c r="D427" t="s">
        <v>1253</v>
      </c>
      <c r="E427" t="s">
        <v>288</v>
      </c>
      <c r="F427" t="s">
        <v>1429</v>
      </c>
      <c r="G427" t="s">
        <v>1430</v>
      </c>
      <c r="H427" t="s">
        <v>1431</v>
      </c>
      <c r="I427" t="s">
        <v>1395</v>
      </c>
      <c r="K427" t="s">
        <v>28</v>
      </c>
      <c r="L427" t="s">
        <v>62</v>
      </c>
      <c r="M427" t="s">
        <v>40</v>
      </c>
      <c r="N427" t="s">
        <v>115</v>
      </c>
      <c r="O427" t="s">
        <v>76</v>
      </c>
      <c r="P427" t="s">
        <v>33</v>
      </c>
      <c r="Q427">
        <v>0</v>
      </c>
      <c r="R427" s="1">
        <v>2.0833333333333329E-4</v>
      </c>
      <c r="S427" s="1">
        <v>1.041666666666667E-4</v>
      </c>
    </row>
    <row r="428" spans="1:19" x14ac:dyDescent="0.35">
      <c r="A428" t="s">
        <v>20</v>
      </c>
      <c r="B428">
        <v>17647</v>
      </c>
      <c r="C428" t="s">
        <v>1252</v>
      </c>
      <c r="D428" t="s">
        <v>1253</v>
      </c>
      <c r="E428" t="s">
        <v>292</v>
      </c>
      <c r="F428" t="s">
        <v>1432</v>
      </c>
      <c r="G428" t="s">
        <v>1433</v>
      </c>
      <c r="H428" t="s">
        <v>1434</v>
      </c>
      <c r="I428" t="s">
        <v>1395</v>
      </c>
      <c r="K428" t="s">
        <v>46</v>
      </c>
      <c r="L428" t="s">
        <v>54</v>
      </c>
      <c r="M428" t="s">
        <v>48</v>
      </c>
      <c r="N428" t="s">
        <v>115</v>
      </c>
      <c r="O428" t="s">
        <v>56</v>
      </c>
      <c r="P428" t="s">
        <v>33</v>
      </c>
      <c r="Q428">
        <v>0</v>
      </c>
      <c r="R428" s="1">
        <v>1.3888888888888889E-4</v>
      </c>
      <c r="S428" s="1">
        <v>3.4722222222222222E-5</v>
      </c>
    </row>
    <row r="429" spans="1:19" x14ac:dyDescent="0.35">
      <c r="A429" t="s">
        <v>20</v>
      </c>
      <c r="B429">
        <v>17647</v>
      </c>
      <c r="C429" t="s">
        <v>1252</v>
      </c>
      <c r="D429" t="s">
        <v>1253</v>
      </c>
      <c r="E429" t="s">
        <v>296</v>
      </c>
      <c r="F429" t="s">
        <v>1435</v>
      </c>
      <c r="G429" t="s">
        <v>1436</v>
      </c>
      <c r="H429" t="s">
        <v>1437</v>
      </c>
      <c r="I429" t="s">
        <v>1395</v>
      </c>
      <c r="K429" t="s">
        <v>38</v>
      </c>
      <c r="L429" t="s">
        <v>47</v>
      </c>
      <c r="M429" t="s">
        <v>40</v>
      </c>
      <c r="N429" t="s">
        <v>41</v>
      </c>
      <c r="O429" t="s">
        <v>32</v>
      </c>
      <c r="P429" t="s">
        <v>33</v>
      </c>
      <c r="Q429">
        <v>0</v>
      </c>
      <c r="R429" s="1">
        <v>1.851851851851852E-4</v>
      </c>
      <c r="S429" s="1">
        <v>8.1018518518518516E-5</v>
      </c>
    </row>
    <row r="430" spans="1:19" x14ac:dyDescent="0.35">
      <c r="A430" t="s">
        <v>20</v>
      </c>
      <c r="B430">
        <v>17647</v>
      </c>
      <c r="C430" t="s">
        <v>1252</v>
      </c>
      <c r="D430" t="s">
        <v>1253</v>
      </c>
      <c r="E430" t="s">
        <v>300</v>
      </c>
      <c r="F430" t="s">
        <v>1438</v>
      </c>
      <c r="G430" t="s">
        <v>1439</v>
      </c>
      <c r="H430" t="s">
        <v>1440</v>
      </c>
      <c r="I430" t="s">
        <v>1395</v>
      </c>
      <c r="K430" t="s">
        <v>46</v>
      </c>
      <c r="L430" t="s">
        <v>29</v>
      </c>
      <c r="M430" t="s">
        <v>30</v>
      </c>
      <c r="N430" t="s">
        <v>41</v>
      </c>
      <c r="O430" t="s">
        <v>56</v>
      </c>
      <c r="P430" t="s">
        <v>33</v>
      </c>
      <c r="Q430">
        <v>0</v>
      </c>
      <c r="R430" s="1">
        <v>3.1250000000000001E-4</v>
      </c>
      <c r="S430" s="1">
        <v>2.0833333333333329E-4</v>
      </c>
    </row>
    <row r="431" spans="1:19" x14ac:dyDescent="0.35">
      <c r="A431" t="s">
        <v>20</v>
      </c>
      <c r="B431">
        <v>17647</v>
      </c>
      <c r="C431" t="s">
        <v>1252</v>
      </c>
      <c r="D431" t="s">
        <v>1253</v>
      </c>
      <c r="E431" t="s">
        <v>304</v>
      </c>
      <c r="F431" t="s">
        <v>1441</v>
      </c>
      <c r="G431" t="s">
        <v>1442</v>
      </c>
      <c r="H431" t="s">
        <v>1443</v>
      </c>
      <c r="I431" t="s">
        <v>1395</v>
      </c>
      <c r="K431" t="s">
        <v>28</v>
      </c>
      <c r="L431" t="s">
        <v>62</v>
      </c>
      <c r="M431" t="s">
        <v>40</v>
      </c>
      <c r="N431" t="s">
        <v>55</v>
      </c>
      <c r="O431" t="s">
        <v>32</v>
      </c>
      <c r="P431" t="s">
        <v>33</v>
      </c>
      <c r="Q431">
        <v>0</v>
      </c>
      <c r="R431" s="1">
        <v>1.3888888888888889E-4</v>
      </c>
      <c r="S431" s="1">
        <v>3.4722222222222222E-5</v>
      </c>
    </row>
    <row r="432" spans="1:19" x14ac:dyDescent="0.35">
      <c r="A432" t="s">
        <v>20</v>
      </c>
      <c r="B432">
        <v>17647</v>
      </c>
      <c r="C432" t="s">
        <v>1252</v>
      </c>
      <c r="D432" t="s">
        <v>1253</v>
      </c>
      <c r="E432" t="s">
        <v>308</v>
      </c>
      <c r="F432" t="s">
        <v>1444</v>
      </c>
      <c r="G432" t="s">
        <v>1445</v>
      </c>
      <c r="H432" t="s">
        <v>1446</v>
      </c>
      <c r="I432" t="s">
        <v>1395</v>
      </c>
      <c r="K432" t="s">
        <v>46</v>
      </c>
      <c r="L432" t="s">
        <v>29</v>
      </c>
      <c r="M432" t="s">
        <v>48</v>
      </c>
      <c r="N432" t="s">
        <v>55</v>
      </c>
      <c r="O432" t="s">
        <v>56</v>
      </c>
      <c r="P432" t="s">
        <v>33</v>
      </c>
      <c r="Q432">
        <v>0</v>
      </c>
      <c r="R432" s="1">
        <v>1.6203703703703701E-4</v>
      </c>
      <c r="S432" s="1">
        <v>5.7870370370370373E-5</v>
      </c>
    </row>
    <row r="433" spans="1:19" x14ac:dyDescent="0.35">
      <c r="A433" t="s">
        <v>20</v>
      </c>
      <c r="B433">
        <v>17647</v>
      </c>
      <c r="C433" t="s">
        <v>1252</v>
      </c>
      <c r="D433" t="s">
        <v>1253</v>
      </c>
      <c r="E433" t="s">
        <v>312</v>
      </c>
      <c r="F433" t="s">
        <v>1447</v>
      </c>
      <c r="G433" t="s">
        <v>1448</v>
      </c>
      <c r="H433" t="s">
        <v>1449</v>
      </c>
      <c r="I433" t="s">
        <v>1395</v>
      </c>
      <c r="K433" t="s">
        <v>46</v>
      </c>
      <c r="L433" t="s">
        <v>62</v>
      </c>
      <c r="M433" t="s">
        <v>40</v>
      </c>
      <c r="N433" t="s">
        <v>67</v>
      </c>
      <c r="O433" t="s">
        <v>76</v>
      </c>
      <c r="P433" t="s">
        <v>33</v>
      </c>
      <c r="Q433">
        <v>0</v>
      </c>
      <c r="R433" s="1">
        <v>4.5138888888888892E-4</v>
      </c>
      <c r="S433" s="1">
        <v>3.4722222222222218E-4</v>
      </c>
    </row>
    <row r="434" spans="1:19" x14ac:dyDescent="0.35">
      <c r="A434" t="s">
        <v>20</v>
      </c>
      <c r="B434">
        <v>17647</v>
      </c>
      <c r="C434" t="s">
        <v>1252</v>
      </c>
      <c r="D434" t="s">
        <v>1253</v>
      </c>
      <c r="E434" t="s">
        <v>316</v>
      </c>
      <c r="F434" t="s">
        <v>1450</v>
      </c>
      <c r="G434" t="s">
        <v>1451</v>
      </c>
      <c r="H434" t="s">
        <v>1452</v>
      </c>
      <c r="I434" t="s">
        <v>1395</v>
      </c>
      <c r="K434" t="s">
        <v>28</v>
      </c>
      <c r="L434" t="s">
        <v>85</v>
      </c>
      <c r="M434" t="s">
        <v>30</v>
      </c>
      <c r="N434" t="s">
        <v>148</v>
      </c>
      <c r="O434" t="s">
        <v>56</v>
      </c>
      <c r="P434" t="s">
        <v>33</v>
      </c>
      <c r="Q434">
        <v>0</v>
      </c>
      <c r="R434" s="1">
        <v>1.157407407407407E-4</v>
      </c>
      <c r="S434" s="1">
        <v>1.157407407407407E-5</v>
      </c>
    </row>
    <row r="435" spans="1:19" x14ac:dyDescent="0.35">
      <c r="A435" t="s">
        <v>20</v>
      </c>
      <c r="B435">
        <v>17647</v>
      </c>
      <c r="C435" t="s">
        <v>1252</v>
      </c>
      <c r="D435" t="s">
        <v>1253</v>
      </c>
      <c r="E435" t="s">
        <v>320</v>
      </c>
      <c r="F435" t="s">
        <v>1453</v>
      </c>
      <c r="G435" t="s">
        <v>1454</v>
      </c>
      <c r="H435" t="s">
        <v>1455</v>
      </c>
      <c r="I435" t="s">
        <v>1395</v>
      </c>
      <c r="K435" t="s">
        <v>38</v>
      </c>
      <c r="L435" t="s">
        <v>39</v>
      </c>
      <c r="M435" t="s">
        <v>478</v>
      </c>
      <c r="N435" t="s">
        <v>115</v>
      </c>
      <c r="O435" t="s">
        <v>32</v>
      </c>
      <c r="P435" t="s">
        <v>33</v>
      </c>
      <c r="Q435">
        <v>0</v>
      </c>
      <c r="R435" s="1">
        <v>1.9675925925925929E-4</v>
      </c>
      <c r="S435" s="1">
        <v>9.2592592592592588E-5</v>
      </c>
    </row>
    <row r="436" spans="1:19" x14ac:dyDescent="0.35">
      <c r="A436" t="s">
        <v>20</v>
      </c>
      <c r="B436">
        <v>17647</v>
      </c>
      <c r="C436" t="s">
        <v>1252</v>
      </c>
      <c r="D436" t="s">
        <v>1253</v>
      </c>
      <c r="E436" t="s">
        <v>324</v>
      </c>
      <c r="F436" t="s">
        <v>1317</v>
      </c>
      <c r="G436" t="s">
        <v>1456</v>
      </c>
      <c r="H436" t="s">
        <v>1457</v>
      </c>
      <c r="I436" t="s">
        <v>1395</v>
      </c>
      <c r="K436" t="s">
        <v>38</v>
      </c>
      <c r="L436" t="s">
        <v>47</v>
      </c>
      <c r="M436" t="s">
        <v>48</v>
      </c>
      <c r="N436" t="s">
        <v>90</v>
      </c>
      <c r="O436" t="s">
        <v>76</v>
      </c>
      <c r="P436" t="s">
        <v>33</v>
      </c>
      <c r="Q436">
        <v>0</v>
      </c>
      <c r="R436" s="1">
        <v>1.157407407407407E-4</v>
      </c>
      <c r="S436" s="1">
        <v>1.157407407407407E-5</v>
      </c>
    </row>
    <row r="437" spans="1:19" x14ac:dyDescent="0.35">
      <c r="A437" t="s">
        <v>20</v>
      </c>
      <c r="B437">
        <v>17647</v>
      </c>
      <c r="C437" t="s">
        <v>1252</v>
      </c>
      <c r="D437" t="s">
        <v>1253</v>
      </c>
      <c r="E437" t="s">
        <v>328</v>
      </c>
      <c r="F437" t="s">
        <v>1458</v>
      </c>
      <c r="G437" t="s">
        <v>1459</v>
      </c>
      <c r="H437" t="s">
        <v>1460</v>
      </c>
      <c r="I437" t="s">
        <v>1395</v>
      </c>
      <c r="K437" t="s">
        <v>28</v>
      </c>
      <c r="L437" t="s">
        <v>62</v>
      </c>
      <c r="M437" t="s">
        <v>30</v>
      </c>
      <c r="N437" t="s">
        <v>67</v>
      </c>
      <c r="O437" t="s">
        <v>76</v>
      </c>
      <c r="P437" t="s">
        <v>33</v>
      </c>
      <c r="Q437">
        <v>0</v>
      </c>
      <c r="R437" s="1">
        <v>6.018518518518519E-4</v>
      </c>
      <c r="S437" s="1">
        <v>4.9768518518518521E-4</v>
      </c>
    </row>
    <row r="438" spans="1:19" x14ac:dyDescent="0.35">
      <c r="A438" t="s">
        <v>20</v>
      </c>
      <c r="B438">
        <v>17647</v>
      </c>
      <c r="C438" t="s">
        <v>1252</v>
      </c>
      <c r="D438" t="s">
        <v>1253</v>
      </c>
      <c r="E438" t="s">
        <v>332</v>
      </c>
      <c r="F438" t="s">
        <v>1461</v>
      </c>
      <c r="G438" t="s">
        <v>1462</v>
      </c>
      <c r="H438" t="s">
        <v>1463</v>
      </c>
      <c r="I438" t="s">
        <v>1395</v>
      </c>
      <c r="K438" t="s">
        <v>61</v>
      </c>
      <c r="L438" t="s">
        <v>85</v>
      </c>
      <c r="M438" t="s">
        <v>30</v>
      </c>
      <c r="N438" t="s">
        <v>148</v>
      </c>
      <c r="O438" t="s">
        <v>56</v>
      </c>
      <c r="P438" t="s">
        <v>33</v>
      </c>
      <c r="Q438">
        <v>0</v>
      </c>
      <c r="R438" s="1">
        <v>1.157407407407407E-4</v>
      </c>
      <c r="S438" s="1">
        <v>1.157407407407407E-5</v>
      </c>
    </row>
    <row r="439" spans="1:19" x14ac:dyDescent="0.35">
      <c r="A439" t="s">
        <v>20</v>
      </c>
      <c r="B439">
        <v>17647</v>
      </c>
      <c r="C439" t="s">
        <v>1252</v>
      </c>
      <c r="D439" t="s">
        <v>1253</v>
      </c>
      <c r="E439" t="s">
        <v>336</v>
      </c>
      <c r="F439" t="s">
        <v>1326</v>
      </c>
      <c r="G439" t="s">
        <v>1464</v>
      </c>
      <c r="H439" t="s">
        <v>1465</v>
      </c>
      <c r="I439" t="s">
        <v>1395</v>
      </c>
      <c r="K439" t="s">
        <v>46</v>
      </c>
      <c r="L439" t="s">
        <v>29</v>
      </c>
      <c r="M439" t="s">
        <v>40</v>
      </c>
      <c r="N439" t="s">
        <v>41</v>
      </c>
      <c r="O439" t="s">
        <v>56</v>
      </c>
      <c r="P439" t="s">
        <v>33</v>
      </c>
      <c r="Q439">
        <v>0</v>
      </c>
      <c r="R439" s="1">
        <v>2.0833333333333329E-4</v>
      </c>
      <c r="S439" s="1">
        <v>1.041666666666667E-4</v>
      </c>
    </row>
    <row r="440" spans="1:19" x14ac:dyDescent="0.35">
      <c r="A440" t="s">
        <v>20</v>
      </c>
      <c r="B440">
        <v>17647</v>
      </c>
      <c r="C440" t="s">
        <v>1252</v>
      </c>
      <c r="D440" t="s">
        <v>1253</v>
      </c>
      <c r="E440" t="s">
        <v>340</v>
      </c>
      <c r="F440" t="s">
        <v>1466</v>
      </c>
      <c r="G440" t="s">
        <v>1467</v>
      </c>
      <c r="H440" t="s">
        <v>1468</v>
      </c>
      <c r="I440" t="s">
        <v>1395</v>
      </c>
      <c r="K440" t="s">
        <v>61</v>
      </c>
      <c r="L440" t="s">
        <v>62</v>
      </c>
      <c r="M440" t="s">
        <v>30</v>
      </c>
      <c r="N440" t="s">
        <v>55</v>
      </c>
      <c r="O440" t="s">
        <v>32</v>
      </c>
      <c r="P440" t="s">
        <v>33</v>
      </c>
      <c r="Q440">
        <v>0</v>
      </c>
      <c r="R440" s="1">
        <v>3.4722222222222218E-4</v>
      </c>
      <c r="S440" s="1">
        <v>2.4305555555555549E-4</v>
      </c>
    </row>
    <row r="441" spans="1:19" x14ac:dyDescent="0.35">
      <c r="A441" t="s">
        <v>20</v>
      </c>
      <c r="B441">
        <v>17647</v>
      </c>
      <c r="C441" t="s">
        <v>1252</v>
      </c>
      <c r="D441" t="s">
        <v>1253</v>
      </c>
      <c r="E441" t="s">
        <v>344</v>
      </c>
      <c r="F441" t="s">
        <v>1469</v>
      </c>
      <c r="G441" t="s">
        <v>1470</v>
      </c>
      <c r="H441" t="s">
        <v>1471</v>
      </c>
      <c r="I441" t="s">
        <v>1395</v>
      </c>
      <c r="K441" t="s">
        <v>61</v>
      </c>
      <c r="L441" t="s">
        <v>54</v>
      </c>
      <c r="M441" t="s">
        <v>30</v>
      </c>
      <c r="N441" t="s">
        <v>55</v>
      </c>
      <c r="O441" t="s">
        <v>56</v>
      </c>
      <c r="P441" t="s">
        <v>33</v>
      </c>
      <c r="Q441">
        <v>0</v>
      </c>
      <c r="R441" s="1">
        <v>1.9675925925925929E-4</v>
      </c>
      <c r="S441" s="1">
        <v>9.2592592592592588E-5</v>
      </c>
    </row>
    <row r="442" spans="1:19" x14ac:dyDescent="0.35">
      <c r="A442" t="s">
        <v>20</v>
      </c>
      <c r="B442">
        <v>17647</v>
      </c>
      <c r="C442" t="s">
        <v>1252</v>
      </c>
      <c r="D442" t="s">
        <v>1253</v>
      </c>
      <c r="E442" t="s">
        <v>348</v>
      </c>
      <c r="F442" t="s">
        <v>1472</v>
      </c>
      <c r="G442" t="s">
        <v>1473</v>
      </c>
      <c r="H442" t="s">
        <v>1474</v>
      </c>
      <c r="I442" t="s">
        <v>1395</v>
      </c>
      <c r="K442" t="s">
        <v>61</v>
      </c>
      <c r="L442" t="s">
        <v>54</v>
      </c>
      <c r="M442" t="s">
        <v>30</v>
      </c>
      <c r="N442" t="s">
        <v>31</v>
      </c>
      <c r="O442" t="s">
        <v>32</v>
      </c>
      <c r="P442" t="s">
        <v>33</v>
      </c>
      <c r="Q442">
        <v>0</v>
      </c>
      <c r="R442" s="1">
        <v>1.7361111111111109E-4</v>
      </c>
      <c r="S442" s="1">
        <v>6.9444444444444444E-5</v>
      </c>
    </row>
    <row r="443" spans="1:19" x14ac:dyDescent="0.35">
      <c r="A443" t="s">
        <v>20</v>
      </c>
      <c r="B443">
        <v>17647</v>
      </c>
      <c r="C443" t="s">
        <v>1252</v>
      </c>
      <c r="D443" t="s">
        <v>1253</v>
      </c>
      <c r="E443" t="s">
        <v>352</v>
      </c>
      <c r="F443" t="s">
        <v>1475</v>
      </c>
      <c r="G443" t="s">
        <v>1476</v>
      </c>
      <c r="H443" t="s">
        <v>1477</v>
      </c>
      <c r="I443" t="s">
        <v>1395</v>
      </c>
      <c r="K443" t="s">
        <v>38</v>
      </c>
      <c r="L443" t="s">
        <v>39</v>
      </c>
      <c r="M443" t="s">
        <v>48</v>
      </c>
      <c r="N443" t="s">
        <v>90</v>
      </c>
      <c r="O443" t="s">
        <v>32</v>
      </c>
      <c r="P443" t="s">
        <v>33</v>
      </c>
      <c r="Q443">
        <v>0</v>
      </c>
      <c r="R443" s="1">
        <v>3.2407407407407412E-4</v>
      </c>
      <c r="S443" s="1">
        <v>2.199074074074074E-4</v>
      </c>
    </row>
    <row r="444" spans="1:19" x14ac:dyDescent="0.35">
      <c r="A444" t="s">
        <v>20</v>
      </c>
      <c r="B444">
        <v>17647</v>
      </c>
      <c r="C444" t="s">
        <v>1252</v>
      </c>
      <c r="D444" t="s">
        <v>1253</v>
      </c>
      <c r="E444" t="s">
        <v>356</v>
      </c>
      <c r="F444" t="s">
        <v>1478</v>
      </c>
      <c r="G444" t="s">
        <v>1479</v>
      </c>
      <c r="H444" t="s">
        <v>1480</v>
      </c>
      <c r="I444" t="s">
        <v>1395</v>
      </c>
      <c r="K444" t="s">
        <v>46</v>
      </c>
      <c r="L444" t="s">
        <v>29</v>
      </c>
      <c r="M444" t="s">
        <v>40</v>
      </c>
      <c r="N444" t="s">
        <v>41</v>
      </c>
      <c r="O444" t="s">
        <v>56</v>
      </c>
      <c r="P444" t="s">
        <v>33</v>
      </c>
      <c r="Q444">
        <v>0</v>
      </c>
      <c r="R444" s="1">
        <v>1.9675925925925929E-4</v>
      </c>
      <c r="S444" s="1">
        <v>9.2592592592592588E-5</v>
      </c>
    </row>
    <row r="445" spans="1:19" x14ac:dyDescent="0.35">
      <c r="A445" t="s">
        <v>20</v>
      </c>
      <c r="B445">
        <v>17647</v>
      </c>
      <c r="C445" t="s">
        <v>1252</v>
      </c>
      <c r="D445" t="s">
        <v>1253</v>
      </c>
      <c r="E445" t="s">
        <v>360</v>
      </c>
      <c r="F445" t="s">
        <v>1481</v>
      </c>
      <c r="G445" t="s">
        <v>1482</v>
      </c>
      <c r="H445" t="s">
        <v>1483</v>
      </c>
      <c r="I445" t="s">
        <v>1395</v>
      </c>
      <c r="K445" t="s">
        <v>46</v>
      </c>
      <c r="L445" t="s">
        <v>47</v>
      </c>
      <c r="M445" t="s">
        <v>48</v>
      </c>
      <c r="N445" t="s">
        <v>90</v>
      </c>
      <c r="O445" t="s">
        <v>76</v>
      </c>
      <c r="P445" t="s">
        <v>33</v>
      </c>
      <c r="Q445">
        <v>0</v>
      </c>
      <c r="R445" s="1">
        <v>5.0925925925925921E-4</v>
      </c>
      <c r="S445" s="1">
        <v>4.0509259259259258E-4</v>
      </c>
    </row>
    <row r="446" spans="1:19" x14ac:dyDescent="0.35">
      <c r="A446" t="s">
        <v>20</v>
      </c>
      <c r="B446">
        <v>17647</v>
      </c>
      <c r="C446" t="s">
        <v>1252</v>
      </c>
      <c r="D446" t="s">
        <v>1253</v>
      </c>
      <c r="E446" t="s">
        <v>364</v>
      </c>
      <c r="F446" t="s">
        <v>1484</v>
      </c>
      <c r="G446" t="s">
        <v>1485</v>
      </c>
      <c r="H446" t="s">
        <v>1486</v>
      </c>
      <c r="I446" t="s">
        <v>1395</v>
      </c>
      <c r="K446" t="s">
        <v>46</v>
      </c>
      <c r="L446" t="s">
        <v>62</v>
      </c>
      <c r="M446" t="s">
        <v>48</v>
      </c>
      <c r="N446" t="s">
        <v>55</v>
      </c>
      <c r="O446" t="s">
        <v>76</v>
      </c>
      <c r="P446" t="s">
        <v>33</v>
      </c>
      <c r="Q446">
        <v>0</v>
      </c>
      <c r="R446" s="1">
        <v>1.3888888888888889E-4</v>
      </c>
      <c r="S446" s="1">
        <v>3.4722222222222222E-5</v>
      </c>
    </row>
    <row r="447" spans="1:19" x14ac:dyDescent="0.35">
      <c r="A447" t="s">
        <v>20</v>
      </c>
      <c r="B447">
        <v>17647</v>
      </c>
      <c r="C447" t="s">
        <v>1252</v>
      </c>
      <c r="D447" t="s">
        <v>1253</v>
      </c>
      <c r="E447" t="s">
        <v>368</v>
      </c>
      <c r="F447" t="s">
        <v>1347</v>
      </c>
      <c r="G447" t="s">
        <v>1487</v>
      </c>
      <c r="H447" t="s">
        <v>1488</v>
      </c>
      <c r="I447" t="s">
        <v>1395</v>
      </c>
      <c r="K447" t="s">
        <v>38</v>
      </c>
      <c r="L447" t="s">
        <v>29</v>
      </c>
      <c r="M447" t="s">
        <v>48</v>
      </c>
      <c r="N447" t="s">
        <v>55</v>
      </c>
      <c r="O447" t="s">
        <v>76</v>
      </c>
      <c r="P447" t="s">
        <v>33</v>
      </c>
      <c r="Q447">
        <v>0</v>
      </c>
      <c r="R447" s="1">
        <v>1.3888888888888889E-4</v>
      </c>
      <c r="S447" s="1">
        <v>3.4722222222222222E-5</v>
      </c>
    </row>
    <row r="448" spans="1:19" x14ac:dyDescent="0.35">
      <c r="A448" t="s">
        <v>20</v>
      </c>
      <c r="B448">
        <v>17647</v>
      </c>
      <c r="C448" t="s">
        <v>1252</v>
      </c>
      <c r="D448" t="s">
        <v>1253</v>
      </c>
      <c r="E448" t="s">
        <v>372</v>
      </c>
      <c r="F448" t="s">
        <v>1489</v>
      </c>
      <c r="G448" t="s">
        <v>1490</v>
      </c>
      <c r="H448" t="s">
        <v>1491</v>
      </c>
      <c r="I448" t="s">
        <v>1395</v>
      </c>
      <c r="K448" t="s">
        <v>28</v>
      </c>
      <c r="L448" t="s">
        <v>62</v>
      </c>
      <c r="M448" t="s">
        <v>40</v>
      </c>
      <c r="N448" t="s">
        <v>55</v>
      </c>
      <c r="O448" t="s">
        <v>76</v>
      </c>
      <c r="P448" t="s">
        <v>33</v>
      </c>
      <c r="Q448">
        <v>5</v>
      </c>
      <c r="R448" s="1">
        <v>9.3749999999999997E-4</v>
      </c>
      <c r="S448" s="1">
        <v>8.3333333333333339E-4</v>
      </c>
    </row>
    <row r="449" spans="1:19" x14ac:dyDescent="0.35">
      <c r="A449" t="s">
        <v>20</v>
      </c>
      <c r="B449">
        <v>17647</v>
      </c>
      <c r="C449" t="s">
        <v>1252</v>
      </c>
      <c r="D449" t="s">
        <v>1253</v>
      </c>
      <c r="E449" t="s">
        <v>376</v>
      </c>
      <c r="F449" t="s">
        <v>1492</v>
      </c>
      <c r="G449" t="s">
        <v>1493</v>
      </c>
      <c r="H449" t="s">
        <v>1494</v>
      </c>
      <c r="I449" t="s">
        <v>1395</v>
      </c>
      <c r="K449" t="s">
        <v>46</v>
      </c>
      <c r="L449" t="s">
        <v>62</v>
      </c>
      <c r="M449" t="s">
        <v>48</v>
      </c>
      <c r="N449" t="s">
        <v>90</v>
      </c>
      <c r="O449" t="s">
        <v>76</v>
      </c>
      <c r="P449" t="s">
        <v>33</v>
      </c>
      <c r="Q449">
        <v>1</v>
      </c>
      <c r="R449" s="1">
        <v>4.1666666666666669E-4</v>
      </c>
      <c r="S449" s="1">
        <v>3.1250000000000001E-4</v>
      </c>
    </row>
    <row r="450" spans="1:19" x14ac:dyDescent="0.35">
      <c r="A450" t="s">
        <v>20</v>
      </c>
      <c r="B450">
        <v>17647</v>
      </c>
      <c r="C450" t="s">
        <v>1252</v>
      </c>
      <c r="D450" t="s">
        <v>1253</v>
      </c>
      <c r="E450" t="s">
        <v>380</v>
      </c>
      <c r="F450" t="s">
        <v>1495</v>
      </c>
      <c r="G450" t="s">
        <v>1496</v>
      </c>
      <c r="H450" t="s">
        <v>1497</v>
      </c>
      <c r="I450" t="s">
        <v>1395</v>
      </c>
      <c r="K450" t="s">
        <v>38</v>
      </c>
      <c r="L450" t="s">
        <v>47</v>
      </c>
      <c r="M450" t="s">
        <v>478</v>
      </c>
      <c r="N450" t="s">
        <v>67</v>
      </c>
      <c r="O450" t="s">
        <v>76</v>
      </c>
      <c r="P450" t="s">
        <v>33</v>
      </c>
      <c r="Q450">
        <v>0</v>
      </c>
      <c r="R450" s="1">
        <v>1.7361111111111109E-4</v>
      </c>
      <c r="S450" s="1">
        <v>6.9444444444444444E-5</v>
      </c>
    </row>
    <row r="451" spans="1:19" x14ac:dyDescent="0.35">
      <c r="A451" t="s">
        <v>20</v>
      </c>
      <c r="B451">
        <v>17647</v>
      </c>
      <c r="C451" t="s">
        <v>1252</v>
      </c>
      <c r="D451" t="s">
        <v>1253</v>
      </c>
      <c r="E451" t="s">
        <v>383</v>
      </c>
      <c r="F451" t="s">
        <v>1498</v>
      </c>
      <c r="G451" t="s">
        <v>1499</v>
      </c>
      <c r="H451" t="s">
        <v>1500</v>
      </c>
      <c r="I451" t="s">
        <v>1395</v>
      </c>
      <c r="K451" t="s">
        <v>46</v>
      </c>
      <c r="L451" t="s">
        <v>62</v>
      </c>
      <c r="M451" t="s">
        <v>40</v>
      </c>
      <c r="N451" t="s">
        <v>41</v>
      </c>
      <c r="O451" t="s">
        <v>76</v>
      </c>
      <c r="P451" t="s">
        <v>33</v>
      </c>
      <c r="Q451">
        <v>1</v>
      </c>
      <c r="R451" s="1">
        <v>2.4305555555555549E-4</v>
      </c>
      <c r="S451" s="1">
        <v>1.3888888888888889E-4</v>
      </c>
    </row>
    <row r="452" spans="1:19" x14ac:dyDescent="0.35">
      <c r="A452" t="s">
        <v>20</v>
      </c>
      <c r="B452">
        <v>17647</v>
      </c>
      <c r="C452" t="s">
        <v>1252</v>
      </c>
      <c r="D452" t="s">
        <v>1253</v>
      </c>
      <c r="E452" t="s">
        <v>387</v>
      </c>
      <c r="F452" t="s">
        <v>1501</v>
      </c>
      <c r="G452" t="s">
        <v>1502</v>
      </c>
      <c r="H452" t="s">
        <v>1503</v>
      </c>
      <c r="I452" t="s">
        <v>1395</v>
      </c>
      <c r="K452" t="s">
        <v>28</v>
      </c>
      <c r="L452" t="s">
        <v>47</v>
      </c>
      <c r="M452" t="s">
        <v>30</v>
      </c>
      <c r="N452" t="s">
        <v>41</v>
      </c>
      <c r="O452" t="s">
        <v>56</v>
      </c>
      <c r="P452" t="s">
        <v>33</v>
      </c>
      <c r="Q452">
        <v>1</v>
      </c>
      <c r="R452" s="1">
        <v>2.3148148148148149E-4</v>
      </c>
      <c r="S452" s="1">
        <v>1.273148148148148E-4</v>
      </c>
    </row>
    <row r="453" spans="1:19" x14ac:dyDescent="0.35">
      <c r="A453" t="s">
        <v>20</v>
      </c>
      <c r="B453">
        <v>17647</v>
      </c>
      <c r="C453" t="s">
        <v>1252</v>
      </c>
      <c r="D453" t="s">
        <v>1253</v>
      </c>
      <c r="E453" t="s">
        <v>391</v>
      </c>
      <c r="F453" t="s">
        <v>1504</v>
      </c>
      <c r="G453" t="s">
        <v>1505</v>
      </c>
      <c r="H453" t="s">
        <v>1365</v>
      </c>
      <c r="I453" t="s">
        <v>1395</v>
      </c>
      <c r="K453" t="s">
        <v>46</v>
      </c>
      <c r="L453" t="s">
        <v>287</v>
      </c>
      <c r="M453" t="s">
        <v>30</v>
      </c>
      <c r="N453" t="s">
        <v>41</v>
      </c>
      <c r="O453" t="s">
        <v>56</v>
      </c>
      <c r="P453" t="s">
        <v>33</v>
      </c>
      <c r="Q453">
        <v>0</v>
      </c>
      <c r="R453" s="1">
        <v>1.9675925925925929E-4</v>
      </c>
      <c r="S453" s="1">
        <v>9.2592592592592588E-5</v>
      </c>
    </row>
    <row r="454" spans="1:19" x14ac:dyDescent="0.35">
      <c r="A454" t="s">
        <v>20</v>
      </c>
      <c r="B454">
        <v>17647</v>
      </c>
      <c r="C454" t="s">
        <v>1252</v>
      </c>
      <c r="D454" t="s">
        <v>1253</v>
      </c>
      <c r="E454" t="s">
        <v>394</v>
      </c>
      <c r="F454" t="s">
        <v>1367</v>
      </c>
      <c r="G454" t="s">
        <v>1506</v>
      </c>
      <c r="H454" t="s">
        <v>1507</v>
      </c>
      <c r="I454" t="s">
        <v>1395</v>
      </c>
      <c r="K454" t="s">
        <v>28</v>
      </c>
      <c r="L454" t="s">
        <v>29</v>
      </c>
      <c r="M454" t="s">
        <v>40</v>
      </c>
      <c r="N454" t="s">
        <v>49</v>
      </c>
      <c r="O454" t="s">
        <v>32</v>
      </c>
      <c r="P454" t="s">
        <v>33</v>
      </c>
      <c r="Q454">
        <v>3</v>
      </c>
      <c r="R454" s="1">
        <v>1.631944444444445E-3</v>
      </c>
      <c r="S454" s="1">
        <v>1.5277777777777781E-3</v>
      </c>
    </row>
    <row r="455" spans="1:19" x14ac:dyDescent="0.35">
      <c r="A455" t="s">
        <v>20</v>
      </c>
      <c r="B455">
        <v>17647</v>
      </c>
      <c r="C455" t="s">
        <v>1252</v>
      </c>
      <c r="D455" t="s">
        <v>1253</v>
      </c>
      <c r="E455" t="s">
        <v>398</v>
      </c>
      <c r="F455" t="s">
        <v>1508</v>
      </c>
      <c r="G455" t="s">
        <v>1509</v>
      </c>
      <c r="H455" t="s">
        <v>1510</v>
      </c>
      <c r="I455" t="s">
        <v>1395</v>
      </c>
      <c r="K455" t="s">
        <v>28</v>
      </c>
      <c r="L455" t="s">
        <v>54</v>
      </c>
      <c r="M455" t="s">
        <v>40</v>
      </c>
      <c r="N455" t="s">
        <v>55</v>
      </c>
      <c r="O455" t="s">
        <v>56</v>
      </c>
      <c r="P455" t="s">
        <v>33</v>
      </c>
      <c r="Q455">
        <v>6</v>
      </c>
      <c r="R455" s="1">
        <v>7.9861111111111116E-4</v>
      </c>
      <c r="S455" s="1">
        <v>6.9444444444444447E-4</v>
      </c>
    </row>
    <row r="456" spans="1:19" x14ac:dyDescent="0.35">
      <c r="A456" t="s">
        <v>20</v>
      </c>
      <c r="B456">
        <v>17647</v>
      </c>
      <c r="C456" t="s">
        <v>1252</v>
      </c>
      <c r="D456" t="s">
        <v>1253</v>
      </c>
      <c r="E456" t="s">
        <v>402</v>
      </c>
      <c r="F456" t="s">
        <v>1370</v>
      </c>
      <c r="G456" t="s">
        <v>1511</v>
      </c>
      <c r="H456" t="s">
        <v>1512</v>
      </c>
      <c r="I456" t="s">
        <v>1395</v>
      </c>
      <c r="K456" t="s">
        <v>46</v>
      </c>
      <c r="L456" t="s">
        <v>29</v>
      </c>
      <c r="M456" t="s">
        <v>40</v>
      </c>
      <c r="N456" t="s">
        <v>41</v>
      </c>
      <c r="O456" t="s">
        <v>56</v>
      </c>
      <c r="P456" t="s">
        <v>33</v>
      </c>
      <c r="Q456">
        <v>2</v>
      </c>
      <c r="R456" s="1">
        <v>5.0925925925925921E-4</v>
      </c>
      <c r="S456" s="1">
        <v>4.0509259259259258E-4</v>
      </c>
    </row>
    <row r="457" spans="1:19" x14ac:dyDescent="0.35">
      <c r="A457" t="s">
        <v>20</v>
      </c>
      <c r="B457">
        <v>17647</v>
      </c>
      <c r="C457" t="s">
        <v>1252</v>
      </c>
      <c r="D457" t="s">
        <v>1253</v>
      </c>
      <c r="E457" t="s">
        <v>406</v>
      </c>
      <c r="F457" t="s">
        <v>1513</v>
      </c>
      <c r="G457" t="s">
        <v>1514</v>
      </c>
      <c r="H457" t="s">
        <v>1515</v>
      </c>
      <c r="I457" t="s">
        <v>1395</v>
      </c>
      <c r="K457" t="s">
        <v>46</v>
      </c>
      <c r="L457" t="s">
        <v>29</v>
      </c>
      <c r="M457" t="s">
        <v>48</v>
      </c>
      <c r="N457" t="s">
        <v>55</v>
      </c>
      <c r="O457" t="s">
        <v>76</v>
      </c>
      <c r="P457" t="s">
        <v>33</v>
      </c>
      <c r="Q457">
        <v>1</v>
      </c>
      <c r="R457" s="1">
        <v>2.0833333333333329E-4</v>
      </c>
      <c r="S457" s="1">
        <v>1.041666666666667E-4</v>
      </c>
    </row>
    <row r="458" spans="1:19" x14ac:dyDescent="0.35">
      <c r="A458" t="s">
        <v>20</v>
      </c>
      <c r="B458">
        <v>17647</v>
      </c>
      <c r="C458" t="s">
        <v>1252</v>
      </c>
      <c r="D458" t="s">
        <v>1253</v>
      </c>
      <c r="E458" t="s">
        <v>410</v>
      </c>
      <c r="F458" t="s">
        <v>1516</v>
      </c>
      <c r="G458" t="s">
        <v>1517</v>
      </c>
      <c r="H458" t="s">
        <v>1518</v>
      </c>
      <c r="I458" t="s">
        <v>1395</v>
      </c>
      <c r="K458" t="s">
        <v>28</v>
      </c>
      <c r="L458" t="s">
        <v>47</v>
      </c>
      <c r="M458" t="s">
        <v>30</v>
      </c>
      <c r="N458" t="s">
        <v>55</v>
      </c>
      <c r="O458" t="s">
        <v>56</v>
      </c>
      <c r="P458" t="s">
        <v>33</v>
      </c>
      <c r="Q458">
        <v>2</v>
      </c>
      <c r="R458" s="1">
        <v>1.0532407407407411E-3</v>
      </c>
      <c r="S458" s="1">
        <v>9.4907407407407408E-4</v>
      </c>
    </row>
    <row r="459" spans="1:19" x14ac:dyDescent="0.35">
      <c r="A459" t="s">
        <v>20</v>
      </c>
      <c r="B459">
        <v>17647</v>
      </c>
      <c r="C459" t="s">
        <v>1252</v>
      </c>
      <c r="D459" t="s">
        <v>1253</v>
      </c>
      <c r="E459" t="s">
        <v>414</v>
      </c>
      <c r="F459" t="s">
        <v>1519</v>
      </c>
      <c r="G459" t="s">
        <v>1520</v>
      </c>
      <c r="H459" t="s">
        <v>1521</v>
      </c>
      <c r="I459" t="s">
        <v>1395</v>
      </c>
      <c r="K459" t="s">
        <v>61</v>
      </c>
      <c r="L459" t="s">
        <v>62</v>
      </c>
      <c r="M459" t="s">
        <v>30</v>
      </c>
      <c r="N459" t="s">
        <v>31</v>
      </c>
      <c r="O459" t="s">
        <v>32</v>
      </c>
      <c r="P459" t="s">
        <v>33</v>
      </c>
      <c r="Q459">
        <v>0</v>
      </c>
      <c r="R459" s="1">
        <v>4.7453703703703698E-4</v>
      </c>
      <c r="S459" s="1">
        <v>3.7037037037037041E-4</v>
      </c>
    </row>
    <row r="460" spans="1:19" x14ac:dyDescent="0.35">
      <c r="A460" t="s">
        <v>20</v>
      </c>
      <c r="B460">
        <v>17647</v>
      </c>
      <c r="C460" t="s">
        <v>1252</v>
      </c>
      <c r="D460" t="s">
        <v>1253</v>
      </c>
      <c r="E460" t="s">
        <v>418</v>
      </c>
      <c r="F460" t="s">
        <v>1522</v>
      </c>
      <c r="G460" t="s">
        <v>1523</v>
      </c>
      <c r="H460" t="s">
        <v>1524</v>
      </c>
      <c r="I460" t="s">
        <v>1395</v>
      </c>
      <c r="K460" t="s">
        <v>46</v>
      </c>
      <c r="L460" t="s">
        <v>39</v>
      </c>
      <c r="M460" t="s">
        <v>478</v>
      </c>
      <c r="N460" t="s">
        <v>55</v>
      </c>
      <c r="O460" t="s">
        <v>56</v>
      </c>
      <c r="P460" t="s">
        <v>33</v>
      </c>
      <c r="Q460">
        <v>1</v>
      </c>
      <c r="R460" s="1">
        <v>2.3148148148148149E-4</v>
      </c>
      <c r="S460" s="1">
        <v>1.273148148148148E-4</v>
      </c>
    </row>
    <row r="461" spans="1:19" x14ac:dyDescent="0.35">
      <c r="A461" t="s">
        <v>20</v>
      </c>
      <c r="B461">
        <v>17647</v>
      </c>
      <c r="C461" t="s">
        <v>1252</v>
      </c>
      <c r="D461" t="s">
        <v>1253</v>
      </c>
      <c r="E461" t="s">
        <v>422</v>
      </c>
      <c r="F461" t="s">
        <v>1525</v>
      </c>
      <c r="G461" t="s">
        <v>1526</v>
      </c>
      <c r="H461" t="s">
        <v>1527</v>
      </c>
      <c r="I461" t="s">
        <v>1395</v>
      </c>
      <c r="K461" t="s">
        <v>28</v>
      </c>
      <c r="L461" t="s">
        <v>62</v>
      </c>
      <c r="M461" t="s">
        <v>48</v>
      </c>
      <c r="N461" t="s">
        <v>115</v>
      </c>
      <c r="O461" t="s">
        <v>76</v>
      </c>
      <c r="P461" t="s">
        <v>33</v>
      </c>
      <c r="Q461">
        <v>4</v>
      </c>
      <c r="R461" s="1">
        <v>6.5972222222222224E-4</v>
      </c>
      <c r="S461" s="1">
        <v>5.5555555555555556E-4</v>
      </c>
    </row>
    <row r="462" spans="1:19" x14ac:dyDescent="0.35">
      <c r="A462" t="s">
        <v>20</v>
      </c>
      <c r="B462">
        <v>17643</v>
      </c>
      <c r="C462" t="s">
        <v>426</v>
      </c>
      <c r="D462" t="s">
        <v>427</v>
      </c>
      <c r="E462" t="s">
        <v>234</v>
      </c>
      <c r="F462" t="s">
        <v>428</v>
      </c>
      <c r="G462" t="s">
        <v>429</v>
      </c>
      <c r="H462" t="s">
        <v>430</v>
      </c>
      <c r="I462" t="s">
        <v>431</v>
      </c>
      <c r="K462" t="s">
        <v>28</v>
      </c>
      <c r="L462" t="s">
        <v>29</v>
      </c>
      <c r="M462" t="s">
        <v>30</v>
      </c>
      <c r="N462" t="s">
        <v>55</v>
      </c>
      <c r="O462" t="s">
        <v>56</v>
      </c>
      <c r="P462" t="s">
        <v>33</v>
      </c>
      <c r="Q462">
        <v>4</v>
      </c>
      <c r="R462" s="1">
        <v>3.7037037037037041E-4</v>
      </c>
      <c r="S462" s="1">
        <v>2.6620370370370372E-4</v>
      </c>
    </row>
    <row r="463" spans="1:19" x14ac:dyDescent="0.35">
      <c r="A463" t="s">
        <v>20</v>
      </c>
      <c r="B463">
        <v>17643</v>
      </c>
      <c r="C463" t="s">
        <v>426</v>
      </c>
      <c r="D463" t="s">
        <v>427</v>
      </c>
      <c r="E463" t="s">
        <v>239</v>
      </c>
      <c r="F463" t="s">
        <v>433</v>
      </c>
      <c r="G463" t="s">
        <v>434</v>
      </c>
      <c r="H463" t="s">
        <v>435</v>
      </c>
      <c r="I463" t="s">
        <v>431</v>
      </c>
      <c r="K463" t="s">
        <v>38</v>
      </c>
      <c r="L463" t="s">
        <v>47</v>
      </c>
      <c r="M463" t="s">
        <v>48</v>
      </c>
      <c r="N463" t="s">
        <v>41</v>
      </c>
      <c r="O463" t="s">
        <v>32</v>
      </c>
      <c r="P463" t="s">
        <v>33</v>
      </c>
      <c r="Q463">
        <v>8</v>
      </c>
      <c r="R463" s="1">
        <v>6.9444444444444447E-4</v>
      </c>
      <c r="S463" s="1">
        <v>5.9027777777777778E-4</v>
      </c>
    </row>
    <row r="464" spans="1:19" x14ac:dyDescent="0.35">
      <c r="A464" t="s">
        <v>20</v>
      </c>
      <c r="B464">
        <v>17643</v>
      </c>
      <c r="C464" t="s">
        <v>426</v>
      </c>
      <c r="D464" t="s">
        <v>427</v>
      </c>
      <c r="E464" t="s">
        <v>243</v>
      </c>
      <c r="F464" t="s">
        <v>436</v>
      </c>
      <c r="G464" t="s">
        <v>437</v>
      </c>
      <c r="H464" t="s">
        <v>438</v>
      </c>
      <c r="I464" t="s">
        <v>431</v>
      </c>
      <c r="K464" t="s">
        <v>28</v>
      </c>
      <c r="L464" t="s">
        <v>62</v>
      </c>
      <c r="M464" t="s">
        <v>30</v>
      </c>
      <c r="N464" t="s">
        <v>148</v>
      </c>
      <c r="O464" t="s">
        <v>32</v>
      </c>
      <c r="P464" t="s">
        <v>33</v>
      </c>
      <c r="Q464">
        <v>12</v>
      </c>
      <c r="R464" s="1">
        <v>7.6388888888888893E-4</v>
      </c>
      <c r="S464" s="1">
        <v>6.5972222222222224E-4</v>
      </c>
    </row>
    <row r="465" spans="1:19" x14ac:dyDescent="0.35">
      <c r="A465" t="s">
        <v>20</v>
      </c>
      <c r="B465">
        <v>17643</v>
      </c>
      <c r="C465" t="s">
        <v>426</v>
      </c>
      <c r="D465" t="s">
        <v>427</v>
      </c>
      <c r="E465" t="s">
        <v>247</v>
      </c>
      <c r="F465" t="s">
        <v>439</v>
      </c>
      <c r="G465" t="s">
        <v>440</v>
      </c>
      <c r="H465" t="s">
        <v>441</v>
      </c>
      <c r="I465" t="s">
        <v>431</v>
      </c>
      <c r="K465" t="s">
        <v>38</v>
      </c>
      <c r="L465" t="s">
        <v>39</v>
      </c>
      <c r="M465" t="s">
        <v>40</v>
      </c>
      <c r="N465" t="s">
        <v>41</v>
      </c>
      <c r="O465" t="s">
        <v>76</v>
      </c>
      <c r="P465" t="s">
        <v>33</v>
      </c>
      <c r="Q465">
        <v>0</v>
      </c>
      <c r="R465" s="1">
        <v>1.851851851851852E-4</v>
      </c>
      <c r="S465" s="1">
        <v>8.1018518518518516E-5</v>
      </c>
    </row>
    <row r="466" spans="1:19" x14ac:dyDescent="0.35">
      <c r="A466" t="s">
        <v>20</v>
      </c>
      <c r="B466">
        <v>17643</v>
      </c>
      <c r="C466" t="s">
        <v>426</v>
      </c>
      <c r="D466" t="s">
        <v>427</v>
      </c>
      <c r="E466" t="s">
        <v>251</v>
      </c>
      <c r="F466" t="s">
        <v>442</v>
      </c>
      <c r="G466" t="s">
        <v>443</v>
      </c>
      <c r="H466" t="s">
        <v>444</v>
      </c>
      <c r="I466" t="s">
        <v>431</v>
      </c>
      <c r="K466" t="s">
        <v>38</v>
      </c>
      <c r="L466" t="s">
        <v>47</v>
      </c>
      <c r="M466" t="s">
        <v>40</v>
      </c>
      <c r="N466" t="s">
        <v>41</v>
      </c>
      <c r="O466" t="s">
        <v>32</v>
      </c>
      <c r="P466" t="s">
        <v>33</v>
      </c>
      <c r="Q466">
        <v>4</v>
      </c>
      <c r="R466" s="1">
        <v>3.8194444444444452E-4</v>
      </c>
      <c r="S466" s="1">
        <v>2.7777777777777778E-4</v>
      </c>
    </row>
    <row r="467" spans="1:19" x14ac:dyDescent="0.35">
      <c r="A467" t="s">
        <v>20</v>
      </c>
      <c r="B467">
        <v>17643</v>
      </c>
      <c r="C467" t="s">
        <v>426</v>
      </c>
      <c r="D467" t="s">
        <v>427</v>
      </c>
      <c r="E467" t="s">
        <v>255</v>
      </c>
      <c r="F467" t="s">
        <v>445</v>
      </c>
      <c r="G467" t="s">
        <v>446</v>
      </c>
      <c r="H467" t="s">
        <v>447</v>
      </c>
      <c r="I467" t="s">
        <v>431</v>
      </c>
      <c r="K467" t="s">
        <v>46</v>
      </c>
      <c r="L467" t="s">
        <v>29</v>
      </c>
      <c r="M467" t="s">
        <v>40</v>
      </c>
      <c r="N467" t="s">
        <v>55</v>
      </c>
      <c r="O467" t="s">
        <v>76</v>
      </c>
      <c r="P467" t="s">
        <v>33</v>
      </c>
      <c r="Q467">
        <v>0</v>
      </c>
      <c r="R467" s="1">
        <v>1.7361111111111109E-4</v>
      </c>
      <c r="S467" s="1">
        <v>6.9444444444444444E-5</v>
      </c>
    </row>
    <row r="468" spans="1:19" x14ac:dyDescent="0.35">
      <c r="A468" t="s">
        <v>20</v>
      </c>
      <c r="B468">
        <v>17643</v>
      </c>
      <c r="C468" t="s">
        <v>426</v>
      </c>
      <c r="D468" t="s">
        <v>427</v>
      </c>
      <c r="E468" t="s">
        <v>259</v>
      </c>
      <c r="F468" t="s">
        <v>448</v>
      </c>
      <c r="G468" t="s">
        <v>449</v>
      </c>
      <c r="H468" t="s">
        <v>450</v>
      </c>
      <c r="I468" t="s">
        <v>431</v>
      </c>
      <c r="K468" t="s">
        <v>46</v>
      </c>
      <c r="L468" t="s">
        <v>29</v>
      </c>
      <c r="M468" t="s">
        <v>48</v>
      </c>
      <c r="N468" t="s">
        <v>55</v>
      </c>
      <c r="O468" t="s">
        <v>76</v>
      </c>
      <c r="P468" t="s">
        <v>33</v>
      </c>
      <c r="Q468">
        <v>0</v>
      </c>
      <c r="R468" s="1">
        <v>1.041666666666667E-4</v>
      </c>
      <c r="S468" s="1">
        <v>0</v>
      </c>
    </row>
    <row r="469" spans="1:19" x14ac:dyDescent="0.35">
      <c r="A469" t="s">
        <v>20</v>
      </c>
      <c r="B469">
        <v>17643</v>
      </c>
      <c r="C469" t="s">
        <v>426</v>
      </c>
      <c r="D469" t="s">
        <v>427</v>
      </c>
      <c r="E469" t="s">
        <v>263</v>
      </c>
      <c r="F469" t="s">
        <v>451</v>
      </c>
      <c r="G469" t="s">
        <v>452</v>
      </c>
      <c r="H469" t="s">
        <v>453</v>
      </c>
      <c r="I469" t="s">
        <v>431</v>
      </c>
      <c r="K469" t="s">
        <v>46</v>
      </c>
      <c r="L469" t="s">
        <v>29</v>
      </c>
      <c r="M469" t="s">
        <v>40</v>
      </c>
      <c r="N469" t="s">
        <v>55</v>
      </c>
      <c r="O469" t="s">
        <v>76</v>
      </c>
      <c r="P469" t="s">
        <v>33</v>
      </c>
      <c r="Q469">
        <v>2</v>
      </c>
      <c r="R469" s="1">
        <v>3.0092592592592589E-4</v>
      </c>
      <c r="S469" s="1">
        <v>1.9675925925925929E-4</v>
      </c>
    </row>
    <row r="470" spans="1:19" x14ac:dyDescent="0.35">
      <c r="A470" t="s">
        <v>20</v>
      </c>
      <c r="B470">
        <v>17643</v>
      </c>
      <c r="C470" t="s">
        <v>426</v>
      </c>
      <c r="D470" t="s">
        <v>427</v>
      </c>
      <c r="E470" t="s">
        <v>267</v>
      </c>
      <c r="F470" t="s">
        <v>454</v>
      </c>
      <c r="G470" t="s">
        <v>455</v>
      </c>
      <c r="H470" t="s">
        <v>456</v>
      </c>
      <c r="I470" t="s">
        <v>431</v>
      </c>
      <c r="K470" t="s">
        <v>28</v>
      </c>
      <c r="L470" t="s">
        <v>29</v>
      </c>
      <c r="M470" t="s">
        <v>30</v>
      </c>
      <c r="N470" t="s">
        <v>31</v>
      </c>
      <c r="O470" t="s">
        <v>32</v>
      </c>
      <c r="P470" t="s">
        <v>33</v>
      </c>
      <c r="Q470">
        <v>4</v>
      </c>
      <c r="R470" s="1">
        <v>4.6296296296296298E-4</v>
      </c>
      <c r="S470" s="1">
        <v>3.5879629629629629E-4</v>
      </c>
    </row>
    <row r="471" spans="1:19" x14ac:dyDescent="0.35">
      <c r="A471" t="s">
        <v>20</v>
      </c>
      <c r="B471">
        <v>17643</v>
      </c>
      <c r="C471" t="s">
        <v>426</v>
      </c>
      <c r="D471" t="s">
        <v>427</v>
      </c>
      <c r="E471" t="s">
        <v>271</v>
      </c>
      <c r="F471" t="s">
        <v>457</v>
      </c>
      <c r="G471" t="s">
        <v>458</v>
      </c>
      <c r="H471" t="s">
        <v>459</v>
      </c>
      <c r="I471" t="s">
        <v>431</v>
      </c>
      <c r="K471" t="s">
        <v>46</v>
      </c>
      <c r="L471" t="s">
        <v>39</v>
      </c>
      <c r="M471" t="s">
        <v>40</v>
      </c>
      <c r="N471" t="s">
        <v>41</v>
      </c>
      <c r="O471" t="s">
        <v>76</v>
      </c>
      <c r="P471" t="s">
        <v>33</v>
      </c>
      <c r="Q471">
        <v>6</v>
      </c>
      <c r="R471" s="1">
        <v>3.8194444444444452E-4</v>
      </c>
      <c r="S471" s="1">
        <v>2.7777777777777778E-4</v>
      </c>
    </row>
    <row r="472" spans="1:19" x14ac:dyDescent="0.35">
      <c r="A472" t="s">
        <v>20</v>
      </c>
      <c r="B472">
        <v>17643</v>
      </c>
      <c r="C472" t="s">
        <v>426</v>
      </c>
      <c r="D472" t="s">
        <v>427</v>
      </c>
      <c r="E472" t="s">
        <v>275</v>
      </c>
      <c r="F472" t="s">
        <v>460</v>
      </c>
      <c r="G472" t="s">
        <v>461</v>
      </c>
      <c r="H472" t="s">
        <v>462</v>
      </c>
      <c r="I472" t="s">
        <v>431</v>
      </c>
      <c r="K472" t="s">
        <v>46</v>
      </c>
      <c r="L472" t="s">
        <v>47</v>
      </c>
      <c r="M472" t="s">
        <v>40</v>
      </c>
      <c r="N472" t="s">
        <v>67</v>
      </c>
      <c r="O472" t="s">
        <v>76</v>
      </c>
      <c r="P472" t="s">
        <v>33</v>
      </c>
      <c r="Q472">
        <v>8</v>
      </c>
      <c r="R472" s="1">
        <v>3.9351851851851852E-4</v>
      </c>
      <c r="S472" s="1">
        <v>2.8935185185185178E-4</v>
      </c>
    </row>
    <row r="473" spans="1:19" x14ac:dyDescent="0.35">
      <c r="A473" t="s">
        <v>20</v>
      </c>
      <c r="B473">
        <v>17643</v>
      </c>
      <c r="C473" t="s">
        <v>426</v>
      </c>
      <c r="D473" t="s">
        <v>427</v>
      </c>
      <c r="E473" t="s">
        <v>279</v>
      </c>
      <c r="F473" t="s">
        <v>463</v>
      </c>
      <c r="G473" t="s">
        <v>464</v>
      </c>
      <c r="H473" t="s">
        <v>465</v>
      </c>
      <c r="I473" t="s">
        <v>431</v>
      </c>
      <c r="K473" t="s">
        <v>61</v>
      </c>
      <c r="L473" t="s">
        <v>62</v>
      </c>
      <c r="M473" t="s">
        <v>30</v>
      </c>
      <c r="N473" t="s">
        <v>67</v>
      </c>
      <c r="O473" t="s">
        <v>32</v>
      </c>
      <c r="P473" t="s">
        <v>33</v>
      </c>
      <c r="Q473">
        <v>8</v>
      </c>
      <c r="R473" s="1">
        <v>6.7129629629629625E-4</v>
      </c>
      <c r="S473" s="1">
        <v>5.6712962962962967E-4</v>
      </c>
    </row>
    <row r="474" spans="1:19" x14ac:dyDescent="0.35">
      <c r="A474" t="s">
        <v>20</v>
      </c>
      <c r="B474">
        <v>17643</v>
      </c>
      <c r="C474" t="s">
        <v>426</v>
      </c>
      <c r="D474" t="s">
        <v>427</v>
      </c>
      <c r="E474" t="s">
        <v>283</v>
      </c>
      <c r="F474" t="s">
        <v>466</v>
      </c>
      <c r="G474" t="s">
        <v>467</v>
      </c>
      <c r="H474" t="s">
        <v>468</v>
      </c>
      <c r="I474" t="s">
        <v>431</v>
      </c>
      <c r="K474" t="s">
        <v>61</v>
      </c>
      <c r="L474" t="s">
        <v>62</v>
      </c>
      <c r="M474" t="s">
        <v>30</v>
      </c>
      <c r="N474" t="s">
        <v>67</v>
      </c>
      <c r="O474" t="s">
        <v>32</v>
      </c>
      <c r="P474" t="s">
        <v>33</v>
      </c>
      <c r="Q474">
        <v>4</v>
      </c>
      <c r="R474" s="1">
        <v>5.5555555555555556E-4</v>
      </c>
      <c r="S474" s="1">
        <v>4.5138888888888892E-4</v>
      </c>
    </row>
    <row r="475" spans="1:19" x14ac:dyDescent="0.35">
      <c r="A475" t="s">
        <v>20</v>
      </c>
      <c r="B475">
        <v>17643</v>
      </c>
      <c r="C475" t="s">
        <v>426</v>
      </c>
      <c r="D475" t="s">
        <v>427</v>
      </c>
      <c r="E475" t="s">
        <v>288</v>
      </c>
      <c r="F475" t="s">
        <v>469</v>
      </c>
      <c r="G475" t="s">
        <v>470</v>
      </c>
      <c r="H475" t="s">
        <v>471</v>
      </c>
      <c r="I475" t="s">
        <v>431</v>
      </c>
      <c r="K475" t="s">
        <v>61</v>
      </c>
      <c r="L475" t="s">
        <v>54</v>
      </c>
      <c r="M475" t="s">
        <v>30</v>
      </c>
      <c r="N475" t="s">
        <v>55</v>
      </c>
      <c r="O475" t="s">
        <v>56</v>
      </c>
      <c r="P475" t="s">
        <v>33</v>
      </c>
      <c r="Q475">
        <v>0</v>
      </c>
      <c r="R475" s="1">
        <v>2.3148148148148149E-4</v>
      </c>
      <c r="S475" s="1">
        <v>1.273148148148148E-4</v>
      </c>
    </row>
    <row r="476" spans="1:19" x14ac:dyDescent="0.35">
      <c r="A476" t="s">
        <v>20</v>
      </c>
      <c r="B476">
        <v>17643</v>
      </c>
      <c r="C476" t="s">
        <v>426</v>
      </c>
      <c r="D476" t="s">
        <v>427</v>
      </c>
      <c r="E476" t="s">
        <v>292</v>
      </c>
      <c r="F476" t="s">
        <v>472</v>
      </c>
      <c r="G476" t="s">
        <v>473</v>
      </c>
      <c r="H476" t="s">
        <v>474</v>
      </c>
      <c r="I476" t="s">
        <v>431</v>
      </c>
      <c r="K476" t="s">
        <v>61</v>
      </c>
      <c r="L476" t="s">
        <v>85</v>
      </c>
      <c r="M476" t="s">
        <v>30</v>
      </c>
      <c r="N476" t="s">
        <v>148</v>
      </c>
      <c r="O476" t="s">
        <v>56</v>
      </c>
      <c r="P476" t="s">
        <v>33</v>
      </c>
      <c r="Q476">
        <v>0</v>
      </c>
      <c r="R476" s="1">
        <v>1.273148148148148E-4</v>
      </c>
      <c r="S476" s="1">
        <v>2.314814814814815E-5</v>
      </c>
    </row>
    <row r="477" spans="1:19" x14ac:dyDescent="0.35">
      <c r="A477" t="s">
        <v>20</v>
      </c>
      <c r="B477">
        <v>17643</v>
      </c>
      <c r="C477" t="s">
        <v>426</v>
      </c>
      <c r="D477" t="s">
        <v>427</v>
      </c>
      <c r="E477" t="s">
        <v>296</v>
      </c>
      <c r="F477" t="s">
        <v>475</v>
      </c>
      <c r="G477" t="s">
        <v>476</v>
      </c>
      <c r="H477" t="s">
        <v>477</v>
      </c>
      <c r="I477" t="s">
        <v>431</v>
      </c>
      <c r="K477" t="s">
        <v>38</v>
      </c>
      <c r="L477" t="s">
        <v>39</v>
      </c>
      <c r="M477" t="s">
        <v>478</v>
      </c>
      <c r="N477" t="s">
        <v>55</v>
      </c>
      <c r="O477" t="s">
        <v>76</v>
      </c>
      <c r="P477" t="s">
        <v>33</v>
      </c>
      <c r="Q477">
        <v>2</v>
      </c>
      <c r="R477" s="1">
        <v>2.5462962962962961E-4</v>
      </c>
      <c r="S477" s="1">
        <v>1.50462962962963E-4</v>
      </c>
    </row>
    <row r="478" spans="1:19" x14ac:dyDescent="0.35">
      <c r="A478" t="s">
        <v>20</v>
      </c>
      <c r="B478">
        <v>17643</v>
      </c>
      <c r="C478" t="s">
        <v>426</v>
      </c>
      <c r="D478" t="s">
        <v>427</v>
      </c>
      <c r="E478" t="s">
        <v>300</v>
      </c>
      <c r="F478" t="s">
        <v>479</v>
      </c>
      <c r="G478" t="s">
        <v>480</v>
      </c>
      <c r="H478" t="s">
        <v>481</v>
      </c>
      <c r="I478" t="s">
        <v>431</v>
      </c>
      <c r="K478" t="s">
        <v>46</v>
      </c>
      <c r="L478" t="s">
        <v>47</v>
      </c>
      <c r="M478" t="s">
        <v>48</v>
      </c>
      <c r="N478" t="s">
        <v>49</v>
      </c>
      <c r="O478" t="s">
        <v>76</v>
      </c>
      <c r="P478" t="s">
        <v>33</v>
      </c>
      <c r="Q478">
        <v>0</v>
      </c>
      <c r="R478" s="1">
        <v>1.157407407407407E-4</v>
      </c>
      <c r="S478" s="1">
        <v>1.157407407407407E-5</v>
      </c>
    </row>
    <row r="479" spans="1:19" x14ac:dyDescent="0.35">
      <c r="A479" t="s">
        <v>20</v>
      </c>
      <c r="B479">
        <v>17643</v>
      </c>
      <c r="C479" t="s">
        <v>426</v>
      </c>
      <c r="D479" t="s">
        <v>427</v>
      </c>
      <c r="E479" t="s">
        <v>304</v>
      </c>
      <c r="F479" t="s">
        <v>482</v>
      </c>
      <c r="G479" t="s">
        <v>483</v>
      </c>
      <c r="H479" t="s">
        <v>484</v>
      </c>
      <c r="I479" t="s">
        <v>431</v>
      </c>
      <c r="K479" t="s">
        <v>46</v>
      </c>
      <c r="L479" t="s">
        <v>54</v>
      </c>
      <c r="M479" t="s">
        <v>48</v>
      </c>
      <c r="N479" t="s">
        <v>55</v>
      </c>
      <c r="O479" t="s">
        <v>76</v>
      </c>
      <c r="P479" t="s">
        <v>33</v>
      </c>
      <c r="Q479">
        <v>0</v>
      </c>
      <c r="R479" s="1">
        <v>1.851851851851852E-4</v>
      </c>
      <c r="S479" s="1">
        <v>8.1018518518518516E-5</v>
      </c>
    </row>
    <row r="480" spans="1:19" x14ac:dyDescent="0.35">
      <c r="A480" t="s">
        <v>20</v>
      </c>
      <c r="B480">
        <v>17643</v>
      </c>
      <c r="C480" t="s">
        <v>426</v>
      </c>
      <c r="D480" t="s">
        <v>427</v>
      </c>
      <c r="E480" t="s">
        <v>308</v>
      </c>
      <c r="F480" t="s">
        <v>485</v>
      </c>
      <c r="G480" t="s">
        <v>486</v>
      </c>
      <c r="H480" t="s">
        <v>487</v>
      </c>
      <c r="I480" t="s">
        <v>431</v>
      </c>
      <c r="K480" t="s">
        <v>38</v>
      </c>
      <c r="L480" t="s">
        <v>54</v>
      </c>
      <c r="M480" t="s">
        <v>478</v>
      </c>
      <c r="N480" t="s">
        <v>67</v>
      </c>
      <c r="O480" t="s">
        <v>56</v>
      </c>
      <c r="P480" t="s">
        <v>33</v>
      </c>
      <c r="Q480">
        <v>0</v>
      </c>
      <c r="R480" s="1">
        <v>1.273148148148148E-4</v>
      </c>
      <c r="S480" s="1">
        <v>2.314814814814815E-5</v>
      </c>
    </row>
    <row r="481" spans="1:19" x14ac:dyDescent="0.35">
      <c r="A481" t="s">
        <v>20</v>
      </c>
      <c r="B481">
        <v>17643</v>
      </c>
      <c r="C481" t="s">
        <v>426</v>
      </c>
      <c r="D481" t="s">
        <v>427</v>
      </c>
      <c r="E481" t="s">
        <v>312</v>
      </c>
      <c r="F481" t="s">
        <v>488</v>
      </c>
      <c r="G481" t="s">
        <v>489</v>
      </c>
      <c r="H481" t="s">
        <v>490</v>
      </c>
      <c r="I481" t="s">
        <v>431</v>
      </c>
      <c r="K481" t="s">
        <v>38</v>
      </c>
      <c r="L481" t="s">
        <v>85</v>
      </c>
      <c r="M481" t="s">
        <v>478</v>
      </c>
      <c r="N481" t="s">
        <v>67</v>
      </c>
      <c r="O481" t="s">
        <v>56</v>
      </c>
      <c r="P481" t="s">
        <v>33</v>
      </c>
      <c r="Q481">
        <v>0</v>
      </c>
      <c r="R481" s="1">
        <v>2.199074074074074E-4</v>
      </c>
      <c r="S481" s="1">
        <v>1.157407407407407E-4</v>
      </c>
    </row>
    <row r="482" spans="1:19" x14ac:dyDescent="0.35">
      <c r="A482" t="s">
        <v>20</v>
      </c>
      <c r="B482">
        <v>17643</v>
      </c>
      <c r="C482" t="s">
        <v>426</v>
      </c>
      <c r="D482" t="s">
        <v>427</v>
      </c>
      <c r="E482" t="s">
        <v>316</v>
      </c>
      <c r="F482" t="s">
        <v>491</v>
      </c>
      <c r="G482" t="s">
        <v>492</v>
      </c>
      <c r="H482" t="s">
        <v>493</v>
      </c>
      <c r="I482" t="s">
        <v>431</v>
      </c>
      <c r="K482" t="s">
        <v>61</v>
      </c>
      <c r="L482" t="s">
        <v>62</v>
      </c>
      <c r="M482" t="s">
        <v>40</v>
      </c>
      <c r="N482" t="s">
        <v>55</v>
      </c>
      <c r="O482" t="s">
        <v>32</v>
      </c>
      <c r="P482" t="s">
        <v>33</v>
      </c>
      <c r="Q482">
        <v>6</v>
      </c>
      <c r="R482" s="1">
        <v>4.7453703703703698E-4</v>
      </c>
      <c r="S482" s="1">
        <v>3.7037037037037041E-4</v>
      </c>
    </row>
    <row r="483" spans="1:19" x14ac:dyDescent="0.35">
      <c r="A483" t="s">
        <v>20</v>
      </c>
      <c r="B483">
        <v>17643</v>
      </c>
      <c r="C483" t="s">
        <v>426</v>
      </c>
      <c r="D483" t="s">
        <v>427</v>
      </c>
      <c r="E483" t="s">
        <v>320</v>
      </c>
      <c r="F483" t="s">
        <v>494</v>
      </c>
      <c r="G483" t="s">
        <v>495</v>
      </c>
      <c r="H483" t="s">
        <v>496</v>
      </c>
      <c r="I483" t="s">
        <v>431</v>
      </c>
      <c r="K483" t="s">
        <v>28</v>
      </c>
      <c r="L483" t="s">
        <v>47</v>
      </c>
      <c r="M483" t="s">
        <v>48</v>
      </c>
      <c r="N483" t="s">
        <v>41</v>
      </c>
      <c r="O483" t="s">
        <v>76</v>
      </c>
      <c r="P483" t="s">
        <v>33</v>
      </c>
      <c r="Q483">
        <v>0</v>
      </c>
      <c r="R483" s="1">
        <v>9.2592592592592588E-5</v>
      </c>
      <c r="S483" s="1">
        <v>0</v>
      </c>
    </row>
    <row r="484" spans="1:19" x14ac:dyDescent="0.35">
      <c r="A484" t="s">
        <v>20</v>
      </c>
      <c r="B484">
        <v>17643</v>
      </c>
      <c r="C484" t="s">
        <v>426</v>
      </c>
      <c r="D484" t="s">
        <v>427</v>
      </c>
      <c r="E484" t="s">
        <v>324</v>
      </c>
      <c r="F484" t="s">
        <v>497</v>
      </c>
      <c r="G484" t="s">
        <v>498</v>
      </c>
      <c r="H484" t="s">
        <v>499</v>
      </c>
      <c r="I484" t="s">
        <v>431</v>
      </c>
      <c r="K484" t="s">
        <v>28</v>
      </c>
      <c r="L484" t="s">
        <v>62</v>
      </c>
      <c r="M484" t="s">
        <v>48</v>
      </c>
      <c r="N484" t="s">
        <v>55</v>
      </c>
      <c r="O484" t="s">
        <v>76</v>
      </c>
      <c r="P484" t="s">
        <v>33</v>
      </c>
      <c r="Q484">
        <v>0</v>
      </c>
      <c r="R484" s="1">
        <v>2.3148148148148149E-4</v>
      </c>
      <c r="S484" s="1">
        <v>1.273148148148148E-4</v>
      </c>
    </row>
    <row r="485" spans="1:19" x14ac:dyDescent="0.35">
      <c r="A485" t="s">
        <v>20</v>
      </c>
      <c r="B485">
        <v>17643</v>
      </c>
      <c r="C485" t="s">
        <v>426</v>
      </c>
      <c r="D485" t="s">
        <v>427</v>
      </c>
      <c r="E485" t="s">
        <v>328</v>
      </c>
      <c r="F485" t="s">
        <v>500</v>
      </c>
      <c r="G485" t="s">
        <v>501</v>
      </c>
      <c r="H485" t="s">
        <v>502</v>
      </c>
      <c r="I485" t="s">
        <v>431</v>
      </c>
      <c r="K485" t="s">
        <v>46</v>
      </c>
      <c r="L485" t="s">
        <v>54</v>
      </c>
      <c r="M485" t="s">
        <v>48</v>
      </c>
      <c r="N485" t="s">
        <v>67</v>
      </c>
      <c r="O485" t="s">
        <v>76</v>
      </c>
      <c r="P485" t="s">
        <v>33</v>
      </c>
      <c r="Q485">
        <v>2</v>
      </c>
      <c r="R485" s="1">
        <v>2.8935185185185178E-4</v>
      </c>
      <c r="S485" s="1">
        <v>1.851851851851852E-4</v>
      </c>
    </row>
    <row r="486" spans="1:19" x14ac:dyDescent="0.35">
      <c r="A486" t="s">
        <v>20</v>
      </c>
      <c r="B486">
        <v>17643</v>
      </c>
      <c r="C486" t="s">
        <v>426</v>
      </c>
      <c r="D486" t="s">
        <v>427</v>
      </c>
      <c r="E486" t="s">
        <v>332</v>
      </c>
      <c r="F486" t="s">
        <v>503</v>
      </c>
      <c r="G486" t="s">
        <v>504</v>
      </c>
      <c r="H486" t="s">
        <v>505</v>
      </c>
      <c r="I486" t="s">
        <v>431</v>
      </c>
      <c r="K486" t="s">
        <v>28</v>
      </c>
      <c r="L486" t="s">
        <v>62</v>
      </c>
      <c r="M486" t="s">
        <v>40</v>
      </c>
      <c r="N486" t="s">
        <v>67</v>
      </c>
      <c r="O486" t="s">
        <v>32</v>
      </c>
      <c r="P486" t="s">
        <v>33</v>
      </c>
      <c r="Q486">
        <v>4</v>
      </c>
      <c r="R486" s="1">
        <v>3.7037037037037041E-4</v>
      </c>
      <c r="S486" s="1">
        <v>2.6620370370370372E-4</v>
      </c>
    </row>
    <row r="487" spans="1:19" x14ac:dyDescent="0.35">
      <c r="A487" t="s">
        <v>20</v>
      </c>
      <c r="B487">
        <v>17643</v>
      </c>
      <c r="C487" t="s">
        <v>426</v>
      </c>
      <c r="D487" t="s">
        <v>427</v>
      </c>
      <c r="E487" t="s">
        <v>336</v>
      </c>
      <c r="F487" t="s">
        <v>506</v>
      </c>
      <c r="G487" t="s">
        <v>507</v>
      </c>
      <c r="H487" t="s">
        <v>508</v>
      </c>
      <c r="I487" t="s">
        <v>431</v>
      </c>
      <c r="K487" t="s">
        <v>61</v>
      </c>
      <c r="L487" t="s">
        <v>62</v>
      </c>
      <c r="M487" t="s">
        <v>30</v>
      </c>
      <c r="N487" t="s">
        <v>55</v>
      </c>
      <c r="O487" t="s">
        <v>76</v>
      </c>
      <c r="P487" t="s">
        <v>33</v>
      </c>
      <c r="Q487">
        <v>0</v>
      </c>
      <c r="R487" s="1">
        <v>1.7361111111111109E-4</v>
      </c>
      <c r="S487" s="1">
        <v>6.9444444444444444E-5</v>
      </c>
    </row>
    <row r="488" spans="1:19" x14ac:dyDescent="0.35">
      <c r="A488" t="s">
        <v>20</v>
      </c>
      <c r="B488">
        <v>17643</v>
      </c>
      <c r="C488" t="s">
        <v>426</v>
      </c>
      <c r="D488" t="s">
        <v>427</v>
      </c>
      <c r="E488" t="s">
        <v>340</v>
      </c>
      <c r="F488" t="s">
        <v>509</v>
      </c>
      <c r="G488" t="s">
        <v>510</v>
      </c>
      <c r="H488" t="s">
        <v>511</v>
      </c>
      <c r="I488" t="s">
        <v>431</v>
      </c>
      <c r="K488" t="s">
        <v>28</v>
      </c>
      <c r="L488" t="s">
        <v>62</v>
      </c>
      <c r="M488" t="s">
        <v>40</v>
      </c>
      <c r="N488" t="s">
        <v>55</v>
      </c>
      <c r="O488" t="s">
        <v>76</v>
      </c>
      <c r="P488" t="s">
        <v>33</v>
      </c>
      <c r="Q488">
        <v>0</v>
      </c>
      <c r="R488" s="1">
        <v>1.041666666666667E-4</v>
      </c>
      <c r="S488" s="1">
        <v>0</v>
      </c>
    </row>
    <row r="489" spans="1:19" x14ac:dyDescent="0.35">
      <c r="A489" t="s">
        <v>20</v>
      </c>
      <c r="B489">
        <v>17643</v>
      </c>
      <c r="C489" t="s">
        <v>426</v>
      </c>
      <c r="D489" t="s">
        <v>427</v>
      </c>
      <c r="E489" t="s">
        <v>344</v>
      </c>
      <c r="F489" t="s">
        <v>512</v>
      </c>
      <c r="G489" t="s">
        <v>513</v>
      </c>
      <c r="H489" t="s">
        <v>514</v>
      </c>
      <c r="I489" t="s">
        <v>431</v>
      </c>
      <c r="K489" t="s">
        <v>61</v>
      </c>
      <c r="L489" t="s">
        <v>62</v>
      </c>
      <c r="M489" t="s">
        <v>30</v>
      </c>
      <c r="N489" t="s">
        <v>55</v>
      </c>
      <c r="O489" t="s">
        <v>76</v>
      </c>
      <c r="P489" t="s">
        <v>33</v>
      </c>
      <c r="Q489">
        <v>6</v>
      </c>
      <c r="R489" s="1">
        <v>5.3240740740740744E-4</v>
      </c>
      <c r="S489" s="1">
        <v>4.2824074074074081E-4</v>
      </c>
    </row>
    <row r="490" spans="1:19" x14ac:dyDescent="0.35">
      <c r="A490" t="s">
        <v>20</v>
      </c>
      <c r="B490">
        <v>17643</v>
      </c>
      <c r="C490" t="s">
        <v>426</v>
      </c>
      <c r="D490" t="s">
        <v>427</v>
      </c>
      <c r="E490" t="s">
        <v>348</v>
      </c>
      <c r="F490" t="s">
        <v>515</v>
      </c>
      <c r="G490" t="s">
        <v>516</v>
      </c>
      <c r="H490" t="s">
        <v>517</v>
      </c>
      <c r="I490" t="s">
        <v>431</v>
      </c>
      <c r="K490" t="s">
        <v>38</v>
      </c>
      <c r="L490" t="s">
        <v>287</v>
      </c>
      <c r="M490" t="s">
        <v>48</v>
      </c>
      <c r="N490" t="s">
        <v>41</v>
      </c>
      <c r="O490" t="s">
        <v>56</v>
      </c>
      <c r="P490" t="s">
        <v>33</v>
      </c>
      <c r="Q490">
        <v>10</v>
      </c>
      <c r="R490" s="1">
        <v>8.2175925925925927E-4</v>
      </c>
      <c r="S490" s="1">
        <v>7.1759259259259259E-4</v>
      </c>
    </row>
    <row r="491" spans="1:19" x14ac:dyDescent="0.35">
      <c r="A491" t="s">
        <v>20</v>
      </c>
      <c r="B491">
        <v>17643</v>
      </c>
      <c r="C491" t="s">
        <v>426</v>
      </c>
      <c r="D491" t="s">
        <v>427</v>
      </c>
      <c r="E491" t="s">
        <v>352</v>
      </c>
      <c r="F491" t="s">
        <v>518</v>
      </c>
      <c r="G491" t="s">
        <v>519</v>
      </c>
      <c r="H491" t="s">
        <v>520</v>
      </c>
      <c r="I491" t="s">
        <v>431</v>
      </c>
      <c r="K491" t="s">
        <v>28</v>
      </c>
      <c r="L491" t="s">
        <v>47</v>
      </c>
      <c r="M491" t="s">
        <v>30</v>
      </c>
      <c r="N491" t="s">
        <v>41</v>
      </c>
      <c r="O491" t="s">
        <v>76</v>
      </c>
      <c r="P491" t="s">
        <v>33</v>
      </c>
      <c r="Q491">
        <v>4</v>
      </c>
      <c r="R491" s="1">
        <v>3.9351851851851852E-4</v>
      </c>
      <c r="S491" s="1">
        <v>2.8935185185185178E-4</v>
      </c>
    </row>
    <row r="492" spans="1:19" x14ac:dyDescent="0.35">
      <c r="A492" t="s">
        <v>20</v>
      </c>
      <c r="B492">
        <v>17643</v>
      </c>
      <c r="C492" t="s">
        <v>426</v>
      </c>
      <c r="D492" t="s">
        <v>427</v>
      </c>
      <c r="E492" t="s">
        <v>356</v>
      </c>
      <c r="F492" t="s">
        <v>521</v>
      </c>
      <c r="G492" t="s">
        <v>522</v>
      </c>
      <c r="H492" t="s">
        <v>523</v>
      </c>
      <c r="I492" t="s">
        <v>431</v>
      </c>
      <c r="K492" t="s">
        <v>46</v>
      </c>
      <c r="L492" t="s">
        <v>62</v>
      </c>
      <c r="M492" t="s">
        <v>48</v>
      </c>
      <c r="N492" t="s">
        <v>55</v>
      </c>
      <c r="O492" t="s">
        <v>76</v>
      </c>
      <c r="P492" t="s">
        <v>33</v>
      </c>
      <c r="Q492">
        <v>0</v>
      </c>
      <c r="R492" s="1">
        <v>1.9675925925925929E-4</v>
      </c>
      <c r="S492" s="1">
        <v>9.2592592592592588E-5</v>
      </c>
    </row>
    <row r="493" spans="1:19" x14ac:dyDescent="0.35">
      <c r="A493" t="s">
        <v>20</v>
      </c>
      <c r="B493">
        <v>17643</v>
      </c>
      <c r="C493" t="s">
        <v>426</v>
      </c>
      <c r="D493" t="s">
        <v>427</v>
      </c>
      <c r="E493" t="s">
        <v>360</v>
      </c>
      <c r="F493" t="s">
        <v>524</v>
      </c>
      <c r="G493" t="s">
        <v>525</v>
      </c>
      <c r="H493" t="s">
        <v>526</v>
      </c>
      <c r="I493" t="s">
        <v>431</v>
      </c>
      <c r="K493" t="s">
        <v>38</v>
      </c>
      <c r="L493" t="s">
        <v>181</v>
      </c>
      <c r="M493" t="s">
        <v>478</v>
      </c>
      <c r="N493" t="s">
        <v>115</v>
      </c>
      <c r="O493" t="s">
        <v>32</v>
      </c>
      <c r="P493" t="s">
        <v>33</v>
      </c>
      <c r="Q493">
        <v>2</v>
      </c>
      <c r="R493" s="1">
        <v>3.3564814814814812E-4</v>
      </c>
      <c r="S493" s="1">
        <v>2.3148148148148149E-4</v>
      </c>
    </row>
    <row r="494" spans="1:19" x14ac:dyDescent="0.35">
      <c r="A494" t="s">
        <v>20</v>
      </c>
      <c r="B494">
        <v>17643</v>
      </c>
      <c r="C494" t="s">
        <v>426</v>
      </c>
      <c r="D494" t="s">
        <v>427</v>
      </c>
      <c r="E494" t="s">
        <v>364</v>
      </c>
      <c r="F494" t="s">
        <v>527</v>
      </c>
      <c r="G494" t="s">
        <v>528</v>
      </c>
      <c r="H494" t="s">
        <v>529</v>
      </c>
      <c r="I494" t="s">
        <v>431</v>
      </c>
      <c r="K494" t="s">
        <v>28</v>
      </c>
      <c r="L494" t="s">
        <v>62</v>
      </c>
      <c r="M494" t="s">
        <v>40</v>
      </c>
      <c r="N494" t="s">
        <v>67</v>
      </c>
      <c r="O494" t="s">
        <v>76</v>
      </c>
      <c r="P494" t="s">
        <v>33</v>
      </c>
      <c r="Q494">
        <v>0</v>
      </c>
      <c r="R494" s="1">
        <v>1.9675925925925929E-4</v>
      </c>
      <c r="S494" s="1">
        <v>9.2592592592592588E-5</v>
      </c>
    </row>
    <row r="495" spans="1:19" x14ac:dyDescent="0.35">
      <c r="A495" t="s">
        <v>20</v>
      </c>
      <c r="B495">
        <v>17643</v>
      </c>
      <c r="C495" t="s">
        <v>426</v>
      </c>
      <c r="D495" t="s">
        <v>427</v>
      </c>
      <c r="E495" t="s">
        <v>368</v>
      </c>
      <c r="F495" t="s">
        <v>530</v>
      </c>
      <c r="G495" t="s">
        <v>531</v>
      </c>
      <c r="H495" t="s">
        <v>532</v>
      </c>
      <c r="I495" t="s">
        <v>431</v>
      </c>
      <c r="K495" t="s">
        <v>61</v>
      </c>
      <c r="L495" t="s">
        <v>62</v>
      </c>
      <c r="M495" t="s">
        <v>30</v>
      </c>
      <c r="N495" t="s">
        <v>55</v>
      </c>
      <c r="O495" t="s">
        <v>76</v>
      </c>
      <c r="P495" t="s">
        <v>33</v>
      </c>
      <c r="Q495">
        <v>0</v>
      </c>
      <c r="R495" s="1">
        <v>1.7361111111111109E-4</v>
      </c>
      <c r="S495" s="1">
        <v>6.9444444444444444E-5</v>
      </c>
    </row>
    <row r="496" spans="1:19" x14ac:dyDescent="0.35">
      <c r="A496" t="s">
        <v>20</v>
      </c>
      <c r="B496">
        <v>17643</v>
      </c>
      <c r="C496" t="s">
        <v>426</v>
      </c>
      <c r="D496" t="s">
        <v>427</v>
      </c>
      <c r="E496" t="s">
        <v>372</v>
      </c>
      <c r="F496" t="s">
        <v>533</v>
      </c>
      <c r="G496" t="s">
        <v>534</v>
      </c>
      <c r="H496" t="s">
        <v>535</v>
      </c>
      <c r="I496" t="s">
        <v>431</v>
      </c>
      <c r="K496" t="s">
        <v>61</v>
      </c>
      <c r="L496" t="s">
        <v>62</v>
      </c>
      <c r="M496" t="s">
        <v>30</v>
      </c>
      <c r="N496" t="s">
        <v>67</v>
      </c>
      <c r="O496" t="s">
        <v>76</v>
      </c>
      <c r="P496" t="s">
        <v>33</v>
      </c>
      <c r="Q496">
        <v>12</v>
      </c>
      <c r="R496" s="1">
        <v>7.8703703703703705E-4</v>
      </c>
      <c r="S496" s="1">
        <v>6.8287037037037036E-4</v>
      </c>
    </row>
    <row r="497" spans="1:19" x14ac:dyDescent="0.35">
      <c r="A497" t="s">
        <v>20</v>
      </c>
      <c r="B497">
        <v>17643</v>
      </c>
      <c r="C497" t="s">
        <v>426</v>
      </c>
      <c r="D497" t="s">
        <v>427</v>
      </c>
      <c r="E497" t="s">
        <v>376</v>
      </c>
      <c r="F497" t="s">
        <v>536</v>
      </c>
      <c r="G497" t="s">
        <v>537</v>
      </c>
      <c r="H497" t="s">
        <v>538</v>
      </c>
      <c r="I497" t="s">
        <v>431</v>
      </c>
      <c r="K497" t="s">
        <v>61</v>
      </c>
      <c r="L497" t="s">
        <v>54</v>
      </c>
      <c r="M497" t="s">
        <v>30</v>
      </c>
      <c r="N497" t="s">
        <v>55</v>
      </c>
      <c r="O497" t="s">
        <v>56</v>
      </c>
      <c r="P497" t="s">
        <v>33</v>
      </c>
      <c r="Q497">
        <v>0</v>
      </c>
      <c r="R497" s="1">
        <v>3.1250000000000001E-4</v>
      </c>
      <c r="S497" s="1">
        <v>2.0833333333333329E-4</v>
      </c>
    </row>
    <row r="498" spans="1:19" x14ac:dyDescent="0.35">
      <c r="A498" t="s">
        <v>20</v>
      </c>
      <c r="B498">
        <v>17643</v>
      </c>
      <c r="C498" t="s">
        <v>426</v>
      </c>
      <c r="D498" t="s">
        <v>427</v>
      </c>
      <c r="E498" t="s">
        <v>380</v>
      </c>
      <c r="F498" t="s">
        <v>539</v>
      </c>
      <c r="G498" t="s">
        <v>540</v>
      </c>
      <c r="H498" t="s">
        <v>541</v>
      </c>
      <c r="I498" t="s">
        <v>431</v>
      </c>
      <c r="K498" t="s">
        <v>61</v>
      </c>
      <c r="L498" t="s">
        <v>54</v>
      </c>
      <c r="M498" t="s">
        <v>30</v>
      </c>
      <c r="N498" t="s">
        <v>31</v>
      </c>
      <c r="O498" t="s">
        <v>56</v>
      </c>
      <c r="P498" t="s">
        <v>33</v>
      </c>
      <c r="Q498">
        <v>16</v>
      </c>
      <c r="R498" s="1">
        <v>7.0601851851851847E-4</v>
      </c>
      <c r="S498" s="1">
        <v>6.018518518518519E-4</v>
      </c>
    </row>
    <row r="499" spans="1:19" x14ac:dyDescent="0.35">
      <c r="A499" t="s">
        <v>20</v>
      </c>
      <c r="B499">
        <v>17643</v>
      </c>
      <c r="C499" t="s">
        <v>426</v>
      </c>
      <c r="D499" t="s">
        <v>427</v>
      </c>
      <c r="E499" t="s">
        <v>383</v>
      </c>
      <c r="F499" t="s">
        <v>542</v>
      </c>
      <c r="G499" t="s">
        <v>543</v>
      </c>
      <c r="H499" t="s">
        <v>544</v>
      </c>
      <c r="I499" t="s">
        <v>431</v>
      </c>
      <c r="K499" t="s">
        <v>38</v>
      </c>
      <c r="L499" t="s">
        <v>39</v>
      </c>
      <c r="M499" t="s">
        <v>478</v>
      </c>
      <c r="N499" t="s">
        <v>115</v>
      </c>
      <c r="O499" t="s">
        <v>56</v>
      </c>
      <c r="P499" t="s">
        <v>33</v>
      </c>
      <c r="Q499">
        <v>8</v>
      </c>
      <c r="R499" s="1">
        <v>4.9768518518518521E-4</v>
      </c>
      <c r="S499" s="1">
        <v>3.9351851851851852E-4</v>
      </c>
    </row>
    <row r="500" spans="1:19" x14ac:dyDescent="0.35">
      <c r="A500" t="s">
        <v>20</v>
      </c>
      <c r="B500">
        <v>17643</v>
      </c>
      <c r="C500" t="s">
        <v>426</v>
      </c>
      <c r="D500" t="s">
        <v>427</v>
      </c>
      <c r="E500" t="s">
        <v>387</v>
      </c>
      <c r="F500" t="s">
        <v>545</v>
      </c>
      <c r="G500" t="s">
        <v>546</v>
      </c>
      <c r="H500" t="s">
        <v>547</v>
      </c>
      <c r="I500" t="s">
        <v>431</v>
      </c>
      <c r="K500" t="s">
        <v>28</v>
      </c>
      <c r="L500" t="s">
        <v>181</v>
      </c>
      <c r="M500" t="s">
        <v>40</v>
      </c>
      <c r="N500" t="s">
        <v>115</v>
      </c>
      <c r="O500" t="s">
        <v>76</v>
      </c>
      <c r="P500" t="s">
        <v>33</v>
      </c>
      <c r="Q500">
        <v>14</v>
      </c>
      <c r="R500" s="1">
        <v>8.4490740740740739E-4</v>
      </c>
      <c r="S500" s="1">
        <v>7.407407407407407E-4</v>
      </c>
    </row>
    <row r="501" spans="1:19" x14ac:dyDescent="0.35">
      <c r="A501" t="s">
        <v>20</v>
      </c>
      <c r="B501">
        <v>17643</v>
      </c>
      <c r="C501" t="s">
        <v>426</v>
      </c>
      <c r="D501" t="s">
        <v>427</v>
      </c>
      <c r="E501" t="s">
        <v>391</v>
      </c>
      <c r="F501" t="s">
        <v>548</v>
      </c>
      <c r="G501" t="s">
        <v>549</v>
      </c>
      <c r="H501" t="s">
        <v>550</v>
      </c>
      <c r="I501" t="s">
        <v>431</v>
      </c>
      <c r="K501" t="s">
        <v>38</v>
      </c>
      <c r="L501" t="s">
        <v>47</v>
      </c>
      <c r="M501" t="s">
        <v>48</v>
      </c>
      <c r="N501" t="s">
        <v>67</v>
      </c>
      <c r="O501" t="s">
        <v>76</v>
      </c>
      <c r="P501" t="s">
        <v>33</v>
      </c>
      <c r="Q501">
        <v>8</v>
      </c>
      <c r="R501" s="1">
        <v>5.7870370370370367E-4</v>
      </c>
      <c r="S501" s="1">
        <v>4.7453703703703698E-4</v>
      </c>
    </row>
    <row r="502" spans="1:19" x14ac:dyDescent="0.35">
      <c r="A502" t="s">
        <v>20</v>
      </c>
      <c r="B502">
        <v>17643</v>
      </c>
      <c r="C502" t="s">
        <v>426</v>
      </c>
      <c r="D502" t="s">
        <v>427</v>
      </c>
      <c r="E502" t="s">
        <v>394</v>
      </c>
      <c r="F502" t="s">
        <v>551</v>
      </c>
      <c r="G502" t="s">
        <v>552</v>
      </c>
      <c r="H502" t="s">
        <v>553</v>
      </c>
      <c r="I502" t="s">
        <v>431</v>
      </c>
      <c r="K502" t="s">
        <v>46</v>
      </c>
      <c r="L502" t="s">
        <v>181</v>
      </c>
      <c r="M502" t="s">
        <v>48</v>
      </c>
      <c r="N502" t="s">
        <v>55</v>
      </c>
      <c r="O502" t="s">
        <v>32</v>
      </c>
      <c r="P502" t="s">
        <v>33</v>
      </c>
      <c r="Q502">
        <v>2</v>
      </c>
      <c r="R502" s="1">
        <v>3.3564814814814812E-4</v>
      </c>
      <c r="S502" s="1">
        <v>2.3148148148148149E-4</v>
      </c>
    </row>
    <row r="503" spans="1:19" x14ac:dyDescent="0.35">
      <c r="A503" t="s">
        <v>20</v>
      </c>
      <c r="B503">
        <v>17643</v>
      </c>
      <c r="C503" t="s">
        <v>426</v>
      </c>
      <c r="D503" t="s">
        <v>427</v>
      </c>
      <c r="E503" t="s">
        <v>23</v>
      </c>
      <c r="F503" t="s">
        <v>554</v>
      </c>
      <c r="G503" t="s">
        <v>555</v>
      </c>
      <c r="H503" t="s">
        <v>556</v>
      </c>
      <c r="I503" t="s">
        <v>557</v>
      </c>
      <c r="K503" t="s">
        <v>28</v>
      </c>
      <c r="L503" t="s">
        <v>47</v>
      </c>
      <c r="M503" t="s">
        <v>40</v>
      </c>
      <c r="N503" t="s">
        <v>41</v>
      </c>
      <c r="O503" t="s">
        <v>56</v>
      </c>
      <c r="P503" t="s">
        <v>33</v>
      </c>
      <c r="Q503">
        <v>2</v>
      </c>
      <c r="R503" s="1">
        <v>2.6620370370370372E-4</v>
      </c>
      <c r="S503" s="1">
        <v>1.6203703703703701E-4</v>
      </c>
    </row>
    <row r="504" spans="1:19" x14ac:dyDescent="0.35">
      <c r="A504" t="s">
        <v>20</v>
      </c>
      <c r="B504">
        <v>17643</v>
      </c>
      <c r="C504" t="s">
        <v>426</v>
      </c>
      <c r="D504" t="s">
        <v>427</v>
      </c>
      <c r="E504" t="s">
        <v>34</v>
      </c>
      <c r="F504" t="s">
        <v>558</v>
      </c>
      <c r="G504" t="s">
        <v>559</v>
      </c>
      <c r="H504" t="s">
        <v>560</v>
      </c>
      <c r="I504" t="s">
        <v>557</v>
      </c>
      <c r="K504" t="s">
        <v>28</v>
      </c>
      <c r="L504" t="s">
        <v>47</v>
      </c>
      <c r="M504" t="s">
        <v>40</v>
      </c>
      <c r="N504" t="s">
        <v>115</v>
      </c>
      <c r="O504" t="s">
        <v>76</v>
      </c>
      <c r="P504" t="s">
        <v>33</v>
      </c>
      <c r="Q504">
        <v>0</v>
      </c>
      <c r="R504" s="1">
        <v>1.273148148148148E-4</v>
      </c>
      <c r="S504" s="1">
        <v>2.314814814814815E-5</v>
      </c>
    </row>
    <row r="505" spans="1:19" x14ac:dyDescent="0.35">
      <c r="A505" t="s">
        <v>20</v>
      </c>
      <c r="B505">
        <v>17643</v>
      </c>
      <c r="C505" t="s">
        <v>426</v>
      </c>
      <c r="D505" t="s">
        <v>427</v>
      </c>
      <c r="E505" t="s">
        <v>42</v>
      </c>
      <c r="F505" t="s">
        <v>561</v>
      </c>
      <c r="G505" t="s">
        <v>562</v>
      </c>
      <c r="H505" t="s">
        <v>563</v>
      </c>
      <c r="I505" t="s">
        <v>557</v>
      </c>
      <c r="K505" t="s">
        <v>46</v>
      </c>
      <c r="L505" t="s">
        <v>29</v>
      </c>
      <c r="M505" t="s">
        <v>30</v>
      </c>
      <c r="N505" t="s">
        <v>41</v>
      </c>
      <c r="O505" t="s">
        <v>56</v>
      </c>
      <c r="P505" t="s">
        <v>33</v>
      </c>
      <c r="Q505">
        <v>2</v>
      </c>
      <c r="R505" s="1">
        <v>2.5462962962962961E-4</v>
      </c>
      <c r="S505" s="1">
        <v>1.50462962962963E-4</v>
      </c>
    </row>
    <row r="506" spans="1:19" x14ac:dyDescent="0.35">
      <c r="A506" t="s">
        <v>20</v>
      </c>
      <c r="B506">
        <v>17643</v>
      </c>
      <c r="C506" t="s">
        <v>426</v>
      </c>
      <c r="D506" t="s">
        <v>427</v>
      </c>
      <c r="E506" t="s">
        <v>50</v>
      </c>
      <c r="F506" t="s">
        <v>564</v>
      </c>
      <c r="G506" t="s">
        <v>565</v>
      </c>
      <c r="H506" t="s">
        <v>566</v>
      </c>
      <c r="I506" t="s">
        <v>557</v>
      </c>
      <c r="K506" t="s">
        <v>46</v>
      </c>
      <c r="L506" t="s">
        <v>29</v>
      </c>
      <c r="M506" t="s">
        <v>40</v>
      </c>
      <c r="N506" t="s">
        <v>41</v>
      </c>
      <c r="O506" t="s">
        <v>76</v>
      </c>
      <c r="P506" t="s">
        <v>33</v>
      </c>
      <c r="Q506">
        <v>2</v>
      </c>
      <c r="R506" s="1">
        <v>3.0092592592592589E-4</v>
      </c>
      <c r="S506" s="1">
        <v>1.9675925925925929E-4</v>
      </c>
    </row>
    <row r="507" spans="1:19" x14ac:dyDescent="0.35">
      <c r="A507" t="s">
        <v>20</v>
      </c>
      <c r="B507">
        <v>17643</v>
      </c>
      <c r="C507" t="s">
        <v>426</v>
      </c>
      <c r="D507" t="s">
        <v>427</v>
      </c>
      <c r="E507" t="s">
        <v>57</v>
      </c>
      <c r="F507" t="s">
        <v>567</v>
      </c>
      <c r="G507" t="s">
        <v>568</v>
      </c>
      <c r="H507" t="s">
        <v>569</v>
      </c>
      <c r="I507" t="s">
        <v>557</v>
      </c>
      <c r="K507" t="s">
        <v>46</v>
      </c>
      <c r="L507" t="s">
        <v>62</v>
      </c>
      <c r="M507" t="s">
        <v>40</v>
      </c>
      <c r="N507" t="s">
        <v>41</v>
      </c>
      <c r="O507" t="s">
        <v>32</v>
      </c>
      <c r="P507" t="s">
        <v>33</v>
      </c>
      <c r="Q507">
        <v>6</v>
      </c>
      <c r="R507" s="1">
        <v>3.8194444444444452E-4</v>
      </c>
      <c r="S507" s="1">
        <v>2.7777777777777778E-4</v>
      </c>
    </row>
    <row r="508" spans="1:19" x14ac:dyDescent="0.35">
      <c r="A508" t="s">
        <v>20</v>
      </c>
      <c r="B508">
        <v>17643</v>
      </c>
      <c r="C508" t="s">
        <v>426</v>
      </c>
      <c r="D508" t="s">
        <v>427</v>
      </c>
      <c r="E508" t="s">
        <v>63</v>
      </c>
      <c r="F508" t="s">
        <v>570</v>
      </c>
      <c r="G508" t="s">
        <v>571</v>
      </c>
      <c r="H508" t="s">
        <v>572</v>
      </c>
      <c r="I508" t="s">
        <v>557</v>
      </c>
      <c r="K508" t="s">
        <v>28</v>
      </c>
      <c r="L508" t="s">
        <v>47</v>
      </c>
      <c r="M508" t="s">
        <v>30</v>
      </c>
      <c r="N508" t="s">
        <v>31</v>
      </c>
      <c r="O508" t="s">
        <v>32</v>
      </c>
      <c r="P508" t="s">
        <v>33</v>
      </c>
      <c r="Q508">
        <v>2</v>
      </c>
      <c r="R508" s="1">
        <v>3.2407407407407412E-4</v>
      </c>
      <c r="S508" s="1">
        <v>2.199074074074074E-4</v>
      </c>
    </row>
    <row r="509" spans="1:19" x14ac:dyDescent="0.35">
      <c r="A509" t="s">
        <v>20</v>
      </c>
      <c r="B509">
        <v>17643</v>
      </c>
      <c r="C509" t="s">
        <v>426</v>
      </c>
      <c r="D509" t="s">
        <v>427</v>
      </c>
      <c r="E509" t="s">
        <v>68</v>
      </c>
      <c r="F509" t="s">
        <v>573</v>
      </c>
      <c r="G509" t="s">
        <v>574</v>
      </c>
      <c r="H509" t="s">
        <v>575</v>
      </c>
      <c r="I509" t="s">
        <v>557</v>
      </c>
      <c r="K509" t="s">
        <v>46</v>
      </c>
      <c r="L509" t="s">
        <v>39</v>
      </c>
      <c r="M509" t="s">
        <v>40</v>
      </c>
      <c r="N509" t="s">
        <v>41</v>
      </c>
      <c r="O509" t="s">
        <v>32</v>
      </c>
      <c r="P509" t="s">
        <v>33</v>
      </c>
      <c r="Q509">
        <v>4</v>
      </c>
      <c r="R509" s="1">
        <v>3.5879629629629629E-4</v>
      </c>
      <c r="S509" s="1">
        <v>2.5462962962962961E-4</v>
      </c>
    </row>
    <row r="510" spans="1:19" x14ac:dyDescent="0.35">
      <c r="A510" t="s">
        <v>20</v>
      </c>
      <c r="B510">
        <v>17643</v>
      </c>
      <c r="C510" t="s">
        <v>426</v>
      </c>
      <c r="D510" t="s">
        <v>427</v>
      </c>
      <c r="E510" t="s">
        <v>72</v>
      </c>
      <c r="F510" t="s">
        <v>576</v>
      </c>
      <c r="G510" t="s">
        <v>577</v>
      </c>
      <c r="H510" t="s">
        <v>578</v>
      </c>
      <c r="I510" t="s">
        <v>557</v>
      </c>
      <c r="K510" t="s">
        <v>46</v>
      </c>
      <c r="L510" t="s">
        <v>54</v>
      </c>
      <c r="M510" t="s">
        <v>30</v>
      </c>
      <c r="N510" t="s">
        <v>67</v>
      </c>
      <c r="O510" t="s">
        <v>76</v>
      </c>
      <c r="P510" t="s">
        <v>33</v>
      </c>
      <c r="Q510">
        <v>6</v>
      </c>
      <c r="R510" s="1">
        <v>6.018518518518519E-4</v>
      </c>
      <c r="S510" s="1">
        <v>4.9768518518518521E-4</v>
      </c>
    </row>
    <row r="511" spans="1:19" x14ac:dyDescent="0.35">
      <c r="A511" t="s">
        <v>20</v>
      </c>
      <c r="B511">
        <v>17643</v>
      </c>
      <c r="C511" t="s">
        <v>426</v>
      </c>
      <c r="D511" t="s">
        <v>427</v>
      </c>
      <c r="E511" t="s">
        <v>77</v>
      </c>
      <c r="F511" t="s">
        <v>579</v>
      </c>
      <c r="G511" t="s">
        <v>580</v>
      </c>
      <c r="H511" t="s">
        <v>581</v>
      </c>
      <c r="I511" t="s">
        <v>557</v>
      </c>
      <c r="K511" t="s">
        <v>61</v>
      </c>
      <c r="L511" t="s">
        <v>85</v>
      </c>
      <c r="M511" t="s">
        <v>30</v>
      </c>
      <c r="N511" t="s">
        <v>31</v>
      </c>
      <c r="O511" t="s">
        <v>32</v>
      </c>
      <c r="P511" t="s">
        <v>33</v>
      </c>
      <c r="Q511">
        <v>0</v>
      </c>
      <c r="R511" s="1">
        <v>3.8194444444444452E-4</v>
      </c>
      <c r="S511" s="1">
        <v>2.7777777777777778E-4</v>
      </c>
    </row>
    <row r="512" spans="1:19" x14ac:dyDescent="0.35">
      <c r="A512" t="s">
        <v>20</v>
      </c>
      <c r="B512">
        <v>17643</v>
      </c>
      <c r="C512" t="s">
        <v>426</v>
      </c>
      <c r="D512" t="s">
        <v>427</v>
      </c>
      <c r="E512" t="s">
        <v>81</v>
      </c>
      <c r="F512" t="s">
        <v>582</v>
      </c>
      <c r="G512" t="s">
        <v>583</v>
      </c>
      <c r="H512" t="s">
        <v>584</v>
      </c>
      <c r="I512" t="s">
        <v>557</v>
      </c>
      <c r="K512" t="s">
        <v>46</v>
      </c>
      <c r="L512" t="s">
        <v>39</v>
      </c>
      <c r="M512" t="s">
        <v>48</v>
      </c>
      <c r="N512" t="s">
        <v>41</v>
      </c>
      <c r="O512" t="s">
        <v>32</v>
      </c>
      <c r="P512" t="s">
        <v>33</v>
      </c>
      <c r="Q512">
        <v>10</v>
      </c>
      <c r="R512" s="1">
        <v>6.8287037037037036E-4</v>
      </c>
      <c r="S512" s="1">
        <v>5.7870370370370367E-4</v>
      </c>
    </row>
    <row r="513" spans="1:19" x14ac:dyDescent="0.35">
      <c r="A513" t="s">
        <v>20</v>
      </c>
      <c r="B513">
        <v>17643</v>
      </c>
      <c r="C513" t="s">
        <v>426</v>
      </c>
      <c r="D513" t="s">
        <v>427</v>
      </c>
      <c r="E513" t="s">
        <v>86</v>
      </c>
      <c r="F513" t="s">
        <v>585</v>
      </c>
      <c r="G513" t="s">
        <v>586</v>
      </c>
      <c r="H513" t="s">
        <v>460</v>
      </c>
      <c r="I513" t="s">
        <v>557</v>
      </c>
      <c r="K513" t="s">
        <v>46</v>
      </c>
      <c r="L513" t="s">
        <v>29</v>
      </c>
      <c r="M513" t="s">
        <v>48</v>
      </c>
      <c r="N513" t="s">
        <v>55</v>
      </c>
      <c r="O513" t="s">
        <v>32</v>
      </c>
      <c r="P513" t="s">
        <v>33</v>
      </c>
      <c r="Q513">
        <v>0</v>
      </c>
      <c r="R513" s="1">
        <v>1.273148148148148E-4</v>
      </c>
      <c r="S513" s="1">
        <v>2.314814814814815E-5</v>
      </c>
    </row>
    <row r="514" spans="1:19" x14ac:dyDescent="0.35">
      <c r="A514" t="s">
        <v>20</v>
      </c>
      <c r="B514">
        <v>17643</v>
      </c>
      <c r="C514" t="s">
        <v>426</v>
      </c>
      <c r="D514" t="s">
        <v>427</v>
      </c>
      <c r="E514" t="s">
        <v>91</v>
      </c>
      <c r="F514" t="s">
        <v>587</v>
      </c>
      <c r="G514" t="s">
        <v>588</v>
      </c>
      <c r="H514" t="s">
        <v>589</v>
      </c>
      <c r="I514" t="s">
        <v>557</v>
      </c>
      <c r="K514" t="s">
        <v>38</v>
      </c>
      <c r="L514" t="s">
        <v>54</v>
      </c>
      <c r="M514" t="s">
        <v>478</v>
      </c>
      <c r="N514" t="s">
        <v>115</v>
      </c>
      <c r="O514" t="s">
        <v>56</v>
      </c>
      <c r="P514" t="s">
        <v>33</v>
      </c>
      <c r="Q514">
        <v>0</v>
      </c>
      <c r="R514" s="1">
        <v>1.9675925925925929E-4</v>
      </c>
      <c r="S514" s="1">
        <v>9.2592592592592588E-5</v>
      </c>
    </row>
    <row r="515" spans="1:19" x14ac:dyDescent="0.35">
      <c r="A515" t="s">
        <v>20</v>
      </c>
      <c r="B515">
        <v>17643</v>
      </c>
      <c r="C515" t="s">
        <v>426</v>
      </c>
      <c r="D515" t="s">
        <v>427</v>
      </c>
      <c r="E515" t="s">
        <v>95</v>
      </c>
      <c r="F515" t="s">
        <v>590</v>
      </c>
      <c r="G515" t="s">
        <v>591</v>
      </c>
      <c r="H515" t="s">
        <v>592</v>
      </c>
      <c r="I515" t="s">
        <v>557</v>
      </c>
      <c r="K515" t="s">
        <v>61</v>
      </c>
      <c r="L515" t="s">
        <v>47</v>
      </c>
      <c r="M515" t="s">
        <v>30</v>
      </c>
      <c r="N515" t="s">
        <v>31</v>
      </c>
      <c r="O515" t="s">
        <v>32</v>
      </c>
      <c r="P515" t="s">
        <v>33</v>
      </c>
      <c r="Q515">
        <v>0</v>
      </c>
      <c r="R515" s="1">
        <v>1.851851851851852E-4</v>
      </c>
      <c r="S515" s="1">
        <v>8.1018518518518516E-5</v>
      </c>
    </row>
    <row r="516" spans="1:19" x14ac:dyDescent="0.35">
      <c r="A516" t="s">
        <v>20</v>
      </c>
      <c r="B516">
        <v>17643</v>
      </c>
      <c r="C516" t="s">
        <v>426</v>
      </c>
      <c r="D516" t="s">
        <v>427</v>
      </c>
      <c r="E516" t="s">
        <v>99</v>
      </c>
      <c r="F516" t="s">
        <v>593</v>
      </c>
      <c r="G516" t="s">
        <v>594</v>
      </c>
      <c r="H516" t="s">
        <v>595</v>
      </c>
      <c r="I516" t="s">
        <v>557</v>
      </c>
      <c r="K516" t="s">
        <v>46</v>
      </c>
      <c r="L516" t="s">
        <v>54</v>
      </c>
      <c r="M516" t="s">
        <v>40</v>
      </c>
      <c r="N516" t="s">
        <v>55</v>
      </c>
      <c r="O516" t="s">
        <v>56</v>
      </c>
      <c r="P516" t="s">
        <v>33</v>
      </c>
      <c r="Q516">
        <v>4</v>
      </c>
      <c r="R516" s="1">
        <v>5.4398148148148144E-4</v>
      </c>
      <c r="S516" s="1">
        <v>4.3981481481481481E-4</v>
      </c>
    </row>
    <row r="517" spans="1:19" x14ac:dyDescent="0.35">
      <c r="A517" t="s">
        <v>20</v>
      </c>
      <c r="B517">
        <v>17643</v>
      </c>
      <c r="C517" t="s">
        <v>426</v>
      </c>
      <c r="D517" t="s">
        <v>427</v>
      </c>
      <c r="E517" t="s">
        <v>103</v>
      </c>
      <c r="F517" t="s">
        <v>596</v>
      </c>
      <c r="G517" t="s">
        <v>597</v>
      </c>
      <c r="H517" t="s">
        <v>598</v>
      </c>
      <c r="I517" t="s">
        <v>557</v>
      </c>
      <c r="K517" t="s">
        <v>28</v>
      </c>
      <c r="L517" t="s">
        <v>54</v>
      </c>
      <c r="M517" t="s">
        <v>30</v>
      </c>
      <c r="N517" t="s">
        <v>67</v>
      </c>
      <c r="O517" t="s">
        <v>56</v>
      </c>
      <c r="P517" t="s">
        <v>33</v>
      </c>
      <c r="Q517">
        <v>18</v>
      </c>
      <c r="R517" s="1">
        <v>7.7546296296296293E-4</v>
      </c>
      <c r="S517" s="1">
        <v>6.7129629629629625E-4</v>
      </c>
    </row>
    <row r="518" spans="1:19" x14ac:dyDescent="0.35">
      <c r="A518" t="s">
        <v>20</v>
      </c>
      <c r="B518">
        <v>17643</v>
      </c>
      <c r="C518" t="s">
        <v>426</v>
      </c>
      <c r="D518" t="s">
        <v>427</v>
      </c>
      <c r="E518" t="s">
        <v>107</v>
      </c>
      <c r="F518" t="s">
        <v>599</v>
      </c>
      <c r="G518" t="s">
        <v>600</v>
      </c>
      <c r="H518" t="s">
        <v>601</v>
      </c>
      <c r="I518" t="s">
        <v>557</v>
      </c>
      <c r="K518" t="s">
        <v>61</v>
      </c>
      <c r="L518" t="s">
        <v>62</v>
      </c>
      <c r="M518" t="s">
        <v>30</v>
      </c>
      <c r="N518" t="s">
        <v>67</v>
      </c>
      <c r="O518" t="s">
        <v>32</v>
      </c>
      <c r="P518" t="s">
        <v>33</v>
      </c>
      <c r="Q518">
        <v>10</v>
      </c>
      <c r="R518" s="1">
        <v>6.7129629629629625E-4</v>
      </c>
      <c r="S518" s="1">
        <v>5.6712962962962967E-4</v>
      </c>
    </row>
    <row r="519" spans="1:19" x14ac:dyDescent="0.35">
      <c r="A519" t="s">
        <v>20</v>
      </c>
      <c r="B519">
        <v>17643</v>
      </c>
      <c r="C519" t="s">
        <v>426</v>
      </c>
      <c r="D519" t="s">
        <v>427</v>
      </c>
      <c r="E519" t="s">
        <v>111</v>
      </c>
      <c r="F519" t="s">
        <v>602</v>
      </c>
      <c r="G519" t="s">
        <v>603</v>
      </c>
      <c r="H519" t="s">
        <v>604</v>
      </c>
      <c r="I519" t="s">
        <v>557</v>
      </c>
      <c r="K519" t="s">
        <v>61</v>
      </c>
      <c r="L519" t="s">
        <v>54</v>
      </c>
      <c r="M519" t="s">
        <v>30</v>
      </c>
      <c r="N519" t="s">
        <v>67</v>
      </c>
      <c r="O519" t="s">
        <v>76</v>
      </c>
      <c r="P519" t="s">
        <v>33</v>
      </c>
      <c r="Q519">
        <v>0</v>
      </c>
      <c r="R519" s="1">
        <v>1.9675925925925929E-4</v>
      </c>
      <c r="S519" s="1">
        <v>9.2592592592592588E-5</v>
      </c>
    </row>
    <row r="520" spans="1:19" x14ac:dyDescent="0.35">
      <c r="A520" t="s">
        <v>20</v>
      </c>
      <c r="B520">
        <v>17643</v>
      </c>
      <c r="C520" t="s">
        <v>426</v>
      </c>
      <c r="D520" t="s">
        <v>427</v>
      </c>
      <c r="E520" t="s">
        <v>116</v>
      </c>
      <c r="F520" t="s">
        <v>605</v>
      </c>
      <c r="G520" t="s">
        <v>606</v>
      </c>
      <c r="H520" t="s">
        <v>607</v>
      </c>
      <c r="I520" t="s">
        <v>557</v>
      </c>
      <c r="K520" t="s">
        <v>61</v>
      </c>
      <c r="L520" t="s">
        <v>54</v>
      </c>
      <c r="M520" t="s">
        <v>30</v>
      </c>
      <c r="N520" t="s">
        <v>55</v>
      </c>
      <c r="O520" t="s">
        <v>76</v>
      </c>
      <c r="P520" t="s">
        <v>33</v>
      </c>
      <c r="Q520">
        <v>0</v>
      </c>
      <c r="R520" s="1">
        <v>2.199074074074074E-4</v>
      </c>
      <c r="S520" s="1">
        <v>1.157407407407407E-4</v>
      </c>
    </row>
    <row r="521" spans="1:19" x14ac:dyDescent="0.35">
      <c r="A521" t="s">
        <v>20</v>
      </c>
      <c r="B521">
        <v>17643</v>
      </c>
      <c r="C521" t="s">
        <v>426</v>
      </c>
      <c r="D521" t="s">
        <v>427</v>
      </c>
      <c r="E521" t="s">
        <v>120</v>
      </c>
      <c r="F521" t="s">
        <v>608</v>
      </c>
      <c r="G521" t="s">
        <v>609</v>
      </c>
      <c r="H521" t="s">
        <v>610</v>
      </c>
      <c r="I521" t="s">
        <v>557</v>
      </c>
      <c r="K521" t="s">
        <v>46</v>
      </c>
      <c r="L521" t="s">
        <v>54</v>
      </c>
      <c r="M521" t="s">
        <v>48</v>
      </c>
      <c r="N521" t="s">
        <v>90</v>
      </c>
      <c r="O521" t="s">
        <v>56</v>
      </c>
      <c r="P521" t="s">
        <v>33</v>
      </c>
      <c r="Q521">
        <v>0</v>
      </c>
      <c r="R521" s="1">
        <v>2.199074074074074E-4</v>
      </c>
      <c r="S521" s="1">
        <v>1.157407407407407E-4</v>
      </c>
    </row>
    <row r="522" spans="1:19" x14ac:dyDescent="0.35">
      <c r="A522" t="s">
        <v>20</v>
      </c>
      <c r="B522">
        <v>17643</v>
      </c>
      <c r="C522" t="s">
        <v>426</v>
      </c>
      <c r="D522" t="s">
        <v>427</v>
      </c>
      <c r="E522" t="s">
        <v>124</v>
      </c>
      <c r="F522" t="s">
        <v>611</v>
      </c>
      <c r="G522" t="s">
        <v>612</v>
      </c>
      <c r="H522" t="s">
        <v>611</v>
      </c>
      <c r="I522" t="s">
        <v>557</v>
      </c>
      <c r="K522" t="s">
        <v>46</v>
      </c>
      <c r="L522" t="s">
        <v>39</v>
      </c>
      <c r="M522" t="s">
        <v>48</v>
      </c>
      <c r="N522" t="s">
        <v>49</v>
      </c>
      <c r="O522" t="s">
        <v>76</v>
      </c>
      <c r="P522" t="s">
        <v>33</v>
      </c>
      <c r="Q522">
        <v>0</v>
      </c>
      <c r="R522" s="1">
        <v>8.1018518518518516E-5</v>
      </c>
      <c r="S522" s="1">
        <v>0</v>
      </c>
    </row>
    <row r="523" spans="1:19" x14ac:dyDescent="0.35">
      <c r="A523" t="s">
        <v>20</v>
      </c>
      <c r="B523">
        <v>17643</v>
      </c>
      <c r="C523" t="s">
        <v>426</v>
      </c>
      <c r="D523" t="s">
        <v>427</v>
      </c>
      <c r="E523" t="s">
        <v>128</v>
      </c>
      <c r="F523" t="s">
        <v>613</v>
      </c>
      <c r="G523" t="s">
        <v>614</v>
      </c>
      <c r="H523" t="s">
        <v>615</v>
      </c>
      <c r="I523" t="s">
        <v>557</v>
      </c>
      <c r="K523" t="s">
        <v>46</v>
      </c>
      <c r="L523" t="s">
        <v>54</v>
      </c>
      <c r="M523" t="s">
        <v>40</v>
      </c>
      <c r="N523" t="s">
        <v>55</v>
      </c>
      <c r="O523" t="s">
        <v>56</v>
      </c>
      <c r="P523" t="s">
        <v>33</v>
      </c>
      <c r="Q523">
        <v>2</v>
      </c>
      <c r="R523" s="1">
        <v>3.3564814814814812E-4</v>
      </c>
      <c r="S523" s="1">
        <v>2.3148148148148149E-4</v>
      </c>
    </row>
    <row r="524" spans="1:19" x14ac:dyDescent="0.35">
      <c r="A524" t="s">
        <v>20</v>
      </c>
      <c r="B524">
        <v>17643</v>
      </c>
      <c r="C524" t="s">
        <v>426</v>
      </c>
      <c r="D524" t="s">
        <v>427</v>
      </c>
      <c r="E524" t="s">
        <v>132</v>
      </c>
      <c r="F524" t="s">
        <v>496</v>
      </c>
      <c r="G524" t="s">
        <v>616</v>
      </c>
      <c r="H524" t="s">
        <v>617</v>
      </c>
      <c r="I524" t="s">
        <v>557</v>
      </c>
      <c r="K524" t="s">
        <v>46</v>
      </c>
      <c r="L524" t="s">
        <v>29</v>
      </c>
      <c r="M524" t="s">
        <v>40</v>
      </c>
      <c r="N524" t="s">
        <v>115</v>
      </c>
      <c r="O524" t="s">
        <v>32</v>
      </c>
      <c r="P524" t="s">
        <v>33</v>
      </c>
      <c r="Q524">
        <v>12</v>
      </c>
      <c r="R524" s="1">
        <v>6.9444444444444447E-4</v>
      </c>
      <c r="S524" s="1">
        <v>5.9027777777777778E-4</v>
      </c>
    </row>
    <row r="525" spans="1:19" x14ac:dyDescent="0.35">
      <c r="A525" t="s">
        <v>20</v>
      </c>
      <c r="B525">
        <v>17643</v>
      </c>
      <c r="C525" t="s">
        <v>426</v>
      </c>
      <c r="D525" t="s">
        <v>427</v>
      </c>
      <c r="E525" t="s">
        <v>136</v>
      </c>
      <c r="F525" t="s">
        <v>618</v>
      </c>
      <c r="G525" t="s">
        <v>619</v>
      </c>
      <c r="H525" t="s">
        <v>620</v>
      </c>
      <c r="I525" t="s">
        <v>557</v>
      </c>
      <c r="K525" t="s">
        <v>46</v>
      </c>
      <c r="L525" t="s">
        <v>54</v>
      </c>
      <c r="M525" t="s">
        <v>40</v>
      </c>
      <c r="N525" t="s">
        <v>55</v>
      </c>
      <c r="O525" t="s">
        <v>56</v>
      </c>
      <c r="P525" t="s">
        <v>33</v>
      </c>
      <c r="Q525">
        <v>4</v>
      </c>
      <c r="R525" s="1">
        <v>3.4722222222222218E-4</v>
      </c>
      <c r="S525" s="1">
        <v>2.4305555555555549E-4</v>
      </c>
    </row>
    <row r="526" spans="1:19" x14ac:dyDescent="0.35">
      <c r="A526" t="s">
        <v>20</v>
      </c>
      <c r="B526">
        <v>17643</v>
      </c>
      <c r="C526" t="s">
        <v>426</v>
      </c>
      <c r="D526" t="s">
        <v>427</v>
      </c>
      <c r="E526" t="s">
        <v>140</v>
      </c>
      <c r="F526" t="s">
        <v>621</v>
      </c>
      <c r="G526" t="s">
        <v>622</v>
      </c>
      <c r="H526" t="s">
        <v>623</v>
      </c>
      <c r="I526" t="s">
        <v>557</v>
      </c>
      <c r="K526" t="s">
        <v>38</v>
      </c>
      <c r="L526" t="s">
        <v>181</v>
      </c>
      <c r="M526" t="s">
        <v>48</v>
      </c>
      <c r="N526" t="s">
        <v>90</v>
      </c>
      <c r="O526" t="s">
        <v>32</v>
      </c>
      <c r="P526" t="s">
        <v>33</v>
      </c>
      <c r="Q526">
        <v>4</v>
      </c>
      <c r="R526" s="1">
        <v>3.5879629629629629E-4</v>
      </c>
      <c r="S526" s="1">
        <v>2.5462962962962961E-4</v>
      </c>
    </row>
    <row r="527" spans="1:19" x14ac:dyDescent="0.35">
      <c r="A527" t="s">
        <v>20</v>
      </c>
      <c r="B527">
        <v>17643</v>
      </c>
      <c r="C527" t="s">
        <v>426</v>
      </c>
      <c r="D527" t="s">
        <v>427</v>
      </c>
      <c r="E527" t="s">
        <v>144</v>
      </c>
      <c r="F527" t="s">
        <v>624</v>
      </c>
      <c r="G527" t="s">
        <v>625</v>
      </c>
      <c r="H527" t="s">
        <v>626</v>
      </c>
      <c r="I527" t="s">
        <v>557</v>
      </c>
      <c r="K527" t="s">
        <v>46</v>
      </c>
      <c r="L527" t="s">
        <v>181</v>
      </c>
      <c r="M527" t="s">
        <v>48</v>
      </c>
      <c r="N527" t="s">
        <v>90</v>
      </c>
      <c r="O527" t="s">
        <v>76</v>
      </c>
      <c r="P527" t="s">
        <v>33</v>
      </c>
      <c r="Q527">
        <v>0</v>
      </c>
      <c r="R527" s="1">
        <v>2.0833333333333329E-4</v>
      </c>
      <c r="S527" s="1">
        <v>1.041666666666667E-4</v>
      </c>
    </row>
    <row r="528" spans="1:19" x14ac:dyDescent="0.35">
      <c r="A528" t="s">
        <v>20</v>
      </c>
      <c r="B528">
        <v>17643</v>
      </c>
      <c r="C528" t="s">
        <v>426</v>
      </c>
      <c r="D528" t="s">
        <v>427</v>
      </c>
      <c r="E528" t="s">
        <v>149</v>
      </c>
      <c r="F528" t="s">
        <v>627</v>
      </c>
      <c r="G528" t="s">
        <v>628</v>
      </c>
      <c r="H528" t="s">
        <v>629</v>
      </c>
      <c r="I528" t="s">
        <v>557</v>
      </c>
      <c r="K528" t="s">
        <v>28</v>
      </c>
      <c r="L528" t="s">
        <v>29</v>
      </c>
      <c r="M528" t="s">
        <v>30</v>
      </c>
      <c r="N528" t="s">
        <v>31</v>
      </c>
      <c r="O528" t="s">
        <v>76</v>
      </c>
      <c r="P528" t="s">
        <v>33</v>
      </c>
      <c r="Q528">
        <v>4</v>
      </c>
      <c r="R528" s="1">
        <v>4.0509259259259258E-4</v>
      </c>
      <c r="S528" s="1">
        <v>3.0092592592592589E-4</v>
      </c>
    </row>
    <row r="529" spans="1:19" x14ac:dyDescent="0.35">
      <c r="A529" t="s">
        <v>20</v>
      </c>
      <c r="B529">
        <v>17643</v>
      </c>
      <c r="C529" t="s">
        <v>426</v>
      </c>
      <c r="D529" t="s">
        <v>427</v>
      </c>
      <c r="E529" t="s">
        <v>153</v>
      </c>
      <c r="F529" t="s">
        <v>630</v>
      </c>
      <c r="G529" t="s">
        <v>631</v>
      </c>
      <c r="H529" t="s">
        <v>632</v>
      </c>
      <c r="I529" t="s">
        <v>557</v>
      </c>
      <c r="K529" t="s">
        <v>38</v>
      </c>
      <c r="L529" t="s">
        <v>39</v>
      </c>
      <c r="M529" t="s">
        <v>48</v>
      </c>
      <c r="N529" t="s">
        <v>55</v>
      </c>
      <c r="O529" t="s">
        <v>76</v>
      </c>
      <c r="P529" t="s">
        <v>33</v>
      </c>
      <c r="Q529">
        <v>6</v>
      </c>
      <c r="R529" s="1">
        <v>4.2824074074074081E-4</v>
      </c>
      <c r="S529" s="1">
        <v>3.2407407407407412E-4</v>
      </c>
    </row>
    <row r="530" spans="1:19" x14ac:dyDescent="0.35">
      <c r="A530" t="s">
        <v>20</v>
      </c>
      <c r="B530">
        <v>17643</v>
      </c>
      <c r="C530" t="s">
        <v>426</v>
      </c>
      <c r="D530" t="s">
        <v>427</v>
      </c>
      <c r="E530" t="s">
        <v>157</v>
      </c>
      <c r="F530" t="s">
        <v>633</v>
      </c>
      <c r="G530" t="s">
        <v>634</v>
      </c>
      <c r="H530" t="s">
        <v>635</v>
      </c>
      <c r="I530" t="s">
        <v>557</v>
      </c>
      <c r="K530" t="s">
        <v>38</v>
      </c>
      <c r="L530" t="s">
        <v>29</v>
      </c>
      <c r="M530" t="s">
        <v>48</v>
      </c>
      <c r="N530" t="s">
        <v>90</v>
      </c>
      <c r="O530" t="s">
        <v>32</v>
      </c>
      <c r="P530" t="s">
        <v>33</v>
      </c>
      <c r="Q530">
        <v>0</v>
      </c>
      <c r="R530" s="1">
        <v>2.0833333333333329E-4</v>
      </c>
      <c r="S530" s="1">
        <v>1.041666666666667E-4</v>
      </c>
    </row>
    <row r="531" spans="1:19" x14ac:dyDescent="0.35">
      <c r="A531" t="s">
        <v>20</v>
      </c>
      <c r="B531">
        <v>17643</v>
      </c>
      <c r="C531" t="s">
        <v>426</v>
      </c>
      <c r="D531" t="s">
        <v>427</v>
      </c>
      <c r="E531" t="s">
        <v>161</v>
      </c>
      <c r="F531" t="s">
        <v>636</v>
      </c>
      <c r="G531" t="s">
        <v>637</v>
      </c>
      <c r="H531" t="s">
        <v>638</v>
      </c>
      <c r="I531" t="s">
        <v>557</v>
      </c>
      <c r="K531" t="s">
        <v>61</v>
      </c>
      <c r="L531" t="s">
        <v>62</v>
      </c>
      <c r="M531" t="s">
        <v>30</v>
      </c>
      <c r="N531" t="s">
        <v>55</v>
      </c>
      <c r="O531" t="s">
        <v>76</v>
      </c>
      <c r="P531" t="s">
        <v>33</v>
      </c>
      <c r="Q531">
        <v>0</v>
      </c>
      <c r="R531" s="1">
        <v>1.3888888888888889E-4</v>
      </c>
      <c r="S531" s="1">
        <v>3.4722222222222222E-5</v>
      </c>
    </row>
    <row r="532" spans="1:19" x14ac:dyDescent="0.35">
      <c r="A532" t="s">
        <v>20</v>
      </c>
      <c r="B532">
        <v>17643</v>
      </c>
      <c r="C532" t="s">
        <v>426</v>
      </c>
      <c r="D532" t="s">
        <v>427</v>
      </c>
      <c r="E532" t="s">
        <v>165</v>
      </c>
      <c r="F532" t="s">
        <v>639</v>
      </c>
      <c r="G532" t="s">
        <v>640</v>
      </c>
      <c r="H532" t="s">
        <v>641</v>
      </c>
      <c r="I532" t="s">
        <v>557</v>
      </c>
      <c r="K532" t="s">
        <v>61</v>
      </c>
      <c r="L532" t="s">
        <v>62</v>
      </c>
      <c r="M532" t="s">
        <v>30</v>
      </c>
      <c r="N532" t="s">
        <v>31</v>
      </c>
      <c r="O532" t="s">
        <v>76</v>
      </c>
      <c r="P532" t="s">
        <v>33</v>
      </c>
      <c r="Q532">
        <v>0</v>
      </c>
      <c r="R532" s="1">
        <v>2.6620370370370372E-4</v>
      </c>
      <c r="S532" s="1">
        <v>1.6203703703703701E-4</v>
      </c>
    </row>
    <row r="533" spans="1:19" x14ac:dyDescent="0.35">
      <c r="A533" t="s">
        <v>20</v>
      </c>
      <c r="B533">
        <v>17643</v>
      </c>
      <c r="C533" t="s">
        <v>426</v>
      </c>
      <c r="D533" t="s">
        <v>427</v>
      </c>
      <c r="E533" t="s">
        <v>169</v>
      </c>
      <c r="F533" t="s">
        <v>642</v>
      </c>
      <c r="G533" t="s">
        <v>643</v>
      </c>
      <c r="H533" t="s">
        <v>644</v>
      </c>
      <c r="I533" t="s">
        <v>557</v>
      </c>
      <c r="K533" t="s">
        <v>46</v>
      </c>
      <c r="L533" t="s">
        <v>39</v>
      </c>
      <c r="M533" t="s">
        <v>48</v>
      </c>
      <c r="N533" t="s">
        <v>55</v>
      </c>
      <c r="O533" t="s">
        <v>32</v>
      </c>
      <c r="P533" t="s">
        <v>33</v>
      </c>
      <c r="Q533">
        <v>0</v>
      </c>
      <c r="R533" s="1">
        <v>1.3888888888888889E-4</v>
      </c>
      <c r="S533" s="1">
        <v>3.4722222222222222E-5</v>
      </c>
    </row>
    <row r="534" spans="1:19" x14ac:dyDescent="0.35">
      <c r="A534" t="s">
        <v>20</v>
      </c>
      <c r="B534">
        <v>17643</v>
      </c>
      <c r="C534" t="s">
        <v>426</v>
      </c>
      <c r="D534" t="s">
        <v>427</v>
      </c>
      <c r="E534" t="s">
        <v>173</v>
      </c>
      <c r="F534" t="s">
        <v>645</v>
      </c>
      <c r="G534" t="s">
        <v>646</v>
      </c>
      <c r="H534" t="s">
        <v>647</v>
      </c>
      <c r="I534" t="s">
        <v>557</v>
      </c>
      <c r="K534" t="s">
        <v>38</v>
      </c>
      <c r="L534" t="s">
        <v>54</v>
      </c>
      <c r="M534" t="s">
        <v>478</v>
      </c>
      <c r="N534" t="s">
        <v>115</v>
      </c>
      <c r="O534" t="s">
        <v>32</v>
      </c>
      <c r="P534" t="s">
        <v>33</v>
      </c>
      <c r="Q534">
        <v>0</v>
      </c>
      <c r="R534" s="1">
        <v>1.3888888888888889E-4</v>
      </c>
      <c r="S534" s="1">
        <v>3.4722222222222222E-5</v>
      </c>
    </row>
    <row r="535" spans="1:19" x14ac:dyDescent="0.35">
      <c r="A535" t="s">
        <v>20</v>
      </c>
      <c r="B535">
        <v>17643</v>
      </c>
      <c r="C535" t="s">
        <v>426</v>
      </c>
      <c r="D535" t="s">
        <v>427</v>
      </c>
      <c r="E535" t="s">
        <v>177</v>
      </c>
      <c r="F535" t="s">
        <v>648</v>
      </c>
      <c r="G535" t="s">
        <v>649</v>
      </c>
      <c r="H535" t="s">
        <v>650</v>
      </c>
      <c r="I535" t="s">
        <v>557</v>
      </c>
      <c r="K535" t="s">
        <v>38</v>
      </c>
      <c r="L535" t="s">
        <v>47</v>
      </c>
      <c r="M535" t="s">
        <v>478</v>
      </c>
      <c r="N535" t="s">
        <v>55</v>
      </c>
      <c r="O535" t="s">
        <v>32</v>
      </c>
      <c r="P535" t="s">
        <v>33</v>
      </c>
      <c r="Q535">
        <v>2</v>
      </c>
      <c r="R535" s="1">
        <v>1.9675925925925929E-4</v>
      </c>
      <c r="S535" s="1">
        <v>9.2592592592592588E-5</v>
      </c>
    </row>
    <row r="536" spans="1:19" x14ac:dyDescent="0.35">
      <c r="A536" t="s">
        <v>20</v>
      </c>
      <c r="B536">
        <v>17643</v>
      </c>
      <c r="C536" t="s">
        <v>426</v>
      </c>
      <c r="D536" t="s">
        <v>427</v>
      </c>
      <c r="E536" t="s">
        <v>182</v>
      </c>
      <c r="F536" t="s">
        <v>651</v>
      </c>
      <c r="G536" t="s">
        <v>652</v>
      </c>
      <c r="H536" t="s">
        <v>653</v>
      </c>
      <c r="I536" t="s">
        <v>557</v>
      </c>
      <c r="K536" t="s">
        <v>61</v>
      </c>
      <c r="L536" t="s">
        <v>54</v>
      </c>
      <c r="M536" t="s">
        <v>30</v>
      </c>
      <c r="N536" t="s">
        <v>31</v>
      </c>
      <c r="O536" t="s">
        <v>32</v>
      </c>
      <c r="P536" t="s">
        <v>33</v>
      </c>
      <c r="Q536">
        <v>4</v>
      </c>
      <c r="R536" s="1">
        <v>3.2407407407407412E-4</v>
      </c>
      <c r="S536" s="1">
        <v>2.199074074074074E-4</v>
      </c>
    </row>
    <row r="537" spans="1:19" x14ac:dyDescent="0.35">
      <c r="A537" t="s">
        <v>20</v>
      </c>
      <c r="B537">
        <v>17643</v>
      </c>
      <c r="C537" t="s">
        <v>426</v>
      </c>
      <c r="D537" t="s">
        <v>427</v>
      </c>
      <c r="E537" t="s">
        <v>186</v>
      </c>
      <c r="F537" t="s">
        <v>654</v>
      </c>
      <c r="G537" t="s">
        <v>655</v>
      </c>
      <c r="H537" t="s">
        <v>656</v>
      </c>
      <c r="I537" t="s">
        <v>557</v>
      </c>
      <c r="K537" t="s">
        <v>46</v>
      </c>
      <c r="L537" t="s">
        <v>39</v>
      </c>
      <c r="M537" t="s">
        <v>48</v>
      </c>
      <c r="N537" t="s">
        <v>55</v>
      </c>
      <c r="O537" t="s">
        <v>32</v>
      </c>
      <c r="P537" t="s">
        <v>33</v>
      </c>
      <c r="Q537">
        <v>0</v>
      </c>
      <c r="R537" s="1">
        <v>1.157407407407407E-4</v>
      </c>
      <c r="S537" s="1">
        <v>1.157407407407407E-5</v>
      </c>
    </row>
    <row r="538" spans="1:19" x14ac:dyDescent="0.35">
      <c r="A538" t="s">
        <v>20</v>
      </c>
      <c r="B538">
        <v>17643</v>
      </c>
      <c r="C538" t="s">
        <v>426</v>
      </c>
      <c r="D538" t="s">
        <v>427</v>
      </c>
      <c r="E538" t="s">
        <v>190</v>
      </c>
      <c r="F538" t="s">
        <v>657</v>
      </c>
      <c r="G538" t="s">
        <v>658</v>
      </c>
      <c r="H538" t="s">
        <v>659</v>
      </c>
      <c r="I538" t="s">
        <v>557</v>
      </c>
      <c r="K538" t="s">
        <v>46</v>
      </c>
      <c r="L538" t="s">
        <v>47</v>
      </c>
      <c r="M538" t="s">
        <v>40</v>
      </c>
      <c r="N538" t="s">
        <v>67</v>
      </c>
      <c r="O538" t="s">
        <v>76</v>
      </c>
      <c r="P538" t="s">
        <v>33</v>
      </c>
      <c r="Q538">
        <v>16</v>
      </c>
      <c r="R538" s="1">
        <v>9.4907407407407408E-4</v>
      </c>
      <c r="S538" s="1">
        <v>8.4490740740740739E-4</v>
      </c>
    </row>
    <row r="539" spans="1:19" x14ac:dyDescent="0.35">
      <c r="A539" t="s">
        <v>20</v>
      </c>
      <c r="B539">
        <v>17643</v>
      </c>
      <c r="C539" t="s">
        <v>426</v>
      </c>
      <c r="D539" t="s">
        <v>427</v>
      </c>
      <c r="E539" t="s">
        <v>194</v>
      </c>
      <c r="F539" t="s">
        <v>660</v>
      </c>
      <c r="G539" t="s">
        <v>661</v>
      </c>
      <c r="H539" t="s">
        <v>662</v>
      </c>
      <c r="I539" t="s">
        <v>557</v>
      </c>
      <c r="K539" t="s">
        <v>61</v>
      </c>
      <c r="L539" t="s">
        <v>62</v>
      </c>
      <c r="M539" t="s">
        <v>30</v>
      </c>
      <c r="N539" t="s">
        <v>55</v>
      </c>
      <c r="O539" t="s">
        <v>76</v>
      </c>
      <c r="P539" t="s">
        <v>33</v>
      </c>
      <c r="Q539">
        <v>0</v>
      </c>
      <c r="R539" s="1">
        <v>1.157407407407407E-4</v>
      </c>
      <c r="S539" s="1">
        <v>1.157407407407407E-5</v>
      </c>
    </row>
    <row r="540" spans="1:19" x14ac:dyDescent="0.35">
      <c r="A540" t="s">
        <v>20</v>
      </c>
      <c r="B540">
        <v>17643</v>
      </c>
      <c r="C540" t="s">
        <v>426</v>
      </c>
      <c r="D540" t="s">
        <v>427</v>
      </c>
      <c r="E540" t="s">
        <v>198</v>
      </c>
      <c r="F540" t="s">
        <v>663</v>
      </c>
      <c r="G540" t="s">
        <v>664</v>
      </c>
      <c r="H540" t="s">
        <v>665</v>
      </c>
      <c r="I540" t="s">
        <v>557</v>
      </c>
      <c r="K540" t="s">
        <v>28</v>
      </c>
      <c r="L540" t="s">
        <v>47</v>
      </c>
      <c r="M540" t="s">
        <v>40</v>
      </c>
      <c r="N540" t="s">
        <v>67</v>
      </c>
      <c r="O540" t="s">
        <v>32</v>
      </c>
      <c r="P540" t="s">
        <v>33</v>
      </c>
      <c r="Q540">
        <v>2</v>
      </c>
      <c r="R540" s="1">
        <v>2.6620370370370372E-4</v>
      </c>
      <c r="S540" s="1">
        <v>1.6203703703703701E-4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I2" sqref="I2:I4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1529</v>
      </c>
      <c r="M1" t="s">
        <v>1530</v>
      </c>
      <c r="N1" t="s">
        <v>1531</v>
      </c>
      <c r="O1" t="s">
        <v>1532</v>
      </c>
      <c r="P1" t="s">
        <v>15</v>
      </c>
      <c r="Q1" t="s">
        <v>19</v>
      </c>
    </row>
    <row r="2" spans="1:17" x14ac:dyDescent="0.35">
      <c r="A2" t="s">
        <v>20</v>
      </c>
      <c r="B2">
        <v>17644</v>
      </c>
      <c r="C2" t="s">
        <v>21</v>
      </c>
      <c r="D2" t="s">
        <v>22</v>
      </c>
      <c r="E2" t="s">
        <v>1533</v>
      </c>
      <c r="F2" t="s">
        <v>1534</v>
      </c>
      <c r="G2" t="s">
        <v>1535</v>
      </c>
      <c r="H2" t="s">
        <v>1536</v>
      </c>
      <c r="I2" t="s">
        <v>27</v>
      </c>
      <c r="J2" t="s">
        <v>1537</v>
      </c>
      <c r="K2">
        <v>2</v>
      </c>
      <c r="L2">
        <v>0.25898072429906538</v>
      </c>
      <c r="M2">
        <v>0.90002893518518512</v>
      </c>
      <c r="N2">
        <v>5.1547897196261683E-2</v>
      </c>
      <c r="O2">
        <v>0.58706597222222223</v>
      </c>
      <c r="P2" t="s">
        <v>33</v>
      </c>
    </row>
    <row r="3" spans="1:17" x14ac:dyDescent="0.35">
      <c r="A3" t="s">
        <v>20</v>
      </c>
      <c r="B3">
        <v>17644</v>
      </c>
      <c r="C3" t="s">
        <v>21</v>
      </c>
      <c r="D3" t="s">
        <v>22</v>
      </c>
      <c r="E3" t="s">
        <v>1538</v>
      </c>
      <c r="F3" t="s">
        <v>1539</v>
      </c>
      <c r="G3" t="s">
        <v>1540</v>
      </c>
      <c r="H3" t="s">
        <v>1541</v>
      </c>
      <c r="I3" t="s">
        <v>27</v>
      </c>
      <c r="J3" t="s">
        <v>1537</v>
      </c>
      <c r="K3">
        <v>2</v>
      </c>
      <c r="L3">
        <v>0.23800744742990651</v>
      </c>
      <c r="M3">
        <v>0.3086226851851851</v>
      </c>
      <c r="N3">
        <v>2.4404935747663552E-2</v>
      </c>
      <c r="O3">
        <v>0.49722222222222218</v>
      </c>
      <c r="P3" t="s">
        <v>33</v>
      </c>
    </row>
    <row r="4" spans="1:17" x14ac:dyDescent="0.35">
      <c r="A4" t="s">
        <v>20</v>
      </c>
      <c r="B4">
        <v>17644</v>
      </c>
      <c r="C4" t="s">
        <v>21</v>
      </c>
      <c r="D4" t="s">
        <v>22</v>
      </c>
      <c r="E4" t="s">
        <v>1542</v>
      </c>
      <c r="F4" t="s">
        <v>1543</v>
      </c>
      <c r="G4" t="s">
        <v>1544</v>
      </c>
      <c r="H4" t="s">
        <v>1545</v>
      </c>
      <c r="I4" t="s">
        <v>27</v>
      </c>
      <c r="J4" t="s">
        <v>1546</v>
      </c>
      <c r="K4">
        <v>2</v>
      </c>
      <c r="L4">
        <v>0.78555782710280364</v>
      </c>
      <c r="M4">
        <v>0.14285300925925909</v>
      </c>
      <c r="N4">
        <v>0.95423846378504662</v>
      </c>
      <c r="O4">
        <v>0.47662037037037031</v>
      </c>
      <c r="P4" t="s">
        <v>33</v>
      </c>
    </row>
    <row r="5" spans="1:17" x14ac:dyDescent="0.35">
      <c r="A5" t="s">
        <v>20</v>
      </c>
      <c r="B5">
        <v>17644</v>
      </c>
      <c r="C5" t="s">
        <v>21</v>
      </c>
      <c r="D5" t="s">
        <v>22</v>
      </c>
      <c r="E5" t="s">
        <v>1547</v>
      </c>
      <c r="F5" t="s">
        <v>1548</v>
      </c>
      <c r="G5" t="s">
        <v>1549</v>
      </c>
      <c r="H5" t="s">
        <v>1550</v>
      </c>
      <c r="I5" t="s">
        <v>238</v>
      </c>
      <c r="K5">
        <v>2</v>
      </c>
      <c r="L5">
        <v>0.80390259929906538</v>
      </c>
      <c r="M5">
        <v>0.62633101851851847</v>
      </c>
      <c r="N5">
        <v>0.97867990654205594</v>
      </c>
      <c r="O5">
        <v>0.44904513888888892</v>
      </c>
      <c r="P5" t="s">
        <v>33</v>
      </c>
    </row>
    <row r="6" spans="1:17" x14ac:dyDescent="0.35">
      <c r="A6" t="s">
        <v>20</v>
      </c>
      <c r="B6">
        <v>17643</v>
      </c>
      <c r="C6" t="s">
        <v>426</v>
      </c>
      <c r="D6" t="s">
        <v>427</v>
      </c>
      <c r="E6" t="s">
        <v>1533</v>
      </c>
      <c r="F6" t="s">
        <v>1551</v>
      </c>
      <c r="G6" t="s">
        <v>1552</v>
      </c>
      <c r="H6" t="s">
        <v>1553</v>
      </c>
      <c r="I6" t="s">
        <v>557</v>
      </c>
      <c r="K6">
        <v>2</v>
      </c>
      <c r="P6" t="s">
        <v>33</v>
      </c>
      <c r="Q6" t="s">
        <v>432</v>
      </c>
    </row>
    <row r="7" spans="1:17" x14ac:dyDescent="0.35">
      <c r="A7" t="s">
        <v>20</v>
      </c>
      <c r="B7">
        <v>17643</v>
      </c>
      <c r="C7" t="s">
        <v>426</v>
      </c>
      <c r="D7" t="s">
        <v>427</v>
      </c>
      <c r="E7" t="s">
        <v>1538</v>
      </c>
      <c r="F7" t="s">
        <v>1554</v>
      </c>
      <c r="G7" t="s">
        <v>1555</v>
      </c>
      <c r="H7" t="s">
        <v>1556</v>
      </c>
      <c r="I7" t="s">
        <v>557</v>
      </c>
      <c r="J7" t="s">
        <v>1537</v>
      </c>
      <c r="K7">
        <v>2</v>
      </c>
      <c r="P7" t="s">
        <v>33</v>
      </c>
      <c r="Q7" t="s">
        <v>432</v>
      </c>
    </row>
    <row r="8" spans="1:17" x14ac:dyDescent="0.35">
      <c r="A8" t="s">
        <v>20</v>
      </c>
      <c r="B8">
        <v>17643</v>
      </c>
      <c r="C8" t="s">
        <v>426</v>
      </c>
      <c r="D8" t="s">
        <v>427</v>
      </c>
      <c r="E8" t="s">
        <v>1542</v>
      </c>
      <c r="F8" t="s">
        <v>1557</v>
      </c>
      <c r="G8" t="s">
        <v>1558</v>
      </c>
      <c r="H8" t="s">
        <v>1559</v>
      </c>
      <c r="I8" t="s">
        <v>557</v>
      </c>
      <c r="K8">
        <v>2</v>
      </c>
      <c r="P8" t="s">
        <v>33</v>
      </c>
      <c r="Q8" t="s">
        <v>432</v>
      </c>
    </row>
    <row r="9" spans="1:17" x14ac:dyDescent="0.35">
      <c r="A9" t="s">
        <v>20</v>
      </c>
      <c r="B9">
        <v>17643</v>
      </c>
      <c r="C9" t="s">
        <v>426</v>
      </c>
      <c r="D9" t="s">
        <v>427</v>
      </c>
      <c r="E9" t="s">
        <v>1560</v>
      </c>
      <c r="F9" t="s">
        <v>1561</v>
      </c>
      <c r="G9" t="s">
        <v>1562</v>
      </c>
      <c r="H9" t="s">
        <v>1563</v>
      </c>
      <c r="I9" t="s">
        <v>557</v>
      </c>
      <c r="J9" t="s">
        <v>1537</v>
      </c>
      <c r="K9">
        <v>2</v>
      </c>
      <c r="P9" t="s">
        <v>33</v>
      </c>
      <c r="Q9" t="s">
        <v>432</v>
      </c>
    </row>
    <row r="10" spans="1:17" x14ac:dyDescent="0.35">
      <c r="A10" t="s">
        <v>20</v>
      </c>
      <c r="B10">
        <v>17643</v>
      </c>
      <c r="C10" t="s">
        <v>426</v>
      </c>
      <c r="D10" t="s">
        <v>427</v>
      </c>
      <c r="E10" t="s">
        <v>1564</v>
      </c>
      <c r="F10" t="s">
        <v>1565</v>
      </c>
      <c r="G10" t="s">
        <v>1566</v>
      </c>
      <c r="H10" t="s">
        <v>1567</v>
      </c>
      <c r="I10" t="s">
        <v>557</v>
      </c>
      <c r="J10" t="s">
        <v>1568</v>
      </c>
      <c r="K10">
        <v>2</v>
      </c>
      <c r="P10" t="s">
        <v>33</v>
      </c>
      <c r="Q10" t="s">
        <v>432</v>
      </c>
    </row>
    <row r="11" spans="1:17" x14ac:dyDescent="0.35">
      <c r="A11" t="s">
        <v>20</v>
      </c>
      <c r="B11">
        <v>17643</v>
      </c>
      <c r="C11" t="s">
        <v>426</v>
      </c>
      <c r="D11" t="s">
        <v>427</v>
      </c>
      <c r="E11" t="s">
        <v>1547</v>
      </c>
      <c r="F11" t="s">
        <v>1569</v>
      </c>
      <c r="G11" t="s">
        <v>1570</v>
      </c>
      <c r="H11" t="s">
        <v>1571</v>
      </c>
      <c r="I11" t="s">
        <v>431</v>
      </c>
      <c r="K11">
        <v>2</v>
      </c>
      <c r="P11" t="s">
        <v>33</v>
      </c>
      <c r="Q11" t="s">
        <v>432</v>
      </c>
    </row>
    <row r="12" spans="1:17" x14ac:dyDescent="0.35">
      <c r="A12" t="s">
        <v>20</v>
      </c>
      <c r="B12">
        <v>17643</v>
      </c>
      <c r="C12" t="s">
        <v>426</v>
      </c>
      <c r="D12" t="s">
        <v>427</v>
      </c>
      <c r="E12" t="s">
        <v>1572</v>
      </c>
      <c r="F12" t="s">
        <v>1573</v>
      </c>
      <c r="G12" t="s">
        <v>1574</v>
      </c>
      <c r="H12" t="s">
        <v>1575</v>
      </c>
      <c r="I12" t="s">
        <v>431</v>
      </c>
      <c r="K12">
        <v>2</v>
      </c>
      <c r="P12" t="s">
        <v>33</v>
      </c>
      <c r="Q12" t="s">
        <v>432</v>
      </c>
    </row>
    <row r="13" spans="1:17" x14ac:dyDescent="0.35">
      <c r="A13" t="s">
        <v>20</v>
      </c>
      <c r="B13">
        <v>17643</v>
      </c>
      <c r="C13" t="s">
        <v>426</v>
      </c>
      <c r="D13" t="s">
        <v>427</v>
      </c>
      <c r="E13" t="s">
        <v>1576</v>
      </c>
      <c r="F13" t="s">
        <v>1577</v>
      </c>
      <c r="G13" t="s">
        <v>1578</v>
      </c>
      <c r="H13" t="s">
        <v>1579</v>
      </c>
      <c r="I13" t="s">
        <v>431</v>
      </c>
      <c r="K13">
        <v>2</v>
      </c>
      <c r="P13" t="s">
        <v>33</v>
      </c>
      <c r="Q13" t="s">
        <v>432</v>
      </c>
    </row>
    <row r="14" spans="1:17" x14ac:dyDescent="0.35">
      <c r="A14" t="s">
        <v>20</v>
      </c>
      <c r="B14">
        <v>17646</v>
      </c>
      <c r="C14" t="s">
        <v>666</v>
      </c>
      <c r="D14" t="s">
        <v>667</v>
      </c>
      <c r="E14" t="s">
        <v>1533</v>
      </c>
      <c r="F14" t="s">
        <v>1580</v>
      </c>
      <c r="G14" t="s">
        <v>1581</v>
      </c>
      <c r="H14" t="s">
        <v>1582</v>
      </c>
      <c r="I14" t="s">
        <v>809</v>
      </c>
      <c r="K14">
        <v>2</v>
      </c>
      <c r="P14" t="s">
        <v>33</v>
      </c>
    </row>
    <row r="15" spans="1:17" x14ac:dyDescent="0.35">
      <c r="A15" t="s">
        <v>20</v>
      </c>
      <c r="B15">
        <v>17646</v>
      </c>
      <c r="C15" t="s">
        <v>666</v>
      </c>
      <c r="D15" t="s">
        <v>667</v>
      </c>
      <c r="E15" t="s">
        <v>1538</v>
      </c>
      <c r="F15" t="s">
        <v>1583</v>
      </c>
      <c r="G15" t="s">
        <v>1584</v>
      </c>
      <c r="H15" t="s">
        <v>1585</v>
      </c>
      <c r="I15" t="s">
        <v>809</v>
      </c>
      <c r="K15">
        <v>2</v>
      </c>
      <c r="P15" t="s">
        <v>33</v>
      </c>
    </row>
    <row r="16" spans="1:17" x14ac:dyDescent="0.35">
      <c r="A16" t="s">
        <v>20</v>
      </c>
      <c r="B16">
        <v>17646</v>
      </c>
      <c r="C16" t="s">
        <v>666</v>
      </c>
      <c r="D16" t="s">
        <v>667</v>
      </c>
      <c r="E16" t="s">
        <v>1547</v>
      </c>
      <c r="F16" t="s">
        <v>1586</v>
      </c>
      <c r="G16" t="s">
        <v>1587</v>
      </c>
      <c r="H16" t="s">
        <v>1588</v>
      </c>
      <c r="I16" t="s">
        <v>671</v>
      </c>
      <c r="K16">
        <v>2</v>
      </c>
      <c r="P16" t="s">
        <v>33</v>
      </c>
    </row>
    <row r="17" spans="1:16" x14ac:dyDescent="0.35">
      <c r="A17" t="s">
        <v>20</v>
      </c>
      <c r="B17">
        <v>17645</v>
      </c>
      <c r="C17" t="s">
        <v>949</v>
      </c>
      <c r="D17" t="s">
        <v>950</v>
      </c>
      <c r="E17" t="s">
        <v>1533</v>
      </c>
      <c r="F17" t="s">
        <v>1589</v>
      </c>
      <c r="G17" t="s">
        <v>1590</v>
      </c>
      <c r="H17" t="s">
        <v>1591</v>
      </c>
      <c r="I17" t="s">
        <v>954</v>
      </c>
      <c r="J17" t="s">
        <v>1537</v>
      </c>
      <c r="K17">
        <v>2</v>
      </c>
      <c r="P17" t="s">
        <v>33</v>
      </c>
    </row>
    <row r="18" spans="1:16" x14ac:dyDescent="0.35">
      <c r="A18" t="s">
        <v>20</v>
      </c>
      <c r="B18">
        <v>17645</v>
      </c>
      <c r="C18" t="s">
        <v>949</v>
      </c>
      <c r="D18" t="s">
        <v>950</v>
      </c>
      <c r="E18" t="s">
        <v>1538</v>
      </c>
      <c r="F18" t="s">
        <v>1592</v>
      </c>
      <c r="G18" t="s">
        <v>1593</v>
      </c>
      <c r="H18" t="s">
        <v>1594</v>
      </c>
      <c r="I18" t="s">
        <v>954</v>
      </c>
      <c r="J18" t="s">
        <v>1537</v>
      </c>
      <c r="K18">
        <v>2</v>
      </c>
      <c r="P18" t="s">
        <v>33</v>
      </c>
    </row>
    <row r="19" spans="1:16" x14ac:dyDescent="0.35">
      <c r="A19" t="s">
        <v>20</v>
      </c>
      <c r="B19">
        <v>17645</v>
      </c>
      <c r="C19" t="s">
        <v>949</v>
      </c>
      <c r="D19" t="s">
        <v>950</v>
      </c>
      <c r="E19" t="s">
        <v>1547</v>
      </c>
      <c r="F19" t="s">
        <v>1595</v>
      </c>
      <c r="G19" t="s">
        <v>1596</v>
      </c>
      <c r="H19" t="s">
        <v>1597</v>
      </c>
      <c r="I19" t="s">
        <v>1090</v>
      </c>
      <c r="J19" t="s">
        <v>1537</v>
      </c>
      <c r="K19">
        <v>2</v>
      </c>
      <c r="P19" t="s">
        <v>33</v>
      </c>
    </row>
    <row r="20" spans="1:16" x14ac:dyDescent="0.35">
      <c r="A20" t="s">
        <v>20</v>
      </c>
      <c r="B20">
        <v>17645</v>
      </c>
      <c r="C20" t="s">
        <v>949</v>
      </c>
      <c r="D20" t="s">
        <v>950</v>
      </c>
      <c r="E20" t="s">
        <v>1572</v>
      </c>
      <c r="F20" t="s">
        <v>1598</v>
      </c>
      <c r="G20" t="s">
        <v>1599</v>
      </c>
      <c r="H20" t="s">
        <v>1600</v>
      </c>
      <c r="I20" t="s">
        <v>1090</v>
      </c>
      <c r="J20" t="s">
        <v>1537</v>
      </c>
      <c r="K20">
        <v>2</v>
      </c>
      <c r="P20" t="s">
        <v>33</v>
      </c>
    </row>
    <row r="21" spans="1:16" x14ac:dyDescent="0.35">
      <c r="A21" t="s">
        <v>20</v>
      </c>
      <c r="B21">
        <v>17645</v>
      </c>
      <c r="C21" t="s">
        <v>949</v>
      </c>
      <c r="D21" t="s">
        <v>950</v>
      </c>
      <c r="E21" t="s">
        <v>1576</v>
      </c>
      <c r="F21" t="s">
        <v>1601</v>
      </c>
      <c r="G21" t="s">
        <v>1602</v>
      </c>
      <c r="H21" t="s">
        <v>1603</v>
      </c>
      <c r="I21" t="s">
        <v>1090</v>
      </c>
      <c r="J21" t="s">
        <v>1537</v>
      </c>
      <c r="K21">
        <v>2</v>
      </c>
      <c r="P21" t="s">
        <v>33</v>
      </c>
    </row>
    <row r="22" spans="1:16" x14ac:dyDescent="0.35">
      <c r="A22" t="s">
        <v>20</v>
      </c>
      <c r="B22">
        <v>17647</v>
      </c>
      <c r="C22" t="s">
        <v>1252</v>
      </c>
      <c r="D22" t="s">
        <v>1253</v>
      </c>
      <c r="E22" t="s">
        <v>1533</v>
      </c>
      <c r="F22" t="s">
        <v>1604</v>
      </c>
      <c r="G22" t="s">
        <v>1605</v>
      </c>
      <c r="H22" t="s">
        <v>1606</v>
      </c>
      <c r="I22" t="s">
        <v>1257</v>
      </c>
      <c r="J22" t="s">
        <v>1607</v>
      </c>
      <c r="K22">
        <v>2</v>
      </c>
      <c r="P22" t="s">
        <v>33</v>
      </c>
    </row>
    <row r="23" spans="1:16" x14ac:dyDescent="0.35">
      <c r="A23" t="s">
        <v>20</v>
      </c>
      <c r="B23">
        <v>17647</v>
      </c>
      <c r="C23" t="s">
        <v>1252</v>
      </c>
      <c r="D23" t="s">
        <v>1253</v>
      </c>
      <c r="E23" t="s">
        <v>1538</v>
      </c>
      <c r="F23" t="s">
        <v>1608</v>
      </c>
      <c r="G23" t="s">
        <v>1609</v>
      </c>
      <c r="H23" t="s">
        <v>1610</v>
      </c>
      <c r="I23" t="s">
        <v>1257</v>
      </c>
      <c r="K23">
        <v>2</v>
      </c>
      <c r="P23" t="s">
        <v>33</v>
      </c>
    </row>
    <row r="24" spans="1:16" x14ac:dyDescent="0.35">
      <c r="A24" t="s">
        <v>20</v>
      </c>
      <c r="B24">
        <v>17643</v>
      </c>
      <c r="C24" t="s">
        <v>426</v>
      </c>
      <c r="D24" t="s">
        <v>427</v>
      </c>
      <c r="E24" t="s">
        <v>1533</v>
      </c>
      <c r="F24" t="s">
        <v>1551</v>
      </c>
      <c r="G24" t="s">
        <v>1552</v>
      </c>
      <c r="H24" t="s">
        <v>1553</v>
      </c>
      <c r="I24" t="s">
        <v>557</v>
      </c>
      <c r="K24">
        <v>2</v>
      </c>
      <c r="P24" t="s">
        <v>33</v>
      </c>
    </row>
    <row r="25" spans="1:16" x14ac:dyDescent="0.35">
      <c r="A25" t="s">
        <v>20</v>
      </c>
      <c r="B25">
        <v>17643</v>
      </c>
      <c r="C25" t="s">
        <v>426</v>
      </c>
      <c r="D25" t="s">
        <v>427</v>
      </c>
      <c r="E25" t="s">
        <v>1538</v>
      </c>
      <c r="F25" t="s">
        <v>1554</v>
      </c>
      <c r="G25" t="s">
        <v>1555</v>
      </c>
      <c r="H25" t="s">
        <v>1556</v>
      </c>
      <c r="I25" t="s">
        <v>557</v>
      </c>
      <c r="J25" t="s">
        <v>1537</v>
      </c>
      <c r="K25">
        <v>2</v>
      </c>
      <c r="P25" t="s">
        <v>33</v>
      </c>
    </row>
    <row r="26" spans="1:16" x14ac:dyDescent="0.35">
      <c r="A26" t="s">
        <v>20</v>
      </c>
      <c r="B26">
        <v>17643</v>
      </c>
      <c r="C26" t="s">
        <v>426</v>
      </c>
      <c r="D26" t="s">
        <v>427</v>
      </c>
      <c r="E26" t="s">
        <v>1542</v>
      </c>
      <c r="F26" t="s">
        <v>1557</v>
      </c>
      <c r="G26" t="s">
        <v>1558</v>
      </c>
      <c r="H26" t="s">
        <v>1559</v>
      </c>
      <c r="I26" t="s">
        <v>557</v>
      </c>
      <c r="K26">
        <v>2</v>
      </c>
      <c r="P26" t="s">
        <v>33</v>
      </c>
    </row>
    <row r="27" spans="1:16" x14ac:dyDescent="0.35">
      <c r="A27" t="s">
        <v>20</v>
      </c>
      <c r="B27">
        <v>17643</v>
      </c>
      <c r="C27" t="s">
        <v>426</v>
      </c>
      <c r="D27" t="s">
        <v>427</v>
      </c>
      <c r="E27" t="s">
        <v>1560</v>
      </c>
      <c r="F27" t="s">
        <v>1561</v>
      </c>
      <c r="G27" t="s">
        <v>1562</v>
      </c>
      <c r="H27" t="s">
        <v>1563</v>
      </c>
      <c r="I27" t="s">
        <v>557</v>
      </c>
      <c r="J27" t="s">
        <v>1537</v>
      </c>
      <c r="K27">
        <v>2</v>
      </c>
      <c r="P27" t="s">
        <v>33</v>
      </c>
    </row>
    <row r="28" spans="1:16" x14ac:dyDescent="0.35">
      <c r="A28" t="s">
        <v>20</v>
      </c>
      <c r="B28">
        <v>17643</v>
      </c>
      <c r="C28" t="s">
        <v>426</v>
      </c>
      <c r="D28" t="s">
        <v>427</v>
      </c>
      <c r="E28" t="s">
        <v>1564</v>
      </c>
      <c r="F28" t="s">
        <v>1565</v>
      </c>
      <c r="G28" t="s">
        <v>1566</v>
      </c>
      <c r="H28" t="s">
        <v>1567</v>
      </c>
      <c r="I28" t="s">
        <v>557</v>
      </c>
      <c r="J28" t="s">
        <v>1568</v>
      </c>
      <c r="K28">
        <v>2</v>
      </c>
      <c r="P28" t="s">
        <v>33</v>
      </c>
    </row>
    <row r="29" spans="1:16" x14ac:dyDescent="0.35">
      <c r="A29" t="s">
        <v>20</v>
      </c>
      <c r="B29">
        <v>17643</v>
      </c>
      <c r="C29" t="s">
        <v>426</v>
      </c>
      <c r="D29" t="s">
        <v>427</v>
      </c>
      <c r="E29" t="s">
        <v>1547</v>
      </c>
      <c r="F29" t="s">
        <v>1569</v>
      </c>
      <c r="G29" t="s">
        <v>1570</v>
      </c>
      <c r="H29" t="s">
        <v>1571</v>
      </c>
      <c r="I29" t="s">
        <v>431</v>
      </c>
      <c r="K29">
        <v>2</v>
      </c>
      <c r="P29" t="s">
        <v>33</v>
      </c>
    </row>
    <row r="30" spans="1:16" x14ac:dyDescent="0.35">
      <c r="A30" t="s">
        <v>20</v>
      </c>
      <c r="B30">
        <v>17643</v>
      </c>
      <c r="C30" t="s">
        <v>426</v>
      </c>
      <c r="D30" t="s">
        <v>427</v>
      </c>
      <c r="E30" t="s">
        <v>1572</v>
      </c>
      <c r="F30" t="s">
        <v>1573</v>
      </c>
      <c r="G30" t="s">
        <v>1574</v>
      </c>
      <c r="H30" t="s">
        <v>1575</v>
      </c>
      <c r="I30" t="s">
        <v>431</v>
      </c>
      <c r="K30">
        <v>2</v>
      </c>
      <c r="P30" t="s">
        <v>33</v>
      </c>
    </row>
    <row r="31" spans="1:16" x14ac:dyDescent="0.35">
      <c r="A31" t="s">
        <v>20</v>
      </c>
      <c r="B31">
        <v>17643</v>
      </c>
      <c r="C31" t="s">
        <v>426</v>
      </c>
      <c r="D31" t="s">
        <v>427</v>
      </c>
      <c r="E31" t="s">
        <v>1576</v>
      </c>
      <c r="F31" t="s">
        <v>1577</v>
      </c>
      <c r="G31" t="s">
        <v>1578</v>
      </c>
      <c r="H31" t="s">
        <v>1579</v>
      </c>
      <c r="I31" t="s">
        <v>431</v>
      </c>
      <c r="K31">
        <v>2</v>
      </c>
      <c r="P3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I2" sqref="I2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1611</v>
      </c>
      <c r="M1" t="s">
        <v>1612</v>
      </c>
      <c r="N1" t="s">
        <v>1613</v>
      </c>
      <c r="O1" t="s">
        <v>1614</v>
      </c>
      <c r="P1" t="s">
        <v>15</v>
      </c>
      <c r="Q1" t="s">
        <v>19</v>
      </c>
    </row>
    <row r="2" spans="1:17" x14ac:dyDescent="0.35">
      <c r="A2" t="s">
        <v>20</v>
      </c>
      <c r="B2">
        <v>17644</v>
      </c>
      <c r="C2" t="s">
        <v>21</v>
      </c>
      <c r="D2" t="s">
        <v>22</v>
      </c>
      <c r="E2" t="s">
        <v>1615</v>
      </c>
      <c r="F2" t="s">
        <v>1616</v>
      </c>
      <c r="G2" t="s">
        <v>1617</v>
      </c>
      <c r="H2" t="s">
        <v>1618</v>
      </c>
      <c r="I2" t="s">
        <v>27</v>
      </c>
      <c r="J2" t="s">
        <v>1537</v>
      </c>
      <c r="K2">
        <v>3</v>
      </c>
      <c r="P2" t="s">
        <v>33</v>
      </c>
    </row>
    <row r="3" spans="1:17" x14ac:dyDescent="0.35">
      <c r="A3" t="s">
        <v>20</v>
      </c>
      <c r="B3">
        <v>17643</v>
      </c>
      <c r="C3" t="s">
        <v>426</v>
      </c>
      <c r="D3" t="s">
        <v>427</v>
      </c>
      <c r="E3" t="s">
        <v>1619</v>
      </c>
      <c r="F3" t="s">
        <v>1620</v>
      </c>
      <c r="G3" t="s">
        <v>1621</v>
      </c>
      <c r="H3" t="s">
        <v>1622</v>
      </c>
      <c r="I3" t="s">
        <v>431</v>
      </c>
      <c r="J3" t="s">
        <v>1537</v>
      </c>
      <c r="K3">
        <v>3</v>
      </c>
      <c r="P3" t="s">
        <v>33</v>
      </c>
      <c r="Q3" t="s">
        <v>432</v>
      </c>
    </row>
    <row r="4" spans="1:17" x14ac:dyDescent="0.35">
      <c r="A4" t="s">
        <v>20</v>
      </c>
      <c r="B4">
        <v>17646</v>
      </c>
      <c r="C4" t="s">
        <v>666</v>
      </c>
      <c r="D4" t="s">
        <v>667</v>
      </c>
      <c r="E4" t="s">
        <v>1615</v>
      </c>
      <c r="F4" t="s">
        <v>1623</v>
      </c>
      <c r="G4" t="s">
        <v>1624</v>
      </c>
      <c r="H4" t="s">
        <v>1625</v>
      </c>
      <c r="I4" t="s">
        <v>809</v>
      </c>
      <c r="K4">
        <v>3</v>
      </c>
      <c r="P4" t="s">
        <v>33</v>
      </c>
    </row>
    <row r="5" spans="1:17" x14ac:dyDescent="0.35">
      <c r="A5" t="s">
        <v>20</v>
      </c>
      <c r="B5">
        <v>17646</v>
      </c>
      <c r="C5" t="s">
        <v>666</v>
      </c>
      <c r="D5" t="s">
        <v>667</v>
      </c>
      <c r="E5" t="s">
        <v>1626</v>
      </c>
      <c r="F5" t="s">
        <v>1627</v>
      </c>
      <c r="G5" t="s">
        <v>1628</v>
      </c>
      <c r="H5" t="s">
        <v>1629</v>
      </c>
      <c r="I5" t="s">
        <v>809</v>
      </c>
      <c r="K5">
        <v>3</v>
      </c>
      <c r="P5" t="s">
        <v>33</v>
      </c>
    </row>
    <row r="6" spans="1:17" x14ac:dyDescent="0.35">
      <c r="A6" t="s">
        <v>20</v>
      </c>
      <c r="B6">
        <v>17646</v>
      </c>
      <c r="C6" t="s">
        <v>666</v>
      </c>
      <c r="D6" t="s">
        <v>667</v>
      </c>
      <c r="E6" t="s">
        <v>1619</v>
      </c>
      <c r="F6" t="s">
        <v>710</v>
      </c>
      <c r="G6" t="s">
        <v>711</v>
      </c>
      <c r="H6" t="s">
        <v>1630</v>
      </c>
      <c r="I6" t="s">
        <v>671</v>
      </c>
      <c r="J6" t="s">
        <v>1537</v>
      </c>
      <c r="K6">
        <v>3</v>
      </c>
      <c r="P6" t="s">
        <v>33</v>
      </c>
    </row>
    <row r="7" spans="1:17" x14ac:dyDescent="0.35">
      <c r="A7" t="s">
        <v>20</v>
      </c>
      <c r="B7">
        <v>17645</v>
      </c>
      <c r="C7" t="s">
        <v>949</v>
      </c>
      <c r="D7" t="s">
        <v>950</v>
      </c>
      <c r="E7" t="s">
        <v>1615</v>
      </c>
      <c r="F7" t="s">
        <v>988</v>
      </c>
      <c r="G7" t="s">
        <v>989</v>
      </c>
      <c r="H7" t="s">
        <v>1631</v>
      </c>
      <c r="I7" t="s">
        <v>954</v>
      </c>
      <c r="J7" t="s">
        <v>1537</v>
      </c>
      <c r="K7">
        <v>3</v>
      </c>
      <c r="P7" t="s">
        <v>33</v>
      </c>
    </row>
    <row r="8" spans="1:17" x14ac:dyDescent="0.35">
      <c r="A8" t="s">
        <v>20</v>
      </c>
      <c r="B8">
        <v>17645</v>
      </c>
      <c r="C8" t="s">
        <v>949</v>
      </c>
      <c r="D8" t="s">
        <v>950</v>
      </c>
      <c r="E8" t="s">
        <v>1626</v>
      </c>
      <c r="F8" t="s">
        <v>1632</v>
      </c>
      <c r="G8" t="s">
        <v>1633</v>
      </c>
      <c r="H8" t="s">
        <v>1634</v>
      </c>
      <c r="I8" t="s">
        <v>954</v>
      </c>
      <c r="J8" t="s">
        <v>1537</v>
      </c>
      <c r="K8">
        <v>3</v>
      </c>
      <c r="P8" t="s">
        <v>33</v>
      </c>
    </row>
    <row r="9" spans="1:17" x14ac:dyDescent="0.35">
      <c r="A9" t="s">
        <v>20</v>
      </c>
      <c r="B9">
        <v>17645</v>
      </c>
      <c r="C9" t="s">
        <v>949</v>
      </c>
      <c r="D9" t="s">
        <v>950</v>
      </c>
      <c r="E9" t="s">
        <v>1619</v>
      </c>
      <c r="F9" t="s">
        <v>1635</v>
      </c>
      <c r="G9" t="s">
        <v>1636</v>
      </c>
      <c r="H9" t="s">
        <v>1637</v>
      </c>
      <c r="I9" t="s">
        <v>1090</v>
      </c>
      <c r="J9" t="s">
        <v>1537</v>
      </c>
      <c r="K9">
        <v>3</v>
      </c>
      <c r="P9" t="s">
        <v>33</v>
      </c>
    </row>
    <row r="10" spans="1:17" x14ac:dyDescent="0.35">
      <c r="A10" t="s">
        <v>20</v>
      </c>
      <c r="B10">
        <v>17645</v>
      </c>
      <c r="C10" t="s">
        <v>949</v>
      </c>
      <c r="D10" t="s">
        <v>950</v>
      </c>
      <c r="E10" t="s">
        <v>1638</v>
      </c>
      <c r="F10" t="s">
        <v>1639</v>
      </c>
      <c r="G10" t="s">
        <v>1640</v>
      </c>
      <c r="H10" t="s">
        <v>1641</v>
      </c>
      <c r="I10" t="s">
        <v>1090</v>
      </c>
      <c r="J10" t="s">
        <v>1537</v>
      </c>
      <c r="K10">
        <v>3</v>
      </c>
      <c r="P10" t="s">
        <v>33</v>
      </c>
    </row>
    <row r="11" spans="1:17" x14ac:dyDescent="0.35">
      <c r="A11" t="s">
        <v>20</v>
      </c>
      <c r="B11">
        <v>17645</v>
      </c>
      <c r="C11" t="s">
        <v>949</v>
      </c>
      <c r="D11" t="s">
        <v>950</v>
      </c>
      <c r="E11" t="s">
        <v>1642</v>
      </c>
      <c r="F11" t="s">
        <v>1643</v>
      </c>
      <c r="G11" t="s">
        <v>1644</v>
      </c>
      <c r="H11" t="s">
        <v>1645</v>
      </c>
      <c r="I11" t="s">
        <v>1090</v>
      </c>
      <c r="J11" t="s">
        <v>1537</v>
      </c>
      <c r="K11">
        <v>3</v>
      </c>
      <c r="P11" t="s">
        <v>33</v>
      </c>
    </row>
    <row r="12" spans="1:17" x14ac:dyDescent="0.35">
      <c r="A12" t="s">
        <v>20</v>
      </c>
      <c r="B12">
        <v>17645</v>
      </c>
      <c r="C12" t="s">
        <v>949</v>
      </c>
      <c r="D12" t="s">
        <v>950</v>
      </c>
      <c r="E12" t="s">
        <v>1646</v>
      </c>
      <c r="F12" t="s">
        <v>1647</v>
      </c>
      <c r="G12" t="s">
        <v>1648</v>
      </c>
      <c r="H12" t="s">
        <v>1649</v>
      </c>
      <c r="I12" t="s">
        <v>1090</v>
      </c>
      <c r="J12" t="s">
        <v>1537</v>
      </c>
      <c r="K12">
        <v>3</v>
      </c>
      <c r="P12" t="s">
        <v>33</v>
      </c>
    </row>
    <row r="13" spans="1:17" x14ac:dyDescent="0.35">
      <c r="A13" t="s">
        <v>20</v>
      </c>
      <c r="B13">
        <v>17645</v>
      </c>
      <c r="C13" t="s">
        <v>949</v>
      </c>
      <c r="D13" t="s">
        <v>950</v>
      </c>
      <c r="E13" t="s">
        <v>1650</v>
      </c>
      <c r="F13" t="s">
        <v>1651</v>
      </c>
      <c r="G13" t="s">
        <v>1652</v>
      </c>
      <c r="H13" t="s">
        <v>1653</v>
      </c>
      <c r="I13" t="s">
        <v>1090</v>
      </c>
      <c r="J13" t="s">
        <v>1537</v>
      </c>
      <c r="K13">
        <v>3</v>
      </c>
      <c r="P13" t="s">
        <v>33</v>
      </c>
    </row>
    <row r="14" spans="1:17" x14ac:dyDescent="0.35">
      <c r="A14" t="s">
        <v>20</v>
      </c>
      <c r="B14">
        <v>17645</v>
      </c>
      <c r="C14" t="s">
        <v>949</v>
      </c>
      <c r="D14" t="s">
        <v>950</v>
      </c>
      <c r="E14" t="s">
        <v>1654</v>
      </c>
      <c r="F14" t="s">
        <v>1655</v>
      </c>
      <c r="G14" t="s">
        <v>1656</v>
      </c>
      <c r="H14" t="s">
        <v>1657</v>
      </c>
      <c r="I14" t="s">
        <v>1090</v>
      </c>
      <c r="J14" t="s">
        <v>1537</v>
      </c>
      <c r="K14">
        <v>3</v>
      </c>
      <c r="P14" t="s">
        <v>33</v>
      </c>
    </row>
    <row r="15" spans="1:17" x14ac:dyDescent="0.35">
      <c r="A15" t="s">
        <v>20</v>
      </c>
      <c r="B15">
        <v>17647</v>
      </c>
      <c r="C15" t="s">
        <v>1252</v>
      </c>
      <c r="D15" t="s">
        <v>1253</v>
      </c>
      <c r="E15" t="s">
        <v>1615</v>
      </c>
      <c r="F15" t="s">
        <v>1658</v>
      </c>
      <c r="G15" t="s">
        <v>1659</v>
      </c>
      <c r="H15" t="s">
        <v>1660</v>
      </c>
      <c r="I15" t="s">
        <v>1257</v>
      </c>
      <c r="J15" t="s">
        <v>1607</v>
      </c>
      <c r="K15">
        <v>3</v>
      </c>
      <c r="P15" t="s">
        <v>33</v>
      </c>
    </row>
    <row r="16" spans="1:17" x14ac:dyDescent="0.35">
      <c r="A16" t="s">
        <v>20</v>
      </c>
      <c r="B16">
        <v>17647</v>
      </c>
      <c r="C16" t="s">
        <v>1252</v>
      </c>
      <c r="D16" t="s">
        <v>1253</v>
      </c>
      <c r="E16" t="s">
        <v>1626</v>
      </c>
      <c r="F16" t="s">
        <v>1661</v>
      </c>
      <c r="G16" t="s">
        <v>1662</v>
      </c>
      <c r="H16" t="s">
        <v>1663</v>
      </c>
      <c r="I16" t="s">
        <v>1257</v>
      </c>
      <c r="K16">
        <v>3</v>
      </c>
      <c r="P16" t="s">
        <v>33</v>
      </c>
    </row>
    <row r="17" spans="1:16" x14ac:dyDescent="0.35">
      <c r="A17" t="s">
        <v>20</v>
      </c>
      <c r="B17">
        <v>17647</v>
      </c>
      <c r="C17" t="s">
        <v>1252</v>
      </c>
      <c r="D17" t="s">
        <v>1253</v>
      </c>
      <c r="E17" t="s">
        <v>1619</v>
      </c>
      <c r="F17" t="s">
        <v>1664</v>
      </c>
      <c r="G17" t="s">
        <v>1665</v>
      </c>
      <c r="H17" t="s">
        <v>1666</v>
      </c>
      <c r="I17" t="s">
        <v>1395</v>
      </c>
      <c r="K17">
        <v>3</v>
      </c>
      <c r="P17" t="s">
        <v>33</v>
      </c>
    </row>
    <row r="18" spans="1:16" x14ac:dyDescent="0.35">
      <c r="A18" t="s">
        <v>20</v>
      </c>
      <c r="B18">
        <v>17647</v>
      </c>
      <c r="C18" t="s">
        <v>1252</v>
      </c>
      <c r="D18" t="s">
        <v>1253</v>
      </c>
      <c r="E18" t="s">
        <v>1638</v>
      </c>
      <c r="F18" t="s">
        <v>1667</v>
      </c>
      <c r="G18" t="s">
        <v>1668</v>
      </c>
      <c r="H18" t="s">
        <v>1669</v>
      </c>
      <c r="I18" t="s">
        <v>1395</v>
      </c>
      <c r="J18" t="s">
        <v>1670</v>
      </c>
      <c r="K18">
        <v>3</v>
      </c>
      <c r="P18" t="s">
        <v>33</v>
      </c>
    </row>
    <row r="19" spans="1:16" x14ac:dyDescent="0.35">
      <c r="A19" t="s">
        <v>20</v>
      </c>
      <c r="B19">
        <v>17647</v>
      </c>
      <c r="C19" t="s">
        <v>1252</v>
      </c>
      <c r="D19" t="s">
        <v>1253</v>
      </c>
      <c r="E19" t="s">
        <v>1642</v>
      </c>
      <c r="F19" t="s">
        <v>1671</v>
      </c>
      <c r="G19" t="s">
        <v>1672</v>
      </c>
      <c r="H19" t="s">
        <v>1673</v>
      </c>
      <c r="I19" t="s">
        <v>1395</v>
      </c>
      <c r="K19">
        <v>3</v>
      </c>
      <c r="P19" t="s">
        <v>33</v>
      </c>
    </row>
    <row r="20" spans="1:16" x14ac:dyDescent="0.35">
      <c r="A20" t="s">
        <v>20</v>
      </c>
      <c r="B20">
        <v>17647</v>
      </c>
      <c r="C20" t="s">
        <v>1252</v>
      </c>
      <c r="D20" t="s">
        <v>1253</v>
      </c>
      <c r="E20" t="s">
        <v>1646</v>
      </c>
      <c r="F20" t="s">
        <v>1674</v>
      </c>
      <c r="G20" t="s">
        <v>1675</v>
      </c>
      <c r="H20" t="s">
        <v>1676</v>
      </c>
      <c r="I20" t="s">
        <v>1395</v>
      </c>
      <c r="J20" t="s">
        <v>1670</v>
      </c>
      <c r="K20">
        <v>3</v>
      </c>
      <c r="P20" t="s">
        <v>33</v>
      </c>
    </row>
    <row r="21" spans="1:16" x14ac:dyDescent="0.35">
      <c r="A21" t="s">
        <v>20</v>
      </c>
      <c r="B21">
        <v>17643</v>
      </c>
      <c r="C21" t="s">
        <v>426</v>
      </c>
      <c r="D21" t="s">
        <v>427</v>
      </c>
      <c r="E21" t="s">
        <v>1619</v>
      </c>
      <c r="F21" t="s">
        <v>1620</v>
      </c>
      <c r="G21" t="s">
        <v>1621</v>
      </c>
      <c r="H21" t="s">
        <v>1622</v>
      </c>
      <c r="I21" t="s">
        <v>431</v>
      </c>
      <c r="J21" t="s">
        <v>1537</v>
      </c>
      <c r="K21">
        <v>3</v>
      </c>
      <c r="P21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"/>
  <sheetViews>
    <sheetView workbookViewId="0">
      <selection activeCell="I2" sqref="I2:I1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1528</v>
      </c>
      <c r="M1" t="s">
        <v>14</v>
      </c>
      <c r="N1" t="s">
        <v>15</v>
      </c>
      <c r="O1" t="s">
        <v>19</v>
      </c>
    </row>
    <row r="2" spans="1:15" x14ac:dyDescent="0.35">
      <c r="A2" t="s">
        <v>20</v>
      </c>
      <c r="B2">
        <v>17644</v>
      </c>
      <c r="C2" t="s">
        <v>21</v>
      </c>
      <c r="D2" t="s">
        <v>22</v>
      </c>
      <c r="E2" t="s">
        <v>1677</v>
      </c>
      <c r="F2" t="s">
        <v>1678</v>
      </c>
      <c r="G2" t="s">
        <v>1679</v>
      </c>
      <c r="H2" t="s">
        <v>1680</v>
      </c>
      <c r="I2" t="s">
        <v>27</v>
      </c>
      <c r="K2" t="s">
        <v>28</v>
      </c>
      <c r="L2" t="s">
        <v>1681</v>
      </c>
      <c r="M2" t="s">
        <v>56</v>
      </c>
      <c r="N2" t="s">
        <v>33</v>
      </c>
    </row>
    <row r="3" spans="1:15" x14ac:dyDescent="0.35">
      <c r="A3" t="s">
        <v>20</v>
      </c>
      <c r="B3">
        <v>17644</v>
      </c>
      <c r="C3" t="s">
        <v>21</v>
      </c>
      <c r="D3" t="s">
        <v>22</v>
      </c>
      <c r="E3" t="s">
        <v>1682</v>
      </c>
      <c r="F3" t="s">
        <v>1683</v>
      </c>
      <c r="G3" t="s">
        <v>1684</v>
      </c>
      <c r="H3" t="s">
        <v>1685</v>
      </c>
      <c r="I3" t="s">
        <v>27</v>
      </c>
      <c r="K3" t="s">
        <v>46</v>
      </c>
      <c r="L3" t="s">
        <v>1686</v>
      </c>
      <c r="M3" t="s">
        <v>32</v>
      </c>
      <c r="N3" t="s">
        <v>33</v>
      </c>
    </row>
    <row r="4" spans="1:15" x14ac:dyDescent="0.35">
      <c r="A4" t="s">
        <v>20</v>
      </c>
      <c r="B4">
        <v>17644</v>
      </c>
      <c r="C4" t="s">
        <v>21</v>
      </c>
      <c r="D4" t="s">
        <v>22</v>
      </c>
      <c r="E4" t="s">
        <v>1687</v>
      </c>
      <c r="F4" t="s">
        <v>1688</v>
      </c>
      <c r="G4" t="s">
        <v>1689</v>
      </c>
      <c r="H4" t="s">
        <v>1690</v>
      </c>
      <c r="I4" t="s">
        <v>27</v>
      </c>
      <c r="K4" t="s">
        <v>28</v>
      </c>
      <c r="L4" t="s">
        <v>1691</v>
      </c>
      <c r="M4" t="s">
        <v>32</v>
      </c>
      <c r="N4" t="s">
        <v>33</v>
      </c>
    </row>
    <row r="5" spans="1:15" x14ac:dyDescent="0.35">
      <c r="A5" t="s">
        <v>20</v>
      </c>
      <c r="B5">
        <v>17644</v>
      </c>
      <c r="C5" t="s">
        <v>21</v>
      </c>
      <c r="D5" t="s">
        <v>22</v>
      </c>
      <c r="E5" t="s">
        <v>1692</v>
      </c>
      <c r="F5" t="s">
        <v>1693</v>
      </c>
      <c r="G5" t="s">
        <v>1694</v>
      </c>
      <c r="H5" t="s">
        <v>1695</v>
      </c>
      <c r="I5" t="s">
        <v>27</v>
      </c>
      <c r="K5" t="s">
        <v>28</v>
      </c>
      <c r="L5" t="s">
        <v>1681</v>
      </c>
      <c r="M5" t="s">
        <v>32</v>
      </c>
      <c r="N5" t="s">
        <v>33</v>
      </c>
    </row>
    <row r="6" spans="1:15" x14ac:dyDescent="0.35">
      <c r="A6" t="s">
        <v>20</v>
      </c>
      <c r="B6">
        <v>17644</v>
      </c>
      <c r="C6" t="s">
        <v>21</v>
      </c>
      <c r="D6" t="s">
        <v>22</v>
      </c>
      <c r="E6" t="s">
        <v>1696</v>
      </c>
      <c r="F6" t="s">
        <v>1697</v>
      </c>
      <c r="G6" t="s">
        <v>1698</v>
      </c>
      <c r="H6" t="s">
        <v>1699</v>
      </c>
      <c r="I6" t="s">
        <v>27</v>
      </c>
      <c r="K6" t="s">
        <v>46</v>
      </c>
      <c r="L6" t="s">
        <v>1700</v>
      </c>
      <c r="M6" t="s">
        <v>56</v>
      </c>
      <c r="N6" t="s">
        <v>33</v>
      </c>
    </row>
    <row r="7" spans="1:15" x14ac:dyDescent="0.35">
      <c r="A7" t="s">
        <v>20</v>
      </c>
      <c r="B7">
        <v>17644</v>
      </c>
      <c r="C7" t="s">
        <v>21</v>
      </c>
      <c r="D7" t="s">
        <v>22</v>
      </c>
      <c r="E7" t="s">
        <v>1701</v>
      </c>
      <c r="F7" t="s">
        <v>1702</v>
      </c>
      <c r="G7" t="s">
        <v>1703</v>
      </c>
      <c r="H7" t="s">
        <v>1704</v>
      </c>
      <c r="I7" t="s">
        <v>27</v>
      </c>
      <c r="K7" t="s">
        <v>46</v>
      </c>
      <c r="L7" t="s">
        <v>1686</v>
      </c>
      <c r="M7" t="s">
        <v>56</v>
      </c>
      <c r="N7" t="s">
        <v>33</v>
      </c>
    </row>
    <row r="8" spans="1:15" x14ac:dyDescent="0.35">
      <c r="A8" t="s">
        <v>20</v>
      </c>
      <c r="B8">
        <v>17644</v>
      </c>
      <c r="C8" t="s">
        <v>21</v>
      </c>
      <c r="D8" t="s">
        <v>22</v>
      </c>
      <c r="E8" t="s">
        <v>1705</v>
      </c>
      <c r="F8" t="s">
        <v>1706</v>
      </c>
      <c r="G8" t="s">
        <v>1707</v>
      </c>
      <c r="H8" t="s">
        <v>1708</v>
      </c>
      <c r="I8" t="s">
        <v>27</v>
      </c>
      <c r="K8" t="s">
        <v>38</v>
      </c>
      <c r="L8" t="s">
        <v>1686</v>
      </c>
      <c r="M8" t="s">
        <v>56</v>
      </c>
      <c r="N8" t="s">
        <v>33</v>
      </c>
    </row>
    <row r="9" spans="1:15" x14ac:dyDescent="0.35">
      <c r="A9" t="s">
        <v>20</v>
      </c>
      <c r="B9">
        <v>17644</v>
      </c>
      <c r="C9" t="s">
        <v>21</v>
      </c>
      <c r="D9" t="s">
        <v>22</v>
      </c>
      <c r="E9" t="s">
        <v>1709</v>
      </c>
      <c r="F9" t="s">
        <v>1710</v>
      </c>
      <c r="G9" t="s">
        <v>1711</v>
      </c>
      <c r="H9" t="s">
        <v>1712</v>
      </c>
      <c r="I9" t="s">
        <v>27</v>
      </c>
      <c r="K9" t="s">
        <v>28</v>
      </c>
      <c r="L9" t="s">
        <v>1691</v>
      </c>
      <c r="M9" t="s">
        <v>56</v>
      </c>
      <c r="N9" t="s">
        <v>33</v>
      </c>
    </row>
    <row r="10" spans="1:15" x14ac:dyDescent="0.35">
      <c r="A10" t="s">
        <v>20</v>
      </c>
      <c r="B10">
        <v>17644</v>
      </c>
      <c r="C10" t="s">
        <v>21</v>
      </c>
      <c r="D10" t="s">
        <v>22</v>
      </c>
      <c r="E10" t="s">
        <v>1713</v>
      </c>
      <c r="F10" t="s">
        <v>1714</v>
      </c>
      <c r="G10" t="s">
        <v>1715</v>
      </c>
      <c r="H10" t="s">
        <v>1716</v>
      </c>
      <c r="I10" t="s">
        <v>27</v>
      </c>
      <c r="K10" t="s">
        <v>28</v>
      </c>
      <c r="L10" t="s">
        <v>1686</v>
      </c>
      <c r="M10" t="s">
        <v>56</v>
      </c>
      <c r="N10" t="s">
        <v>33</v>
      </c>
    </row>
    <row r="11" spans="1:15" x14ac:dyDescent="0.35">
      <c r="A11" t="s">
        <v>20</v>
      </c>
      <c r="B11">
        <v>17644</v>
      </c>
      <c r="C11" t="s">
        <v>21</v>
      </c>
      <c r="D11" t="s">
        <v>22</v>
      </c>
      <c r="E11" t="s">
        <v>1717</v>
      </c>
      <c r="F11" t="s">
        <v>1718</v>
      </c>
      <c r="G11" t="s">
        <v>1719</v>
      </c>
      <c r="H11" t="s">
        <v>1720</v>
      </c>
      <c r="I11" t="s">
        <v>238</v>
      </c>
      <c r="K11" t="s">
        <v>28</v>
      </c>
      <c r="L11" t="s">
        <v>1686</v>
      </c>
      <c r="M11" t="s">
        <v>56</v>
      </c>
      <c r="N11" t="s">
        <v>33</v>
      </c>
    </row>
    <row r="12" spans="1:15" x14ac:dyDescent="0.35">
      <c r="A12" t="s">
        <v>20</v>
      </c>
      <c r="B12">
        <v>17644</v>
      </c>
      <c r="C12" t="s">
        <v>21</v>
      </c>
      <c r="D12" t="s">
        <v>22</v>
      </c>
      <c r="E12" t="s">
        <v>1721</v>
      </c>
      <c r="F12" t="s">
        <v>1722</v>
      </c>
      <c r="G12" t="s">
        <v>1723</v>
      </c>
      <c r="H12" t="s">
        <v>1724</v>
      </c>
      <c r="I12" t="s">
        <v>238</v>
      </c>
      <c r="K12" t="s">
        <v>46</v>
      </c>
      <c r="L12" t="s">
        <v>1691</v>
      </c>
      <c r="M12" t="s">
        <v>56</v>
      </c>
      <c r="N12" t="s">
        <v>33</v>
      </c>
    </row>
    <row r="13" spans="1:15" x14ac:dyDescent="0.35">
      <c r="A13" t="s">
        <v>20</v>
      </c>
      <c r="B13">
        <v>17644</v>
      </c>
      <c r="C13" t="s">
        <v>21</v>
      </c>
      <c r="D13" t="s">
        <v>22</v>
      </c>
      <c r="E13" t="s">
        <v>1725</v>
      </c>
      <c r="F13" t="s">
        <v>1726</v>
      </c>
      <c r="G13" t="s">
        <v>1727</v>
      </c>
      <c r="H13" t="s">
        <v>1728</v>
      </c>
      <c r="I13" t="s">
        <v>238</v>
      </c>
      <c r="K13" t="s">
        <v>46</v>
      </c>
      <c r="L13" t="s">
        <v>1691</v>
      </c>
      <c r="M13" t="s">
        <v>56</v>
      </c>
      <c r="N13" t="s">
        <v>33</v>
      </c>
    </row>
    <row r="14" spans="1:15" x14ac:dyDescent="0.35">
      <c r="A14" t="s">
        <v>20</v>
      </c>
      <c r="B14">
        <v>17644</v>
      </c>
      <c r="C14" t="s">
        <v>21</v>
      </c>
      <c r="D14" t="s">
        <v>22</v>
      </c>
      <c r="E14" t="s">
        <v>1729</v>
      </c>
      <c r="F14" t="s">
        <v>1730</v>
      </c>
      <c r="G14" t="s">
        <v>1731</v>
      </c>
      <c r="H14" t="s">
        <v>1732</v>
      </c>
      <c r="I14" t="s">
        <v>238</v>
      </c>
      <c r="K14" t="s">
        <v>46</v>
      </c>
      <c r="L14" t="s">
        <v>1686</v>
      </c>
      <c r="M14" t="s">
        <v>56</v>
      </c>
      <c r="N14" t="s">
        <v>33</v>
      </c>
    </row>
    <row r="15" spans="1:15" x14ac:dyDescent="0.35">
      <c r="A15" t="s">
        <v>20</v>
      </c>
      <c r="B15">
        <v>17644</v>
      </c>
      <c r="C15" t="s">
        <v>21</v>
      </c>
      <c r="D15" t="s">
        <v>22</v>
      </c>
      <c r="E15" t="s">
        <v>1733</v>
      </c>
      <c r="F15" t="s">
        <v>1734</v>
      </c>
      <c r="G15" t="s">
        <v>1735</v>
      </c>
      <c r="H15" t="s">
        <v>1736</v>
      </c>
      <c r="I15" t="s">
        <v>238</v>
      </c>
      <c r="K15" t="s">
        <v>61</v>
      </c>
      <c r="L15" t="s">
        <v>1686</v>
      </c>
      <c r="M15" t="s">
        <v>56</v>
      </c>
      <c r="N15" t="s">
        <v>33</v>
      </c>
    </row>
    <row r="16" spans="1:15" x14ac:dyDescent="0.35">
      <c r="A16" t="s">
        <v>20</v>
      </c>
      <c r="B16">
        <v>17644</v>
      </c>
      <c r="C16" t="s">
        <v>21</v>
      </c>
      <c r="D16" t="s">
        <v>22</v>
      </c>
      <c r="E16" t="s">
        <v>1737</v>
      </c>
      <c r="F16" t="s">
        <v>1738</v>
      </c>
      <c r="G16" t="s">
        <v>1739</v>
      </c>
      <c r="H16" t="s">
        <v>1740</v>
      </c>
      <c r="I16" t="s">
        <v>238</v>
      </c>
      <c r="K16" t="s">
        <v>61</v>
      </c>
      <c r="L16" t="s">
        <v>1686</v>
      </c>
      <c r="M16" t="s">
        <v>56</v>
      </c>
      <c r="N16" t="s">
        <v>33</v>
      </c>
    </row>
    <row r="17" spans="1:15" x14ac:dyDescent="0.35">
      <c r="A17" t="s">
        <v>20</v>
      </c>
      <c r="B17">
        <v>17644</v>
      </c>
      <c r="C17" t="s">
        <v>21</v>
      </c>
      <c r="D17" t="s">
        <v>22</v>
      </c>
      <c r="E17" t="s">
        <v>1741</v>
      </c>
      <c r="F17" t="s">
        <v>1742</v>
      </c>
      <c r="G17" t="s">
        <v>1743</v>
      </c>
      <c r="H17" t="s">
        <v>1744</v>
      </c>
      <c r="I17" t="s">
        <v>238</v>
      </c>
      <c r="K17" t="s">
        <v>28</v>
      </c>
      <c r="L17" t="s">
        <v>1700</v>
      </c>
      <c r="M17" t="s">
        <v>56</v>
      </c>
      <c r="N17" t="s">
        <v>33</v>
      </c>
    </row>
    <row r="18" spans="1:15" x14ac:dyDescent="0.35">
      <c r="A18" t="s">
        <v>20</v>
      </c>
      <c r="B18">
        <v>17644</v>
      </c>
      <c r="C18" t="s">
        <v>21</v>
      </c>
      <c r="D18" t="s">
        <v>22</v>
      </c>
      <c r="E18" t="s">
        <v>1745</v>
      </c>
      <c r="F18" t="s">
        <v>1746</v>
      </c>
      <c r="G18" t="s">
        <v>1747</v>
      </c>
      <c r="H18" t="s">
        <v>1748</v>
      </c>
      <c r="I18" t="s">
        <v>238</v>
      </c>
      <c r="K18" t="s">
        <v>46</v>
      </c>
      <c r="L18" t="s">
        <v>1691</v>
      </c>
      <c r="M18" t="s">
        <v>56</v>
      </c>
      <c r="N18" t="s">
        <v>33</v>
      </c>
    </row>
    <row r="19" spans="1:15" x14ac:dyDescent="0.35">
      <c r="A19" t="s">
        <v>20</v>
      </c>
      <c r="B19">
        <v>17644</v>
      </c>
      <c r="C19" t="s">
        <v>21</v>
      </c>
      <c r="D19" t="s">
        <v>22</v>
      </c>
      <c r="E19" t="s">
        <v>1749</v>
      </c>
      <c r="F19" t="s">
        <v>1750</v>
      </c>
      <c r="G19" t="s">
        <v>1751</v>
      </c>
      <c r="H19" t="s">
        <v>1752</v>
      </c>
      <c r="I19" t="s">
        <v>238</v>
      </c>
      <c r="K19" t="s">
        <v>46</v>
      </c>
      <c r="L19" t="s">
        <v>1686</v>
      </c>
      <c r="M19" t="s">
        <v>56</v>
      </c>
      <c r="N19" t="s">
        <v>33</v>
      </c>
    </row>
    <row r="20" spans="1:15" x14ac:dyDescent="0.35">
      <c r="A20" t="s">
        <v>20</v>
      </c>
      <c r="B20">
        <v>17644</v>
      </c>
      <c r="C20" t="s">
        <v>21</v>
      </c>
      <c r="D20" t="s">
        <v>22</v>
      </c>
      <c r="E20" t="s">
        <v>1753</v>
      </c>
      <c r="F20" t="s">
        <v>1754</v>
      </c>
      <c r="G20" t="s">
        <v>1755</v>
      </c>
      <c r="H20" t="s">
        <v>1756</v>
      </c>
      <c r="I20" t="s">
        <v>238</v>
      </c>
      <c r="K20" t="s">
        <v>28</v>
      </c>
      <c r="L20" t="s">
        <v>1686</v>
      </c>
      <c r="M20" t="s">
        <v>76</v>
      </c>
      <c r="N20" t="s">
        <v>33</v>
      </c>
    </row>
    <row r="21" spans="1:15" x14ac:dyDescent="0.35">
      <c r="A21" t="s">
        <v>20</v>
      </c>
      <c r="B21">
        <v>17644</v>
      </c>
      <c r="C21" t="s">
        <v>21</v>
      </c>
      <c r="D21" t="s">
        <v>22</v>
      </c>
      <c r="E21" t="s">
        <v>1757</v>
      </c>
      <c r="F21" t="s">
        <v>1758</v>
      </c>
      <c r="G21" t="s">
        <v>1759</v>
      </c>
      <c r="H21" t="s">
        <v>1760</v>
      </c>
      <c r="I21" t="s">
        <v>238</v>
      </c>
      <c r="K21" t="s">
        <v>38</v>
      </c>
      <c r="L21" t="s">
        <v>1686</v>
      </c>
      <c r="M21" t="s">
        <v>56</v>
      </c>
      <c r="N21" t="s">
        <v>33</v>
      </c>
    </row>
    <row r="22" spans="1:15" x14ac:dyDescent="0.35">
      <c r="A22" t="s">
        <v>20</v>
      </c>
      <c r="B22">
        <v>17644</v>
      </c>
      <c r="C22" t="s">
        <v>21</v>
      </c>
      <c r="D22" t="s">
        <v>22</v>
      </c>
      <c r="E22" t="s">
        <v>1761</v>
      </c>
      <c r="F22" t="s">
        <v>1762</v>
      </c>
      <c r="G22" t="s">
        <v>1763</v>
      </c>
      <c r="H22" t="s">
        <v>1764</v>
      </c>
      <c r="I22" t="s">
        <v>238</v>
      </c>
      <c r="K22" t="s">
        <v>28</v>
      </c>
      <c r="L22" t="s">
        <v>1691</v>
      </c>
      <c r="M22" t="s">
        <v>32</v>
      </c>
      <c r="N22" t="s">
        <v>33</v>
      </c>
    </row>
    <row r="23" spans="1:15" x14ac:dyDescent="0.35">
      <c r="A23" t="s">
        <v>20</v>
      </c>
      <c r="B23">
        <v>17644</v>
      </c>
      <c r="C23" t="s">
        <v>21</v>
      </c>
      <c r="D23" t="s">
        <v>22</v>
      </c>
      <c r="E23" t="s">
        <v>1765</v>
      </c>
      <c r="F23" t="s">
        <v>337</v>
      </c>
      <c r="G23" t="s">
        <v>1766</v>
      </c>
      <c r="H23" t="s">
        <v>1767</v>
      </c>
      <c r="I23" t="s">
        <v>238</v>
      </c>
      <c r="K23" t="s">
        <v>28</v>
      </c>
      <c r="L23" t="s">
        <v>1686</v>
      </c>
      <c r="M23" t="s">
        <v>32</v>
      </c>
      <c r="N23" t="s">
        <v>33</v>
      </c>
    </row>
    <row r="24" spans="1:15" x14ac:dyDescent="0.35">
      <c r="A24" t="s">
        <v>20</v>
      </c>
      <c r="B24">
        <v>17644</v>
      </c>
      <c r="C24" t="s">
        <v>21</v>
      </c>
      <c r="D24" t="s">
        <v>22</v>
      </c>
      <c r="E24" t="s">
        <v>1768</v>
      </c>
      <c r="F24" t="s">
        <v>1769</v>
      </c>
      <c r="G24" t="s">
        <v>1770</v>
      </c>
      <c r="H24" t="s">
        <v>1771</v>
      </c>
      <c r="I24" t="s">
        <v>238</v>
      </c>
      <c r="K24" t="s">
        <v>46</v>
      </c>
      <c r="L24" t="s">
        <v>1686</v>
      </c>
      <c r="M24" t="s">
        <v>56</v>
      </c>
      <c r="N24" t="s">
        <v>33</v>
      </c>
    </row>
    <row r="25" spans="1:15" x14ac:dyDescent="0.35">
      <c r="A25" t="s">
        <v>20</v>
      </c>
      <c r="B25">
        <v>17644</v>
      </c>
      <c r="C25" t="s">
        <v>21</v>
      </c>
      <c r="D25" t="s">
        <v>22</v>
      </c>
      <c r="E25" t="s">
        <v>1772</v>
      </c>
      <c r="F25" t="s">
        <v>1773</v>
      </c>
      <c r="G25" t="s">
        <v>1774</v>
      </c>
      <c r="H25" t="s">
        <v>1775</v>
      </c>
      <c r="I25" t="s">
        <v>238</v>
      </c>
      <c r="K25" t="s">
        <v>46</v>
      </c>
      <c r="L25" t="s">
        <v>1686</v>
      </c>
      <c r="M25" t="s">
        <v>56</v>
      </c>
      <c r="N25" t="s">
        <v>33</v>
      </c>
    </row>
    <row r="26" spans="1:15" x14ac:dyDescent="0.35">
      <c r="A26" t="s">
        <v>20</v>
      </c>
      <c r="B26">
        <v>17644</v>
      </c>
      <c r="C26" t="s">
        <v>21</v>
      </c>
      <c r="D26" t="s">
        <v>22</v>
      </c>
      <c r="E26" t="s">
        <v>1776</v>
      </c>
      <c r="F26" t="s">
        <v>1777</v>
      </c>
      <c r="G26" t="s">
        <v>1778</v>
      </c>
      <c r="H26" t="s">
        <v>1779</v>
      </c>
      <c r="I26" t="s">
        <v>238</v>
      </c>
      <c r="K26" t="s">
        <v>38</v>
      </c>
      <c r="L26" t="s">
        <v>1700</v>
      </c>
      <c r="M26" t="s">
        <v>56</v>
      </c>
      <c r="N26" t="s">
        <v>33</v>
      </c>
    </row>
    <row r="27" spans="1:15" x14ac:dyDescent="0.35">
      <c r="A27" t="s">
        <v>20</v>
      </c>
      <c r="B27">
        <v>17643</v>
      </c>
      <c r="C27" t="s">
        <v>426</v>
      </c>
      <c r="D27" t="s">
        <v>427</v>
      </c>
      <c r="E27" t="s">
        <v>1677</v>
      </c>
      <c r="F27" t="s">
        <v>1780</v>
      </c>
      <c r="G27" t="s">
        <v>1781</v>
      </c>
      <c r="H27" t="s">
        <v>1782</v>
      </c>
      <c r="I27" t="s">
        <v>557</v>
      </c>
      <c r="K27" t="s">
        <v>46</v>
      </c>
      <c r="L27" t="s">
        <v>1691</v>
      </c>
      <c r="M27" t="s">
        <v>76</v>
      </c>
      <c r="N27" t="s">
        <v>33</v>
      </c>
      <c r="O27" t="s">
        <v>432</v>
      </c>
    </row>
    <row r="28" spans="1:15" x14ac:dyDescent="0.35">
      <c r="A28" t="s">
        <v>20</v>
      </c>
      <c r="B28">
        <v>17643</v>
      </c>
      <c r="C28" t="s">
        <v>426</v>
      </c>
      <c r="D28" t="s">
        <v>427</v>
      </c>
      <c r="E28" t="s">
        <v>1682</v>
      </c>
      <c r="F28" t="s">
        <v>1783</v>
      </c>
      <c r="G28" t="s">
        <v>1784</v>
      </c>
      <c r="H28" t="s">
        <v>1785</v>
      </c>
      <c r="I28" t="s">
        <v>557</v>
      </c>
      <c r="K28" t="s">
        <v>46</v>
      </c>
      <c r="L28" t="s">
        <v>1700</v>
      </c>
      <c r="M28" t="s">
        <v>76</v>
      </c>
      <c r="N28" t="s">
        <v>33</v>
      </c>
      <c r="O28" t="s">
        <v>432</v>
      </c>
    </row>
    <row r="29" spans="1:15" x14ac:dyDescent="0.35">
      <c r="A29" t="s">
        <v>20</v>
      </c>
      <c r="B29">
        <v>17643</v>
      </c>
      <c r="C29" t="s">
        <v>426</v>
      </c>
      <c r="D29" t="s">
        <v>427</v>
      </c>
      <c r="E29" t="s">
        <v>1687</v>
      </c>
      <c r="F29" t="s">
        <v>1786</v>
      </c>
      <c r="G29" t="s">
        <v>1787</v>
      </c>
      <c r="H29" t="s">
        <v>1788</v>
      </c>
      <c r="I29" t="s">
        <v>557</v>
      </c>
      <c r="K29" t="s">
        <v>38</v>
      </c>
      <c r="L29" t="s">
        <v>1681</v>
      </c>
      <c r="M29" t="s">
        <v>56</v>
      </c>
      <c r="N29" t="s">
        <v>33</v>
      </c>
      <c r="O29" t="s">
        <v>432</v>
      </c>
    </row>
    <row r="30" spans="1:15" x14ac:dyDescent="0.35">
      <c r="A30" t="s">
        <v>20</v>
      </c>
      <c r="B30">
        <v>17643</v>
      </c>
      <c r="C30" t="s">
        <v>426</v>
      </c>
      <c r="D30" t="s">
        <v>427</v>
      </c>
      <c r="E30" t="s">
        <v>1692</v>
      </c>
      <c r="F30" t="s">
        <v>1789</v>
      </c>
      <c r="G30" t="s">
        <v>1790</v>
      </c>
      <c r="H30" t="s">
        <v>1791</v>
      </c>
      <c r="I30" t="s">
        <v>557</v>
      </c>
      <c r="K30" t="s">
        <v>46</v>
      </c>
      <c r="L30" t="s">
        <v>1681</v>
      </c>
      <c r="M30" t="s">
        <v>56</v>
      </c>
      <c r="N30" t="s">
        <v>33</v>
      </c>
      <c r="O30" t="s">
        <v>432</v>
      </c>
    </row>
    <row r="31" spans="1:15" x14ac:dyDescent="0.35">
      <c r="A31" t="s">
        <v>20</v>
      </c>
      <c r="B31">
        <v>17643</v>
      </c>
      <c r="C31" t="s">
        <v>426</v>
      </c>
      <c r="D31" t="s">
        <v>427</v>
      </c>
      <c r="E31" t="s">
        <v>1696</v>
      </c>
      <c r="F31" t="s">
        <v>1792</v>
      </c>
      <c r="G31" t="s">
        <v>1793</v>
      </c>
      <c r="H31" t="s">
        <v>1794</v>
      </c>
      <c r="I31" t="s">
        <v>557</v>
      </c>
      <c r="K31" t="s">
        <v>28</v>
      </c>
      <c r="L31" t="s">
        <v>1686</v>
      </c>
      <c r="M31" t="s">
        <v>56</v>
      </c>
      <c r="N31" t="s">
        <v>33</v>
      </c>
      <c r="O31" t="s">
        <v>432</v>
      </c>
    </row>
    <row r="32" spans="1:15" x14ac:dyDescent="0.35">
      <c r="A32" t="s">
        <v>20</v>
      </c>
      <c r="B32">
        <v>17643</v>
      </c>
      <c r="C32" t="s">
        <v>426</v>
      </c>
      <c r="D32" t="s">
        <v>427</v>
      </c>
      <c r="E32" t="s">
        <v>1701</v>
      </c>
      <c r="F32" t="s">
        <v>1795</v>
      </c>
      <c r="G32" t="s">
        <v>1796</v>
      </c>
      <c r="H32" t="s">
        <v>1797</v>
      </c>
      <c r="I32" t="s">
        <v>557</v>
      </c>
      <c r="K32" t="s">
        <v>61</v>
      </c>
      <c r="L32" t="s">
        <v>1686</v>
      </c>
      <c r="M32" t="s">
        <v>76</v>
      </c>
      <c r="N32" t="s">
        <v>33</v>
      </c>
      <c r="O32" t="s">
        <v>432</v>
      </c>
    </row>
    <row r="33" spans="1:15" x14ac:dyDescent="0.35">
      <c r="A33" t="s">
        <v>20</v>
      </c>
      <c r="B33">
        <v>17643</v>
      </c>
      <c r="C33" t="s">
        <v>426</v>
      </c>
      <c r="D33" t="s">
        <v>427</v>
      </c>
      <c r="E33" t="s">
        <v>1705</v>
      </c>
      <c r="F33" t="s">
        <v>1798</v>
      </c>
      <c r="G33" t="s">
        <v>1799</v>
      </c>
      <c r="H33" t="s">
        <v>1800</v>
      </c>
      <c r="I33" t="s">
        <v>557</v>
      </c>
      <c r="K33" t="s">
        <v>61</v>
      </c>
      <c r="L33" t="s">
        <v>1691</v>
      </c>
      <c r="M33" t="s">
        <v>76</v>
      </c>
      <c r="N33" t="s">
        <v>33</v>
      </c>
      <c r="O33" t="s">
        <v>432</v>
      </c>
    </row>
    <row r="34" spans="1:15" x14ac:dyDescent="0.35">
      <c r="A34" t="s">
        <v>20</v>
      </c>
      <c r="B34">
        <v>17643</v>
      </c>
      <c r="C34" t="s">
        <v>426</v>
      </c>
      <c r="D34" t="s">
        <v>427</v>
      </c>
      <c r="E34" t="s">
        <v>1709</v>
      </c>
      <c r="F34" t="s">
        <v>1801</v>
      </c>
      <c r="G34" t="s">
        <v>1802</v>
      </c>
      <c r="H34" t="s">
        <v>1803</v>
      </c>
      <c r="I34" t="s">
        <v>557</v>
      </c>
      <c r="K34" t="s">
        <v>61</v>
      </c>
      <c r="L34" t="s">
        <v>1686</v>
      </c>
      <c r="M34" t="s">
        <v>76</v>
      </c>
      <c r="N34" t="s">
        <v>33</v>
      </c>
      <c r="O34" t="s">
        <v>432</v>
      </c>
    </row>
    <row r="35" spans="1:15" x14ac:dyDescent="0.35">
      <c r="A35" t="s">
        <v>20</v>
      </c>
      <c r="B35">
        <v>17643</v>
      </c>
      <c r="C35" t="s">
        <v>426</v>
      </c>
      <c r="D35" t="s">
        <v>427</v>
      </c>
      <c r="E35" t="s">
        <v>1713</v>
      </c>
      <c r="F35" t="s">
        <v>1804</v>
      </c>
      <c r="G35" t="s">
        <v>1805</v>
      </c>
      <c r="H35" t="s">
        <v>1806</v>
      </c>
      <c r="I35" t="s">
        <v>557</v>
      </c>
      <c r="K35" t="s">
        <v>46</v>
      </c>
      <c r="L35" t="s">
        <v>1700</v>
      </c>
      <c r="M35" t="s">
        <v>56</v>
      </c>
      <c r="N35" t="s">
        <v>33</v>
      </c>
      <c r="O35" t="s">
        <v>432</v>
      </c>
    </row>
    <row r="36" spans="1:15" x14ac:dyDescent="0.35">
      <c r="A36" t="s">
        <v>20</v>
      </c>
      <c r="B36">
        <v>17643</v>
      </c>
      <c r="C36" t="s">
        <v>426</v>
      </c>
      <c r="D36" t="s">
        <v>427</v>
      </c>
      <c r="E36" t="s">
        <v>1807</v>
      </c>
      <c r="F36" t="s">
        <v>1808</v>
      </c>
      <c r="G36" t="s">
        <v>1809</v>
      </c>
      <c r="H36" t="s">
        <v>1810</v>
      </c>
      <c r="I36" t="s">
        <v>557</v>
      </c>
      <c r="K36" t="s">
        <v>46</v>
      </c>
      <c r="L36" t="s">
        <v>1686</v>
      </c>
      <c r="M36" t="s">
        <v>56</v>
      </c>
      <c r="N36" t="s">
        <v>33</v>
      </c>
      <c r="O36" t="s">
        <v>432</v>
      </c>
    </row>
    <row r="37" spans="1:15" x14ac:dyDescent="0.35">
      <c r="A37" t="s">
        <v>20</v>
      </c>
      <c r="B37">
        <v>17643</v>
      </c>
      <c r="C37" t="s">
        <v>426</v>
      </c>
      <c r="D37" t="s">
        <v>427</v>
      </c>
      <c r="E37" t="s">
        <v>1811</v>
      </c>
      <c r="F37" t="s">
        <v>1812</v>
      </c>
      <c r="G37" t="s">
        <v>1813</v>
      </c>
      <c r="H37" t="s">
        <v>1814</v>
      </c>
      <c r="I37" t="s">
        <v>557</v>
      </c>
      <c r="K37" t="s">
        <v>46</v>
      </c>
      <c r="L37" t="s">
        <v>1686</v>
      </c>
      <c r="M37" t="s">
        <v>56</v>
      </c>
      <c r="N37" t="s">
        <v>33</v>
      </c>
      <c r="O37" t="s">
        <v>432</v>
      </c>
    </row>
    <row r="38" spans="1:15" x14ac:dyDescent="0.35">
      <c r="A38" t="s">
        <v>20</v>
      </c>
      <c r="B38">
        <v>17643</v>
      </c>
      <c r="C38" t="s">
        <v>426</v>
      </c>
      <c r="D38" t="s">
        <v>427</v>
      </c>
      <c r="E38" t="s">
        <v>1815</v>
      </c>
      <c r="F38" t="s">
        <v>1816</v>
      </c>
      <c r="G38" t="s">
        <v>1817</v>
      </c>
      <c r="H38" t="s">
        <v>1818</v>
      </c>
      <c r="I38" t="s">
        <v>557</v>
      </c>
      <c r="K38" t="s">
        <v>38</v>
      </c>
      <c r="L38" t="s">
        <v>1691</v>
      </c>
      <c r="M38" t="s">
        <v>32</v>
      </c>
      <c r="N38" t="s">
        <v>33</v>
      </c>
      <c r="O38" t="s">
        <v>432</v>
      </c>
    </row>
    <row r="39" spans="1:15" x14ac:dyDescent="0.35">
      <c r="A39" t="s">
        <v>20</v>
      </c>
      <c r="B39">
        <v>17643</v>
      </c>
      <c r="C39" t="s">
        <v>426</v>
      </c>
      <c r="D39" t="s">
        <v>427</v>
      </c>
      <c r="E39" t="s">
        <v>1819</v>
      </c>
      <c r="F39" t="s">
        <v>1820</v>
      </c>
      <c r="G39" t="s">
        <v>1821</v>
      </c>
      <c r="H39" t="s">
        <v>1822</v>
      </c>
      <c r="I39" t="s">
        <v>557</v>
      </c>
      <c r="K39" t="s">
        <v>38</v>
      </c>
      <c r="L39" t="s">
        <v>1681</v>
      </c>
      <c r="M39" t="s">
        <v>32</v>
      </c>
      <c r="N39" t="s">
        <v>33</v>
      </c>
      <c r="O39" t="s">
        <v>432</v>
      </c>
    </row>
    <row r="40" spans="1:15" x14ac:dyDescent="0.35">
      <c r="A40" t="s">
        <v>20</v>
      </c>
      <c r="B40">
        <v>17643</v>
      </c>
      <c r="C40" t="s">
        <v>426</v>
      </c>
      <c r="D40" t="s">
        <v>427</v>
      </c>
      <c r="E40" t="s">
        <v>1823</v>
      </c>
      <c r="F40" t="s">
        <v>1824</v>
      </c>
      <c r="G40" t="s">
        <v>1825</v>
      </c>
      <c r="H40" t="s">
        <v>1826</v>
      </c>
      <c r="I40" t="s">
        <v>557</v>
      </c>
      <c r="K40" t="s">
        <v>61</v>
      </c>
      <c r="L40" t="s">
        <v>1691</v>
      </c>
      <c r="M40" t="s">
        <v>56</v>
      </c>
      <c r="N40" t="s">
        <v>33</v>
      </c>
      <c r="O40" t="s">
        <v>432</v>
      </c>
    </row>
    <row r="41" spans="1:15" x14ac:dyDescent="0.35">
      <c r="A41" t="s">
        <v>20</v>
      </c>
      <c r="B41">
        <v>17643</v>
      </c>
      <c r="C41" t="s">
        <v>426</v>
      </c>
      <c r="D41" t="s">
        <v>427</v>
      </c>
      <c r="E41" t="s">
        <v>1827</v>
      </c>
      <c r="F41" t="s">
        <v>1828</v>
      </c>
      <c r="G41" t="s">
        <v>1829</v>
      </c>
      <c r="H41" t="s">
        <v>1830</v>
      </c>
      <c r="I41" t="s">
        <v>557</v>
      </c>
      <c r="K41" t="s">
        <v>61</v>
      </c>
      <c r="L41" t="s">
        <v>1686</v>
      </c>
      <c r="M41" t="s">
        <v>32</v>
      </c>
      <c r="N41" t="s">
        <v>33</v>
      </c>
      <c r="O41" t="s">
        <v>432</v>
      </c>
    </row>
    <row r="42" spans="1:15" x14ac:dyDescent="0.35">
      <c r="A42" t="s">
        <v>20</v>
      </c>
      <c r="B42">
        <v>17643</v>
      </c>
      <c r="C42" t="s">
        <v>426</v>
      </c>
      <c r="D42" t="s">
        <v>427</v>
      </c>
      <c r="E42" t="s">
        <v>1721</v>
      </c>
      <c r="F42" t="s">
        <v>1831</v>
      </c>
      <c r="G42" t="s">
        <v>1832</v>
      </c>
      <c r="H42" t="s">
        <v>1833</v>
      </c>
      <c r="I42" t="s">
        <v>431</v>
      </c>
      <c r="K42" t="s">
        <v>61</v>
      </c>
      <c r="L42" t="s">
        <v>1686</v>
      </c>
      <c r="M42" t="s">
        <v>56</v>
      </c>
      <c r="N42" t="s">
        <v>33</v>
      </c>
      <c r="O42" t="s">
        <v>432</v>
      </c>
    </row>
    <row r="43" spans="1:15" x14ac:dyDescent="0.35">
      <c r="A43" t="s">
        <v>20</v>
      </c>
      <c r="B43">
        <v>17643</v>
      </c>
      <c r="C43" t="s">
        <v>426</v>
      </c>
      <c r="D43" t="s">
        <v>427</v>
      </c>
      <c r="E43" t="s">
        <v>1725</v>
      </c>
      <c r="F43" t="s">
        <v>1834</v>
      </c>
      <c r="G43" t="s">
        <v>1835</v>
      </c>
      <c r="H43" t="s">
        <v>1836</v>
      </c>
      <c r="I43" t="s">
        <v>431</v>
      </c>
      <c r="K43" t="s">
        <v>46</v>
      </c>
      <c r="L43" t="s">
        <v>1686</v>
      </c>
      <c r="M43" t="s">
        <v>76</v>
      </c>
      <c r="N43" t="s">
        <v>33</v>
      </c>
      <c r="O43" t="s">
        <v>432</v>
      </c>
    </row>
    <row r="44" spans="1:15" x14ac:dyDescent="0.35">
      <c r="A44" t="s">
        <v>20</v>
      </c>
      <c r="B44">
        <v>17643</v>
      </c>
      <c r="C44" t="s">
        <v>426</v>
      </c>
      <c r="D44" t="s">
        <v>427</v>
      </c>
      <c r="E44" t="s">
        <v>1729</v>
      </c>
      <c r="F44" t="s">
        <v>1837</v>
      </c>
      <c r="G44" t="s">
        <v>1838</v>
      </c>
      <c r="H44" t="s">
        <v>1839</v>
      </c>
      <c r="I44" t="s">
        <v>431</v>
      </c>
      <c r="K44" t="s">
        <v>38</v>
      </c>
      <c r="L44" t="s">
        <v>1700</v>
      </c>
      <c r="M44" t="s">
        <v>56</v>
      </c>
      <c r="N44" t="s">
        <v>33</v>
      </c>
      <c r="O44" t="s">
        <v>432</v>
      </c>
    </row>
    <row r="45" spans="1:15" x14ac:dyDescent="0.35">
      <c r="A45" t="s">
        <v>20</v>
      </c>
      <c r="B45">
        <v>17643</v>
      </c>
      <c r="C45" t="s">
        <v>426</v>
      </c>
      <c r="D45" t="s">
        <v>427</v>
      </c>
      <c r="E45" t="s">
        <v>1733</v>
      </c>
      <c r="F45" t="s">
        <v>1840</v>
      </c>
      <c r="G45" t="s">
        <v>1841</v>
      </c>
      <c r="H45" t="s">
        <v>1842</v>
      </c>
      <c r="I45" t="s">
        <v>431</v>
      </c>
      <c r="K45" t="s">
        <v>46</v>
      </c>
      <c r="L45" t="s">
        <v>1700</v>
      </c>
      <c r="M45" t="s">
        <v>76</v>
      </c>
      <c r="N45" t="s">
        <v>33</v>
      </c>
      <c r="O45" t="s">
        <v>432</v>
      </c>
    </row>
    <row r="46" spans="1:15" x14ac:dyDescent="0.35">
      <c r="A46" t="s">
        <v>20</v>
      </c>
      <c r="B46">
        <v>17643</v>
      </c>
      <c r="C46" t="s">
        <v>426</v>
      </c>
      <c r="D46" t="s">
        <v>427</v>
      </c>
      <c r="E46" t="s">
        <v>1737</v>
      </c>
      <c r="F46" t="s">
        <v>1843</v>
      </c>
      <c r="G46" t="s">
        <v>1844</v>
      </c>
      <c r="H46" t="s">
        <v>1845</v>
      </c>
      <c r="I46" t="s">
        <v>431</v>
      </c>
      <c r="K46" t="s">
        <v>61</v>
      </c>
      <c r="L46" t="s">
        <v>1686</v>
      </c>
      <c r="M46" t="s">
        <v>56</v>
      </c>
      <c r="N46" t="s">
        <v>33</v>
      </c>
      <c r="O46" t="s">
        <v>432</v>
      </c>
    </row>
    <row r="47" spans="1:15" x14ac:dyDescent="0.35">
      <c r="A47" t="s">
        <v>20</v>
      </c>
      <c r="B47">
        <v>17643</v>
      </c>
      <c r="C47" t="s">
        <v>426</v>
      </c>
      <c r="D47" t="s">
        <v>427</v>
      </c>
      <c r="E47" t="s">
        <v>1741</v>
      </c>
      <c r="F47" t="s">
        <v>1846</v>
      </c>
      <c r="G47" t="s">
        <v>1847</v>
      </c>
      <c r="H47" t="s">
        <v>1848</v>
      </c>
      <c r="I47" t="s">
        <v>431</v>
      </c>
      <c r="K47" t="s">
        <v>61</v>
      </c>
      <c r="L47" t="s">
        <v>1686</v>
      </c>
      <c r="M47" t="s">
        <v>56</v>
      </c>
      <c r="N47" t="s">
        <v>33</v>
      </c>
      <c r="O47" t="s">
        <v>432</v>
      </c>
    </row>
    <row r="48" spans="1:15" x14ac:dyDescent="0.35">
      <c r="A48" t="s">
        <v>20</v>
      </c>
      <c r="B48">
        <v>17646</v>
      </c>
      <c r="C48" t="s">
        <v>666</v>
      </c>
      <c r="D48" t="s">
        <v>667</v>
      </c>
      <c r="E48" t="s">
        <v>1721</v>
      </c>
      <c r="F48" t="s">
        <v>1849</v>
      </c>
      <c r="G48" t="s">
        <v>1850</v>
      </c>
      <c r="H48" t="s">
        <v>1851</v>
      </c>
      <c r="I48" t="s">
        <v>671</v>
      </c>
      <c r="K48" t="s">
        <v>46</v>
      </c>
      <c r="L48" t="s">
        <v>1691</v>
      </c>
      <c r="M48" t="s">
        <v>32</v>
      </c>
      <c r="N48" t="s">
        <v>33</v>
      </c>
    </row>
    <row r="49" spans="1:14" x14ac:dyDescent="0.35">
      <c r="A49" t="s">
        <v>20</v>
      </c>
      <c r="B49">
        <v>17646</v>
      </c>
      <c r="C49" t="s">
        <v>666</v>
      </c>
      <c r="D49" t="s">
        <v>667</v>
      </c>
      <c r="E49" t="s">
        <v>1725</v>
      </c>
      <c r="F49" t="s">
        <v>1852</v>
      </c>
      <c r="G49" t="s">
        <v>1853</v>
      </c>
      <c r="H49" t="s">
        <v>1854</v>
      </c>
      <c r="I49" t="s">
        <v>671</v>
      </c>
      <c r="K49" t="s">
        <v>46</v>
      </c>
      <c r="L49" t="s">
        <v>1700</v>
      </c>
      <c r="M49" t="s">
        <v>32</v>
      </c>
      <c r="N49" t="s">
        <v>33</v>
      </c>
    </row>
    <row r="50" spans="1:14" x14ac:dyDescent="0.35">
      <c r="A50" t="s">
        <v>20</v>
      </c>
      <c r="B50">
        <v>17646</v>
      </c>
      <c r="C50" t="s">
        <v>666</v>
      </c>
      <c r="D50" t="s">
        <v>667</v>
      </c>
      <c r="E50" t="s">
        <v>1729</v>
      </c>
      <c r="F50" t="s">
        <v>1855</v>
      </c>
      <c r="G50" t="s">
        <v>1856</v>
      </c>
      <c r="H50" t="s">
        <v>1857</v>
      </c>
      <c r="I50" t="s">
        <v>671</v>
      </c>
      <c r="K50" t="s">
        <v>38</v>
      </c>
      <c r="L50" t="s">
        <v>1691</v>
      </c>
      <c r="M50" t="s">
        <v>76</v>
      </c>
      <c r="N50" t="s">
        <v>33</v>
      </c>
    </row>
    <row r="51" spans="1:14" x14ac:dyDescent="0.35">
      <c r="A51" t="s">
        <v>20</v>
      </c>
      <c r="B51">
        <v>17646</v>
      </c>
      <c r="C51" t="s">
        <v>666</v>
      </c>
      <c r="D51" t="s">
        <v>667</v>
      </c>
      <c r="E51" t="s">
        <v>1733</v>
      </c>
      <c r="F51" t="s">
        <v>1858</v>
      </c>
      <c r="G51" t="s">
        <v>1859</v>
      </c>
      <c r="H51" t="s">
        <v>1860</v>
      </c>
      <c r="I51" t="s">
        <v>671</v>
      </c>
      <c r="K51" t="s">
        <v>38</v>
      </c>
      <c r="L51" t="s">
        <v>1700</v>
      </c>
      <c r="M51" t="s">
        <v>76</v>
      </c>
      <c r="N51" t="s">
        <v>33</v>
      </c>
    </row>
    <row r="52" spans="1:14" x14ac:dyDescent="0.35">
      <c r="A52" t="s">
        <v>20</v>
      </c>
      <c r="B52">
        <v>17646</v>
      </c>
      <c r="C52" t="s">
        <v>666</v>
      </c>
      <c r="D52" t="s">
        <v>667</v>
      </c>
      <c r="E52" t="s">
        <v>1737</v>
      </c>
      <c r="F52" t="s">
        <v>1861</v>
      </c>
      <c r="G52" t="s">
        <v>1862</v>
      </c>
      <c r="H52" t="s">
        <v>1863</v>
      </c>
      <c r="I52" t="s">
        <v>671</v>
      </c>
      <c r="K52" t="s">
        <v>46</v>
      </c>
      <c r="L52" t="s">
        <v>1686</v>
      </c>
      <c r="M52" t="s">
        <v>56</v>
      </c>
      <c r="N52" t="s">
        <v>33</v>
      </c>
    </row>
    <row r="53" spans="1:14" x14ac:dyDescent="0.35">
      <c r="A53" t="s">
        <v>20</v>
      </c>
      <c r="B53">
        <v>17646</v>
      </c>
      <c r="C53" t="s">
        <v>666</v>
      </c>
      <c r="D53" t="s">
        <v>667</v>
      </c>
      <c r="E53" t="s">
        <v>1741</v>
      </c>
      <c r="F53" t="s">
        <v>1864</v>
      </c>
      <c r="G53" t="s">
        <v>1865</v>
      </c>
      <c r="H53" t="s">
        <v>1866</v>
      </c>
      <c r="I53" t="s">
        <v>671</v>
      </c>
      <c r="K53" t="s">
        <v>46</v>
      </c>
      <c r="L53" t="s">
        <v>1686</v>
      </c>
      <c r="M53" t="s">
        <v>56</v>
      </c>
      <c r="N53" t="s">
        <v>33</v>
      </c>
    </row>
    <row r="54" spans="1:14" x14ac:dyDescent="0.35">
      <c r="A54" t="s">
        <v>20</v>
      </c>
      <c r="B54">
        <v>17646</v>
      </c>
      <c r="C54" t="s">
        <v>666</v>
      </c>
      <c r="D54" t="s">
        <v>667</v>
      </c>
      <c r="E54" t="s">
        <v>1745</v>
      </c>
      <c r="F54" t="s">
        <v>1867</v>
      </c>
      <c r="G54" t="s">
        <v>1868</v>
      </c>
      <c r="H54" t="s">
        <v>1869</v>
      </c>
      <c r="I54" t="s">
        <v>671</v>
      </c>
      <c r="K54" t="s">
        <v>46</v>
      </c>
      <c r="L54" t="s">
        <v>1686</v>
      </c>
      <c r="M54" t="s">
        <v>56</v>
      </c>
      <c r="N54" t="s">
        <v>33</v>
      </c>
    </row>
    <row r="55" spans="1:14" x14ac:dyDescent="0.35">
      <c r="A55" t="s">
        <v>20</v>
      </c>
      <c r="B55">
        <v>17646</v>
      </c>
      <c r="C55" t="s">
        <v>666</v>
      </c>
      <c r="D55" t="s">
        <v>667</v>
      </c>
      <c r="E55" t="s">
        <v>1749</v>
      </c>
      <c r="F55" t="s">
        <v>1870</v>
      </c>
      <c r="G55" t="s">
        <v>1871</v>
      </c>
      <c r="H55" t="s">
        <v>1872</v>
      </c>
      <c r="I55" t="s">
        <v>671</v>
      </c>
      <c r="K55" t="s">
        <v>61</v>
      </c>
      <c r="L55" t="s">
        <v>1691</v>
      </c>
      <c r="M55" t="s">
        <v>56</v>
      </c>
      <c r="N55" t="s">
        <v>33</v>
      </c>
    </row>
    <row r="56" spans="1:14" x14ac:dyDescent="0.35">
      <c r="A56" t="s">
        <v>20</v>
      </c>
      <c r="B56">
        <v>17646</v>
      </c>
      <c r="C56" t="s">
        <v>666</v>
      </c>
      <c r="D56" t="s">
        <v>667</v>
      </c>
      <c r="E56" t="s">
        <v>1753</v>
      </c>
      <c r="F56" t="s">
        <v>1873</v>
      </c>
      <c r="G56" t="s">
        <v>1874</v>
      </c>
      <c r="H56" t="s">
        <v>1875</v>
      </c>
      <c r="I56" t="s">
        <v>671</v>
      </c>
      <c r="K56" t="s">
        <v>61</v>
      </c>
      <c r="M56" t="s">
        <v>56</v>
      </c>
      <c r="N56" t="s">
        <v>33</v>
      </c>
    </row>
    <row r="57" spans="1:14" x14ac:dyDescent="0.35">
      <c r="A57" t="s">
        <v>20</v>
      </c>
      <c r="B57">
        <v>17646</v>
      </c>
      <c r="C57" t="s">
        <v>666</v>
      </c>
      <c r="D57" t="s">
        <v>667</v>
      </c>
      <c r="E57" t="s">
        <v>1757</v>
      </c>
      <c r="F57" t="s">
        <v>1876</v>
      </c>
      <c r="G57" t="s">
        <v>1877</v>
      </c>
      <c r="H57" t="s">
        <v>1878</v>
      </c>
      <c r="I57" t="s">
        <v>671</v>
      </c>
      <c r="K57" t="s">
        <v>28</v>
      </c>
      <c r="L57" t="s">
        <v>1700</v>
      </c>
      <c r="M57" t="s">
        <v>56</v>
      </c>
      <c r="N57" t="s">
        <v>33</v>
      </c>
    </row>
    <row r="58" spans="1:14" x14ac:dyDescent="0.35">
      <c r="A58" t="s">
        <v>20</v>
      </c>
      <c r="B58">
        <v>17646</v>
      </c>
      <c r="C58" t="s">
        <v>666</v>
      </c>
      <c r="D58" t="s">
        <v>667</v>
      </c>
      <c r="E58" t="s">
        <v>1677</v>
      </c>
      <c r="F58" t="s">
        <v>1879</v>
      </c>
      <c r="G58" t="s">
        <v>1880</v>
      </c>
      <c r="H58" t="s">
        <v>1881</v>
      </c>
      <c r="I58" t="s">
        <v>809</v>
      </c>
      <c r="K58" t="s">
        <v>38</v>
      </c>
      <c r="L58" t="s">
        <v>1700</v>
      </c>
      <c r="M58" t="s">
        <v>56</v>
      </c>
      <c r="N58" t="s">
        <v>33</v>
      </c>
    </row>
    <row r="59" spans="1:14" x14ac:dyDescent="0.35">
      <c r="A59" t="s">
        <v>20</v>
      </c>
      <c r="B59">
        <v>17646</v>
      </c>
      <c r="C59" t="s">
        <v>666</v>
      </c>
      <c r="D59" t="s">
        <v>667</v>
      </c>
      <c r="E59" t="s">
        <v>1682</v>
      </c>
      <c r="F59" t="s">
        <v>1882</v>
      </c>
      <c r="G59" t="s">
        <v>1883</v>
      </c>
      <c r="H59" t="s">
        <v>1884</v>
      </c>
      <c r="I59" t="s">
        <v>809</v>
      </c>
      <c r="K59" t="s">
        <v>46</v>
      </c>
      <c r="L59" t="s">
        <v>1700</v>
      </c>
      <c r="M59" t="s">
        <v>56</v>
      </c>
      <c r="N59" t="s">
        <v>33</v>
      </c>
    </row>
    <row r="60" spans="1:14" x14ac:dyDescent="0.35">
      <c r="A60" t="s">
        <v>20</v>
      </c>
      <c r="B60">
        <v>17646</v>
      </c>
      <c r="C60" t="s">
        <v>666</v>
      </c>
      <c r="D60" t="s">
        <v>667</v>
      </c>
      <c r="E60" t="s">
        <v>1687</v>
      </c>
      <c r="F60" t="s">
        <v>1885</v>
      </c>
      <c r="G60" t="s">
        <v>1886</v>
      </c>
      <c r="H60" t="s">
        <v>1887</v>
      </c>
      <c r="I60" t="s">
        <v>809</v>
      </c>
      <c r="K60" t="s">
        <v>28</v>
      </c>
      <c r="L60" t="s">
        <v>1686</v>
      </c>
      <c r="M60" t="s">
        <v>32</v>
      </c>
      <c r="N60" t="s">
        <v>33</v>
      </c>
    </row>
    <row r="61" spans="1:14" x14ac:dyDescent="0.35">
      <c r="A61" t="s">
        <v>20</v>
      </c>
      <c r="B61">
        <v>17646</v>
      </c>
      <c r="C61" t="s">
        <v>666</v>
      </c>
      <c r="D61" t="s">
        <v>667</v>
      </c>
      <c r="E61" t="s">
        <v>1692</v>
      </c>
      <c r="F61" t="s">
        <v>1888</v>
      </c>
      <c r="G61" t="s">
        <v>1889</v>
      </c>
      <c r="H61" t="s">
        <v>1890</v>
      </c>
      <c r="I61" t="s">
        <v>809</v>
      </c>
      <c r="K61" t="s">
        <v>46</v>
      </c>
      <c r="L61" t="s">
        <v>1691</v>
      </c>
      <c r="M61" t="s">
        <v>56</v>
      </c>
      <c r="N61" t="s">
        <v>33</v>
      </c>
    </row>
    <row r="62" spans="1:14" x14ac:dyDescent="0.35">
      <c r="A62" t="s">
        <v>20</v>
      </c>
      <c r="B62">
        <v>17646</v>
      </c>
      <c r="C62" t="s">
        <v>666</v>
      </c>
      <c r="D62" t="s">
        <v>667</v>
      </c>
      <c r="E62" t="s">
        <v>1696</v>
      </c>
      <c r="F62" t="s">
        <v>1891</v>
      </c>
      <c r="G62" t="s">
        <v>1892</v>
      </c>
      <c r="H62" t="s">
        <v>1893</v>
      </c>
      <c r="I62" t="s">
        <v>809</v>
      </c>
      <c r="K62" t="s">
        <v>46</v>
      </c>
      <c r="L62" t="s">
        <v>1686</v>
      </c>
      <c r="M62" t="s">
        <v>56</v>
      </c>
      <c r="N62" t="s">
        <v>33</v>
      </c>
    </row>
    <row r="63" spans="1:14" x14ac:dyDescent="0.35">
      <c r="A63" t="s">
        <v>20</v>
      </c>
      <c r="B63">
        <v>17646</v>
      </c>
      <c r="C63" t="s">
        <v>666</v>
      </c>
      <c r="D63" t="s">
        <v>667</v>
      </c>
      <c r="E63" t="s">
        <v>1701</v>
      </c>
      <c r="F63" t="s">
        <v>1894</v>
      </c>
      <c r="G63" t="s">
        <v>1895</v>
      </c>
      <c r="H63" t="s">
        <v>1896</v>
      </c>
      <c r="I63" t="s">
        <v>809</v>
      </c>
      <c r="K63" t="s">
        <v>38</v>
      </c>
      <c r="L63" t="s">
        <v>1686</v>
      </c>
      <c r="M63" t="s">
        <v>56</v>
      </c>
      <c r="N63" t="s">
        <v>33</v>
      </c>
    </row>
    <row r="64" spans="1:14" x14ac:dyDescent="0.35">
      <c r="A64" t="s">
        <v>20</v>
      </c>
      <c r="B64">
        <v>17646</v>
      </c>
      <c r="C64" t="s">
        <v>666</v>
      </c>
      <c r="D64" t="s">
        <v>667</v>
      </c>
      <c r="E64" t="s">
        <v>1705</v>
      </c>
      <c r="F64" t="s">
        <v>1897</v>
      </c>
      <c r="G64" t="s">
        <v>1898</v>
      </c>
      <c r="H64" t="s">
        <v>1899</v>
      </c>
      <c r="I64" t="s">
        <v>809</v>
      </c>
      <c r="K64" t="s">
        <v>46</v>
      </c>
      <c r="L64" t="s">
        <v>1686</v>
      </c>
      <c r="M64" t="s">
        <v>76</v>
      </c>
      <c r="N64" t="s">
        <v>33</v>
      </c>
    </row>
    <row r="65" spans="1:14" x14ac:dyDescent="0.35">
      <c r="A65" t="s">
        <v>20</v>
      </c>
      <c r="B65">
        <v>17645</v>
      </c>
      <c r="C65" t="s">
        <v>949</v>
      </c>
      <c r="D65" t="s">
        <v>950</v>
      </c>
      <c r="E65" t="s">
        <v>1721</v>
      </c>
      <c r="F65" t="s">
        <v>1900</v>
      </c>
      <c r="G65" t="s">
        <v>1901</v>
      </c>
      <c r="H65" t="s">
        <v>1902</v>
      </c>
      <c r="I65" t="s">
        <v>1090</v>
      </c>
      <c r="K65" t="s">
        <v>38</v>
      </c>
      <c r="L65" t="s">
        <v>1686</v>
      </c>
      <c r="M65" t="s">
        <v>56</v>
      </c>
      <c r="N65" t="s">
        <v>33</v>
      </c>
    </row>
    <row r="66" spans="1:14" x14ac:dyDescent="0.35">
      <c r="A66" t="s">
        <v>20</v>
      </c>
      <c r="B66">
        <v>17645</v>
      </c>
      <c r="C66" t="s">
        <v>949</v>
      </c>
      <c r="D66" t="s">
        <v>950</v>
      </c>
      <c r="E66" t="s">
        <v>1725</v>
      </c>
      <c r="F66" t="s">
        <v>1903</v>
      </c>
      <c r="G66" t="s">
        <v>1904</v>
      </c>
      <c r="H66" t="s">
        <v>1905</v>
      </c>
      <c r="I66" t="s">
        <v>1090</v>
      </c>
      <c r="K66" t="s">
        <v>28</v>
      </c>
      <c r="L66" t="s">
        <v>1700</v>
      </c>
      <c r="M66" t="s">
        <v>56</v>
      </c>
      <c r="N66" t="s">
        <v>33</v>
      </c>
    </row>
    <row r="67" spans="1:14" x14ac:dyDescent="0.35">
      <c r="A67" t="s">
        <v>20</v>
      </c>
      <c r="B67">
        <v>17645</v>
      </c>
      <c r="C67" t="s">
        <v>949</v>
      </c>
      <c r="D67" t="s">
        <v>950</v>
      </c>
      <c r="E67" t="s">
        <v>1729</v>
      </c>
      <c r="F67" t="s">
        <v>1906</v>
      </c>
      <c r="G67" t="s">
        <v>1907</v>
      </c>
      <c r="H67" t="s">
        <v>1908</v>
      </c>
      <c r="I67" t="s">
        <v>1090</v>
      </c>
      <c r="K67" t="s">
        <v>46</v>
      </c>
      <c r="L67" t="s">
        <v>1681</v>
      </c>
      <c r="M67" t="s">
        <v>56</v>
      </c>
      <c r="N67" t="s">
        <v>33</v>
      </c>
    </row>
    <row r="68" spans="1:14" x14ac:dyDescent="0.35">
      <c r="A68" t="s">
        <v>20</v>
      </c>
      <c r="B68">
        <v>17645</v>
      </c>
      <c r="C68" t="s">
        <v>949</v>
      </c>
      <c r="D68" t="s">
        <v>950</v>
      </c>
      <c r="E68" t="s">
        <v>1733</v>
      </c>
      <c r="F68" t="s">
        <v>1909</v>
      </c>
      <c r="G68" t="s">
        <v>1910</v>
      </c>
      <c r="H68" t="s">
        <v>1911</v>
      </c>
      <c r="I68" t="s">
        <v>1090</v>
      </c>
      <c r="K68" t="s">
        <v>46</v>
      </c>
      <c r="L68" t="s">
        <v>1686</v>
      </c>
      <c r="M68" t="s">
        <v>56</v>
      </c>
      <c r="N68" t="s">
        <v>33</v>
      </c>
    </row>
    <row r="69" spans="1:14" x14ac:dyDescent="0.35">
      <c r="A69" t="s">
        <v>20</v>
      </c>
      <c r="B69">
        <v>17645</v>
      </c>
      <c r="C69" t="s">
        <v>949</v>
      </c>
      <c r="D69" t="s">
        <v>950</v>
      </c>
      <c r="E69" t="s">
        <v>1737</v>
      </c>
      <c r="F69" t="s">
        <v>1912</v>
      </c>
      <c r="G69" t="s">
        <v>1913</v>
      </c>
      <c r="H69" t="s">
        <v>1914</v>
      </c>
      <c r="I69" t="s">
        <v>1090</v>
      </c>
      <c r="K69" t="s">
        <v>28</v>
      </c>
      <c r="L69" t="s">
        <v>1686</v>
      </c>
      <c r="M69" t="s">
        <v>56</v>
      </c>
      <c r="N69" t="s">
        <v>33</v>
      </c>
    </row>
    <row r="70" spans="1:14" x14ac:dyDescent="0.35">
      <c r="A70" t="s">
        <v>20</v>
      </c>
      <c r="B70">
        <v>17645</v>
      </c>
      <c r="C70" t="s">
        <v>949</v>
      </c>
      <c r="D70" t="s">
        <v>950</v>
      </c>
      <c r="E70" t="s">
        <v>1741</v>
      </c>
      <c r="F70" t="s">
        <v>1229</v>
      </c>
      <c r="G70" t="s">
        <v>1915</v>
      </c>
      <c r="H70" t="s">
        <v>1916</v>
      </c>
      <c r="I70" t="s">
        <v>1090</v>
      </c>
      <c r="K70" t="s">
        <v>46</v>
      </c>
      <c r="L70" t="s">
        <v>1686</v>
      </c>
      <c r="M70" t="s">
        <v>32</v>
      </c>
      <c r="N70" t="s">
        <v>33</v>
      </c>
    </row>
    <row r="71" spans="1:14" x14ac:dyDescent="0.35">
      <c r="A71" t="s">
        <v>20</v>
      </c>
      <c r="B71">
        <v>17645</v>
      </c>
      <c r="C71" t="s">
        <v>949</v>
      </c>
      <c r="D71" t="s">
        <v>950</v>
      </c>
      <c r="E71" t="s">
        <v>1677</v>
      </c>
      <c r="F71" t="s">
        <v>1917</v>
      </c>
      <c r="G71" t="s">
        <v>1918</v>
      </c>
      <c r="H71" t="s">
        <v>1919</v>
      </c>
      <c r="I71" t="s">
        <v>954</v>
      </c>
      <c r="K71" t="s">
        <v>61</v>
      </c>
      <c r="L71" t="s">
        <v>1700</v>
      </c>
      <c r="M71" t="s">
        <v>56</v>
      </c>
      <c r="N71" t="s">
        <v>33</v>
      </c>
    </row>
    <row r="72" spans="1:14" x14ac:dyDescent="0.35">
      <c r="A72" t="s">
        <v>20</v>
      </c>
      <c r="B72">
        <v>17645</v>
      </c>
      <c r="C72" t="s">
        <v>949</v>
      </c>
      <c r="D72" t="s">
        <v>950</v>
      </c>
      <c r="E72" t="s">
        <v>1682</v>
      </c>
      <c r="F72" t="s">
        <v>1920</v>
      </c>
      <c r="G72" t="s">
        <v>1921</v>
      </c>
      <c r="H72" t="s">
        <v>1922</v>
      </c>
      <c r="I72" t="s">
        <v>954</v>
      </c>
      <c r="K72" t="s">
        <v>61</v>
      </c>
      <c r="L72" t="s">
        <v>1686</v>
      </c>
      <c r="M72" t="s">
        <v>32</v>
      </c>
      <c r="N72" t="s">
        <v>33</v>
      </c>
    </row>
    <row r="73" spans="1:14" x14ac:dyDescent="0.35">
      <c r="A73" t="s">
        <v>20</v>
      </c>
      <c r="B73">
        <v>17645</v>
      </c>
      <c r="C73" t="s">
        <v>949</v>
      </c>
      <c r="D73" t="s">
        <v>950</v>
      </c>
      <c r="E73" t="s">
        <v>1687</v>
      </c>
      <c r="F73" t="s">
        <v>1923</v>
      </c>
      <c r="G73" t="s">
        <v>1924</v>
      </c>
      <c r="H73" t="s">
        <v>1925</v>
      </c>
      <c r="I73" t="s">
        <v>954</v>
      </c>
      <c r="K73" t="s">
        <v>46</v>
      </c>
      <c r="L73" t="s">
        <v>1691</v>
      </c>
      <c r="M73" t="s">
        <v>32</v>
      </c>
      <c r="N73" t="s">
        <v>33</v>
      </c>
    </row>
    <row r="74" spans="1:14" x14ac:dyDescent="0.35">
      <c r="A74" t="s">
        <v>20</v>
      </c>
      <c r="B74">
        <v>17645</v>
      </c>
      <c r="C74" t="s">
        <v>949</v>
      </c>
      <c r="D74" t="s">
        <v>950</v>
      </c>
      <c r="E74" t="s">
        <v>1692</v>
      </c>
      <c r="F74" t="s">
        <v>1926</v>
      </c>
      <c r="G74" t="s">
        <v>1927</v>
      </c>
      <c r="H74" t="s">
        <v>1928</v>
      </c>
      <c r="I74" t="s">
        <v>954</v>
      </c>
      <c r="K74" t="s">
        <v>46</v>
      </c>
      <c r="L74" t="s">
        <v>1686</v>
      </c>
      <c r="M74" t="s">
        <v>32</v>
      </c>
      <c r="N74" t="s">
        <v>33</v>
      </c>
    </row>
    <row r="75" spans="1:14" x14ac:dyDescent="0.35">
      <c r="A75" t="s">
        <v>20</v>
      </c>
      <c r="B75">
        <v>17645</v>
      </c>
      <c r="C75" t="s">
        <v>949</v>
      </c>
      <c r="D75" t="s">
        <v>950</v>
      </c>
      <c r="E75" t="s">
        <v>1696</v>
      </c>
      <c r="F75" t="s">
        <v>1929</v>
      </c>
      <c r="G75" t="s">
        <v>1930</v>
      </c>
      <c r="H75" t="s">
        <v>1931</v>
      </c>
      <c r="I75" t="s">
        <v>954</v>
      </c>
      <c r="K75" t="s">
        <v>46</v>
      </c>
      <c r="L75" t="s">
        <v>1691</v>
      </c>
      <c r="M75" t="s">
        <v>56</v>
      </c>
      <c r="N75" t="s">
        <v>33</v>
      </c>
    </row>
    <row r="76" spans="1:14" x14ac:dyDescent="0.35">
      <c r="A76" t="s">
        <v>20</v>
      </c>
      <c r="B76">
        <v>17645</v>
      </c>
      <c r="C76" t="s">
        <v>949</v>
      </c>
      <c r="D76" t="s">
        <v>950</v>
      </c>
      <c r="E76" t="s">
        <v>1701</v>
      </c>
      <c r="F76" t="s">
        <v>1932</v>
      </c>
      <c r="G76" t="s">
        <v>1933</v>
      </c>
      <c r="H76" t="s">
        <v>1934</v>
      </c>
      <c r="I76" t="s">
        <v>954</v>
      </c>
      <c r="K76" t="s">
        <v>46</v>
      </c>
      <c r="L76" t="s">
        <v>1686</v>
      </c>
      <c r="M76" t="s">
        <v>56</v>
      </c>
      <c r="N76" t="s">
        <v>33</v>
      </c>
    </row>
    <row r="77" spans="1:14" x14ac:dyDescent="0.35">
      <c r="A77" t="s">
        <v>20</v>
      </c>
      <c r="B77">
        <v>17645</v>
      </c>
      <c r="C77" t="s">
        <v>949</v>
      </c>
      <c r="D77" t="s">
        <v>950</v>
      </c>
      <c r="E77" t="s">
        <v>1705</v>
      </c>
      <c r="F77" t="s">
        <v>1935</v>
      </c>
      <c r="G77" t="s">
        <v>1936</v>
      </c>
      <c r="H77" t="s">
        <v>1937</v>
      </c>
      <c r="I77" t="s">
        <v>954</v>
      </c>
      <c r="K77" t="s">
        <v>28</v>
      </c>
      <c r="L77" t="s">
        <v>1686</v>
      </c>
      <c r="M77" t="s">
        <v>76</v>
      </c>
      <c r="N77" t="s">
        <v>33</v>
      </c>
    </row>
    <row r="78" spans="1:14" x14ac:dyDescent="0.35">
      <c r="A78" t="s">
        <v>20</v>
      </c>
      <c r="B78">
        <v>17645</v>
      </c>
      <c r="C78" t="s">
        <v>949</v>
      </c>
      <c r="D78" t="s">
        <v>950</v>
      </c>
      <c r="E78" t="s">
        <v>1709</v>
      </c>
      <c r="F78" t="s">
        <v>1938</v>
      </c>
      <c r="G78" t="s">
        <v>1939</v>
      </c>
      <c r="H78" t="s">
        <v>1940</v>
      </c>
      <c r="I78" t="s">
        <v>954</v>
      </c>
      <c r="K78" t="s">
        <v>46</v>
      </c>
      <c r="L78" t="s">
        <v>1691</v>
      </c>
      <c r="M78" t="s">
        <v>32</v>
      </c>
      <c r="N78" t="s">
        <v>33</v>
      </c>
    </row>
    <row r="79" spans="1:14" x14ac:dyDescent="0.35">
      <c r="A79" t="s">
        <v>20</v>
      </c>
      <c r="B79">
        <v>17645</v>
      </c>
      <c r="C79" t="s">
        <v>949</v>
      </c>
      <c r="D79" t="s">
        <v>950</v>
      </c>
      <c r="E79" t="s">
        <v>1713</v>
      </c>
      <c r="F79" t="s">
        <v>1066</v>
      </c>
      <c r="G79" t="s">
        <v>1941</v>
      </c>
      <c r="H79" t="s">
        <v>1942</v>
      </c>
      <c r="I79" t="s">
        <v>954</v>
      </c>
      <c r="K79" t="s">
        <v>46</v>
      </c>
      <c r="L79" t="s">
        <v>1681</v>
      </c>
      <c r="M79" t="s">
        <v>32</v>
      </c>
      <c r="N79" t="s">
        <v>33</v>
      </c>
    </row>
    <row r="80" spans="1:14" x14ac:dyDescent="0.35">
      <c r="A80" t="s">
        <v>20</v>
      </c>
      <c r="B80">
        <v>17645</v>
      </c>
      <c r="C80" t="s">
        <v>949</v>
      </c>
      <c r="D80" t="s">
        <v>950</v>
      </c>
      <c r="E80" t="s">
        <v>1807</v>
      </c>
      <c r="F80" t="s">
        <v>1943</v>
      </c>
      <c r="G80" t="s">
        <v>1944</v>
      </c>
      <c r="H80" t="s">
        <v>1945</v>
      </c>
      <c r="I80" t="s">
        <v>954</v>
      </c>
      <c r="K80" t="s">
        <v>46</v>
      </c>
      <c r="L80" t="s">
        <v>1691</v>
      </c>
      <c r="M80" t="s">
        <v>56</v>
      </c>
      <c r="N80" t="s">
        <v>33</v>
      </c>
    </row>
    <row r="81" spans="1:14" x14ac:dyDescent="0.35">
      <c r="A81" t="s">
        <v>20</v>
      </c>
      <c r="B81">
        <v>17645</v>
      </c>
      <c r="C81" t="s">
        <v>949</v>
      </c>
      <c r="D81" t="s">
        <v>950</v>
      </c>
      <c r="E81" t="s">
        <v>1811</v>
      </c>
      <c r="F81" t="s">
        <v>1946</v>
      </c>
      <c r="G81" t="s">
        <v>1947</v>
      </c>
      <c r="H81" t="s">
        <v>1948</v>
      </c>
      <c r="I81" t="s">
        <v>954</v>
      </c>
      <c r="K81" t="s">
        <v>46</v>
      </c>
      <c r="L81" t="s">
        <v>1686</v>
      </c>
      <c r="M81" t="s">
        <v>56</v>
      </c>
      <c r="N81" t="s">
        <v>33</v>
      </c>
    </row>
    <row r="82" spans="1:14" x14ac:dyDescent="0.35">
      <c r="A82" t="s">
        <v>20</v>
      </c>
      <c r="B82">
        <v>17645</v>
      </c>
      <c r="C82" t="s">
        <v>949</v>
      </c>
      <c r="D82" t="s">
        <v>950</v>
      </c>
      <c r="E82" t="s">
        <v>1815</v>
      </c>
      <c r="F82" t="s">
        <v>1949</v>
      </c>
      <c r="G82" t="s">
        <v>1950</v>
      </c>
      <c r="H82" t="s">
        <v>1951</v>
      </c>
      <c r="I82" t="s">
        <v>954</v>
      </c>
      <c r="K82" t="s">
        <v>61</v>
      </c>
      <c r="L82" t="s">
        <v>1700</v>
      </c>
      <c r="M82" t="s">
        <v>56</v>
      </c>
      <c r="N82" t="s">
        <v>33</v>
      </c>
    </row>
    <row r="83" spans="1:14" x14ac:dyDescent="0.35">
      <c r="A83" t="s">
        <v>20</v>
      </c>
      <c r="B83">
        <v>17645</v>
      </c>
      <c r="C83" t="s">
        <v>949</v>
      </c>
      <c r="D83" t="s">
        <v>950</v>
      </c>
      <c r="E83" t="s">
        <v>1819</v>
      </c>
      <c r="F83" t="s">
        <v>1952</v>
      </c>
      <c r="G83" t="s">
        <v>1953</v>
      </c>
      <c r="H83" t="s">
        <v>1954</v>
      </c>
      <c r="I83" t="s">
        <v>954</v>
      </c>
      <c r="K83" t="s">
        <v>61</v>
      </c>
      <c r="L83" t="s">
        <v>1700</v>
      </c>
      <c r="M83" t="s">
        <v>56</v>
      </c>
      <c r="N83" t="s">
        <v>33</v>
      </c>
    </row>
    <row r="84" spans="1:14" x14ac:dyDescent="0.35">
      <c r="A84" t="s">
        <v>20</v>
      </c>
      <c r="B84">
        <v>17645</v>
      </c>
      <c r="C84" t="s">
        <v>949</v>
      </c>
      <c r="D84" t="s">
        <v>950</v>
      </c>
      <c r="E84" t="s">
        <v>1823</v>
      </c>
      <c r="F84" t="s">
        <v>1955</v>
      </c>
      <c r="G84" t="s">
        <v>1956</v>
      </c>
      <c r="H84" t="s">
        <v>1957</v>
      </c>
      <c r="I84" t="s">
        <v>954</v>
      </c>
      <c r="K84" t="s">
        <v>61</v>
      </c>
      <c r="L84" t="s">
        <v>1686</v>
      </c>
      <c r="M84" t="s">
        <v>56</v>
      </c>
      <c r="N84" t="s">
        <v>33</v>
      </c>
    </row>
    <row r="85" spans="1:14" x14ac:dyDescent="0.35">
      <c r="A85" t="s">
        <v>20</v>
      </c>
      <c r="B85">
        <v>17647</v>
      </c>
      <c r="C85" t="s">
        <v>1252</v>
      </c>
      <c r="D85" t="s">
        <v>1253</v>
      </c>
      <c r="E85" t="s">
        <v>1677</v>
      </c>
      <c r="F85" t="s">
        <v>1958</v>
      </c>
      <c r="G85" t="s">
        <v>1959</v>
      </c>
      <c r="H85" t="s">
        <v>1960</v>
      </c>
      <c r="I85" t="s">
        <v>1257</v>
      </c>
      <c r="K85" t="s">
        <v>61</v>
      </c>
      <c r="L85" t="s">
        <v>1686</v>
      </c>
      <c r="M85" t="s">
        <v>56</v>
      </c>
      <c r="N85" t="s">
        <v>33</v>
      </c>
    </row>
    <row r="86" spans="1:14" x14ac:dyDescent="0.35">
      <c r="A86" t="s">
        <v>20</v>
      </c>
      <c r="B86">
        <v>17647</v>
      </c>
      <c r="C86" t="s">
        <v>1252</v>
      </c>
      <c r="D86" t="s">
        <v>1253</v>
      </c>
      <c r="E86" t="s">
        <v>1682</v>
      </c>
      <c r="F86" t="s">
        <v>1961</v>
      </c>
      <c r="G86" t="s">
        <v>1962</v>
      </c>
      <c r="H86" t="s">
        <v>1963</v>
      </c>
      <c r="I86" t="s">
        <v>1257</v>
      </c>
      <c r="K86" t="s">
        <v>46</v>
      </c>
      <c r="L86" t="s">
        <v>1691</v>
      </c>
      <c r="M86" t="s">
        <v>32</v>
      </c>
      <c r="N86" t="s">
        <v>33</v>
      </c>
    </row>
    <row r="87" spans="1:14" x14ac:dyDescent="0.35">
      <c r="A87" t="s">
        <v>20</v>
      </c>
      <c r="B87">
        <v>17647</v>
      </c>
      <c r="C87" t="s">
        <v>1252</v>
      </c>
      <c r="D87" t="s">
        <v>1253</v>
      </c>
      <c r="E87" t="s">
        <v>1687</v>
      </c>
      <c r="F87" t="s">
        <v>1964</v>
      </c>
      <c r="G87" t="s">
        <v>1965</v>
      </c>
      <c r="H87" t="s">
        <v>1966</v>
      </c>
      <c r="I87" t="s">
        <v>1257</v>
      </c>
      <c r="K87" t="s">
        <v>46</v>
      </c>
      <c r="L87" t="s">
        <v>1700</v>
      </c>
      <c r="M87" t="s">
        <v>32</v>
      </c>
      <c r="N87" t="s">
        <v>33</v>
      </c>
    </row>
    <row r="88" spans="1:14" x14ac:dyDescent="0.35">
      <c r="A88" t="s">
        <v>20</v>
      </c>
      <c r="B88">
        <v>17647</v>
      </c>
      <c r="C88" t="s">
        <v>1252</v>
      </c>
      <c r="D88" t="s">
        <v>1253</v>
      </c>
      <c r="E88" t="s">
        <v>1692</v>
      </c>
      <c r="F88" t="s">
        <v>1967</v>
      </c>
      <c r="G88" t="s">
        <v>1968</v>
      </c>
      <c r="H88" t="s">
        <v>1969</v>
      </c>
      <c r="I88" t="s">
        <v>1257</v>
      </c>
      <c r="K88" t="s">
        <v>28</v>
      </c>
      <c r="L88" t="s">
        <v>1700</v>
      </c>
      <c r="M88" t="s">
        <v>56</v>
      </c>
      <c r="N88" t="s">
        <v>33</v>
      </c>
    </row>
    <row r="89" spans="1:14" x14ac:dyDescent="0.35">
      <c r="A89" t="s">
        <v>20</v>
      </c>
      <c r="B89">
        <v>17647</v>
      </c>
      <c r="C89" t="s">
        <v>1252</v>
      </c>
      <c r="D89" t="s">
        <v>1253</v>
      </c>
      <c r="E89" t="s">
        <v>1696</v>
      </c>
      <c r="F89" t="s">
        <v>1970</v>
      </c>
      <c r="G89" t="s">
        <v>1971</v>
      </c>
      <c r="H89" t="s">
        <v>1972</v>
      </c>
      <c r="I89" t="s">
        <v>1257</v>
      </c>
      <c r="K89" t="s">
        <v>61</v>
      </c>
      <c r="L89" t="s">
        <v>1681</v>
      </c>
      <c r="M89" t="s">
        <v>56</v>
      </c>
      <c r="N89" t="s">
        <v>33</v>
      </c>
    </row>
    <row r="90" spans="1:14" x14ac:dyDescent="0.35">
      <c r="A90" t="s">
        <v>20</v>
      </c>
      <c r="B90">
        <v>17647</v>
      </c>
      <c r="C90" t="s">
        <v>1252</v>
      </c>
      <c r="D90" t="s">
        <v>1253</v>
      </c>
      <c r="E90" t="s">
        <v>1701</v>
      </c>
      <c r="F90" t="s">
        <v>1973</v>
      </c>
      <c r="G90" t="s">
        <v>1974</v>
      </c>
      <c r="H90" t="s">
        <v>1975</v>
      </c>
      <c r="I90" t="s">
        <v>1257</v>
      </c>
      <c r="K90" t="s">
        <v>46</v>
      </c>
      <c r="L90" t="s">
        <v>1700</v>
      </c>
      <c r="M90" t="s">
        <v>56</v>
      </c>
      <c r="N90" t="s">
        <v>33</v>
      </c>
    </row>
    <row r="91" spans="1:14" x14ac:dyDescent="0.35">
      <c r="A91" t="s">
        <v>20</v>
      </c>
      <c r="B91">
        <v>17647</v>
      </c>
      <c r="C91" t="s">
        <v>1252</v>
      </c>
      <c r="D91" t="s">
        <v>1253</v>
      </c>
      <c r="E91" t="s">
        <v>1705</v>
      </c>
      <c r="F91" t="s">
        <v>1976</v>
      </c>
      <c r="G91" t="s">
        <v>1977</v>
      </c>
      <c r="H91" t="s">
        <v>1978</v>
      </c>
      <c r="I91" t="s">
        <v>1257</v>
      </c>
      <c r="K91" t="s">
        <v>46</v>
      </c>
      <c r="L91" t="s">
        <v>1686</v>
      </c>
      <c r="M91" t="s">
        <v>56</v>
      </c>
      <c r="N91" t="s">
        <v>33</v>
      </c>
    </row>
    <row r="92" spans="1:14" x14ac:dyDescent="0.35">
      <c r="A92" t="s">
        <v>20</v>
      </c>
      <c r="B92">
        <v>17647</v>
      </c>
      <c r="C92" t="s">
        <v>1252</v>
      </c>
      <c r="D92" t="s">
        <v>1253</v>
      </c>
      <c r="E92" t="s">
        <v>1709</v>
      </c>
      <c r="F92" t="s">
        <v>1979</v>
      </c>
      <c r="G92" t="s">
        <v>1980</v>
      </c>
      <c r="H92" t="s">
        <v>1981</v>
      </c>
      <c r="I92" t="s">
        <v>1257</v>
      </c>
      <c r="K92" t="s">
        <v>46</v>
      </c>
      <c r="L92" t="s">
        <v>1686</v>
      </c>
      <c r="M92" t="s">
        <v>56</v>
      </c>
      <c r="N92" t="s">
        <v>33</v>
      </c>
    </row>
    <row r="93" spans="1:14" x14ac:dyDescent="0.35">
      <c r="A93" t="s">
        <v>20</v>
      </c>
      <c r="B93">
        <v>17647</v>
      </c>
      <c r="C93" t="s">
        <v>1252</v>
      </c>
      <c r="D93" t="s">
        <v>1253</v>
      </c>
      <c r="E93" t="s">
        <v>1713</v>
      </c>
      <c r="F93" t="s">
        <v>1982</v>
      </c>
      <c r="G93" t="s">
        <v>1983</v>
      </c>
      <c r="H93" t="s">
        <v>1984</v>
      </c>
      <c r="I93" t="s">
        <v>1257</v>
      </c>
      <c r="K93" t="s">
        <v>28</v>
      </c>
      <c r="L93" t="s">
        <v>1686</v>
      </c>
      <c r="M93" t="s">
        <v>56</v>
      </c>
      <c r="N93" t="s">
        <v>33</v>
      </c>
    </row>
    <row r="94" spans="1:14" x14ac:dyDescent="0.35">
      <c r="A94" t="s">
        <v>20</v>
      </c>
      <c r="B94">
        <v>17647</v>
      </c>
      <c r="C94" t="s">
        <v>1252</v>
      </c>
      <c r="D94" t="s">
        <v>1253</v>
      </c>
      <c r="E94" t="s">
        <v>1807</v>
      </c>
      <c r="F94" t="s">
        <v>1985</v>
      </c>
      <c r="G94" t="s">
        <v>1986</v>
      </c>
      <c r="H94" t="s">
        <v>1987</v>
      </c>
      <c r="I94" t="s">
        <v>1257</v>
      </c>
      <c r="K94" t="s">
        <v>61</v>
      </c>
      <c r="L94" t="s">
        <v>1691</v>
      </c>
      <c r="M94" t="s">
        <v>56</v>
      </c>
      <c r="N94" t="s">
        <v>33</v>
      </c>
    </row>
    <row r="95" spans="1:14" x14ac:dyDescent="0.35">
      <c r="A95" t="s">
        <v>20</v>
      </c>
      <c r="B95">
        <v>17647</v>
      </c>
      <c r="C95" t="s">
        <v>1252</v>
      </c>
      <c r="D95" t="s">
        <v>1253</v>
      </c>
      <c r="E95" t="s">
        <v>1721</v>
      </c>
      <c r="F95" t="s">
        <v>1988</v>
      </c>
      <c r="G95" t="s">
        <v>1989</v>
      </c>
      <c r="H95" t="s">
        <v>1990</v>
      </c>
      <c r="I95" t="s">
        <v>1395</v>
      </c>
      <c r="K95" t="s">
        <v>46</v>
      </c>
      <c r="L95" t="s">
        <v>1681</v>
      </c>
      <c r="M95" t="s">
        <v>56</v>
      </c>
      <c r="N95" t="s">
        <v>33</v>
      </c>
    </row>
    <row r="96" spans="1:14" x14ac:dyDescent="0.35">
      <c r="A96" t="s">
        <v>20</v>
      </c>
      <c r="B96">
        <v>17647</v>
      </c>
      <c r="C96" t="s">
        <v>1252</v>
      </c>
      <c r="D96" t="s">
        <v>1253</v>
      </c>
      <c r="E96" t="s">
        <v>1725</v>
      </c>
      <c r="F96" t="s">
        <v>1991</v>
      </c>
      <c r="G96" t="s">
        <v>1992</v>
      </c>
      <c r="H96" t="s">
        <v>1993</v>
      </c>
      <c r="I96" t="s">
        <v>1395</v>
      </c>
      <c r="K96" t="s">
        <v>46</v>
      </c>
      <c r="L96" t="s">
        <v>1681</v>
      </c>
      <c r="M96" t="s">
        <v>56</v>
      </c>
      <c r="N96" t="s">
        <v>33</v>
      </c>
    </row>
    <row r="97" spans="1:14" x14ac:dyDescent="0.35">
      <c r="A97" t="s">
        <v>20</v>
      </c>
      <c r="B97">
        <v>17647</v>
      </c>
      <c r="C97" t="s">
        <v>1252</v>
      </c>
      <c r="D97" t="s">
        <v>1253</v>
      </c>
      <c r="E97" t="s">
        <v>1729</v>
      </c>
      <c r="F97" t="s">
        <v>1994</v>
      </c>
      <c r="G97" t="s">
        <v>1995</v>
      </c>
      <c r="H97" t="s">
        <v>1996</v>
      </c>
      <c r="I97" t="s">
        <v>1395</v>
      </c>
      <c r="K97" t="s">
        <v>61</v>
      </c>
      <c r="L97" t="s">
        <v>1691</v>
      </c>
      <c r="M97" t="s">
        <v>32</v>
      </c>
      <c r="N97" t="s">
        <v>33</v>
      </c>
    </row>
    <row r="98" spans="1:14" x14ac:dyDescent="0.35">
      <c r="A98" t="s">
        <v>20</v>
      </c>
      <c r="B98">
        <v>17647</v>
      </c>
      <c r="C98" t="s">
        <v>1252</v>
      </c>
      <c r="D98" t="s">
        <v>1253</v>
      </c>
      <c r="E98" t="s">
        <v>1733</v>
      </c>
      <c r="F98" t="s">
        <v>1997</v>
      </c>
      <c r="G98" t="s">
        <v>1998</v>
      </c>
      <c r="H98" t="s">
        <v>1999</v>
      </c>
      <c r="I98" t="s">
        <v>1395</v>
      </c>
      <c r="K98" t="s">
        <v>61</v>
      </c>
      <c r="L98" t="s">
        <v>1700</v>
      </c>
      <c r="M98" t="s">
        <v>32</v>
      </c>
      <c r="N98" t="s">
        <v>33</v>
      </c>
    </row>
    <row r="99" spans="1:14" x14ac:dyDescent="0.35">
      <c r="A99" t="s">
        <v>20</v>
      </c>
      <c r="B99">
        <v>17647</v>
      </c>
      <c r="C99" t="s">
        <v>1252</v>
      </c>
      <c r="D99" t="s">
        <v>1253</v>
      </c>
      <c r="E99" t="s">
        <v>1737</v>
      </c>
      <c r="F99" t="s">
        <v>2000</v>
      </c>
      <c r="G99" t="s">
        <v>2001</v>
      </c>
      <c r="H99" t="s">
        <v>2002</v>
      </c>
      <c r="I99" t="s">
        <v>1395</v>
      </c>
      <c r="K99" t="s">
        <v>28</v>
      </c>
      <c r="L99" t="s">
        <v>1700</v>
      </c>
      <c r="M99" t="s">
        <v>56</v>
      </c>
      <c r="N99" t="s">
        <v>33</v>
      </c>
    </row>
    <row r="100" spans="1:14" x14ac:dyDescent="0.35">
      <c r="A100" t="s">
        <v>20</v>
      </c>
      <c r="B100">
        <v>17647</v>
      </c>
      <c r="C100" t="s">
        <v>1252</v>
      </c>
      <c r="D100" t="s">
        <v>1253</v>
      </c>
      <c r="E100" t="s">
        <v>1741</v>
      </c>
      <c r="F100" t="s">
        <v>2003</v>
      </c>
      <c r="G100" t="s">
        <v>2004</v>
      </c>
      <c r="H100" t="s">
        <v>2005</v>
      </c>
      <c r="I100" t="s">
        <v>1395</v>
      </c>
      <c r="K100" t="s">
        <v>28</v>
      </c>
      <c r="L100" t="s">
        <v>1686</v>
      </c>
      <c r="M100" t="s">
        <v>56</v>
      </c>
      <c r="N100" t="s">
        <v>33</v>
      </c>
    </row>
    <row r="101" spans="1:14" x14ac:dyDescent="0.35">
      <c r="A101" t="s">
        <v>20</v>
      </c>
      <c r="B101">
        <v>17647</v>
      </c>
      <c r="C101" t="s">
        <v>1252</v>
      </c>
      <c r="D101" t="s">
        <v>1253</v>
      </c>
      <c r="E101" t="s">
        <v>1745</v>
      </c>
      <c r="F101" t="s">
        <v>2006</v>
      </c>
      <c r="G101" t="s">
        <v>2007</v>
      </c>
      <c r="H101" t="s">
        <v>2008</v>
      </c>
      <c r="I101" t="s">
        <v>1395</v>
      </c>
      <c r="K101" t="s">
        <v>61</v>
      </c>
      <c r="L101" t="s">
        <v>1686</v>
      </c>
      <c r="M101" t="s">
        <v>56</v>
      </c>
      <c r="N101" t="s">
        <v>33</v>
      </c>
    </row>
    <row r="102" spans="1:14" x14ac:dyDescent="0.35">
      <c r="A102" t="s">
        <v>20</v>
      </c>
      <c r="B102">
        <v>17643</v>
      </c>
      <c r="C102" t="s">
        <v>426</v>
      </c>
      <c r="D102" t="s">
        <v>427</v>
      </c>
      <c r="E102" t="s">
        <v>1677</v>
      </c>
      <c r="F102" t="s">
        <v>1780</v>
      </c>
      <c r="G102" t="s">
        <v>1781</v>
      </c>
      <c r="H102" t="s">
        <v>1782</v>
      </c>
      <c r="I102" t="s">
        <v>557</v>
      </c>
      <c r="K102" t="s">
        <v>46</v>
      </c>
      <c r="L102" t="s">
        <v>1691</v>
      </c>
      <c r="M102" t="s">
        <v>76</v>
      </c>
      <c r="N102" t="s">
        <v>33</v>
      </c>
    </row>
    <row r="103" spans="1:14" x14ac:dyDescent="0.35">
      <c r="A103" t="s">
        <v>20</v>
      </c>
      <c r="B103">
        <v>17643</v>
      </c>
      <c r="C103" t="s">
        <v>426</v>
      </c>
      <c r="D103" t="s">
        <v>427</v>
      </c>
      <c r="E103" t="s">
        <v>1682</v>
      </c>
      <c r="F103" t="s">
        <v>1783</v>
      </c>
      <c r="G103" t="s">
        <v>1784</v>
      </c>
      <c r="H103" t="s">
        <v>1785</v>
      </c>
      <c r="I103" t="s">
        <v>557</v>
      </c>
      <c r="K103" t="s">
        <v>46</v>
      </c>
      <c r="L103" t="s">
        <v>1700</v>
      </c>
      <c r="M103" t="s">
        <v>76</v>
      </c>
      <c r="N103" t="s">
        <v>33</v>
      </c>
    </row>
    <row r="104" spans="1:14" x14ac:dyDescent="0.35">
      <c r="A104" t="s">
        <v>20</v>
      </c>
      <c r="B104">
        <v>17643</v>
      </c>
      <c r="C104" t="s">
        <v>426</v>
      </c>
      <c r="D104" t="s">
        <v>427</v>
      </c>
      <c r="E104" t="s">
        <v>1687</v>
      </c>
      <c r="F104" t="s">
        <v>1786</v>
      </c>
      <c r="G104" t="s">
        <v>1787</v>
      </c>
      <c r="H104" t="s">
        <v>1788</v>
      </c>
      <c r="I104" t="s">
        <v>557</v>
      </c>
      <c r="K104" t="s">
        <v>38</v>
      </c>
      <c r="L104" t="s">
        <v>1681</v>
      </c>
      <c r="M104" t="s">
        <v>56</v>
      </c>
      <c r="N104" t="s">
        <v>33</v>
      </c>
    </row>
    <row r="105" spans="1:14" x14ac:dyDescent="0.35">
      <c r="A105" t="s">
        <v>20</v>
      </c>
      <c r="B105">
        <v>17643</v>
      </c>
      <c r="C105" t="s">
        <v>426</v>
      </c>
      <c r="D105" t="s">
        <v>427</v>
      </c>
      <c r="E105" t="s">
        <v>1692</v>
      </c>
      <c r="F105" t="s">
        <v>1789</v>
      </c>
      <c r="G105" t="s">
        <v>1790</v>
      </c>
      <c r="H105" t="s">
        <v>1791</v>
      </c>
      <c r="I105" t="s">
        <v>557</v>
      </c>
      <c r="K105" t="s">
        <v>46</v>
      </c>
      <c r="L105" t="s">
        <v>1681</v>
      </c>
      <c r="M105" t="s">
        <v>56</v>
      </c>
      <c r="N105" t="s">
        <v>33</v>
      </c>
    </row>
    <row r="106" spans="1:14" x14ac:dyDescent="0.35">
      <c r="A106" t="s">
        <v>20</v>
      </c>
      <c r="B106">
        <v>17643</v>
      </c>
      <c r="C106" t="s">
        <v>426</v>
      </c>
      <c r="D106" t="s">
        <v>427</v>
      </c>
      <c r="E106" t="s">
        <v>1696</v>
      </c>
      <c r="F106" t="s">
        <v>1792</v>
      </c>
      <c r="G106" t="s">
        <v>1793</v>
      </c>
      <c r="H106" t="s">
        <v>1794</v>
      </c>
      <c r="I106" t="s">
        <v>557</v>
      </c>
      <c r="K106" t="s">
        <v>28</v>
      </c>
      <c r="L106" t="s">
        <v>1686</v>
      </c>
      <c r="M106" t="s">
        <v>56</v>
      </c>
      <c r="N106" t="s">
        <v>33</v>
      </c>
    </row>
    <row r="107" spans="1:14" x14ac:dyDescent="0.35">
      <c r="A107" t="s">
        <v>20</v>
      </c>
      <c r="B107">
        <v>17643</v>
      </c>
      <c r="C107" t="s">
        <v>426</v>
      </c>
      <c r="D107" t="s">
        <v>427</v>
      </c>
      <c r="E107" t="s">
        <v>1701</v>
      </c>
      <c r="F107" t="s">
        <v>1795</v>
      </c>
      <c r="G107" t="s">
        <v>1796</v>
      </c>
      <c r="H107" t="s">
        <v>1797</v>
      </c>
      <c r="I107" t="s">
        <v>557</v>
      </c>
      <c r="K107" t="s">
        <v>61</v>
      </c>
      <c r="L107" t="s">
        <v>1686</v>
      </c>
      <c r="M107" t="s">
        <v>76</v>
      </c>
      <c r="N107" t="s">
        <v>33</v>
      </c>
    </row>
    <row r="108" spans="1:14" x14ac:dyDescent="0.35">
      <c r="A108" t="s">
        <v>20</v>
      </c>
      <c r="B108">
        <v>17643</v>
      </c>
      <c r="C108" t="s">
        <v>426</v>
      </c>
      <c r="D108" t="s">
        <v>427</v>
      </c>
      <c r="E108" t="s">
        <v>1705</v>
      </c>
      <c r="F108" t="s">
        <v>1798</v>
      </c>
      <c r="G108" t="s">
        <v>1799</v>
      </c>
      <c r="H108" t="s">
        <v>1800</v>
      </c>
      <c r="I108" t="s">
        <v>557</v>
      </c>
      <c r="K108" t="s">
        <v>61</v>
      </c>
      <c r="L108" t="s">
        <v>1691</v>
      </c>
      <c r="M108" t="s">
        <v>76</v>
      </c>
      <c r="N108" t="s">
        <v>33</v>
      </c>
    </row>
    <row r="109" spans="1:14" x14ac:dyDescent="0.35">
      <c r="A109" t="s">
        <v>20</v>
      </c>
      <c r="B109">
        <v>17643</v>
      </c>
      <c r="C109" t="s">
        <v>426</v>
      </c>
      <c r="D109" t="s">
        <v>427</v>
      </c>
      <c r="E109" t="s">
        <v>1709</v>
      </c>
      <c r="F109" t="s">
        <v>1801</v>
      </c>
      <c r="G109" t="s">
        <v>1802</v>
      </c>
      <c r="H109" t="s">
        <v>1803</v>
      </c>
      <c r="I109" t="s">
        <v>557</v>
      </c>
      <c r="K109" t="s">
        <v>61</v>
      </c>
      <c r="L109" t="s">
        <v>1686</v>
      </c>
      <c r="M109" t="s">
        <v>76</v>
      </c>
      <c r="N109" t="s">
        <v>33</v>
      </c>
    </row>
    <row r="110" spans="1:14" x14ac:dyDescent="0.35">
      <c r="A110" t="s">
        <v>20</v>
      </c>
      <c r="B110">
        <v>17643</v>
      </c>
      <c r="C110" t="s">
        <v>426</v>
      </c>
      <c r="D110" t="s">
        <v>427</v>
      </c>
      <c r="E110" t="s">
        <v>1713</v>
      </c>
      <c r="F110" t="s">
        <v>1804</v>
      </c>
      <c r="G110" t="s">
        <v>1805</v>
      </c>
      <c r="H110" t="s">
        <v>1806</v>
      </c>
      <c r="I110" t="s">
        <v>557</v>
      </c>
      <c r="K110" t="s">
        <v>46</v>
      </c>
      <c r="L110" t="s">
        <v>1700</v>
      </c>
      <c r="M110" t="s">
        <v>56</v>
      </c>
      <c r="N110" t="s">
        <v>33</v>
      </c>
    </row>
    <row r="111" spans="1:14" x14ac:dyDescent="0.35">
      <c r="A111" t="s">
        <v>20</v>
      </c>
      <c r="B111">
        <v>17643</v>
      </c>
      <c r="C111" t="s">
        <v>426</v>
      </c>
      <c r="D111" t="s">
        <v>427</v>
      </c>
      <c r="E111" t="s">
        <v>1807</v>
      </c>
      <c r="F111" t="s">
        <v>1808</v>
      </c>
      <c r="G111" t="s">
        <v>1809</v>
      </c>
      <c r="H111" t="s">
        <v>1810</v>
      </c>
      <c r="I111" t="s">
        <v>557</v>
      </c>
      <c r="K111" t="s">
        <v>46</v>
      </c>
      <c r="L111" t="s">
        <v>1686</v>
      </c>
      <c r="M111" t="s">
        <v>56</v>
      </c>
      <c r="N111" t="s">
        <v>33</v>
      </c>
    </row>
    <row r="112" spans="1:14" x14ac:dyDescent="0.35">
      <c r="A112" t="s">
        <v>20</v>
      </c>
      <c r="B112">
        <v>17643</v>
      </c>
      <c r="C112" t="s">
        <v>426</v>
      </c>
      <c r="D112" t="s">
        <v>427</v>
      </c>
      <c r="E112" t="s">
        <v>1811</v>
      </c>
      <c r="F112" t="s">
        <v>1812</v>
      </c>
      <c r="G112" t="s">
        <v>1813</v>
      </c>
      <c r="H112" t="s">
        <v>1814</v>
      </c>
      <c r="I112" t="s">
        <v>557</v>
      </c>
      <c r="K112" t="s">
        <v>46</v>
      </c>
      <c r="L112" t="s">
        <v>1686</v>
      </c>
      <c r="M112" t="s">
        <v>56</v>
      </c>
      <c r="N112" t="s">
        <v>33</v>
      </c>
    </row>
    <row r="113" spans="1:14" x14ac:dyDescent="0.35">
      <c r="A113" t="s">
        <v>20</v>
      </c>
      <c r="B113">
        <v>17643</v>
      </c>
      <c r="C113" t="s">
        <v>426</v>
      </c>
      <c r="D113" t="s">
        <v>427</v>
      </c>
      <c r="E113" t="s">
        <v>1815</v>
      </c>
      <c r="F113" t="s">
        <v>1816</v>
      </c>
      <c r="G113" t="s">
        <v>1817</v>
      </c>
      <c r="H113" t="s">
        <v>1818</v>
      </c>
      <c r="I113" t="s">
        <v>557</v>
      </c>
      <c r="K113" t="s">
        <v>38</v>
      </c>
      <c r="L113" t="s">
        <v>1691</v>
      </c>
      <c r="M113" t="s">
        <v>32</v>
      </c>
      <c r="N113" t="s">
        <v>33</v>
      </c>
    </row>
    <row r="114" spans="1:14" x14ac:dyDescent="0.35">
      <c r="A114" t="s">
        <v>20</v>
      </c>
      <c r="B114">
        <v>17643</v>
      </c>
      <c r="C114" t="s">
        <v>426</v>
      </c>
      <c r="D114" t="s">
        <v>427</v>
      </c>
      <c r="E114" t="s">
        <v>1819</v>
      </c>
      <c r="F114" t="s">
        <v>1820</v>
      </c>
      <c r="G114" t="s">
        <v>1821</v>
      </c>
      <c r="H114" t="s">
        <v>1822</v>
      </c>
      <c r="I114" t="s">
        <v>557</v>
      </c>
      <c r="K114" t="s">
        <v>38</v>
      </c>
      <c r="L114" t="s">
        <v>1681</v>
      </c>
      <c r="M114" t="s">
        <v>32</v>
      </c>
      <c r="N114" t="s">
        <v>33</v>
      </c>
    </row>
    <row r="115" spans="1:14" x14ac:dyDescent="0.35">
      <c r="A115" t="s">
        <v>20</v>
      </c>
      <c r="B115">
        <v>17643</v>
      </c>
      <c r="C115" t="s">
        <v>426</v>
      </c>
      <c r="D115" t="s">
        <v>427</v>
      </c>
      <c r="E115" t="s">
        <v>1823</v>
      </c>
      <c r="F115" t="s">
        <v>1824</v>
      </c>
      <c r="G115" t="s">
        <v>1825</v>
      </c>
      <c r="H115" t="s">
        <v>1826</v>
      </c>
      <c r="I115" t="s">
        <v>557</v>
      </c>
      <c r="K115" t="s">
        <v>61</v>
      </c>
      <c r="L115" t="s">
        <v>1691</v>
      </c>
      <c r="M115" t="s">
        <v>56</v>
      </c>
      <c r="N115" t="s">
        <v>33</v>
      </c>
    </row>
    <row r="116" spans="1:14" x14ac:dyDescent="0.35">
      <c r="A116" t="s">
        <v>20</v>
      </c>
      <c r="B116">
        <v>17643</v>
      </c>
      <c r="C116" t="s">
        <v>426</v>
      </c>
      <c r="D116" t="s">
        <v>427</v>
      </c>
      <c r="E116" t="s">
        <v>1827</v>
      </c>
      <c r="F116" t="s">
        <v>1828</v>
      </c>
      <c r="G116" t="s">
        <v>1829</v>
      </c>
      <c r="H116" t="s">
        <v>1830</v>
      </c>
      <c r="I116" t="s">
        <v>557</v>
      </c>
      <c r="K116" t="s">
        <v>61</v>
      </c>
      <c r="L116" t="s">
        <v>1686</v>
      </c>
      <c r="M116" t="s">
        <v>32</v>
      </c>
      <c r="N116" t="s">
        <v>33</v>
      </c>
    </row>
    <row r="117" spans="1:14" x14ac:dyDescent="0.35">
      <c r="A117" t="s">
        <v>20</v>
      </c>
      <c r="B117">
        <v>17643</v>
      </c>
      <c r="C117" t="s">
        <v>426</v>
      </c>
      <c r="D117" t="s">
        <v>427</v>
      </c>
      <c r="E117" t="s">
        <v>1721</v>
      </c>
      <c r="F117" t="s">
        <v>1831</v>
      </c>
      <c r="G117" t="s">
        <v>1832</v>
      </c>
      <c r="H117" t="s">
        <v>1833</v>
      </c>
      <c r="I117" t="s">
        <v>431</v>
      </c>
      <c r="K117" t="s">
        <v>61</v>
      </c>
      <c r="L117" t="s">
        <v>1686</v>
      </c>
      <c r="M117" t="s">
        <v>56</v>
      </c>
      <c r="N117" t="s">
        <v>33</v>
      </c>
    </row>
    <row r="118" spans="1:14" x14ac:dyDescent="0.35">
      <c r="A118" t="s">
        <v>20</v>
      </c>
      <c r="B118">
        <v>17643</v>
      </c>
      <c r="C118" t="s">
        <v>426</v>
      </c>
      <c r="D118" t="s">
        <v>427</v>
      </c>
      <c r="E118" t="s">
        <v>1725</v>
      </c>
      <c r="F118" t="s">
        <v>1834</v>
      </c>
      <c r="G118" t="s">
        <v>1835</v>
      </c>
      <c r="H118" t="s">
        <v>1836</v>
      </c>
      <c r="I118" t="s">
        <v>431</v>
      </c>
      <c r="K118" t="s">
        <v>46</v>
      </c>
      <c r="L118" t="s">
        <v>1686</v>
      </c>
      <c r="M118" t="s">
        <v>76</v>
      </c>
      <c r="N118" t="s">
        <v>33</v>
      </c>
    </row>
    <row r="119" spans="1:14" x14ac:dyDescent="0.35">
      <c r="A119" t="s">
        <v>20</v>
      </c>
      <c r="B119">
        <v>17643</v>
      </c>
      <c r="C119" t="s">
        <v>426</v>
      </c>
      <c r="D119" t="s">
        <v>427</v>
      </c>
      <c r="E119" t="s">
        <v>1729</v>
      </c>
      <c r="F119" t="s">
        <v>1837</v>
      </c>
      <c r="G119" t="s">
        <v>1838</v>
      </c>
      <c r="H119" t="s">
        <v>1839</v>
      </c>
      <c r="I119" t="s">
        <v>431</v>
      </c>
      <c r="K119" t="s">
        <v>38</v>
      </c>
      <c r="L119" t="s">
        <v>1700</v>
      </c>
      <c r="M119" t="s">
        <v>56</v>
      </c>
      <c r="N119" t="s">
        <v>33</v>
      </c>
    </row>
    <row r="120" spans="1:14" x14ac:dyDescent="0.35">
      <c r="A120" t="s">
        <v>20</v>
      </c>
      <c r="B120">
        <v>17643</v>
      </c>
      <c r="C120" t="s">
        <v>426</v>
      </c>
      <c r="D120" t="s">
        <v>427</v>
      </c>
      <c r="E120" t="s">
        <v>1733</v>
      </c>
      <c r="F120" t="s">
        <v>1840</v>
      </c>
      <c r="G120" t="s">
        <v>1841</v>
      </c>
      <c r="H120" t="s">
        <v>1842</v>
      </c>
      <c r="I120" t="s">
        <v>431</v>
      </c>
      <c r="K120" t="s">
        <v>46</v>
      </c>
      <c r="L120" t="s">
        <v>1700</v>
      </c>
      <c r="M120" t="s">
        <v>76</v>
      </c>
      <c r="N120" t="s">
        <v>33</v>
      </c>
    </row>
    <row r="121" spans="1:14" x14ac:dyDescent="0.35">
      <c r="A121" t="s">
        <v>20</v>
      </c>
      <c r="B121">
        <v>17643</v>
      </c>
      <c r="C121" t="s">
        <v>426</v>
      </c>
      <c r="D121" t="s">
        <v>427</v>
      </c>
      <c r="E121" t="s">
        <v>1737</v>
      </c>
      <c r="F121" t="s">
        <v>1843</v>
      </c>
      <c r="G121" t="s">
        <v>1844</v>
      </c>
      <c r="H121" t="s">
        <v>1845</v>
      </c>
      <c r="I121" t="s">
        <v>431</v>
      </c>
      <c r="K121" t="s">
        <v>61</v>
      </c>
      <c r="L121" t="s">
        <v>1686</v>
      </c>
      <c r="M121" t="s">
        <v>56</v>
      </c>
      <c r="N121" t="s">
        <v>33</v>
      </c>
    </row>
    <row r="122" spans="1:14" x14ac:dyDescent="0.35">
      <c r="A122" t="s">
        <v>20</v>
      </c>
      <c r="B122">
        <v>17643</v>
      </c>
      <c r="C122" t="s">
        <v>426</v>
      </c>
      <c r="D122" t="s">
        <v>427</v>
      </c>
      <c r="E122" t="s">
        <v>1741</v>
      </c>
      <c r="F122" t="s">
        <v>1846</v>
      </c>
      <c r="G122" t="s">
        <v>1847</v>
      </c>
      <c r="H122" t="s">
        <v>1848</v>
      </c>
      <c r="I122" t="s">
        <v>431</v>
      </c>
      <c r="K122" t="s">
        <v>61</v>
      </c>
      <c r="L122" t="s">
        <v>1686</v>
      </c>
      <c r="M122" t="s">
        <v>56</v>
      </c>
      <c r="N122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selection activeCell="I2" sqref="I2:I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2009</v>
      </c>
      <c r="M1" t="s">
        <v>2010</v>
      </c>
      <c r="N1" t="s">
        <v>15</v>
      </c>
      <c r="O1" t="s">
        <v>19</v>
      </c>
    </row>
    <row r="2" spans="1:15" x14ac:dyDescent="0.35">
      <c r="A2" t="s">
        <v>20</v>
      </c>
      <c r="B2">
        <v>17644</v>
      </c>
      <c r="C2" t="s">
        <v>21</v>
      </c>
      <c r="D2" t="s">
        <v>22</v>
      </c>
      <c r="E2" t="s">
        <v>2011</v>
      </c>
      <c r="F2" t="s">
        <v>2012</v>
      </c>
      <c r="G2" t="s">
        <v>2013</v>
      </c>
      <c r="H2" t="s">
        <v>2014</v>
      </c>
      <c r="I2" t="s">
        <v>27</v>
      </c>
      <c r="K2">
        <v>5</v>
      </c>
      <c r="L2">
        <v>4.2877482476635517E-2</v>
      </c>
      <c r="M2">
        <v>0.8861979166666667</v>
      </c>
      <c r="N2" t="s">
        <v>33</v>
      </c>
    </row>
    <row r="3" spans="1:15" x14ac:dyDescent="0.35">
      <c r="A3" t="s">
        <v>20</v>
      </c>
      <c r="B3">
        <v>17644</v>
      </c>
      <c r="C3" t="s">
        <v>21</v>
      </c>
      <c r="D3" t="s">
        <v>22</v>
      </c>
      <c r="E3" t="s">
        <v>2015</v>
      </c>
      <c r="F3" t="s">
        <v>2016</v>
      </c>
      <c r="G3" t="s">
        <v>2017</v>
      </c>
      <c r="H3" t="s">
        <v>2018</v>
      </c>
      <c r="I3" t="s">
        <v>27</v>
      </c>
      <c r="K3">
        <v>5</v>
      </c>
      <c r="L3">
        <v>3.4809433411214952E-2</v>
      </c>
      <c r="M3">
        <v>0.91331018518518514</v>
      </c>
      <c r="N3" t="s">
        <v>33</v>
      </c>
    </row>
    <row r="4" spans="1:15" x14ac:dyDescent="0.35">
      <c r="A4" t="s">
        <v>20</v>
      </c>
      <c r="B4">
        <v>17644</v>
      </c>
      <c r="C4" t="s">
        <v>21</v>
      </c>
      <c r="D4" t="s">
        <v>22</v>
      </c>
      <c r="E4" t="s">
        <v>2019</v>
      </c>
      <c r="F4" t="s">
        <v>2020</v>
      </c>
      <c r="G4" t="s">
        <v>2021</v>
      </c>
      <c r="H4" t="s">
        <v>2022</v>
      </c>
      <c r="I4" t="s">
        <v>27</v>
      </c>
      <c r="K4">
        <v>5</v>
      </c>
      <c r="L4">
        <v>3.964661214953271E-2</v>
      </c>
      <c r="M4">
        <v>0.25714699074074071</v>
      </c>
      <c r="N4" t="s">
        <v>33</v>
      </c>
    </row>
    <row r="5" spans="1:15" x14ac:dyDescent="0.35">
      <c r="A5" t="s">
        <v>20</v>
      </c>
      <c r="B5">
        <v>17644</v>
      </c>
      <c r="C5" t="s">
        <v>21</v>
      </c>
      <c r="D5" t="s">
        <v>22</v>
      </c>
      <c r="E5" t="s">
        <v>2023</v>
      </c>
      <c r="F5" t="s">
        <v>2024</v>
      </c>
      <c r="G5" t="s">
        <v>2025</v>
      </c>
      <c r="H5" t="s">
        <v>2026</v>
      </c>
      <c r="I5" t="s">
        <v>27</v>
      </c>
      <c r="K5">
        <v>5</v>
      </c>
      <c r="L5">
        <v>0.97829658294392519</v>
      </c>
      <c r="M5">
        <v>6.2644675925925819E-2</v>
      </c>
      <c r="N5" t="s">
        <v>33</v>
      </c>
    </row>
    <row r="6" spans="1:15" x14ac:dyDescent="0.35">
      <c r="A6" t="s">
        <v>20</v>
      </c>
      <c r="B6">
        <v>17644</v>
      </c>
      <c r="C6" t="s">
        <v>21</v>
      </c>
      <c r="D6" t="s">
        <v>22</v>
      </c>
      <c r="E6" t="s">
        <v>2027</v>
      </c>
      <c r="F6" t="s">
        <v>2028</v>
      </c>
      <c r="G6" t="s">
        <v>2029</v>
      </c>
      <c r="H6" t="s">
        <v>2030</v>
      </c>
      <c r="I6" t="s">
        <v>238</v>
      </c>
      <c r="K6">
        <v>7</v>
      </c>
      <c r="L6">
        <v>0.9828782126168224</v>
      </c>
      <c r="M6">
        <v>0.51348379629629626</v>
      </c>
      <c r="N6" t="s">
        <v>33</v>
      </c>
    </row>
    <row r="7" spans="1:15" x14ac:dyDescent="0.35">
      <c r="A7" t="s">
        <v>20</v>
      </c>
      <c r="B7">
        <v>17644</v>
      </c>
      <c r="C7" t="s">
        <v>21</v>
      </c>
      <c r="D7" t="s">
        <v>22</v>
      </c>
      <c r="E7" t="s">
        <v>2031</v>
      </c>
      <c r="F7" t="s">
        <v>2032</v>
      </c>
      <c r="G7" t="s">
        <v>2033</v>
      </c>
      <c r="H7" t="s">
        <v>2034</v>
      </c>
      <c r="I7" t="s">
        <v>238</v>
      </c>
      <c r="K7">
        <v>5</v>
      </c>
      <c r="L7">
        <v>0.97293005257009346</v>
      </c>
      <c r="M7">
        <v>0.90931712962962963</v>
      </c>
      <c r="N7" t="s">
        <v>33</v>
      </c>
    </row>
    <row r="8" spans="1:15" x14ac:dyDescent="0.35">
      <c r="A8" t="s">
        <v>20</v>
      </c>
      <c r="B8">
        <v>17644</v>
      </c>
      <c r="C8" t="s">
        <v>21</v>
      </c>
      <c r="D8" t="s">
        <v>22</v>
      </c>
      <c r="E8" t="s">
        <v>2031</v>
      </c>
      <c r="F8" t="s">
        <v>2035</v>
      </c>
      <c r="G8" t="s">
        <v>2036</v>
      </c>
      <c r="H8" t="s">
        <v>2037</v>
      </c>
      <c r="I8" t="s">
        <v>238</v>
      </c>
      <c r="K8">
        <v>5</v>
      </c>
      <c r="L8">
        <v>5.2387558411214952E-2</v>
      </c>
      <c r="M8">
        <v>0.35593171296296289</v>
      </c>
      <c r="N8" t="s">
        <v>33</v>
      </c>
    </row>
    <row r="9" spans="1:15" x14ac:dyDescent="0.35">
      <c r="A9" t="s">
        <v>20</v>
      </c>
      <c r="B9">
        <v>17643</v>
      </c>
      <c r="C9" t="s">
        <v>426</v>
      </c>
      <c r="D9" t="s">
        <v>427</v>
      </c>
      <c r="E9" t="s">
        <v>2011</v>
      </c>
      <c r="F9" t="s">
        <v>2038</v>
      </c>
      <c r="G9" t="s">
        <v>2039</v>
      </c>
      <c r="H9" t="s">
        <v>2040</v>
      </c>
      <c r="I9" t="s">
        <v>557</v>
      </c>
      <c r="K9">
        <v>5</v>
      </c>
      <c r="N9" t="s">
        <v>33</v>
      </c>
      <c r="O9" t="s">
        <v>432</v>
      </c>
    </row>
    <row r="10" spans="1:15" x14ac:dyDescent="0.35">
      <c r="A10" t="s">
        <v>20</v>
      </c>
      <c r="B10">
        <v>17643</v>
      </c>
      <c r="C10" t="s">
        <v>426</v>
      </c>
      <c r="D10" t="s">
        <v>427</v>
      </c>
      <c r="E10" t="s">
        <v>2019</v>
      </c>
      <c r="F10" t="s">
        <v>2041</v>
      </c>
      <c r="G10" t="s">
        <v>2042</v>
      </c>
      <c r="H10" t="s">
        <v>2043</v>
      </c>
      <c r="I10" t="s">
        <v>557</v>
      </c>
      <c r="K10">
        <v>5</v>
      </c>
      <c r="N10" t="s">
        <v>33</v>
      </c>
      <c r="O10" t="s">
        <v>432</v>
      </c>
    </row>
    <row r="11" spans="1:15" x14ac:dyDescent="0.35">
      <c r="A11" t="s">
        <v>20</v>
      </c>
      <c r="B11">
        <v>17643</v>
      </c>
      <c r="C11" t="s">
        <v>426</v>
      </c>
      <c r="D11" t="s">
        <v>427</v>
      </c>
      <c r="E11" t="s">
        <v>2015</v>
      </c>
      <c r="F11" t="s">
        <v>2044</v>
      </c>
      <c r="G11" t="s">
        <v>2045</v>
      </c>
      <c r="H11" t="s">
        <v>2046</v>
      </c>
      <c r="I11" t="s">
        <v>557</v>
      </c>
      <c r="K11">
        <v>5</v>
      </c>
      <c r="N11" t="s">
        <v>33</v>
      </c>
      <c r="O11" t="s">
        <v>432</v>
      </c>
    </row>
    <row r="12" spans="1:15" x14ac:dyDescent="0.35">
      <c r="A12" t="s">
        <v>20</v>
      </c>
      <c r="B12">
        <v>17643</v>
      </c>
      <c r="C12" t="s">
        <v>426</v>
      </c>
      <c r="D12" t="s">
        <v>427</v>
      </c>
      <c r="E12" t="s">
        <v>2023</v>
      </c>
      <c r="F12" t="s">
        <v>2047</v>
      </c>
      <c r="G12" t="s">
        <v>2048</v>
      </c>
      <c r="H12" t="s">
        <v>2049</v>
      </c>
      <c r="I12" t="s">
        <v>557</v>
      </c>
      <c r="K12">
        <v>5</v>
      </c>
      <c r="N12" t="s">
        <v>33</v>
      </c>
      <c r="O12" t="s">
        <v>432</v>
      </c>
    </row>
    <row r="13" spans="1:15" x14ac:dyDescent="0.35">
      <c r="A13" t="s">
        <v>20</v>
      </c>
      <c r="B13">
        <v>17643</v>
      </c>
      <c r="C13" t="s">
        <v>426</v>
      </c>
      <c r="D13" t="s">
        <v>427</v>
      </c>
      <c r="E13" t="s">
        <v>2050</v>
      </c>
      <c r="F13" t="s">
        <v>2051</v>
      </c>
      <c r="G13" t="s">
        <v>2052</v>
      </c>
      <c r="H13" t="s">
        <v>2053</v>
      </c>
      <c r="I13" t="s">
        <v>557</v>
      </c>
      <c r="K13">
        <v>5</v>
      </c>
      <c r="N13" t="s">
        <v>33</v>
      </c>
      <c r="O13" t="s">
        <v>432</v>
      </c>
    </row>
    <row r="14" spans="1:15" x14ac:dyDescent="0.35">
      <c r="A14" t="s">
        <v>20</v>
      </c>
      <c r="B14">
        <v>17643</v>
      </c>
      <c r="C14" t="s">
        <v>426</v>
      </c>
      <c r="D14" t="s">
        <v>427</v>
      </c>
      <c r="E14" t="s">
        <v>2054</v>
      </c>
      <c r="F14" t="s">
        <v>2055</v>
      </c>
      <c r="G14" t="s">
        <v>2056</v>
      </c>
      <c r="H14" t="s">
        <v>2057</v>
      </c>
      <c r="I14" t="s">
        <v>557</v>
      </c>
      <c r="K14">
        <v>5</v>
      </c>
      <c r="N14" t="s">
        <v>33</v>
      </c>
      <c r="O14" t="s">
        <v>432</v>
      </c>
    </row>
    <row r="15" spans="1:15" x14ac:dyDescent="0.35">
      <c r="A15" t="s">
        <v>20</v>
      </c>
      <c r="B15">
        <v>17643</v>
      </c>
      <c r="C15" t="s">
        <v>426</v>
      </c>
      <c r="D15" t="s">
        <v>427</v>
      </c>
      <c r="E15" t="s">
        <v>2058</v>
      </c>
      <c r="F15" t="s">
        <v>2059</v>
      </c>
      <c r="G15" t="s">
        <v>2060</v>
      </c>
      <c r="H15" t="s">
        <v>2061</v>
      </c>
      <c r="I15" t="s">
        <v>431</v>
      </c>
      <c r="K15">
        <v>5</v>
      </c>
      <c r="N15" t="s">
        <v>33</v>
      </c>
      <c r="O15" t="s">
        <v>432</v>
      </c>
    </row>
    <row r="16" spans="1:15" x14ac:dyDescent="0.35">
      <c r="A16" t="s">
        <v>20</v>
      </c>
      <c r="B16">
        <v>17643</v>
      </c>
      <c r="C16" t="s">
        <v>426</v>
      </c>
      <c r="D16" t="s">
        <v>427</v>
      </c>
      <c r="E16" t="s">
        <v>2031</v>
      </c>
      <c r="F16" t="s">
        <v>2062</v>
      </c>
      <c r="G16" t="s">
        <v>2063</v>
      </c>
      <c r="H16" t="s">
        <v>2064</v>
      </c>
      <c r="I16" t="s">
        <v>431</v>
      </c>
      <c r="K16">
        <v>5</v>
      </c>
      <c r="N16" t="s">
        <v>33</v>
      </c>
      <c r="O16" t="s">
        <v>432</v>
      </c>
    </row>
    <row r="17" spans="1:15" x14ac:dyDescent="0.35">
      <c r="A17" t="s">
        <v>20</v>
      </c>
      <c r="B17">
        <v>17643</v>
      </c>
      <c r="C17" t="s">
        <v>426</v>
      </c>
      <c r="D17" t="s">
        <v>427</v>
      </c>
      <c r="E17" t="s">
        <v>2065</v>
      </c>
      <c r="F17" t="s">
        <v>2066</v>
      </c>
      <c r="G17" t="s">
        <v>2067</v>
      </c>
      <c r="H17" t="s">
        <v>2068</v>
      </c>
      <c r="I17" t="s">
        <v>431</v>
      </c>
      <c r="K17">
        <v>5</v>
      </c>
      <c r="N17" t="s">
        <v>33</v>
      </c>
      <c r="O17" t="s">
        <v>432</v>
      </c>
    </row>
    <row r="18" spans="1:15" x14ac:dyDescent="0.35">
      <c r="A18" t="s">
        <v>20</v>
      </c>
      <c r="B18">
        <v>17646</v>
      </c>
      <c r="C18" t="s">
        <v>666</v>
      </c>
      <c r="D18" t="s">
        <v>667</v>
      </c>
      <c r="E18" t="s">
        <v>2011</v>
      </c>
      <c r="F18" t="s">
        <v>2069</v>
      </c>
      <c r="G18" t="s">
        <v>2070</v>
      </c>
      <c r="H18" t="s">
        <v>2071</v>
      </c>
      <c r="I18" t="s">
        <v>809</v>
      </c>
      <c r="K18">
        <v>5</v>
      </c>
      <c r="N18" t="s">
        <v>33</v>
      </c>
    </row>
    <row r="19" spans="1:15" x14ac:dyDescent="0.35">
      <c r="A19" t="s">
        <v>20</v>
      </c>
      <c r="B19">
        <v>17646</v>
      </c>
      <c r="C19" t="s">
        <v>666</v>
      </c>
      <c r="D19" t="s">
        <v>667</v>
      </c>
      <c r="E19" t="s">
        <v>2019</v>
      </c>
      <c r="F19" t="s">
        <v>2072</v>
      </c>
      <c r="G19" t="s">
        <v>2073</v>
      </c>
      <c r="H19" t="s">
        <v>2074</v>
      </c>
      <c r="I19" t="s">
        <v>809</v>
      </c>
      <c r="K19">
        <v>5</v>
      </c>
      <c r="N19" t="s">
        <v>33</v>
      </c>
    </row>
    <row r="20" spans="1:15" x14ac:dyDescent="0.35">
      <c r="A20" t="s">
        <v>20</v>
      </c>
      <c r="B20">
        <v>17646</v>
      </c>
      <c r="C20" t="s">
        <v>666</v>
      </c>
      <c r="D20" t="s">
        <v>667</v>
      </c>
      <c r="E20" t="s">
        <v>2015</v>
      </c>
      <c r="F20" t="s">
        <v>2075</v>
      </c>
      <c r="G20" t="s">
        <v>2076</v>
      </c>
      <c r="H20" t="s">
        <v>2077</v>
      </c>
      <c r="I20" t="s">
        <v>809</v>
      </c>
      <c r="J20" t="s">
        <v>2078</v>
      </c>
      <c r="K20">
        <v>5</v>
      </c>
      <c r="N20" t="s">
        <v>33</v>
      </c>
    </row>
    <row r="21" spans="1:15" x14ac:dyDescent="0.35">
      <c r="A21" t="s">
        <v>20</v>
      </c>
      <c r="B21">
        <v>17646</v>
      </c>
      <c r="C21" t="s">
        <v>666</v>
      </c>
      <c r="D21" t="s">
        <v>667</v>
      </c>
      <c r="E21" t="s">
        <v>2058</v>
      </c>
      <c r="F21" t="s">
        <v>2079</v>
      </c>
      <c r="G21" t="s">
        <v>2080</v>
      </c>
      <c r="H21" t="s">
        <v>2081</v>
      </c>
      <c r="I21" t="s">
        <v>671</v>
      </c>
      <c r="K21">
        <v>5</v>
      </c>
      <c r="N21" t="s">
        <v>33</v>
      </c>
    </row>
    <row r="22" spans="1:15" x14ac:dyDescent="0.35">
      <c r="A22" t="s">
        <v>20</v>
      </c>
      <c r="B22">
        <v>17646</v>
      </c>
      <c r="C22" t="s">
        <v>666</v>
      </c>
      <c r="D22" t="s">
        <v>667</v>
      </c>
      <c r="E22" t="s">
        <v>2031</v>
      </c>
      <c r="F22" t="s">
        <v>2082</v>
      </c>
      <c r="G22" t="s">
        <v>2083</v>
      </c>
      <c r="H22" t="s">
        <v>2084</v>
      </c>
      <c r="I22" t="s">
        <v>671</v>
      </c>
      <c r="K22">
        <v>5</v>
      </c>
      <c r="N22" t="s">
        <v>33</v>
      </c>
    </row>
    <row r="23" spans="1:15" x14ac:dyDescent="0.35">
      <c r="A23" t="s">
        <v>20</v>
      </c>
      <c r="B23">
        <v>17645</v>
      </c>
      <c r="C23" t="s">
        <v>949</v>
      </c>
      <c r="D23" t="s">
        <v>950</v>
      </c>
      <c r="E23" t="s">
        <v>2011</v>
      </c>
      <c r="F23" t="s">
        <v>2085</v>
      </c>
      <c r="G23" t="s">
        <v>2086</v>
      </c>
      <c r="H23" t="s">
        <v>2087</v>
      </c>
      <c r="I23" t="s">
        <v>954</v>
      </c>
      <c r="K23">
        <v>5</v>
      </c>
      <c r="N23" t="s">
        <v>33</v>
      </c>
    </row>
    <row r="24" spans="1:15" x14ac:dyDescent="0.35">
      <c r="A24" t="s">
        <v>20</v>
      </c>
      <c r="B24">
        <v>17645</v>
      </c>
      <c r="C24" t="s">
        <v>949</v>
      </c>
      <c r="D24" t="s">
        <v>950</v>
      </c>
      <c r="E24" t="s">
        <v>2019</v>
      </c>
      <c r="F24" t="s">
        <v>2088</v>
      </c>
      <c r="G24" t="s">
        <v>2089</v>
      </c>
      <c r="H24" t="s">
        <v>2090</v>
      </c>
      <c r="I24" t="s">
        <v>954</v>
      </c>
      <c r="K24">
        <v>5</v>
      </c>
      <c r="N24" t="s">
        <v>33</v>
      </c>
    </row>
    <row r="25" spans="1:15" x14ac:dyDescent="0.35">
      <c r="A25" t="s">
        <v>20</v>
      </c>
      <c r="B25">
        <v>17645</v>
      </c>
      <c r="C25" t="s">
        <v>949</v>
      </c>
      <c r="D25" t="s">
        <v>950</v>
      </c>
      <c r="E25" t="s">
        <v>2058</v>
      </c>
      <c r="F25" t="s">
        <v>2091</v>
      </c>
      <c r="G25" t="s">
        <v>2092</v>
      </c>
      <c r="H25" t="s">
        <v>2093</v>
      </c>
      <c r="I25" t="s">
        <v>1090</v>
      </c>
      <c r="K25">
        <v>5</v>
      </c>
      <c r="N25" t="s">
        <v>33</v>
      </c>
    </row>
    <row r="26" spans="1:15" x14ac:dyDescent="0.35">
      <c r="A26" t="s">
        <v>20</v>
      </c>
      <c r="B26">
        <v>17645</v>
      </c>
      <c r="C26" t="s">
        <v>949</v>
      </c>
      <c r="D26" t="s">
        <v>950</v>
      </c>
      <c r="E26" t="s">
        <v>2031</v>
      </c>
      <c r="F26" t="s">
        <v>2094</v>
      </c>
      <c r="G26" t="s">
        <v>2095</v>
      </c>
      <c r="H26" t="s">
        <v>2096</v>
      </c>
      <c r="I26" t="s">
        <v>1090</v>
      </c>
      <c r="K26">
        <v>5</v>
      </c>
      <c r="N26" t="s">
        <v>33</v>
      </c>
    </row>
    <row r="27" spans="1:15" x14ac:dyDescent="0.35">
      <c r="A27" t="s">
        <v>20</v>
      </c>
      <c r="B27">
        <v>17645</v>
      </c>
      <c r="C27" t="s">
        <v>949</v>
      </c>
      <c r="D27" t="s">
        <v>950</v>
      </c>
      <c r="E27" t="s">
        <v>2065</v>
      </c>
      <c r="F27" t="s">
        <v>2097</v>
      </c>
      <c r="G27" t="s">
        <v>2098</v>
      </c>
      <c r="H27" t="s">
        <v>2099</v>
      </c>
      <c r="I27" t="s">
        <v>1090</v>
      </c>
      <c r="J27" t="s">
        <v>2100</v>
      </c>
      <c r="K27">
        <v>5</v>
      </c>
      <c r="N27" t="s">
        <v>33</v>
      </c>
    </row>
    <row r="28" spans="1:15" x14ac:dyDescent="0.35">
      <c r="A28" t="s">
        <v>20</v>
      </c>
      <c r="B28">
        <v>17647</v>
      </c>
      <c r="C28" t="s">
        <v>1252</v>
      </c>
      <c r="D28" t="s">
        <v>1253</v>
      </c>
      <c r="E28" t="s">
        <v>2011</v>
      </c>
      <c r="F28" t="s">
        <v>2101</v>
      </c>
      <c r="G28" t="s">
        <v>2102</v>
      </c>
      <c r="H28" t="s">
        <v>2103</v>
      </c>
      <c r="I28" t="s">
        <v>1257</v>
      </c>
      <c r="K28">
        <v>5</v>
      </c>
      <c r="N28" t="s">
        <v>33</v>
      </c>
    </row>
    <row r="29" spans="1:15" x14ac:dyDescent="0.35">
      <c r="A29" t="s">
        <v>20</v>
      </c>
      <c r="B29">
        <v>17647</v>
      </c>
      <c r="C29" t="s">
        <v>1252</v>
      </c>
      <c r="D29" t="s">
        <v>1253</v>
      </c>
      <c r="E29" t="s">
        <v>2019</v>
      </c>
      <c r="F29" t="s">
        <v>2104</v>
      </c>
      <c r="G29" t="s">
        <v>2105</v>
      </c>
      <c r="H29" t="s">
        <v>2106</v>
      </c>
      <c r="I29" t="s">
        <v>1257</v>
      </c>
      <c r="K29">
        <v>5</v>
      </c>
      <c r="N29" t="s">
        <v>33</v>
      </c>
    </row>
    <row r="30" spans="1:15" x14ac:dyDescent="0.35">
      <c r="A30" t="s">
        <v>20</v>
      </c>
      <c r="B30">
        <v>17647</v>
      </c>
      <c r="C30" t="s">
        <v>1252</v>
      </c>
      <c r="D30" t="s">
        <v>1253</v>
      </c>
      <c r="E30" t="s">
        <v>2015</v>
      </c>
      <c r="F30" t="s">
        <v>2107</v>
      </c>
      <c r="G30" t="s">
        <v>2108</v>
      </c>
      <c r="H30" t="s">
        <v>2109</v>
      </c>
      <c r="I30" t="s">
        <v>1257</v>
      </c>
      <c r="K30">
        <v>5</v>
      </c>
      <c r="N30" t="s">
        <v>33</v>
      </c>
    </row>
    <row r="31" spans="1:15" x14ac:dyDescent="0.35">
      <c r="A31" t="s">
        <v>20</v>
      </c>
      <c r="B31">
        <v>17647</v>
      </c>
      <c r="C31" t="s">
        <v>1252</v>
      </c>
      <c r="D31" t="s">
        <v>1253</v>
      </c>
      <c r="E31" t="s">
        <v>2023</v>
      </c>
      <c r="F31" t="s">
        <v>2110</v>
      </c>
      <c r="G31" t="s">
        <v>2111</v>
      </c>
      <c r="H31" t="s">
        <v>2112</v>
      </c>
      <c r="I31" t="s">
        <v>1257</v>
      </c>
      <c r="K31">
        <v>5</v>
      </c>
      <c r="N31" t="s">
        <v>33</v>
      </c>
    </row>
    <row r="32" spans="1:15" x14ac:dyDescent="0.35">
      <c r="A32" t="s">
        <v>20</v>
      </c>
      <c r="B32">
        <v>17647</v>
      </c>
      <c r="C32" t="s">
        <v>1252</v>
      </c>
      <c r="D32" t="s">
        <v>1253</v>
      </c>
      <c r="E32" t="s">
        <v>2058</v>
      </c>
      <c r="F32" t="s">
        <v>2113</v>
      </c>
      <c r="G32" t="s">
        <v>2114</v>
      </c>
      <c r="H32" t="s">
        <v>2115</v>
      </c>
      <c r="I32" t="s">
        <v>1395</v>
      </c>
      <c r="K32">
        <v>5</v>
      </c>
      <c r="N32" t="s">
        <v>33</v>
      </c>
    </row>
    <row r="33" spans="1:14" x14ac:dyDescent="0.35">
      <c r="A33" t="s">
        <v>20</v>
      </c>
      <c r="B33">
        <v>17647</v>
      </c>
      <c r="C33" t="s">
        <v>1252</v>
      </c>
      <c r="D33" t="s">
        <v>1253</v>
      </c>
      <c r="E33" t="s">
        <v>2031</v>
      </c>
      <c r="F33" t="s">
        <v>2116</v>
      </c>
      <c r="G33" t="s">
        <v>2117</v>
      </c>
      <c r="H33" t="s">
        <v>2118</v>
      </c>
      <c r="I33" t="s">
        <v>1395</v>
      </c>
      <c r="K33">
        <v>5</v>
      </c>
      <c r="N33" t="s">
        <v>33</v>
      </c>
    </row>
    <row r="34" spans="1:14" x14ac:dyDescent="0.35">
      <c r="A34" t="s">
        <v>20</v>
      </c>
      <c r="B34">
        <v>17643</v>
      </c>
      <c r="C34" t="s">
        <v>426</v>
      </c>
      <c r="D34" t="s">
        <v>427</v>
      </c>
      <c r="E34" t="s">
        <v>2011</v>
      </c>
      <c r="F34" t="s">
        <v>2038</v>
      </c>
      <c r="G34" t="s">
        <v>2039</v>
      </c>
      <c r="H34" t="s">
        <v>2040</v>
      </c>
      <c r="I34" t="s">
        <v>557</v>
      </c>
      <c r="K34">
        <v>5</v>
      </c>
      <c r="N34" t="s">
        <v>33</v>
      </c>
    </row>
    <row r="35" spans="1:14" x14ac:dyDescent="0.35">
      <c r="A35" t="s">
        <v>20</v>
      </c>
      <c r="B35">
        <v>17643</v>
      </c>
      <c r="C35" t="s">
        <v>426</v>
      </c>
      <c r="D35" t="s">
        <v>427</v>
      </c>
      <c r="E35" t="s">
        <v>2019</v>
      </c>
      <c r="F35" t="s">
        <v>2041</v>
      </c>
      <c r="G35" t="s">
        <v>2042</v>
      </c>
      <c r="H35" t="s">
        <v>2043</v>
      </c>
      <c r="I35" t="s">
        <v>557</v>
      </c>
      <c r="K35">
        <v>5</v>
      </c>
      <c r="N35" t="s">
        <v>33</v>
      </c>
    </row>
    <row r="36" spans="1:14" x14ac:dyDescent="0.35">
      <c r="A36" t="s">
        <v>20</v>
      </c>
      <c r="B36">
        <v>17643</v>
      </c>
      <c r="C36" t="s">
        <v>426</v>
      </c>
      <c r="D36" t="s">
        <v>427</v>
      </c>
      <c r="E36" t="s">
        <v>2015</v>
      </c>
      <c r="F36" t="s">
        <v>2044</v>
      </c>
      <c r="G36" t="s">
        <v>2045</v>
      </c>
      <c r="H36" t="s">
        <v>2046</v>
      </c>
      <c r="I36" t="s">
        <v>557</v>
      </c>
      <c r="K36">
        <v>5</v>
      </c>
      <c r="N36" t="s">
        <v>33</v>
      </c>
    </row>
    <row r="37" spans="1:14" x14ac:dyDescent="0.35">
      <c r="A37" t="s">
        <v>20</v>
      </c>
      <c r="B37">
        <v>17643</v>
      </c>
      <c r="C37" t="s">
        <v>426</v>
      </c>
      <c r="D37" t="s">
        <v>427</v>
      </c>
      <c r="E37" t="s">
        <v>2023</v>
      </c>
      <c r="F37" t="s">
        <v>2047</v>
      </c>
      <c r="G37" t="s">
        <v>2048</v>
      </c>
      <c r="H37" t="s">
        <v>2049</v>
      </c>
      <c r="I37" t="s">
        <v>557</v>
      </c>
      <c r="K37">
        <v>5</v>
      </c>
      <c r="N37" t="s">
        <v>33</v>
      </c>
    </row>
    <row r="38" spans="1:14" x14ac:dyDescent="0.35">
      <c r="A38" t="s">
        <v>20</v>
      </c>
      <c r="B38">
        <v>17643</v>
      </c>
      <c r="C38" t="s">
        <v>426</v>
      </c>
      <c r="D38" t="s">
        <v>427</v>
      </c>
      <c r="E38" t="s">
        <v>2050</v>
      </c>
      <c r="F38" t="s">
        <v>2051</v>
      </c>
      <c r="G38" t="s">
        <v>2052</v>
      </c>
      <c r="H38" t="s">
        <v>2053</v>
      </c>
      <c r="I38" t="s">
        <v>557</v>
      </c>
      <c r="K38">
        <v>5</v>
      </c>
      <c r="N38" t="s">
        <v>33</v>
      </c>
    </row>
    <row r="39" spans="1:14" x14ac:dyDescent="0.35">
      <c r="A39" t="s">
        <v>20</v>
      </c>
      <c r="B39">
        <v>17643</v>
      </c>
      <c r="C39" t="s">
        <v>426</v>
      </c>
      <c r="D39" t="s">
        <v>427</v>
      </c>
      <c r="E39" t="s">
        <v>2054</v>
      </c>
      <c r="F39" t="s">
        <v>2055</v>
      </c>
      <c r="G39" t="s">
        <v>2056</v>
      </c>
      <c r="H39" t="s">
        <v>2057</v>
      </c>
      <c r="I39" t="s">
        <v>557</v>
      </c>
      <c r="K39">
        <v>5</v>
      </c>
      <c r="N39" t="s">
        <v>33</v>
      </c>
    </row>
    <row r="40" spans="1:14" x14ac:dyDescent="0.35">
      <c r="A40" t="s">
        <v>20</v>
      </c>
      <c r="B40">
        <v>17643</v>
      </c>
      <c r="C40" t="s">
        <v>426</v>
      </c>
      <c r="D40" t="s">
        <v>427</v>
      </c>
      <c r="E40" t="s">
        <v>2058</v>
      </c>
      <c r="F40" t="s">
        <v>2059</v>
      </c>
      <c r="G40" t="s">
        <v>2060</v>
      </c>
      <c r="H40" t="s">
        <v>2061</v>
      </c>
      <c r="I40" t="s">
        <v>431</v>
      </c>
      <c r="K40">
        <v>5</v>
      </c>
      <c r="N40" t="s">
        <v>33</v>
      </c>
    </row>
    <row r="41" spans="1:14" x14ac:dyDescent="0.35">
      <c r="A41" t="s">
        <v>20</v>
      </c>
      <c r="B41">
        <v>17643</v>
      </c>
      <c r="C41" t="s">
        <v>426</v>
      </c>
      <c r="D41" t="s">
        <v>427</v>
      </c>
      <c r="E41" t="s">
        <v>2031</v>
      </c>
      <c r="F41" t="s">
        <v>2062</v>
      </c>
      <c r="G41" t="s">
        <v>2063</v>
      </c>
      <c r="H41" t="s">
        <v>2064</v>
      </c>
      <c r="I41" t="s">
        <v>431</v>
      </c>
      <c r="K41">
        <v>5</v>
      </c>
      <c r="N41" t="s">
        <v>33</v>
      </c>
    </row>
    <row r="42" spans="1:14" x14ac:dyDescent="0.35">
      <c r="A42" t="s">
        <v>20</v>
      </c>
      <c r="B42">
        <v>17643</v>
      </c>
      <c r="C42" t="s">
        <v>426</v>
      </c>
      <c r="D42" t="s">
        <v>427</v>
      </c>
      <c r="E42" t="s">
        <v>2065</v>
      </c>
      <c r="F42" t="s">
        <v>2066</v>
      </c>
      <c r="G42" t="s">
        <v>2067</v>
      </c>
      <c r="H42" t="s">
        <v>2068</v>
      </c>
      <c r="I42" t="s">
        <v>431</v>
      </c>
      <c r="K42">
        <v>5</v>
      </c>
      <c r="N42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7"/>
  <sheetViews>
    <sheetView workbookViewId="0">
      <selection activeCell="I2" sqref="I2:I1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2119</v>
      </c>
      <c r="M1" t="s">
        <v>2120</v>
      </c>
      <c r="N1" t="s">
        <v>1528</v>
      </c>
      <c r="O1" t="s">
        <v>14</v>
      </c>
      <c r="P1" t="s">
        <v>2121</v>
      </c>
      <c r="Q1" t="s">
        <v>2122</v>
      </c>
      <c r="R1" t="s">
        <v>15</v>
      </c>
      <c r="S1" t="s">
        <v>19</v>
      </c>
    </row>
    <row r="2" spans="1:19" x14ac:dyDescent="0.35">
      <c r="A2" t="s">
        <v>20</v>
      </c>
      <c r="B2">
        <v>17644</v>
      </c>
      <c r="C2" t="s">
        <v>21</v>
      </c>
      <c r="D2" t="s">
        <v>22</v>
      </c>
      <c r="E2" t="s">
        <v>2123</v>
      </c>
      <c r="F2" t="s">
        <v>2124</v>
      </c>
      <c r="G2" t="s">
        <v>2125</v>
      </c>
      <c r="H2" t="s">
        <v>2126</v>
      </c>
      <c r="I2" t="s">
        <v>27</v>
      </c>
      <c r="K2" t="s">
        <v>61</v>
      </c>
      <c r="L2" t="s">
        <v>2127</v>
      </c>
      <c r="M2" t="s">
        <v>2128</v>
      </c>
      <c r="N2" t="s">
        <v>1686</v>
      </c>
      <c r="O2" t="s">
        <v>32</v>
      </c>
      <c r="P2" t="s">
        <v>2129</v>
      </c>
      <c r="Q2" t="s">
        <v>2130</v>
      </c>
      <c r="R2" t="s">
        <v>33</v>
      </c>
    </row>
    <row r="3" spans="1:19" x14ac:dyDescent="0.35">
      <c r="A3" t="s">
        <v>20</v>
      </c>
      <c r="B3">
        <v>17644</v>
      </c>
      <c r="C3" t="s">
        <v>21</v>
      </c>
      <c r="D3" t="s">
        <v>22</v>
      </c>
      <c r="E3" t="s">
        <v>2131</v>
      </c>
      <c r="F3" t="s">
        <v>2132</v>
      </c>
      <c r="G3" t="s">
        <v>2133</v>
      </c>
      <c r="H3" t="s">
        <v>2134</v>
      </c>
      <c r="I3" t="s">
        <v>27</v>
      </c>
      <c r="K3" t="s">
        <v>28</v>
      </c>
      <c r="L3" t="s">
        <v>2135</v>
      </c>
      <c r="M3" t="s">
        <v>2136</v>
      </c>
      <c r="N3" t="s">
        <v>1686</v>
      </c>
      <c r="O3" t="s">
        <v>32</v>
      </c>
      <c r="P3" t="s">
        <v>2137</v>
      </c>
      <c r="Q3" t="s">
        <v>2130</v>
      </c>
      <c r="R3" t="s">
        <v>33</v>
      </c>
    </row>
    <row r="4" spans="1:19" x14ac:dyDescent="0.35">
      <c r="A4" t="s">
        <v>20</v>
      </c>
      <c r="B4">
        <v>17644</v>
      </c>
      <c r="C4" t="s">
        <v>21</v>
      </c>
      <c r="D4" t="s">
        <v>22</v>
      </c>
      <c r="E4" t="s">
        <v>2138</v>
      </c>
      <c r="F4" t="s">
        <v>2139</v>
      </c>
      <c r="G4" t="s">
        <v>2140</v>
      </c>
      <c r="H4" t="s">
        <v>2141</v>
      </c>
      <c r="I4" t="s">
        <v>27</v>
      </c>
      <c r="J4" t="s">
        <v>2142</v>
      </c>
      <c r="K4" t="s">
        <v>28</v>
      </c>
      <c r="L4" t="s">
        <v>2135</v>
      </c>
      <c r="M4" t="s">
        <v>2128</v>
      </c>
      <c r="N4" t="s">
        <v>1686</v>
      </c>
      <c r="O4" t="s">
        <v>32</v>
      </c>
      <c r="P4" t="s">
        <v>2137</v>
      </c>
      <c r="Q4" t="s">
        <v>2130</v>
      </c>
      <c r="R4" t="s">
        <v>33</v>
      </c>
    </row>
    <row r="5" spans="1:19" x14ac:dyDescent="0.35">
      <c r="A5" t="s">
        <v>20</v>
      </c>
      <c r="B5">
        <v>17644</v>
      </c>
      <c r="C5" t="s">
        <v>21</v>
      </c>
      <c r="D5" t="s">
        <v>22</v>
      </c>
      <c r="E5" t="s">
        <v>2143</v>
      </c>
      <c r="F5" t="s">
        <v>2144</v>
      </c>
      <c r="G5" t="s">
        <v>2145</v>
      </c>
      <c r="H5" t="s">
        <v>2146</v>
      </c>
      <c r="I5" t="s">
        <v>27</v>
      </c>
      <c r="J5" t="s">
        <v>2142</v>
      </c>
      <c r="K5" t="s">
        <v>46</v>
      </c>
      <c r="L5" t="s">
        <v>2135</v>
      </c>
      <c r="M5" t="s">
        <v>2128</v>
      </c>
      <c r="N5" t="s">
        <v>1686</v>
      </c>
      <c r="O5" t="s">
        <v>76</v>
      </c>
      <c r="P5" t="s">
        <v>2137</v>
      </c>
      <c r="Q5" t="s">
        <v>2130</v>
      </c>
      <c r="R5" t="s">
        <v>33</v>
      </c>
    </row>
    <row r="6" spans="1:19" x14ac:dyDescent="0.35">
      <c r="A6" t="s">
        <v>20</v>
      </c>
      <c r="B6">
        <v>17644</v>
      </c>
      <c r="C6" t="s">
        <v>21</v>
      </c>
      <c r="D6" t="s">
        <v>22</v>
      </c>
      <c r="E6" t="s">
        <v>2147</v>
      </c>
      <c r="F6" t="s">
        <v>2148</v>
      </c>
      <c r="G6" t="s">
        <v>2149</v>
      </c>
      <c r="H6" t="s">
        <v>2150</v>
      </c>
      <c r="I6" t="s">
        <v>27</v>
      </c>
      <c r="K6" t="s">
        <v>28</v>
      </c>
      <c r="L6" t="s">
        <v>2151</v>
      </c>
      <c r="M6" t="s">
        <v>2152</v>
      </c>
      <c r="N6" t="s">
        <v>1681</v>
      </c>
      <c r="O6" t="s">
        <v>76</v>
      </c>
      <c r="P6" t="s">
        <v>2137</v>
      </c>
      <c r="Q6" t="s">
        <v>2130</v>
      </c>
      <c r="R6" t="s">
        <v>33</v>
      </c>
    </row>
    <row r="7" spans="1:19" x14ac:dyDescent="0.35">
      <c r="A7" t="s">
        <v>20</v>
      </c>
      <c r="B7">
        <v>17644</v>
      </c>
      <c r="C7" t="s">
        <v>21</v>
      </c>
      <c r="D7" t="s">
        <v>22</v>
      </c>
      <c r="E7" t="s">
        <v>2153</v>
      </c>
      <c r="F7" t="s">
        <v>2154</v>
      </c>
      <c r="G7" t="s">
        <v>2155</v>
      </c>
      <c r="H7" t="s">
        <v>2156</v>
      </c>
      <c r="I7" t="s">
        <v>27</v>
      </c>
      <c r="J7" t="s">
        <v>2100</v>
      </c>
      <c r="K7" t="s">
        <v>28</v>
      </c>
      <c r="L7" t="s">
        <v>2127</v>
      </c>
      <c r="M7" t="s">
        <v>2152</v>
      </c>
      <c r="N7" t="s">
        <v>1686</v>
      </c>
      <c r="O7" t="s">
        <v>76</v>
      </c>
      <c r="P7" t="s">
        <v>2129</v>
      </c>
      <c r="Q7" t="s">
        <v>2130</v>
      </c>
      <c r="R7" t="s">
        <v>33</v>
      </c>
    </row>
    <row r="8" spans="1:19" x14ac:dyDescent="0.35">
      <c r="A8" t="s">
        <v>20</v>
      </c>
      <c r="B8">
        <v>17644</v>
      </c>
      <c r="C8" t="s">
        <v>21</v>
      </c>
      <c r="D8" t="s">
        <v>22</v>
      </c>
      <c r="E8" t="s">
        <v>2157</v>
      </c>
      <c r="F8" t="s">
        <v>2158</v>
      </c>
      <c r="G8" t="s">
        <v>2159</v>
      </c>
      <c r="H8" t="s">
        <v>2160</v>
      </c>
      <c r="I8" t="s">
        <v>27</v>
      </c>
      <c r="K8" t="s">
        <v>46</v>
      </c>
      <c r="L8" t="s">
        <v>2135</v>
      </c>
      <c r="M8" t="s">
        <v>2128</v>
      </c>
      <c r="N8" t="s">
        <v>1686</v>
      </c>
      <c r="O8" t="s">
        <v>32</v>
      </c>
      <c r="P8" t="s">
        <v>2137</v>
      </c>
      <c r="Q8" t="s">
        <v>2130</v>
      </c>
      <c r="R8" t="s">
        <v>33</v>
      </c>
    </row>
    <row r="9" spans="1:19" x14ac:dyDescent="0.35">
      <c r="A9" t="s">
        <v>20</v>
      </c>
      <c r="B9">
        <v>17644</v>
      </c>
      <c r="C9" t="s">
        <v>21</v>
      </c>
      <c r="D9" t="s">
        <v>22</v>
      </c>
      <c r="E9" t="s">
        <v>2161</v>
      </c>
      <c r="F9" t="s">
        <v>2162</v>
      </c>
      <c r="G9" t="s">
        <v>2163</v>
      </c>
      <c r="H9" t="s">
        <v>2164</v>
      </c>
      <c r="I9" t="s">
        <v>27</v>
      </c>
      <c r="J9" t="s">
        <v>2142</v>
      </c>
      <c r="K9" t="s">
        <v>46</v>
      </c>
      <c r="L9" t="s">
        <v>2135</v>
      </c>
      <c r="M9" t="s">
        <v>2128</v>
      </c>
      <c r="N9" t="s">
        <v>1681</v>
      </c>
      <c r="O9" t="s">
        <v>76</v>
      </c>
      <c r="P9" t="s">
        <v>2137</v>
      </c>
      <c r="Q9" t="s">
        <v>2130</v>
      </c>
      <c r="R9" t="s">
        <v>33</v>
      </c>
    </row>
    <row r="10" spans="1:19" x14ac:dyDescent="0.35">
      <c r="A10" t="s">
        <v>20</v>
      </c>
      <c r="B10">
        <v>17644</v>
      </c>
      <c r="C10" t="s">
        <v>21</v>
      </c>
      <c r="D10" t="s">
        <v>22</v>
      </c>
      <c r="E10" t="s">
        <v>2165</v>
      </c>
      <c r="F10" t="s">
        <v>2166</v>
      </c>
      <c r="G10" t="s">
        <v>2167</v>
      </c>
      <c r="H10" t="s">
        <v>2168</v>
      </c>
      <c r="I10" t="s">
        <v>27</v>
      </c>
      <c r="J10" t="s">
        <v>2142</v>
      </c>
      <c r="K10" t="s">
        <v>28</v>
      </c>
      <c r="L10" t="s">
        <v>2135</v>
      </c>
      <c r="M10" t="s">
        <v>2136</v>
      </c>
      <c r="N10" t="s">
        <v>1686</v>
      </c>
      <c r="O10" t="s">
        <v>32</v>
      </c>
      <c r="P10" t="s">
        <v>2137</v>
      </c>
      <c r="Q10" t="s">
        <v>2130</v>
      </c>
      <c r="R10" t="s">
        <v>33</v>
      </c>
    </row>
    <row r="11" spans="1:19" x14ac:dyDescent="0.35">
      <c r="A11" t="s">
        <v>20</v>
      </c>
      <c r="B11">
        <v>17644</v>
      </c>
      <c r="C11" t="s">
        <v>21</v>
      </c>
      <c r="D11" t="s">
        <v>22</v>
      </c>
      <c r="E11" t="s">
        <v>2169</v>
      </c>
      <c r="F11" t="s">
        <v>2170</v>
      </c>
      <c r="G11" t="s">
        <v>2171</v>
      </c>
      <c r="H11" t="s">
        <v>2172</v>
      </c>
      <c r="I11" t="s">
        <v>27</v>
      </c>
      <c r="J11" t="s">
        <v>2173</v>
      </c>
      <c r="K11" t="s">
        <v>28</v>
      </c>
      <c r="L11" t="s">
        <v>2135</v>
      </c>
      <c r="M11" t="s">
        <v>2136</v>
      </c>
      <c r="N11" t="s">
        <v>1686</v>
      </c>
      <c r="O11" t="s">
        <v>76</v>
      </c>
      <c r="P11" t="s">
        <v>2137</v>
      </c>
      <c r="Q11" t="s">
        <v>2130</v>
      </c>
      <c r="R11" t="s">
        <v>33</v>
      </c>
    </row>
    <row r="12" spans="1:19" x14ac:dyDescent="0.35">
      <c r="A12" t="s">
        <v>20</v>
      </c>
      <c r="B12">
        <v>17644</v>
      </c>
      <c r="C12" t="s">
        <v>21</v>
      </c>
      <c r="D12" t="s">
        <v>22</v>
      </c>
      <c r="E12" t="s">
        <v>2174</v>
      </c>
      <c r="F12" t="s">
        <v>2175</v>
      </c>
      <c r="G12" t="s">
        <v>2176</v>
      </c>
      <c r="H12" t="s">
        <v>2177</v>
      </c>
      <c r="I12" t="s">
        <v>27</v>
      </c>
      <c r="J12" t="s">
        <v>2142</v>
      </c>
      <c r="K12" t="s">
        <v>46</v>
      </c>
      <c r="L12" t="s">
        <v>2135</v>
      </c>
      <c r="M12" t="s">
        <v>2128</v>
      </c>
      <c r="N12" t="s">
        <v>1686</v>
      </c>
      <c r="O12" t="s">
        <v>32</v>
      </c>
      <c r="P12" t="s">
        <v>2137</v>
      </c>
      <c r="Q12" t="s">
        <v>2130</v>
      </c>
      <c r="R12" t="s">
        <v>33</v>
      </c>
    </row>
    <row r="13" spans="1:19" x14ac:dyDescent="0.35">
      <c r="A13" t="s">
        <v>20</v>
      </c>
      <c r="B13">
        <v>17644</v>
      </c>
      <c r="C13" t="s">
        <v>21</v>
      </c>
      <c r="D13" t="s">
        <v>22</v>
      </c>
      <c r="E13" t="s">
        <v>2178</v>
      </c>
      <c r="F13" t="s">
        <v>2179</v>
      </c>
      <c r="G13" t="s">
        <v>2180</v>
      </c>
      <c r="H13" t="s">
        <v>2181</v>
      </c>
      <c r="I13" t="s">
        <v>27</v>
      </c>
      <c r="J13" t="s">
        <v>2182</v>
      </c>
      <c r="K13" t="s">
        <v>46</v>
      </c>
      <c r="L13" t="s">
        <v>2135</v>
      </c>
      <c r="M13" t="s">
        <v>2136</v>
      </c>
      <c r="N13" t="s">
        <v>1686</v>
      </c>
      <c r="O13" t="s">
        <v>32</v>
      </c>
      <c r="P13" t="s">
        <v>2137</v>
      </c>
      <c r="Q13" t="s">
        <v>2130</v>
      </c>
      <c r="R13" t="s">
        <v>33</v>
      </c>
    </row>
    <row r="14" spans="1:19" x14ac:dyDescent="0.35">
      <c r="A14" t="s">
        <v>20</v>
      </c>
      <c r="B14">
        <v>17644</v>
      </c>
      <c r="C14" t="s">
        <v>21</v>
      </c>
      <c r="D14" t="s">
        <v>22</v>
      </c>
      <c r="E14" t="s">
        <v>2183</v>
      </c>
      <c r="F14" t="s">
        <v>2184</v>
      </c>
      <c r="G14" t="s">
        <v>2185</v>
      </c>
      <c r="H14" t="s">
        <v>2186</v>
      </c>
      <c r="I14" t="s">
        <v>27</v>
      </c>
      <c r="J14" t="s">
        <v>2142</v>
      </c>
      <c r="K14" t="s">
        <v>46</v>
      </c>
      <c r="L14" t="s">
        <v>2135</v>
      </c>
      <c r="M14" t="s">
        <v>2128</v>
      </c>
      <c r="N14" t="s">
        <v>1686</v>
      </c>
      <c r="O14" t="s">
        <v>32</v>
      </c>
      <c r="P14" t="s">
        <v>2137</v>
      </c>
      <c r="Q14" t="s">
        <v>2130</v>
      </c>
      <c r="R14" t="s">
        <v>33</v>
      </c>
    </row>
    <row r="15" spans="1:19" x14ac:dyDescent="0.35">
      <c r="A15" t="s">
        <v>20</v>
      </c>
      <c r="B15">
        <v>17644</v>
      </c>
      <c r="C15" t="s">
        <v>21</v>
      </c>
      <c r="D15" t="s">
        <v>22</v>
      </c>
      <c r="E15" t="s">
        <v>2187</v>
      </c>
      <c r="F15" t="s">
        <v>2188</v>
      </c>
      <c r="G15" t="s">
        <v>2189</v>
      </c>
      <c r="H15" t="s">
        <v>2190</v>
      </c>
      <c r="I15" t="s">
        <v>27</v>
      </c>
      <c r="J15" t="s">
        <v>2173</v>
      </c>
      <c r="K15" t="s">
        <v>46</v>
      </c>
      <c r="L15" t="s">
        <v>2135</v>
      </c>
      <c r="M15" t="s">
        <v>2191</v>
      </c>
      <c r="N15" t="s">
        <v>1700</v>
      </c>
      <c r="O15" t="s">
        <v>32</v>
      </c>
      <c r="Q15" t="s">
        <v>2192</v>
      </c>
      <c r="R15" t="s">
        <v>33</v>
      </c>
    </row>
    <row r="16" spans="1:19" x14ac:dyDescent="0.35">
      <c r="A16" t="s">
        <v>20</v>
      </c>
      <c r="B16">
        <v>17644</v>
      </c>
      <c r="C16" t="s">
        <v>21</v>
      </c>
      <c r="D16" t="s">
        <v>22</v>
      </c>
      <c r="E16" t="s">
        <v>2193</v>
      </c>
      <c r="F16" t="s">
        <v>2194</v>
      </c>
      <c r="G16" t="s">
        <v>2195</v>
      </c>
      <c r="H16" t="s">
        <v>2196</v>
      </c>
      <c r="I16" t="s">
        <v>27</v>
      </c>
      <c r="J16" t="s">
        <v>2182</v>
      </c>
      <c r="K16" t="s">
        <v>46</v>
      </c>
      <c r="L16" t="s">
        <v>2197</v>
      </c>
      <c r="M16" t="s">
        <v>2136</v>
      </c>
      <c r="N16" t="s">
        <v>1686</v>
      </c>
      <c r="O16" t="s">
        <v>32</v>
      </c>
      <c r="P16" t="s">
        <v>2137</v>
      </c>
      <c r="Q16" t="s">
        <v>2130</v>
      </c>
      <c r="R16" t="s">
        <v>33</v>
      </c>
    </row>
    <row r="17" spans="1:19" x14ac:dyDescent="0.35">
      <c r="A17" t="s">
        <v>20</v>
      </c>
      <c r="B17">
        <v>17644</v>
      </c>
      <c r="C17" t="s">
        <v>21</v>
      </c>
      <c r="D17" t="s">
        <v>22</v>
      </c>
      <c r="E17" t="s">
        <v>2198</v>
      </c>
      <c r="F17" t="s">
        <v>2199</v>
      </c>
      <c r="G17" t="s">
        <v>2200</v>
      </c>
      <c r="H17" t="s">
        <v>2201</v>
      </c>
      <c r="I17" t="s">
        <v>238</v>
      </c>
      <c r="K17" t="s">
        <v>61</v>
      </c>
      <c r="L17" t="s">
        <v>2202</v>
      </c>
      <c r="M17" t="s">
        <v>2136</v>
      </c>
      <c r="N17" t="s">
        <v>1686</v>
      </c>
      <c r="O17" t="s">
        <v>32</v>
      </c>
      <c r="P17" t="s">
        <v>2129</v>
      </c>
      <c r="Q17" t="s">
        <v>2130</v>
      </c>
      <c r="R17" t="s">
        <v>33</v>
      </c>
    </row>
    <row r="18" spans="1:19" x14ac:dyDescent="0.35">
      <c r="A18" t="s">
        <v>20</v>
      </c>
      <c r="B18">
        <v>17644</v>
      </c>
      <c r="C18" t="s">
        <v>21</v>
      </c>
      <c r="D18" t="s">
        <v>22</v>
      </c>
      <c r="E18" t="s">
        <v>2203</v>
      </c>
      <c r="F18" t="s">
        <v>2204</v>
      </c>
      <c r="G18" t="s">
        <v>2205</v>
      </c>
      <c r="H18" t="s">
        <v>2206</v>
      </c>
      <c r="I18" t="s">
        <v>238</v>
      </c>
      <c r="K18" t="s">
        <v>28</v>
      </c>
      <c r="L18" t="s">
        <v>2197</v>
      </c>
      <c r="M18" t="s">
        <v>2136</v>
      </c>
      <c r="N18" t="s">
        <v>1686</v>
      </c>
      <c r="O18" t="s">
        <v>76</v>
      </c>
      <c r="P18" t="s">
        <v>2137</v>
      </c>
      <c r="Q18" t="s">
        <v>2130</v>
      </c>
      <c r="R18" t="s">
        <v>33</v>
      </c>
    </row>
    <row r="19" spans="1:19" x14ac:dyDescent="0.35">
      <c r="A19" t="s">
        <v>20</v>
      </c>
      <c r="B19">
        <v>17644</v>
      </c>
      <c r="C19" t="s">
        <v>21</v>
      </c>
      <c r="D19" t="s">
        <v>22</v>
      </c>
      <c r="E19" t="s">
        <v>2207</v>
      </c>
      <c r="F19" t="s">
        <v>2208</v>
      </c>
      <c r="G19" t="s">
        <v>2209</v>
      </c>
      <c r="H19" t="s">
        <v>2210</v>
      </c>
      <c r="I19" t="s">
        <v>238</v>
      </c>
      <c r="K19" t="s">
        <v>61</v>
      </c>
      <c r="L19" t="s">
        <v>2202</v>
      </c>
      <c r="M19" t="s">
        <v>2136</v>
      </c>
      <c r="N19" t="s">
        <v>1686</v>
      </c>
      <c r="O19" t="s">
        <v>76</v>
      </c>
      <c r="P19" t="s">
        <v>2129</v>
      </c>
      <c r="Q19" t="s">
        <v>2130</v>
      </c>
      <c r="R19" t="s">
        <v>33</v>
      </c>
    </row>
    <row r="20" spans="1:19" x14ac:dyDescent="0.35">
      <c r="A20" t="s">
        <v>20</v>
      </c>
      <c r="B20">
        <v>17644</v>
      </c>
      <c r="C20" t="s">
        <v>21</v>
      </c>
      <c r="D20" t="s">
        <v>22</v>
      </c>
      <c r="E20" t="s">
        <v>2211</v>
      </c>
      <c r="F20" t="s">
        <v>2212</v>
      </c>
      <c r="G20" t="s">
        <v>2213</v>
      </c>
      <c r="H20" t="s">
        <v>2214</v>
      </c>
      <c r="I20" t="s">
        <v>238</v>
      </c>
      <c r="K20" t="s">
        <v>28</v>
      </c>
      <c r="L20" t="s">
        <v>2197</v>
      </c>
      <c r="M20" t="s">
        <v>2136</v>
      </c>
      <c r="N20" t="s">
        <v>1686</v>
      </c>
      <c r="O20" t="s">
        <v>76</v>
      </c>
      <c r="P20" t="s">
        <v>2137</v>
      </c>
      <c r="Q20" t="s">
        <v>2130</v>
      </c>
      <c r="R20" t="s">
        <v>33</v>
      </c>
    </row>
    <row r="21" spans="1:19" x14ac:dyDescent="0.35">
      <c r="A21" t="s">
        <v>20</v>
      </c>
      <c r="B21">
        <v>17644</v>
      </c>
      <c r="C21" t="s">
        <v>21</v>
      </c>
      <c r="D21" t="s">
        <v>22</v>
      </c>
      <c r="E21" t="s">
        <v>2215</v>
      </c>
      <c r="F21" t="s">
        <v>2216</v>
      </c>
      <c r="G21" t="s">
        <v>2217</v>
      </c>
      <c r="H21" t="s">
        <v>2218</v>
      </c>
      <c r="I21" t="s">
        <v>238</v>
      </c>
      <c r="K21" t="s">
        <v>28</v>
      </c>
      <c r="L21" t="s">
        <v>2135</v>
      </c>
      <c r="M21" t="s">
        <v>2191</v>
      </c>
      <c r="N21" t="s">
        <v>1700</v>
      </c>
      <c r="O21" t="s">
        <v>76</v>
      </c>
      <c r="P21" t="s">
        <v>2137</v>
      </c>
      <c r="Q21" t="s">
        <v>2130</v>
      </c>
      <c r="R21" t="s">
        <v>33</v>
      </c>
    </row>
    <row r="22" spans="1:19" x14ac:dyDescent="0.35">
      <c r="A22" t="s">
        <v>20</v>
      </c>
      <c r="B22">
        <v>17644</v>
      </c>
      <c r="C22" t="s">
        <v>21</v>
      </c>
      <c r="D22" t="s">
        <v>22</v>
      </c>
      <c r="E22" t="s">
        <v>2219</v>
      </c>
      <c r="F22" t="s">
        <v>2220</v>
      </c>
      <c r="G22" t="s">
        <v>2221</v>
      </c>
      <c r="H22" t="s">
        <v>2222</v>
      </c>
      <c r="I22" t="s">
        <v>238</v>
      </c>
      <c r="K22" t="s">
        <v>28</v>
      </c>
      <c r="L22" t="s">
        <v>2135</v>
      </c>
      <c r="M22" t="s">
        <v>2136</v>
      </c>
      <c r="N22" t="s">
        <v>1686</v>
      </c>
      <c r="O22" t="s">
        <v>32</v>
      </c>
      <c r="P22" t="s">
        <v>2129</v>
      </c>
      <c r="Q22" t="s">
        <v>2130</v>
      </c>
      <c r="R22" t="s">
        <v>33</v>
      </c>
    </row>
    <row r="23" spans="1:19" x14ac:dyDescent="0.35">
      <c r="A23" t="s">
        <v>20</v>
      </c>
      <c r="B23">
        <v>17644</v>
      </c>
      <c r="C23" t="s">
        <v>21</v>
      </c>
      <c r="D23" t="s">
        <v>22</v>
      </c>
      <c r="E23" t="s">
        <v>2223</v>
      </c>
      <c r="F23" t="s">
        <v>2224</v>
      </c>
      <c r="G23" t="s">
        <v>2225</v>
      </c>
      <c r="H23" t="s">
        <v>2226</v>
      </c>
      <c r="I23" t="s">
        <v>238</v>
      </c>
      <c r="K23" t="s">
        <v>28</v>
      </c>
      <c r="L23" t="s">
        <v>2197</v>
      </c>
      <c r="M23" t="s">
        <v>2136</v>
      </c>
      <c r="N23" t="s">
        <v>1686</v>
      </c>
      <c r="O23" t="s">
        <v>76</v>
      </c>
      <c r="P23" t="s">
        <v>2137</v>
      </c>
      <c r="Q23" t="s">
        <v>2130</v>
      </c>
      <c r="R23" t="s">
        <v>33</v>
      </c>
    </row>
    <row r="24" spans="1:19" x14ac:dyDescent="0.35">
      <c r="A24" t="s">
        <v>20</v>
      </c>
      <c r="B24">
        <v>17644</v>
      </c>
      <c r="C24" t="s">
        <v>21</v>
      </c>
      <c r="D24" t="s">
        <v>22</v>
      </c>
      <c r="E24" t="s">
        <v>2227</v>
      </c>
      <c r="F24" t="s">
        <v>2228</v>
      </c>
      <c r="G24" t="s">
        <v>2229</v>
      </c>
      <c r="H24" t="s">
        <v>2230</v>
      </c>
      <c r="I24" t="s">
        <v>238</v>
      </c>
      <c r="K24" t="s">
        <v>28</v>
      </c>
      <c r="L24" t="s">
        <v>2202</v>
      </c>
      <c r="M24" t="s">
        <v>2136</v>
      </c>
      <c r="N24" t="s">
        <v>1686</v>
      </c>
      <c r="O24" t="s">
        <v>76</v>
      </c>
      <c r="P24" t="s">
        <v>2129</v>
      </c>
      <c r="Q24" t="s">
        <v>2130</v>
      </c>
      <c r="R24" t="s">
        <v>33</v>
      </c>
    </row>
    <row r="25" spans="1:19" x14ac:dyDescent="0.35">
      <c r="A25" t="s">
        <v>20</v>
      </c>
      <c r="B25">
        <v>17644</v>
      </c>
      <c r="C25" t="s">
        <v>21</v>
      </c>
      <c r="D25" t="s">
        <v>22</v>
      </c>
      <c r="E25" t="s">
        <v>2231</v>
      </c>
      <c r="F25" t="s">
        <v>2232</v>
      </c>
      <c r="G25" t="s">
        <v>2233</v>
      </c>
      <c r="H25" t="s">
        <v>2234</v>
      </c>
      <c r="I25" t="s">
        <v>238</v>
      </c>
      <c r="K25" t="s">
        <v>28</v>
      </c>
      <c r="L25" t="s">
        <v>2202</v>
      </c>
      <c r="M25" t="s">
        <v>2136</v>
      </c>
      <c r="N25" t="s">
        <v>1681</v>
      </c>
      <c r="O25" t="s">
        <v>76</v>
      </c>
      <c r="P25" t="s">
        <v>2137</v>
      </c>
      <c r="Q25" t="s">
        <v>2130</v>
      </c>
      <c r="R25" t="s">
        <v>33</v>
      </c>
    </row>
    <row r="26" spans="1:19" x14ac:dyDescent="0.35">
      <c r="A26" t="s">
        <v>20</v>
      </c>
      <c r="B26">
        <v>17644</v>
      </c>
      <c r="C26" t="s">
        <v>21</v>
      </c>
      <c r="D26" t="s">
        <v>22</v>
      </c>
      <c r="E26" t="s">
        <v>2235</v>
      </c>
      <c r="F26" t="s">
        <v>2236</v>
      </c>
      <c r="G26" t="s">
        <v>2237</v>
      </c>
      <c r="H26" t="s">
        <v>2238</v>
      </c>
      <c r="I26" t="s">
        <v>238</v>
      </c>
      <c r="K26" t="s">
        <v>28</v>
      </c>
      <c r="L26" t="s">
        <v>2135</v>
      </c>
      <c r="N26" t="s">
        <v>1700</v>
      </c>
      <c r="O26" t="s">
        <v>32</v>
      </c>
      <c r="P26" t="s">
        <v>2137</v>
      </c>
      <c r="Q26" t="s">
        <v>2130</v>
      </c>
      <c r="R26" t="s">
        <v>33</v>
      </c>
    </row>
    <row r="27" spans="1:19" x14ac:dyDescent="0.35">
      <c r="A27" t="s">
        <v>20</v>
      </c>
      <c r="B27">
        <v>17643</v>
      </c>
      <c r="C27" t="s">
        <v>426</v>
      </c>
      <c r="D27" t="s">
        <v>427</v>
      </c>
      <c r="E27" t="s">
        <v>2198</v>
      </c>
      <c r="F27" t="s">
        <v>2239</v>
      </c>
      <c r="G27" t="s">
        <v>2240</v>
      </c>
      <c r="H27" t="s">
        <v>2241</v>
      </c>
      <c r="I27" t="s">
        <v>431</v>
      </c>
      <c r="K27" t="s">
        <v>28</v>
      </c>
      <c r="L27" t="s">
        <v>2135</v>
      </c>
      <c r="M27" t="s">
        <v>2136</v>
      </c>
      <c r="N27" t="s">
        <v>1700</v>
      </c>
      <c r="O27" t="s">
        <v>32</v>
      </c>
      <c r="P27" t="s">
        <v>2137</v>
      </c>
      <c r="Q27" t="s">
        <v>2130</v>
      </c>
      <c r="R27" t="s">
        <v>33</v>
      </c>
      <c r="S27" t="s">
        <v>432</v>
      </c>
    </row>
    <row r="28" spans="1:19" x14ac:dyDescent="0.35">
      <c r="A28" t="s">
        <v>20</v>
      </c>
      <c r="B28">
        <v>17643</v>
      </c>
      <c r="C28" t="s">
        <v>426</v>
      </c>
      <c r="D28" t="s">
        <v>427</v>
      </c>
      <c r="E28" t="s">
        <v>2203</v>
      </c>
      <c r="F28" t="s">
        <v>2242</v>
      </c>
      <c r="G28" t="s">
        <v>2243</v>
      </c>
      <c r="H28" t="s">
        <v>2244</v>
      </c>
      <c r="I28" t="s">
        <v>431</v>
      </c>
      <c r="K28" t="s">
        <v>61</v>
      </c>
      <c r="L28" t="s">
        <v>2127</v>
      </c>
      <c r="M28" t="s">
        <v>2191</v>
      </c>
      <c r="N28" t="s">
        <v>1686</v>
      </c>
      <c r="O28" t="s">
        <v>32</v>
      </c>
      <c r="P28" t="s">
        <v>2129</v>
      </c>
      <c r="Q28" t="s">
        <v>2130</v>
      </c>
      <c r="R28" t="s">
        <v>33</v>
      </c>
      <c r="S28" t="s">
        <v>432</v>
      </c>
    </row>
    <row r="29" spans="1:19" x14ac:dyDescent="0.35">
      <c r="A29" t="s">
        <v>20</v>
      </c>
      <c r="B29">
        <v>17643</v>
      </c>
      <c r="C29" t="s">
        <v>426</v>
      </c>
      <c r="D29" t="s">
        <v>427</v>
      </c>
      <c r="E29" t="s">
        <v>2207</v>
      </c>
      <c r="F29" t="s">
        <v>2245</v>
      </c>
      <c r="G29" t="s">
        <v>2246</v>
      </c>
      <c r="H29" t="s">
        <v>2247</v>
      </c>
      <c r="I29" t="s">
        <v>431</v>
      </c>
      <c r="K29" t="s">
        <v>61</v>
      </c>
      <c r="L29" t="s">
        <v>2127</v>
      </c>
      <c r="M29" t="s">
        <v>2136</v>
      </c>
      <c r="N29" t="s">
        <v>1686</v>
      </c>
      <c r="O29" t="s">
        <v>32</v>
      </c>
      <c r="P29" t="s">
        <v>2129</v>
      </c>
      <c r="Q29" t="s">
        <v>2130</v>
      </c>
      <c r="R29" t="s">
        <v>33</v>
      </c>
      <c r="S29" t="s">
        <v>432</v>
      </c>
    </row>
    <row r="30" spans="1:19" x14ac:dyDescent="0.35">
      <c r="A30" t="s">
        <v>20</v>
      </c>
      <c r="B30">
        <v>17643</v>
      </c>
      <c r="C30" t="s">
        <v>426</v>
      </c>
      <c r="D30" t="s">
        <v>427</v>
      </c>
      <c r="E30" t="s">
        <v>2211</v>
      </c>
      <c r="F30" t="s">
        <v>2248</v>
      </c>
      <c r="G30" t="s">
        <v>2249</v>
      </c>
      <c r="H30" t="s">
        <v>2250</v>
      </c>
      <c r="I30" t="s">
        <v>431</v>
      </c>
      <c r="K30" t="s">
        <v>28</v>
      </c>
      <c r="L30" t="s">
        <v>2202</v>
      </c>
      <c r="M30" t="s">
        <v>2136</v>
      </c>
      <c r="N30" t="s">
        <v>1686</v>
      </c>
      <c r="O30" t="s">
        <v>32</v>
      </c>
      <c r="P30" t="s">
        <v>2137</v>
      </c>
      <c r="Q30" t="s">
        <v>2130</v>
      </c>
      <c r="R30" t="s">
        <v>33</v>
      </c>
      <c r="S30" t="s">
        <v>432</v>
      </c>
    </row>
    <row r="31" spans="1:19" x14ac:dyDescent="0.35">
      <c r="A31" t="s">
        <v>20</v>
      </c>
      <c r="B31">
        <v>17643</v>
      </c>
      <c r="C31" t="s">
        <v>426</v>
      </c>
      <c r="D31" t="s">
        <v>427</v>
      </c>
      <c r="E31" t="s">
        <v>2215</v>
      </c>
      <c r="F31" t="s">
        <v>2251</v>
      </c>
      <c r="G31" t="s">
        <v>2252</v>
      </c>
      <c r="H31" t="s">
        <v>2253</v>
      </c>
      <c r="I31" t="s">
        <v>431</v>
      </c>
      <c r="K31" t="s">
        <v>28</v>
      </c>
      <c r="L31" t="s">
        <v>2202</v>
      </c>
      <c r="M31" t="s">
        <v>2136</v>
      </c>
      <c r="N31" t="s">
        <v>1686</v>
      </c>
      <c r="O31" t="s">
        <v>76</v>
      </c>
      <c r="P31" t="s">
        <v>2137</v>
      </c>
      <c r="Q31" t="s">
        <v>2130</v>
      </c>
      <c r="R31" t="s">
        <v>33</v>
      </c>
      <c r="S31" t="s">
        <v>432</v>
      </c>
    </row>
    <row r="32" spans="1:19" x14ac:dyDescent="0.35">
      <c r="A32" t="s">
        <v>20</v>
      </c>
      <c r="B32">
        <v>17643</v>
      </c>
      <c r="C32" t="s">
        <v>426</v>
      </c>
      <c r="D32" t="s">
        <v>427</v>
      </c>
      <c r="E32" t="s">
        <v>2219</v>
      </c>
      <c r="F32" t="s">
        <v>2254</v>
      </c>
      <c r="G32" t="s">
        <v>2255</v>
      </c>
      <c r="H32" t="s">
        <v>2256</v>
      </c>
      <c r="I32" t="s">
        <v>431</v>
      </c>
      <c r="K32" t="s">
        <v>28</v>
      </c>
      <c r="L32" t="s">
        <v>2202</v>
      </c>
      <c r="M32" t="s">
        <v>2136</v>
      </c>
      <c r="N32" t="s">
        <v>1686</v>
      </c>
      <c r="O32" t="s">
        <v>32</v>
      </c>
      <c r="P32" t="s">
        <v>2137</v>
      </c>
      <c r="Q32" t="s">
        <v>2130</v>
      </c>
      <c r="R32" t="s">
        <v>33</v>
      </c>
      <c r="S32" t="s">
        <v>432</v>
      </c>
    </row>
    <row r="33" spans="1:19" x14ac:dyDescent="0.35">
      <c r="A33" t="s">
        <v>20</v>
      </c>
      <c r="B33">
        <v>17643</v>
      </c>
      <c r="C33" t="s">
        <v>426</v>
      </c>
      <c r="D33" t="s">
        <v>427</v>
      </c>
      <c r="E33" t="s">
        <v>2223</v>
      </c>
      <c r="F33" t="s">
        <v>2257</v>
      </c>
      <c r="G33" t="s">
        <v>2258</v>
      </c>
      <c r="H33" t="s">
        <v>2259</v>
      </c>
      <c r="I33" t="s">
        <v>431</v>
      </c>
      <c r="K33" t="s">
        <v>61</v>
      </c>
      <c r="L33" t="s">
        <v>2127</v>
      </c>
      <c r="M33" t="s">
        <v>2152</v>
      </c>
      <c r="N33" t="s">
        <v>1681</v>
      </c>
      <c r="O33" t="s">
        <v>76</v>
      </c>
      <c r="P33" t="s">
        <v>2129</v>
      </c>
      <c r="Q33" t="s">
        <v>2192</v>
      </c>
      <c r="R33" t="s">
        <v>33</v>
      </c>
      <c r="S33" t="s">
        <v>432</v>
      </c>
    </row>
    <row r="34" spans="1:19" x14ac:dyDescent="0.35">
      <c r="A34" t="s">
        <v>20</v>
      </c>
      <c r="B34">
        <v>17643</v>
      </c>
      <c r="C34" t="s">
        <v>426</v>
      </c>
      <c r="D34" t="s">
        <v>427</v>
      </c>
      <c r="E34" t="s">
        <v>2227</v>
      </c>
      <c r="F34" t="s">
        <v>2260</v>
      </c>
      <c r="G34" t="s">
        <v>2261</v>
      </c>
      <c r="H34" t="s">
        <v>2262</v>
      </c>
      <c r="I34" t="s">
        <v>431</v>
      </c>
      <c r="K34" t="s">
        <v>28</v>
      </c>
      <c r="L34" t="s">
        <v>2135</v>
      </c>
      <c r="M34" t="s">
        <v>2128</v>
      </c>
      <c r="N34" t="s">
        <v>1681</v>
      </c>
      <c r="O34" t="s">
        <v>76</v>
      </c>
      <c r="P34" t="s">
        <v>2137</v>
      </c>
      <c r="Q34" t="s">
        <v>2130</v>
      </c>
      <c r="R34" t="s">
        <v>33</v>
      </c>
      <c r="S34" t="s">
        <v>432</v>
      </c>
    </row>
    <row r="35" spans="1:19" x14ac:dyDescent="0.35">
      <c r="A35" t="s">
        <v>20</v>
      </c>
      <c r="B35">
        <v>17643</v>
      </c>
      <c r="C35" t="s">
        <v>426</v>
      </c>
      <c r="D35" t="s">
        <v>427</v>
      </c>
      <c r="E35" t="s">
        <v>2231</v>
      </c>
      <c r="F35" t="s">
        <v>2263</v>
      </c>
      <c r="G35" t="s">
        <v>2264</v>
      </c>
      <c r="H35" t="s">
        <v>2265</v>
      </c>
      <c r="I35" t="s">
        <v>431</v>
      </c>
      <c r="K35" t="s">
        <v>61</v>
      </c>
      <c r="L35" t="s">
        <v>2135</v>
      </c>
      <c r="M35" t="s">
        <v>2191</v>
      </c>
      <c r="N35" t="s">
        <v>1686</v>
      </c>
      <c r="O35" t="s">
        <v>76</v>
      </c>
      <c r="P35" t="s">
        <v>2137</v>
      </c>
      <c r="Q35" t="s">
        <v>2130</v>
      </c>
      <c r="R35" t="s">
        <v>33</v>
      </c>
      <c r="S35" t="s">
        <v>432</v>
      </c>
    </row>
    <row r="36" spans="1:19" x14ac:dyDescent="0.35">
      <c r="A36" t="s">
        <v>20</v>
      </c>
      <c r="B36">
        <v>17643</v>
      </c>
      <c r="C36" t="s">
        <v>426</v>
      </c>
      <c r="D36" t="s">
        <v>427</v>
      </c>
      <c r="E36" t="s">
        <v>2235</v>
      </c>
      <c r="F36" t="s">
        <v>2266</v>
      </c>
      <c r="G36" t="s">
        <v>2267</v>
      </c>
      <c r="H36" t="s">
        <v>2268</v>
      </c>
      <c r="I36" t="s">
        <v>431</v>
      </c>
      <c r="K36" t="s">
        <v>46</v>
      </c>
      <c r="L36" t="s">
        <v>2135</v>
      </c>
      <c r="M36" t="s">
        <v>2191</v>
      </c>
      <c r="N36" t="s">
        <v>1686</v>
      </c>
      <c r="O36" t="s">
        <v>76</v>
      </c>
      <c r="P36" t="s">
        <v>2137</v>
      </c>
      <c r="Q36" t="s">
        <v>2130</v>
      </c>
      <c r="R36" t="s">
        <v>33</v>
      </c>
      <c r="S36" t="s">
        <v>432</v>
      </c>
    </row>
    <row r="37" spans="1:19" x14ac:dyDescent="0.35">
      <c r="A37" t="s">
        <v>20</v>
      </c>
      <c r="B37">
        <v>17643</v>
      </c>
      <c r="C37" t="s">
        <v>426</v>
      </c>
      <c r="D37" t="s">
        <v>427</v>
      </c>
      <c r="E37" t="s">
        <v>2269</v>
      </c>
      <c r="F37" t="s">
        <v>2270</v>
      </c>
      <c r="G37" t="s">
        <v>2271</v>
      </c>
      <c r="H37" t="s">
        <v>2272</v>
      </c>
      <c r="I37" t="s">
        <v>431</v>
      </c>
      <c r="K37" t="s">
        <v>28</v>
      </c>
      <c r="L37" t="s">
        <v>2135</v>
      </c>
      <c r="M37" t="s">
        <v>2191</v>
      </c>
      <c r="N37" t="s">
        <v>1686</v>
      </c>
      <c r="O37" t="s">
        <v>76</v>
      </c>
      <c r="P37" t="s">
        <v>2137</v>
      </c>
      <c r="Q37" t="s">
        <v>2130</v>
      </c>
      <c r="R37" t="s">
        <v>33</v>
      </c>
      <c r="S37" t="s">
        <v>432</v>
      </c>
    </row>
    <row r="38" spans="1:19" x14ac:dyDescent="0.35">
      <c r="A38" t="s">
        <v>20</v>
      </c>
      <c r="B38">
        <v>17643</v>
      </c>
      <c r="C38" t="s">
        <v>426</v>
      </c>
      <c r="D38" t="s">
        <v>427</v>
      </c>
      <c r="E38" t="s">
        <v>2273</v>
      </c>
      <c r="F38" t="s">
        <v>2274</v>
      </c>
      <c r="G38" t="s">
        <v>2275</v>
      </c>
      <c r="H38" t="s">
        <v>2276</v>
      </c>
      <c r="I38" t="s">
        <v>431</v>
      </c>
      <c r="K38" t="s">
        <v>61</v>
      </c>
      <c r="L38" t="s">
        <v>2127</v>
      </c>
      <c r="M38" t="s">
        <v>2152</v>
      </c>
      <c r="N38" t="s">
        <v>1686</v>
      </c>
      <c r="O38" t="s">
        <v>76</v>
      </c>
      <c r="P38" t="s">
        <v>2129</v>
      </c>
      <c r="Q38" t="s">
        <v>2277</v>
      </c>
      <c r="R38" t="s">
        <v>33</v>
      </c>
      <c r="S38" t="s">
        <v>432</v>
      </c>
    </row>
    <row r="39" spans="1:19" x14ac:dyDescent="0.35">
      <c r="A39" t="s">
        <v>20</v>
      </c>
      <c r="B39">
        <v>17643</v>
      </c>
      <c r="C39" t="s">
        <v>426</v>
      </c>
      <c r="D39" t="s">
        <v>427</v>
      </c>
      <c r="E39" t="s">
        <v>2278</v>
      </c>
      <c r="F39" t="s">
        <v>2279</v>
      </c>
      <c r="G39" t="s">
        <v>2280</v>
      </c>
      <c r="H39" t="s">
        <v>2281</v>
      </c>
      <c r="I39" t="s">
        <v>431</v>
      </c>
      <c r="K39" t="s">
        <v>61</v>
      </c>
      <c r="L39" t="s">
        <v>2127</v>
      </c>
      <c r="M39" t="s">
        <v>2191</v>
      </c>
      <c r="N39" t="s">
        <v>1686</v>
      </c>
      <c r="O39" t="s">
        <v>76</v>
      </c>
      <c r="P39" t="s">
        <v>2129</v>
      </c>
      <c r="Q39" t="s">
        <v>2130</v>
      </c>
      <c r="R39" t="s">
        <v>33</v>
      </c>
      <c r="S39" t="s">
        <v>432</v>
      </c>
    </row>
    <row r="40" spans="1:19" x14ac:dyDescent="0.35">
      <c r="A40" t="s">
        <v>20</v>
      </c>
      <c r="B40">
        <v>17643</v>
      </c>
      <c r="C40" t="s">
        <v>426</v>
      </c>
      <c r="D40" t="s">
        <v>427</v>
      </c>
      <c r="E40" t="s">
        <v>2123</v>
      </c>
      <c r="F40" t="s">
        <v>2282</v>
      </c>
      <c r="G40" t="s">
        <v>2283</v>
      </c>
      <c r="H40" t="s">
        <v>2284</v>
      </c>
      <c r="I40" t="s">
        <v>557</v>
      </c>
      <c r="K40" t="s">
        <v>46</v>
      </c>
      <c r="L40" t="s">
        <v>2202</v>
      </c>
      <c r="M40" t="s">
        <v>2191</v>
      </c>
      <c r="N40" t="s">
        <v>1686</v>
      </c>
      <c r="O40" t="s">
        <v>32</v>
      </c>
      <c r="P40" t="s">
        <v>2129</v>
      </c>
      <c r="Q40" t="s">
        <v>2130</v>
      </c>
      <c r="R40" t="s">
        <v>33</v>
      </c>
      <c r="S40" t="s">
        <v>432</v>
      </c>
    </row>
    <row r="41" spans="1:19" x14ac:dyDescent="0.35">
      <c r="A41" t="s">
        <v>20</v>
      </c>
      <c r="B41">
        <v>17643</v>
      </c>
      <c r="C41" t="s">
        <v>426</v>
      </c>
      <c r="D41" t="s">
        <v>427</v>
      </c>
      <c r="E41" t="s">
        <v>2131</v>
      </c>
      <c r="F41" t="s">
        <v>2285</v>
      </c>
      <c r="G41" t="s">
        <v>2286</v>
      </c>
      <c r="H41" t="s">
        <v>2287</v>
      </c>
      <c r="I41" t="s">
        <v>557</v>
      </c>
      <c r="K41" t="s">
        <v>61</v>
      </c>
      <c r="L41" t="s">
        <v>2127</v>
      </c>
      <c r="M41" t="s">
        <v>2136</v>
      </c>
      <c r="N41" t="s">
        <v>1686</v>
      </c>
      <c r="O41" t="s">
        <v>32</v>
      </c>
      <c r="P41" t="s">
        <v>2129</v>
      </c>
      <c r="Q41" t="s">
        <v>2130</v>
      </c>
      <c r="R41" t="s">
        <v>33</v>
      </c>
      <c r="S41" t="s">
        <v>432</v>
      </c>
    </row>
    <row r="42" spans="1:19" x14ac:dyDescent="0.35">
      <c r="A42" t="s">
        <v>20</v>
      </c>
      <c r="B42">
        <v>17643</v>
      </c>
      <c r="C42" t="s">
        <v>426</v>
      </c>
      <c r="D42" t="s">
        <v>427</v>
      </c>
      <c r="E42" t="s">
        <v>2138</v>
      </c>
      <c r="F42" t="s">
        <v>2288</v>
      </c>
      <c r="G42" t="s">
        <v>2289</v>
      </c>
      <c r="H42" t="s">
        <v>2290</v>
      </c>
      <c r="I42" t="s">
        <v>557</v>
      </c>
      <c r="K42" t="s">
        <v>61</v>
      </c>
      <c r="L42" t="s">
        <v>2127</v>
      </c>
      <c r="M42" t="s">
        <v>2191</v>
      </c>
      <c r="N42" t="s">
        <v>1686</v>
      </c>
      <c r="O42" t="s">
        <v>32</v>
      </c>
      <c r="P42" t="s">
        <v>2129</v>
      </c>
      <c r="Q42" t="s">
        <v>2130</v>
      </c>
      <c r="R42" t="s">
        <v>33</v>
      </c>
      <c r="S42" t="s">
        <v>432</v>
      </c>
    </row>
    <row r="43" spans="1:19" x14ac:dyDescent="0.35">
      <c r="A43" t="s">
        <v>20</v>
      </c>
      <c r="B43">
        <v>17643</v>
      </c>
      <c r="C43" t="s">
        <v>426</v>
      </c>
      <c r="D43" t="s">
        <v>427</v>
      </c>
      <c r="E43" t="s">
        <v>2143</v>
      </c>
      <c r="F43" t="s">
        <v>2291</v>
      </c>
      <c r="G43" t="s">
        <v>2292</v>
      </c>
      <c r="H43" t="s">
        <v>2293</v>
      </c>
      <c r="I43" t="s">
        <v>557</v>
      </c>
      <c r="K43" t="s">
        <v>61</v>
      </c>
      <c r="L43" t="s">
        <v>2127</v>
      </c>
      <c r="M43" t="s">
        <v>2152</v>
      </c>
      <c r="N43" t="s">
        <v>1681</v>
      </c>
      <c r="O43" t="s">
        <v>76</v>
      </c>
      <c r="P43" t="s">
        <v>2137</v>
      </c>
      <c r="Q43" t="s">
        <v>2130</v>
      </c>
      <c r="R43" t="s">
        <v>33</v>
      </c>
      <c r="S43" t="s">
        <v>432</v>
      </c>
    </row>
    <row r="44" spans="1:19" x14ac:dyDescent="0.35">
      <c r="A44" t="s">
        <v>20</v>
      </c>
      <c r="B44">
        <v>17643</v>
      </c>
      <c r="C44" t="s">
        <v>426</v>
      </c>
      <c r="D44" t="s">
        <v>427</v>
      </c>
      <c r="E44" t="s">
        <v>2147</v>
      </c>
      <c r="F44" t="s">
        <v>2294</v>
      </c>
      <c r="G44" t="s">
        <v>2295</v>
      </c>
      <c r="H44" t="s">
        <v>2296</v>
      </c>
      <c r="I44" t="s">
        <v>557</v>
      </c>
      <c r="K44" t="s">
        <v>61</v>
      </c>
      <c r="L44" t="s">
        <v>2127</v>
      </c>
      <c r="M44" t="s">
        <v>2136</v>
      </c>
      <c r="N44" t="s">
        <v>1686</v>
      </c>
      <c r="O44" t="s">
        <v>76</v>
      </c>
      <c r="P44" t="s">
        <v>2129</v>
      </c>
      <c r="Q44" t="s">
        <v>2130</v>
      </c>
      <c r="R44" t="s">
        <v>33</v>
      </c>
      <c r="S44" t="s">
        <v>432</v>
      </c>
    </row>
    <row r="45" spans="1:19" x14ac:dyDescent="0.35">
      <c r="A45" t="s">
        <v>20</v>
      </c>
      <c r="B45">
        <v>17643</v>
      </c>
      <c r="C45" t="s">
        <v>426</v>
      </c>
      <c r="D45" t="s">
        <v>427</v>
      </c>
      <c r="E45" t="s">
        <v>2157</v>
      </c>
      <c r="F45" t="s">
        <v>2297</v>
      </c>
      <c r="G45" t="s">
        <v>2298</v>
      </c>
      <c r="H45" t="s">
        <v>2299</v>
      </c>
      <c r="I45" t="s">
        <v>557</v>
      </c>
      <c r="K45" t="s">
        <v>61</v>
      </c>
      <c r="L45" t="s">
        <v>2127</v>
      </c>
      <c r="M45" t="s">
        <v>2136</v>
      </c>
      <c r="N45" t="s">
        <v>1681</v>
      </c>
      <c r="O45" t="s">
        <v>76</v>
      </c>
      <c r="P45" t="s">
        <v>2137</v>
      </c>
      <c r="Q45" t="s">
        <v>2130</v>
      </c>
      <c r="R45" t="s">
        <v>33</v>
      </c>
      <c r="S45" t="s">
        <v>432</v>
      </c>
    </row>
    <row r="46" spans="1:19" x14ac:dyDescent="0.35">
      <c r="A46" t="s">
        <v>20</v>
      </c>
      <c r="B46">
        <v>17643</v>
      </c>
      <c r="C46" t="s">
        <v>426</v>
      </c>
      <c r="D46" t="s">
        <v>427</v>
      </c>
      <c r="E46" t="s">
        <v>2153</v>
      </c>
      <c r="F46" t="s">
        <v>2300</v>
      </c>
      <c r="G46" t="s">
        <v>2301</v>
      </c>
      <c r="H46" t="s">
        <v>2302</v>
      </c>
      <c r="I46" t="s">
        <v>557</v>
      </c>
      <c r="K46" t="s">
        <v>61</v>
      </c>
      <c r="L46" t="s">
        <v>2151</v>
      </c>
      <c r="N46" t="s">
        <v>1681</v>
      </c>
      <c r="O46" t="s">
        <v>76</v>
      </c>
      <c r="P46" t="s">
        <v>2137</v>
      </c>
      <c r="Q46" t="s">
        <v>2130</v>
      </c>
      <c r="R46" t="s">
        <v>33</v>
      </c>
      <c r="S46" t="s">
        <v>432</v>
      </c>
    </row>
    <row r="47" spans="1:19" x14ac:dyDescent="0.35">
      <c r="A47" t="s">
        <v>20</v>
      </c>
      <c r="B47">
        <v>17646</v>
      </c>
      <c r="C47" t="s">
        <v>666</v>
      </c>
      <c r="D47" t="s">
        <v>667</v>
      </c>
      <c r="E47" t="s">
        <v>2123</v>
      </c>
      <c r="F47" t="s">
        <v>2303</v>
      </c>
      <c r="G47" t="s">
        <v>2304</v>
      </c>
      <c r="H47" t="s">
        <v>2305</v>
      </c>
      <c r="I47" t="s">
        <v>809</v>
      </c>
      <c r="K47" t="s">
        <v>46</v>
      </c>
      <c r="L47" t="s">
        <v>2135</v>
      </c>
      <c r="M47" t="s">
        <v>2128</v>
      </c>
      <c r="N47" t="s">
        <v>1686</v>
      </c>
      <c r="O47" t="s">
        <v>32</v>
      </c>
      <c r="P47" t="s">
        <v>2137</v>
      </c>
      <c r="Q47" t="s">
        <v>2130</v>
      </c>
      <c r="R47" t="s">
        <v>33</v>
      </c>
    </row>
    <row r="48" spans="1:19" x14ac:dyDescent="0.35">
      <c r="A48" t="s">
        <v>20</v>
      </c>
      <c r="B48">
        <v>17646</v>
      </c>
      <c r="C48" t="s">
        <v>666</v>
      </c>
      <c r="D48" t="s">
        <v>667</v>
      </c>
      <c r="E48" t="s">
        <v>2131</v>
      </c>
      <c r="F48" t="s">
        <v>2306</v>
      </c>
      <c r="G48" t="s">
        <v>2307</v>
      </c>
      <c r="H48" t="s">
        <v>2308</v>
      </c>
      <c r="I48" t="s">
        <v>809</v>
      </c>
      <c r="K48" t="s">
        <v>61</v>
      </c>
      <c r="L48" t="s">
        <v>2127</v>
      </c>
      <c r="M48" t="s">
        <v>2152</v>
      </c>
      <c r="N48" t="s">
        <v>1686</v>
      </c>
      <c r="O48" t="s">
        <v>32</v>
      </c>
      <c r="P48" t="s">
        <v>2129</v>
      </c>
      <c r="Q48" t="s">
        <v>2130</v>
      </c>
      <c r="R48" t="s">
        <v>33</v>
      </c>
    </row>
    <row r="49" spans="1:18" x14ac:dyDescent="0.35">
      <c r="A49" t="s">
        <v>20</v>
      </c>
      <c r="B49">
        <v>17646</v>
      </c>
      <c r="C49" t="s">
        <v>666</v>
      </c>
      <c r="D49" t="s">
        <v>667</v>
      </c>
      <c r="E49" t="s">
        <v>2138</v>
      </c>
      <c r="F49" t="s">
        <v>2309</v>
      </c>
      <c r="G49" t="s">
        <v>2310</v>
      </c>
      <c r="H49" t="s">
        <v>2311</v>
      </c>
      <c r="I49" t="s">
        <v>809</v>
      </c>
      <c r="K49" t="s">
        <v>61</v>
      </c>
      <c r="L49" t="s">
        <v>2127</v>
      </c>
      <c r="N49" t="s">
        <v>1686</v>
      </c>
      <c r="O49" t="s">
        <v>32</v>
      </c>
      <c r="P49" t="s">
        <v>2129</v>
      </c>
      <c r="Q49" t="s">
        <v>2130</v>
      </c>
      <c r="R49" t="s">
        <v>33</v>
      </c>
    </row>
    <row r="50" spans="1:18" x14ac:dyDescent="0.35">
      <c r="A50" t="s">
        <v>20</v>
      </c>
      <c r="B50">
        <v>17646</v>
      </c>
      <c r="C50" t="s">
        <v>666</v>
      </c>
      <c r="D50" t="s">
        <v>667</v>
      </c>
      <c r="E50" t="s">
        <v>2143</v>
      </c>
      <c r="F50" t="s">
        <v>2312</v>
      </c>
      <c r="G50" t="s">
        <v>2313</v>
      </c>
      <c r="H50" t="s">
        <v>2314</v>
      </c>
      <c r="I50" t="s">
        <v>809</v>
      </c>
      <c r="K50" t="s">
        <v>28</v>
      </c>
      <c r="L50" t="s">
        <v>2197</v>
      </c>
      <c r="M50" t="s">
        <v>2136</v>
      </c>
      <c r="N50" t="s">
        <v>1686</v>
      </c>
      <c r="O50" t="s">
        <v>32</v>
      </c>
      <c r="P50" t="s">
        <v>2137</v>
      </c>
      <c r="Q50" t="s">
        <v>2130</v>
      </c>
      <c r="R50" t="s">
        <v>33</v>
      </c>
    </row>
    <row r="51" spans="1:18" x14ac:dyDescent="0.35">
      <c r="A51" t="s">
        <v>20</v>
      </c>
      <c r="B51">
        <v>17646</v>
      </c>
      <c r="C51" t="s">
        <v>666</v>
      </c>
      <c r="D51" t="s">
        <v>667</v>
      </c>
      <c r="E51" t="s">
        <v>2147</v>
      </c>
      <c r="F51" t="s">
        <v>2315</v>
      </c>
      <c r="G51" t="s">
        <v>2316</v>
      </c>
      <c r="H51" t="s">
        <v>2317</v>
      </c>
      <c r="I51" t="s">
        <v>809</v>
      </c>
      <c r="K51" t="s">
        <v>28</v>
      </c>
      <c r="L51" t="s">
        <v>2202</v>
      </c>
      <c r="M51" t="s">
        <v>2128</v>
      </c>
      <c r="N51" t="s">
        <v>1686</v>
      </c>
      <c r="O51" t="s">
        <v>76</v>
      </c>
      <c r="P51" t="s">
        <v>2137</v>
      </c>
      <c r="Q51" t="s">
        <v>2277</v>
      </c>
      <c r="R51" t="s">
        <v>33</v>
      </c>
    </row>
    <row r="52" spans="1:18" x14ac:dyDescent="0.35">
      <c r="A52" t="s">
        <v>20</v>
      </c>
      <c r="B52">
        <v>17646</v>
      </c>
      <c r="C52" t="s">
        <v>666</v>
      </c>
      <c r="D52" t="s">
        <v>667</v>
      </c>
      <c r="E52" t="s">
        <v>2153</v>
      </c>
      <c r="F52" t="s">
        <v>2318</v>
      </c>
      <c r="G52" t="s">
        <v>2319</v>
      </c>
      <c r="H52" t="s">
        <v>2320</v>
      </c>
      <c r="I52" t="s">
        <v>809</v>
      </c>
      <c r="K52" t="s">
        <v>61</v>
      </c>
      <c r="L52" t="s">
        <v>2202</v>
      </c>
      <c r="M52" t="s">
        <v>2128</v>
      </c>
      <c r="N52" t="s">
        <v>1681</v>
      </c>
      <c r="O52" t="s">
        <v>32</v>
      </c>
      <c r="P52" t="s">
        <v>2137</v>
      </c>
      <c r="Q52" t="s">
        <v>2130</v>
      </c>
      <c r="R52" t="s">
        <v>33</v>
      </c>
    </row>
    <row r="53" spans="1:18" x14ac:dyDescent="0.35">
      <c r="A53" t="s">
        <v>20</v>
      </c>
      <c r="B53">
        <v>17646</v>
      </c>
      <c r="C53" t="s">
        <v>666</v>
      </c>
      <c r="D53" t="s">
        <v>667</v>
      </c>
      <c r="E53" t="s">
        <v>2157</v>
      </c>
      <c r="F53" t="s">
        <v>2321</v>
      </c>
      <c r="G53" t="s">
        <v>2322</v>
      </c>
      <c r="H53" t="s">
        <v>2323</v>
      </c>
      <c r="I53" t="s">
        <v>809</v>
      </c>
      <c r="K53" t="s">
        <v>28</v>
      </c>
      <c r="L53" t="s">
        <v>2135</v>
      </c>
      <c r="M53" t="s">
        <v>2136</v>
      </c>
      <c r="N53" t="s">
        <v>1686</v>
      </c>
      <c r="O53" t="s">
        <v>32</v>
      </c>
      <c r="P53" t="s">
        <v>2137</v>
      </c>
      <c r="Q53" t="s">
        <v>2130</v>
      </c>
      <c r="R53" t="s">
        <v>33</v>
      </c>
    </row>
    <row r="54" spans="1:18" x14ac:dyDescent="0.35">
      <c r="A54" t="s">
        <v>20</v>
      </c>
      <c r="B54">
        <v>17646</v>
      </c>
      <c r="C54" t="s">
        <v>666</v>
      </c>
      <c r="D54" t="s">
        <v>667</v>
      </c>
      <c r="E54" t="s">
        <v>2161</v>
      </c>
      <c r="F54" t="s">
        <v>2324</v>
      </c>
      <c r="G54" t="s">
        <v>2325</v>
      </c>
      <c r="H54" t="s">
        <v>2326</v>
      </c>
      <c r="I54" t="s">
        <v>809</v>
      </c>
      <c r="K54" t="s">
        <v>61</v>
      </c>
      <c r="L54" t="s">
        <v>2127</v>
      </c>
      <c r="M54" t="s">
        <v>2136</v>
      </c>
      <c r="N54" t="s">
        <v>1686</v>
      </c>
      <c r="O54" t="s">
        <v>76</v>
      </c>
      <c r="P54" t="s">
        <v>2129</v>
      </c>
      <c r="Q54" t="s">
        <v>2130</v>
      </c>
      <c r="R54" t="s">
        <v>33</v>
      </c>
    </row>
    <row r="55" spans="1:18" x14ac:dyDescent="0.35">
      <c r="A55" t="s">
        <v>20</v>
      </c>
      <c r="B55">
        <v>17646</v>
      </c>
      <c r="C55" t="s">
        <v>666</v>
      </c>
      <c r="D55" t="s">
        <v>667</v>
      </c>
      <c r="E55" t="s">
        <v>2165</v>
      </c>
      <c r="F55" t="s">
        <v>2327</v>
      </c>
      <c r="G55" t="s">
        <v>2328</v>
      </c>
      <c r="H55" t="s">
        <v>2329</v>
      </c>
      <c r="I55" t="s">
        <v>809</v>
      </c>
      <c r="K55" t="s">
        <v>46</v>
      </c>
      <c r="L55" t="s">
        <v>2135</v>
      </c>
      <c r="M55" t="s">
        <v>2191</v>
      </c>
      <c r="N55" t="s">
        <v>1686</v>
      </c>
      <c r="O55" t="s">
        <v>32</v>
      </c>
      <c r="P55" t="s">
        <v>2137</v>
      </c>
      <c r="Q55" t="s">
        <v>2130</v>
      </c>
      <c r="R55" t="s">
        <v>33</v>
      </c>
    </row>
    <row r="56" spans="1:18" x14ac:dyDescent="0.35">
      <c r="A56" t="s">
        <v>20</v>
      </c>
      <c r="B56">
        <v>17646</v>
      </c>
      <c r="C56" t="s">
        <v>666</v>
      </c>
      <c r="D56" t="s">
        <v>667</v>
      </c>
      <c r="E56" t="s">
        <v>2169</v>
      </c>
      <c r="F56" t="s">
        <v>2330</v>
      </c>
      <c r="G56" t="s">
        <v>2331</v>
      </c>
      <c r="H56" t="s">
        <v>2332</v>
      </c>
      <c r="I56" t="s">
        <v>809</v>
      </c>
      <c r="K56" t="s">
        <v>28</v>
      </c>
      <c r="L56" t="s">
        <v>2135</v>
      </c>
      <c r="N56" t="s">
        <v>1686</v>
      </c>
      <c r="O56" t="s">
        <v>32</v>
      </c>
      <c r="P56" t="s">
        <v>2137</v>
      </c>
      <c r="Q56" t="s">
        <v>2130</v>
      </c>
      <c r="R56" t="s">
        <v>33</v>
      </c>
    </row>
    <row r="57" spans="1:18" x14ac:dyDescent="0.35">
      <c r="A57" t="s">
        <v>20</v>
      </c>
      <c r="B57">
        <v>17646</v>
      </c>
      <c r="C57" t="s">
        <v>666</v>
      </c>
      <c r="D57" t="s">
        <v>667</v>
      </c>
      <c r="E57" t="s">
        <v>2174</v>
      </c>
      <c r="F57" t="s">
        <v>2333</v>
      </c>
      <c r="G57" t="s">
        <v>2334</v>
      </c>
      <c r="H57" t="s">
        <v>2335</v>
      </c>
      <c r="I57" t="s">
        <v>809</v>
      </c>
      <c r="K57" t="s">
        <v>46</v>
      </c>
      <c r="L57" t="s">
        <v>2135</v>
      </c>
      <c r="M57" t="s">
        <v>2136</v>
      </c>
      <c r="N57" t="s">
        <v>1700</v>
      </c>
      <c r="O57" t="s">
        <v>76</v>
      </c>
      <c r="P57" t="s">
        <v>2137</v>
      </c>
      <c r="Q57" t="s">
        <v>2130</v>
      </c>
      <c r="R57" t="s">
        <v>33</v>
      </c>
    </row>
    <row r="58" spans="1:18" x14ac:dyDescent="0.35">
      <c r="A58" t="s">
        <v>20</v>
      </c>
      <c r="B58">
        <v>17646</v>
      </c>
      <c r="C58" t="s">
        <v>666</v>
      </c>
      <c r="D58" t="s">
        <v>667</v>
      </c>
      <c r="E58" t="s">
        <v>2178</v>
      </c>
      <c r="F58" t="s">
        <v>2336</v>
      </c>
      <c r="G58" t="s">
        <v>2337</v>
      </c>
      <c r="H58" t="s">
        <v>2338</v>
      </c>
      <c r="I58" t="s">
        <v>809</v>
      </c>
      <c r="K58" t="s">
        <v>28</v>
      </c>
      <c r="L58" t="s">
        <v>2135</v>
      </c>
      <c r="M58" t="s">
        <v>2191</v>
      </c>
      <c r="N58" t="s">
        <v>1686</v>
      </c>
      <c r="O58" t="s">
        <v>76</v>
      </c>
      <c r="P58" t="s">
        <v>2137</v>
      </c>
      <c r="Q58" t="s">
        <v>2130</v>
      </c>
      <c r="R58" t="s">
        <v>33</v>
      </c>
    </row>
    <row r="59" spans="1:18" x14ac:dyDescent="0.35">
      <c r="A59" t="s">
        <v>20</v>
      </c>
      <c r="B59">
        <v>17646</v>
      </c>
      <c r="C59" t="s">
        <v>666</v>
      </c>
      <c r="D59" t="s">
        <v>667</v>
      </c>
      <c r="E59" t="s">
        <v>2339</v>
      </c>
      <c r="F59" t="s">
        <v>2340</v>
      </c>
      <c r="G59" t="s">
        <v>2341</v>
      </c>
      <c r="H59" t="s">
        <v>2342</v>
      </c>
      <c r="I59" t="s">
        <v>809</v>
      </c>
      <c r="K59" t="s">
        <v>46</v>
      </c>
      <c r="L59" t="s">
        <v>2135</v>
      </c>
      <c r="M59" t="s">
        <v>2128</v>
      </c>
      <c r="N59" t="s">
        <v>1681</v>
      </c>
      <c r="O59" t="s">
        <v>76</v>
      </c>
      <c r="P59" t="s">
        <v>2137</v>
      </c>
      <c r="Q59" t="s">
        <v>2130</v>
      </c>
      <c r="R59" t="s">
        <v>33</v>
      </c>
    </row>
    <row r="60" spans="1:18" x14ac:dyDescent="0.35">
      <c r="A60" t="s">
        <v>20</v>
      </c>
      <c r="B60">
        <v>17646</v>
      </c>
      <c r="C60" t="s">
        <v>666</v>
      </c>
      <c r="D60" t="s">
        <v>667</v>
      </c>
      <c r="E60" t="s">
        <v>2187</v>
      </c>
      <c r="F60" t="s">
        <v>2343</v>
      </c>
      <c r="G60" t="s">
        <v>2344</v>
      </c>
      <c r="H60" t="s">
        <v>2345</v>
      </c>
      <c r="I60" t="s">
        <v>809</v>
      </c>
      <c r="K60" t="s">
        <v>28</v>
      </c>
      <c r="L60" t="s">
        <v>2135</v>
      </c>
      <c r="N60" t="s">
        <v>1686</v>
      </c>
      <c r="O60" t="s">
        <v>76</v>
      </c>
      <c r="P60" t="s">
        <v>2137</v>
      </c>
      <c r="Q60" t="s">
        <v>2130</v>
      </c>
      <c r="R60" t="s">
        <v>33</v>
      </c>
    </row>
    <row r="61" spans="1:18" x14ac:dyDescent="0.35">
      <c r="A61" t="s">
        <v>20</v>
      </c>
      <c r="B61">
        <v>17646</v>
      </c>
      <c r="C61" t="s">
        <v>666</v>
      </c>
      <c r="D61" t="s">
        <v>667</v>
      </c>
      <c r="E61" t="s">
        <v>2193</v>
      </c>
      <c r="F61" t="s">
        <v>2346</v>
      </c>
      <c r="G61" t="s">
        <v>2347</v>
      </c>
      <c r="H61" t="s">
        <v>2348</v>
      </c>
      <c r="I61" t="s">
        <v>809</v>
      </c>
      <c r="K61" t="s">
        <v>46</v>
      </c>
      <c r="L61" t="s">
        <v>2135</v>
      </c>
      <c r="N61" t="s">
        <v>1686</v>
      </c>
      <c r="O61" t="s">
        <v>32</v>
      </c>
      <c r="P61" t="s">
        <v>2137</v>
      </c>
      <c r="Q61" t="s">
        <v>2130</v>
      </c>
      <c r="R61" t="s">
        <v>33</v>
      </c>
    </row>
    <row r="62" spans="1:18" x14ac:dyDescent="0.35">
      <c r="A62" t="s">
        <v>20</v>
      </c>
      <c r="B62">
        <v>17646</v>
      </c>
      <c r="C62" t="s">
        <v>666</v>
      </c>
      <c r="D62" t="s">
        <v>667</v>
      </c>
      <c r="E62" t="s">
        <v>2349</v>
      </c>
      <c r="F62" t="s">
        <v>2350</v>
      </c>
      <c r="G62" t="s">
        <v>2351</v>
      </c>
      <c r="H62" t="s">
        <v>2352</v>
      </c>
      <c r="I62" t="s">
        <v>809</v>
      </c>
      <c r="K62" t="s">
        <v>61</v>
      </c>
      <c r="L62" t="s">
        <v>2127</v>
      </c>
      <c r="N62" t="s">
        <v>1686</v>
      </c>
      <c r="O62" t="s">
        <v>32</v>
      </c>
      <c r="P62" t="s">
        <v>2129</v>
      </c>
      <c r="Q62" t="s">
        <v>2130</v>
      </c>
      <c r="R62" t="s">
        <v>33</v>
      </c>
    </row>
    <row r="63" spans="1:18" x14ac:dyDescent="0.35">
      <c r="A63" t="s">
        <v>20</v>
      </c>
      <c r="B63">
        <v>17646</v>
      </c>
      <c r="C63" t="s">
        <v>666</v>
      </c>
      <c r="D63" t="s">
        <v>667</v>
      </c>
      <c r="E63" t="s">
        <v>2198</v>
      </c>
      <c r="F63" t="s">
        <v>2353</v>
      </c>
      <c r="G63" t="s">
        <v>2354</v>
      </c>
      <c r="H63" t="s">
        <v>2355</v>
      </c>
      <c r="I63" t="s">
        <v>671</v>
      </c>
      <c r="K63" t="s">
        <v>28</v>
      </c>
      <c r="L63" t="s">
        <v>2135</v>
      </c>
      <c r="M63" t="s">
        <v>2136</v>
      </c>
      <c r="N63" t="s">
        <v>1686</v>
      </c>
      <c r="O63" t="s">
        <v>32</v>
      </c>
      <c r="P63" t="s">
        <v>2137</v>
      </c>
      <c r="Q63" t="s">
        <v>2130</v>
      </c>
      <c r="R63" t="s">
        <v>33</v>
      </c>
    </row>
    <row r="64" spans="1:18" x14ac:dyDescent="0.35">
      <c r="A64" t="s">
        <v>20</v>
      </c>
      <c r="B64">
        <v>17646</v>
      </c>
      <c r="C64" t="s">
        <v>666</v>
      </c>
      <c r="D64" t="s">
        <v>667</v>
      </c>
      <c r="E64" t="s">
        <v>2203</v>
      </c>
      <c r="F64" t="s">
        <v>2356</v>
      </c>
      <c r="G64" t="s">
        <v>2357</v>
      </c>
      <c r="H64" t="s">
        <v>2358</v>
      </c>
      <c r="I64" t="s">
        <v>671</v>
      </c>
      <c r="K64" t="s">
        <v>28</v>
      </c>
      <c r="L64" t="s">
        <v>2151</v>
      </c>
      <c r="M64" t="s">
        <v>2128</v>
      </c>
      <c r="N64" t="s">
        <v>1681</v>
      </c>
      <c r="O64" t="s">
        <v>32</v>
      </c>
      <c r="P64" t="s">
        <v>2137</v>
      </c>
      <c r="Q64" t="s">
        <v>2130</v>
      </c>
      <c r="R64" t="s">
        <v>33</v>
      </c>
    </row>
    <row r="65" spans="1:18" x14ac:dyDescent="0.35">
      <c r="A65" t="s">
        <v>20</v>
      </c>
      <c r="B65">
        <v>17646</v>
      </c>
      <c r="C65" t="s">
        <v>666</v>
      </c>
      <c r="D65" t="s">
        <v>667</v>
      </c>
      <c r="E65" t="s">
        <v>2207</v>
      </c>
      <c r="F65" t="s">
        <v>2359</v>
      </c>
      <c r="G65" t="s">
        <v>2360</v>
      </c>
      <c r="H65" t="s">
        <v>2361</v>
      </c>
      <c r="I65" t="s">
        <v>671</v>
      </c>
      <c r="K65" t="s">
        <v>46</v>
      </c>
      <c r="L65" t="s">
        <v>2197</v>
      </c>
      <c r="M65" t="s">
        <v>2191</v>
      </c>
      <c r="N65" t="s">
        <v>1686</v>
      </c>
      <c r="O65" t="s">
        <v>32</v>
      </c>
      <c r="P65" t="s">
        <v>2137</v>
      </c>
      <c r="Q65" t="s">
        <v>2130</v>
      </c>
      <c r="R65" t="s">
        <v>33</v>
      </c>
    </row>
    <row r="66" spans="1:18" x14ac:dyDescent="0.35">
      <c r="A66" t="s">
        <v>20</v>
      </c>
      <c r="B66">
        <v>17646</v>
      </c>
      <c r="C66" t="s">
        <v>666</v>
      </c>
      <c r="D66" t="s">
        <v>667</v>
      </c>
      <c r="E66" t="s">
        <v>2211</v>
      </c>
      <c r="F66" t="s">
        <v>2362</v>
      </c>
      <c r="G66" t="s">
        <v>2363</v>
      </c>
      <c r="H66" t="s">
        <v>2364</v>
      </c>
      <c r="I66" t="s">
        <v>671</v>
      </c>
      <c r="K66" t="s">
        <v>46</v>
      </c>
      <c r="L66" t="s">
        <v>2197</v>
      </c>
      <c r="M66" t="s">
        <v>2136</v>
      </c>
      <c r="N66" t="s">
        <v>1686</v>
      </c>
      <c r="O66" t="s">
        <v>76</v>
      </c>
      <c r="P66" t="s">
        <v>2137</v>
      </c>
      <c r="Q66" t="s">
        <v>2192</v>
      </c>
      <c r="R66" t="s">
        <v>33</v>
      </c>
    </row>
    <row r="67" spans="1:18" x14ac:dyDescent="0.35">
      <c r="A67" t="s">
        <v>20</v>
      </c>
      <c r="B67">
        <v>17646</v>
      </c>
      <c r="C67" t="s">
        <v>666</v>
      </c>
      <c r="D67" t="s">
        <v>667</v>
      </c>
      <c r="E67" t="s">
        <v>2215</v>
      </c>
      <c r="F67" t="s">
        <v>2365</v>
      </c>
      <c r="G67" t="s">
        <v>2366</v>
      </c>
      <c r="H67" t="s">
        <v>2367</v>
      </c>
      <c r="I67" t="s">
        <v>671</v>
      </c>
      <c r="K67" t="s">
        <v>28</v>
      </c>
      <c r="L67" t="s">
        <v>2135</v>
      </c>
      <c r="M67" t="s">
        <v>2128</v>
      </c>
      <c r="N67" t="s">
        <v>1686</v>
      </c>
      <c r="O67" t="s">
        <v>32</v>
      </c>
      <c r="P67" t="s">
        <v>2137</v>
      </c>
      <c r="Q67" t="s">
        <v>2130</v>
      </c>
      <c r="R67" t="s">
        <v>33</v>
      </c>
    </row>
    <row r="68" spans="1:18" x14ac:dyDescent="0.35">
      <c r="A68" t="s">
        <v>20</v>
      </c>
      <c r="B68">
        <v>17646</v>
      </c>
      <c r="C68" t="s">
        <v>666</v>
      </c>
      <c r="D68" t="s">
        <v>667</v>
      </c>
      <c r="E68" t="s">
        <v>2219</v>
      </c>
      <c r="F68" t="s">
        <v>2368</v>
      </c>
      <c r="G68" t="s">
        <v>2369</v>
      </c>
      <c r="H68" t="s">
        <v>2370</v>
      </c>
      <c r="I68" t="s">
        <v>671</v>
      </c>
      <c r="K68" t="s">
        <v>28</v>
      </c>
      <c r="L68" t="s">
        <v>2202</v>
      </c>
      <c r="M68" t="s">
        <v>2128</v>
      </c>
      <c r="N68" t="s">
        <v>1686</v>
      </c>
      <c r="O68" t="s">
        <v>32</v>
      </c>
      <c r="P68" t="s">
        <v>2137</v>
      </c>
      <c r="Q68" t="s">
        <v>2130</v>
      </c>
      <c r="R68" t="s">
        <v>33</v>
      </c>
    </row>
    <row r="69" spans="1:18" x14ac:dyDescent="0.35">
      <c r="A69" t="s">
        <v>20</v>
      </c>
      <c r="B69">
        <v>17646</v>
      </c>
      <c r="C69" t="s">
        <v>666</v>
      </c>
      <c r="D69" t="s">
        <v>667</v>
      </c>
      <c r="E69" t="s">
        <v>2223</v>
      </c>
      <c r="F69" t="s">
        <v>2371</v>
      </c>
      <c r="G69" t="s">
        <v>2372</v>
      </c>
      <c r="H69" t="s">
        <v>2373</v>
      </c>
      <c r="I69" t="s">
        <v>671</v>
      </c>
      <c r="K69" t="s">
        <v>28</v>
      </c>
      <c r="L69" t="s">
        <v>2135</v>
      </c>
      <c r="M69" t="s">
        <v>2136</v>
      </c>
      <c r="N69" t="s">
        <v>1686</v>
      </c>
      <c r="O69" t="s">
        <v>76</v>
      </c>
      <c r="P69" t="s">
        <v>2137</v>
      </c>
      <c r="Q69" t="s">
        <v>2130</v>
      </c>
      <c r="R69" t="s">
        <v>33</v>
      </c>
    </row>
    <row r="70" spans="1:18" x14ac:dyDescent="0.35">
      <c r="A70" t="s">
        <v>20</v>
      </c>
      <c r="B70">
        <v>17646</v>
      </c>
      <c r="C70" t="s">
        <v>666</v>
      </c>
      <c r="D70" t="s">
        <v>667</v>
      </c>
      <c r="E70" t="s">
        <v>2227</v>
      </c>
      <c r="F70" t="s">
        <v>2374</v>
      </c>
      <c r="G70" t="s">
        <v>2375</v>
      </c>
      <c r="H70" t="s">
        <v>2376</v>
      </c>
      <c r="I70" t="s">
        <v>671</v>
      </c>
      <c r="K70" t="s">
        <v>61</v>
      </c>
      <c r="L70" t="s">
        <v>2127</v>
      </c>
      <c r="M70" t="s">
        <v>2128</v>
      </c>
      <c r="N70" t="s">
        <v>1686</v>
      </c>
      <c r="O70" t="s">
        <v>32</v>
      </c>
      <c r="P70" t="s">
        <v>2129</v>
      </c>
      <c r="Q70" t="s">
        <v>2130</v>
      </c>
      <c r="R70" t="s">
        <v>33</v>
      </c>
    </row>
    <row r="71" spans="1:18" x14ac:dyDescent="0.35">
      <c r="A71" t="s">
        <v>20</v>
      </c>
      <c r="B71">
        <v>17646</v>
      </c>
      <c r="C71" t="s">
        <v>666</v>
      </c>
      <c r="D71" t="s">
        <v>667</v>
      </c>
      <c r="E71" t="s">
        <v>2231</v>
      </c>
      <c r="F71" t="s">
        <v>2377</v>
      </c>
      <c r="G71" t="s">
        <v>2378</v>
      </c>
      <c r="H71" t="s">
        <v>2379</v>
      </c>
      <c r="I71" t="s">
        <v>671</v>
      </c>
      <c r="K71" t="s">
        <v>28</v>
      </c>
      <c r="L71" t="s">
        <v>2135</v>
      </c>
      <c r="N71" t="s">
        <v>1700</v>
      </c>
      <c r="O71" t="s">
        <v>32</v>
      </c>
      <c r="P71" t="s">
        <v>2137</v>
      </c>
      <c r="Q71" t="s">
        <v>2130</v>
      </c>
      <c r="R71" t="s">
        <v>33</v>
      </c>
    </row>
    <row r="72" spans="1:18" x14ac:dyDescent="0.35">
      <c r="A72" t="s">
        <v>20</v>
      </c>
      <c r="B72">
        <v>17646</v>
      </c>
      <c r="C72" t="s">
        <v>666</v>
      </c>
      <c r="D72" t="s">
        <v>667</v>
      </c>
      <c r="E72" t="s">
        <v>2235</v>
      </c>
      <c r="F72" t="s">
        <v>788</v>
      </c>
      <c r="G72" t="s">
        <v>2380</v>
      </c>
      <c r="H72" t="s">
        <v>2381</v>
      </c>
      <c r="I72" t="s">
        <v>671</v>
      </c>
      <c r="K72" t="s">
        <v>61</v>
      </c>
      <c r="L72" t="s">
        <v>2127</v>
      </c>
      <c r="M72" t="s">
        <v>2152</v>
      </c>
      <c r="N72" t="s">
        <v>1686</v>
      </c>
      <c r="O72" t="s">
        <v>32</v>
      </c>
      <c r="P72" t="s">
        <v>2129</v>
      </c>
      <c r="Q72" t="s">
        <v>2130</v>
      </c>
      <c r="R72" t="s">
        <v>33</v>
      </c>
    </row>
    <row r="73" spans="1:18" x14ac:dyDescent="0.35">
      <c r="A73" t="s">
        <v>20</v>
      </c>
      <c r="B73">
        <v>17646</v>
      </c>
      <c r="C73" t="s">
        <v>666</v>
      </c>
      <c r="D73" t="s">
        <v>667</v>
      </c>
      <c r="E73" t="s">
        <v>2269</v>
      </c>
      <c r="F73" t="s">
        <v>2382</v>
      </c>
      <c r="G73" t="s">
        <v>2383</v>
      </c>
      <c r="H73" t="s">
        <v>2384</v>
      </c>
      <c r="I73" t="s">
        <v>671</v>
      </c>
      <c r="K73" t="s">
        <v>46</v>
      </c>
      <c r="L73" t="s">
        <v>2127</v>
      </c>
      <c r="M73" t="s">
        <v>2136</v>
      </c>
      <c r="N73" t="s">
        <v>1686</v>
      </c>
      <c r="O73" t="s">
        <v>32</v>
      </c>
      <c r="P73" t="s">
        <v>2129</v>
      </c>
      <c r="Q73" t="s">
        <v>2130</v>
      </c>
      <c r="R73" t="s">
        <v>33</v>
      </c>
    </row>
    <row r="74" spans="1:18" x14ac:dyDescent="0.35">
      <c r="A74" t="s">
        <v>20</v>
      </c>
      <c r="B74">
        <v>17645</v>
      </c>
      <c r="C74" t="s">
        <v>949</v>
      </c>
      <c r="D74" t="s">
        <v>950</v>
      </c>
      <c r="E74" t="s">
        <v>2123</v>
      </c>
      <c r="F74" t="s">
        <v>2385</v>
      </c>
      <c r="G74" t="s">
        <v>2386</v>
      </c>
      <c r="H74" t="s">
        <v>2387</v>
      </c>
      <c r="I74" t="s">
        <v>954</v>
      </c>
      <c r="K74" t="s">
        <v>61</v>
      </c>
      <c r="L74" t="s">
        <v>2127</v>
      </c>
      <c r="M74" t="s">
        <v>2136</v>
      </c>
      <c r="N74" t="s">
        <v>1686</v>
      </c>
      <c r="O74" t="s">
        <v>76</v>
      </c>
      <c r="P74" t="s">
        <v>2129</v>
      </c>
      <c r="Q74" t="s">
        <v>2130</v>
      </c>
      <c r="R74" t="s">
        <v>33</v>
      </c>
    </row>
    <row r="75" spans="1:18" x14ac:dyDescent="0.35">
      <c r="A75" t="s">
        <v>20</v>
      </c>
      <c r="B75">
        <v>17645</v>
      </c>
      <c r="C75" t="s">
        <v>949</v>
      </c>
      <c r="D75" t="s">
        <v>950</v>
      </c>
      <c r="E75" t="s">
        <v>2131</v>
      </c>
      <c r="F75" t="s">
        <v>2388</v>
      </c>
      <c r="G75" t="s">
        <v>2389</v>
      </c>
      <c r="H75" t="s">
        <v>2390</v>
      </c>
      <c r="I75" t="s">
        <v>954</v>
      </c>
      <c r="K75" t="s">
        <v>28</v>
      </c>
      <c r="N75" t="s">
        <v>1686</v>
      </c>
      <c r="O75" t="s">
        <v>76</v>
      </c>
      <c r="P75" t="s">
        <v>2137</v>
      </c>
      <c r="Q75" t="s">
        <v>2130</v>
      </c>
      <c r="R75" t="s">
        <v>33</v>
      </c>
    </row>
    <row r="76" spans="1:18" x14ac:dyDescent="0.35">
      <c r="A76" t="s">
        <v>20</v>
      </c>
      <c r="B76">
        <v>17645</v>
      </c>
      <c r="C76" t="s">
        <v>949</v>
      </c>
      <c r="D76" t="s">
        <v>950</v>
      </c>
      <c r="E76" t="s">
        <v>2138</v>
      </c>
      <c r="F76" t="s">
        <v>2391</v>
      </c>
      <c r="G76" t="s">
        <v>2392</v>
      </c>
      <c r="H76" t="s">
        <v>2393</v>
      </c>
      <c r="I76" t="s">
        <v>954</v>
      </c>
      <c r="K76" t="s">
        <v>61</v>
      </c>
      <c r="L76" t="s">
        <v>2127</v>
      </c>
      <c r="M76" t="s">
        <v>2191</v>
      </c>
      <c r="N76" t="s">
        <v>1686</v>
      </c>
      <c r="O76" t="s">
        <v>76</v>
      </c>
      <c r="P76" t="s">
        <v>2129</v>
      </c>
      <c r="Q76" t="s">
        <v>2130</v>
      </c>
      <c r="R76" t="s">
        <v>33</v>
      </c>
    </row>
    <row r="77" spans="1:18" x14ac:dyDescent="0.35">
      <c r="A77" t="s">
        <v>20</v>
      </c>
      <c r="B77">
        <v>17645</v>
      </c>
      <c r="C77" t="s">
        <v>949</v>
      </c>
      <c r="D77" t="s">
        <v>950</v>
      </c>
      <c r="E77" t="s">
        <v>2143</v>
      </c>
      <c r="F77" t="s">
        <v>2394</v>
      </c>
      <c r="G77" t="s">
        <v>2395</v>
      </c>
      <c r="H77" t="s">
        <v>2396</v>
      </c>
      <c r="I77" t="s">
        <v>954</v>
      </c>
      <c r="K77" t="s">
        <v>61</v>
      </c>
      <c r="L77" t="s">
        <v>2127</v>
      </c>
      <c r="M77" t="s">
        <v>2191</v>
      </c>
      <c r="N77" t="s">
        <v>1686</v>
      </c>
      <c r="O77" t="s">
        <v>76</v>
      </c>
      <c r="P77" t="s">
        <v>2129</v>
      </c>
      <c r="Q77" t="s">
        <v>2130</v>
      </c>
      <c r="R77" t="s">
        <v>33</v>
      </c>
    </row>
    <row r="78" spans="1:18" x14ac:dyDescent="0.35">
      <c r="A78" t="s">
        <v>20</v>
      </c>
      <c r="B78">
        <v>17645</v>
      </c>
      <c r="C78" t="s">
        <v>949</v>
      </c>
      <c r="D78" t="s">
        <v>950</v>
      </c>
      <c r="E78" t="s">
        <v>2147</v>
      </c>
      <c r="F78" t="s">
        <v>2397</v>
      </c>
      <c r="G78" t="s">
        <v>2398</v>
      </c>
      <c r="H78" t="s">
        <v>2399</v>
      </c>
      <c r="I78" t="s">
        <v>954</v>
      </c>
      <c r="K78" t="s">
        <v>28</v>
      </c>
      <c r="L78" t="s">
        <v>2135</v>
      </c>
      <c r="M78" t="s">
        <v>2136</v>
      </c>
      <c r="N78" t="s">
        <v>1686</v>
      </c>
      <c r="O78" t="s">
        <v>76</v>
      </c>
      <c r="P78" t="s">
        <v>2137</v>
      </c>
      <c r="Q78" t="s">
        <v>2130</v>
      </c>
      <c r="R78" t="s">
        <v>33</v>
      </c>
    </row>
    <row r="79" spans="1:18" x14ac:dyDescent="0.35">
      <c r="A79" t="s">
        <v>20</v>
      </c>
      <c r="B79">
        <v>17645</v>
      </c>
      <c r="C79" t="s">
        <v>949</v>
      </c>
      <c r="D79" t="s">
        <v>950</v>
      </c>
      <c r="E79" t="s">
        <v>2153</v>
      </c>
      <c r="F79" t="s">
        <v>2400</v>
      </c>
      <c r="G79" t="s">
        <v>2401</v>
      </c>
      <c r="H79" t="s">
        <v>2402</v>
      </c>
      <c r="I79" t="s">
        <v>954</v>
      </c>
      <c r="K79" t="s">
        <v>61</v>
      </c>
      <c r="L79" t="s">
        <v>2127</v>
      </c>
      <c r="M79" t="s">
        <v>2152</v>
      </c>
      <c r="N79" t="s">
        <v>1681</v>
      </c>
      <c r="O79" t="s">
        <v>32</v>
      </c>
      <c r="P79" t="s">
        <v>2137</v>
      </c>
      <c r="Q79" t="s">
        <v>2130</v>
      </c>
      <c r="R79" t="s">
        <v>33</v>
      </c>
    </row>
    <row r="80" spans="1:18" x14ac:dyDescent="0.35">
      <c r="A80" t="s">
        <v>20</v>
      </c>
      <c r="B80">
        <v>17645</v>
      </c>
      <c r="C80" t="s">
        <v>949</v>
      </c>
      <c r="D80" t="s">
        <v>950</v>
      </c>
      <c r="E80" t="s">
        <v>2157</v>
      </c>
      <c r="F80" t="s">
        <v>2403</v>
      </c>
      <c r="G80" t="s">
        <v>2404</v>
      </c>
      <c r="H80" t="s">
        <v>2405</v>
      </c>
      <c r="I80" t="s">
        <v>954</v>
      </c>
      <c r="K80" t="s">
        <v>46</v>
      </c>
      <c r="L80" t="s">
        <v>2135</v>
      </c>
      <c r="M80" t="s">
        <v>2128</v>
      </c>
      <c r="N80" t="s">
        <v>1686</v>
      </c>
      <c r="O80" t="s">
        <v>76</v>
      </c>
      <c r="P80" t="s">
        <v>2137</v>
      </c>
      <c r="Q80" t="s">
        <v>2130</v>
      </c>
      <c r="R80" t="s">
        <v>33</v>
      </c>
    </row>
    <row r="81" spans="1:18" x14ac:dyDescent="0.35">
      <c r="A81" t="s">
        <v>20</v>
      </c>
      <c r="B81">
        <v>17645</v>
      </c>
      <c r="C81" t="s">
        <v>949</v>
      </c>
      <c r="D81" t="s">
        <v>950</v>
      </c>
      <c r="E81" t="s">
        <v>2161</v>
      </c>
      <c r="F81" t="s">
        <v>2406</v>
      </c>
      <c r="G81" t="s">
        <v>2407</v>
      </c>
      <c r="H81" t="s">
        <v>2408</v>
      </c>
      <c r="I81" t="s">
        <v>954</v>
      </c>
      <c r="K81" t="s">
        <v>46</v>
      </c>
      <c r="L81" t="s">
        <v>2135</v>
      </c>
      <c r="M81" t="s">
        <v>2136</v>
      </c>
      <c r="N81" t="s">
        <v>1686</v>
      </c>
      <c r="O81" t="s">
        <v>76</v>
      </c>
      <c r="P81" t="s">
        <v>2137</v>
      </c>
      <c r="Q81" t="s">
        <v>2130</v>
      </c>
      <c r="R81" t="s">
        <v>33</v>
      </c>
    </row>
    <row r="82" spans="1:18" x14ac:dyDescent="0.35">
      <c r="A82" t="s">
        <v>20</v>
      </c>
      <c r="B82">
        <v>17645</v>
      </c>
      <c r="C82" t="s">
        <v>949</v>
      </c>
      <c r="D82" t="s">
        <v>950</v>
      </c>
      <c r="E82" t="s">
        <v>2165</v>
      </c>
      <c r="F82" t="s">
        <v>1009</v>
      </c>
      <c r="G82" t="s">
        <v>2409</v>
      </c>
      <c r="H82" t="s">
        <v>2410</v>
      </c>
      <c r="I82" t="s">
        <v>954</v>
      </c>
      <c r="K82" t="s">
        <v>28</v>
      </c>
      <c r="L82" t="s">
        <v>2197</v>
      </c>
      <c r="M82" t="s">
        <v>2191</v>
      </c>
      <c r="N82" t="s">
        <v>1686</v>
      </c>
      <c r="O82" t="s">
        <v>76</v>
      </c>
      <c r="P82" t="s">
        <v>2137</v>
      </c>
      <c r="Q82" t="s">
        <v>2130</v>
      </c>
      <c r="R82" t="s">
        <v>33</v>
      </c>
    </row>
    <row r="83" spans="1:18" x14ac:dyDescent="0.35">
      <c r="A83" t="s">
        <v>20</v>
      </c>
      <c r="B83">
        <v>17645</v>
      </c>
      <c r="C83" t="s">
        <v>949</v>
      </c>
      <c r="D83" t="s">
        <v>950</v>
      </c>
      <c r="E83" t="s">
        <v>2169</v>
      </c>
      <c r="F83" t="s">
        <v>2411</v>
      </c>
      <c r="G83" t="s">
        <v>2412</v>
      </c>
      <c r="H83" t="s">
        <v>2413</v>
      </c>
      <c r="I83" t="s">
        <v>954</v>
      </c>
      <c r="K83" t="s">
        <v>28</v>
      </c>
      <c r="L83" t="s">
        <v>2197</v>
      </c>
      <c r="M83" t="s">
        <v>2191</v>
      </c>
      <c r="N83" t="s">
        <v>1686</v>
      </c>
      <c r="O83" t="s">
        <v>32</v>
      </c>
      <c r="P83" t="s">
        <v>2137</v>
      </c>
      <c r="Q83" t="s">
        <v>2130</v>
      </c>
      <c r="R83" t="s">
        <v>33</v>
      </c>
    </row>
    <row r="84" spans="1:18" x14ac:dyDescent="0.35">
      <c r="A84" t="s">
        <v>20</v>
      </c>
      <c r="B84">
        <v>17645</v>
      </c>
      <c r="C84" t="s">
        <v>949</v>
      </c>
      <c r="D84" t="s">
        <v>950</v>
      </c>
      <c r="E84" t="s">
        <v>2174</v>
      </c>
      <c r="F84" t="s">
        <v>2414</v>
      </c>
      <c r="G84" t="s">
        <v>2415</v>
      </c>
      <c r="H84" t="s">
        <v>2416</v>
      </c>
      <c r="I84" t="s">
        <v>954</v>
      </c>
      <c r="K84" t="s">
        <v>46</v>
      </c>
      <c r="L84" t="s">
        <v>2197</v>
      </c>
      <c r="M84" t="s">
        <v>2191</v>
      </c>
      <c r="N84" t="s">
        <v>1686</v>
      </c>
      <c r="O84" t="s">
        <v>32</v>
      </c>
      <c r="P84" t="s">
        <v>2137</v>
      </c>
      <c r="Q84" t="s">
        <v>2130</v>
      </c>
      <c r="R84" t="s">
        <v>33</v>
      </c>
    </row>
    <row r="85" spans="1:18" x14ac:dyDescent="0.35">
      <c r="A85" t="s">
        <v>20</v>
      </c>
      <c r="B85">
        <v>17645</v>
      </c>
      <c r="C85" t="s">
        <v>949</v>
      </c>
      <c r="D85" t="s">
        <v>950</v>
      </c>
      <c r="E85" t="s">
        <v>2178</v>
      </c>
      <c r="F85" t="s">
        <v>2417</v>
      </c>
      <c r="G85" t="s">
        <v>2418</v>
      </c>
      <c r="H85" t="s">
        <v>2419</v>
      </c>
      <c r="I85" t="s">
        <v>954</v>
      </c>
      <c r="K85" t="s">
        <v>61</v>
      </c>
      <c r="L85" t="s">
        <v>2135</v>
      </c>
      <c r="M85" t="s">
        <v>2136</v>
      </c>
      <c r="N85" t="s">
        <v>1686</v>
      </c>
      <c r="O85" t="s">
        <v>76</v>
      </c>
      <c r="P85" t="s">
        <v>2129</v>
      </c>
      <c r="Q85" t="s">
        <v>2130</v>
      </c>
      <c r="R85" t="s">
        <v>33</v>
      </c>
    </row>
    <row r="86" spans="1:18" x14ac:dyDescent="0.35">
      <c r="A86" t="s">
        <v>20</v>
      </c>
      <c r="B86">
        <v>17645</v>
      </c>
      <c r="C86" t="s">
        <v>949</v>
      </c>
      <c r="D86" t="s">
        <v>950</v>
      </c>
      <c r="E86" t="s">
        <v>2339</v>
      </c>
      <c r="F86" t="s">
        <v>2420</v>
      </c>
      <c r="G86" t="s">
        <v>2421</v>
      </c>
      <c r="H86" t="s">
        <v>2422</v>
      </c>
      <c r="I86" t="s">
        <v>954</v>
      </c>
      <c r="K86" t="s">
        <v>46</v>
      </c>
      <c r="L86" t="s">
        <v>2197</v>
      </c>
      <c r="M86" t="s">
        <v>2191</v>
      </c>
      <c r="N86" t="s">
        <v>1681</v>
      </c>
      <c r="O86" t="s">
        <v>76</v>
      </c>
      <c r="P86" t="s">
        <v>2137</v>
      </c>
      <c r="Q86" t="s">
        <v>2130</v>
      </c>
      <c r="R86" t="s">
        <v>33</v>
      </c>
    </row>
    <row r="87" spans="1:18" x14ac:dyDescent="0.35">
      <c r="A87" t="s">
        <v>20</v>
      </c>
      <c r="B87">
        <v>17645</v>
      </c>
      <c r="C87" t="s">
        <v>949</v>
      </c>
      <c r="D87" t="s">
        <v>950</v>
      </c>
      <c r="E87" t="s">
        <v>2187</v>
      </c>
      <c r="F87" t="s">
        <v>2423</v>
      </c>
      <c r="G87" t="s">
        <v>2424</v>
      </c>
      <c r="H87" t="s">
        <v>2425</v>
      </c>
      <c r="I87" t="s">
        <v>954</v>
      </c>
      <c r="K87" t="s">
        <v>61</v>
      </c>
      <c r="L87" t="s">
        <v>2151</v>
      </c>
      <c r="M87" t="s">
        <v>2136</v>
      </c>
      <c r="N87" t="s">
        <v>1686</v>
      </c>
      <c r="O87" t="s">
        <v>76</v>
      </c>
      <c r="P87" t="s">
        <v>2137</v>
      </c>
      <c r="Q87" t="s">
        <v>2130</v>
      </c>
      <c r="R87" t="s">
        <v>33</v>
      </c>
    </row>
    <row r="88" spans="1:18" x14ac:dyDescent="0.35">
      <c r="A88" t="s">
        <v>20</v>
      </c>
      <c r="B88">
        <v>17645</v>
      </c>
      <c r="C88" t="s">
        <v>949</v>
      </c>
      <c r="D88" t="s">
        <v>950</v>
      </c>
      <c r="E88" t="s">
        <v>2193</v>
      </c>
      <c r="F88" t="s">
        <v>2426</v>
      </c>
      <c r="G88" t="s">
        <v>2427</v>
      </c>
      <c r="H88" t="s">
        <v>2428</v>
      </c>
      <c r="I88" t="s">
        <v>954</v>
      </c>
      <c r="K88" t="s">
        <v>46</v>
      </c>
      <c r="L88" t="s">
        <v>2135</v>
      </c>
      <c r="M88" t="s">
        <v>2191</v>
      </c>
      <c r="N88" t="s">
        <v>1681</v>
      </c>
      <c r="O88" t="s">
        <v>32</v>
      </c>
      <c r="P88" t="s">
        <v>2137</v>
      </c>
      <c r="Q88" t="s">
        <v>2130</v>
      </c>
      <c r="R88" t="s">
        <v>33</v>
      </c>
    </row>
    <row r="89" spans="1:18" x14ac:dyDescent="0.35">
      <c r="A89" t="s">
        <v>20</v>
      </c>
      <c r="B89">
        <v>17645</v>
      </c>
      <c r="C89" t="s">
        <v>949</v>
      </c>
      <c r="D89" t="s">
        <v>950</v>
      </c>
      <c r="E89" t="s">
        <v>2198</v>
      </c>
      <c r="F89" t="s">
        <v>2429</v>
      </c>
      <c r="G89" t="s">
        <v>2430</v>
      </c>
      <c r="H89" t="s">
        <v>2431</v>
      </c>
      <c r="I89" t="s">
        <v>1090</v>
      </c>
      <c r="K89" t="s">
        <v>61</v>
      </c>
      <c r="L89" t="s">
        <v>2127</v>
      </c>
      <c r="M89" t="s">
        <v>2152</v>
      </c>
      <c r="N89" t="s">
        <v>1686</v>
      </c>
      <c r="O89" t="s">
        <v>76</v>
      </c>
      <c r="P89" t="s">
        <v>2129</v>
      </c>
      <c r="Q89" t="s">
        <v>2130</v>
      </c>
      <c r="R89" t="s">
        <v>33</v>
      </c>
    </row>
    <row r="90" spans="1:18" x14ac:dyDescent="0.35">
      <c r="A90" t="s">
        <v>20</v>
      </c>
      <c r="B90">
        <v>17645</v>
      </c>
      <c r="C90" t="s">
        <v>949</v>
      </c>
      <c r="D90" t="s">
        <v>950</v>
      </c>
      <c r="E90" t="s">
        <v>2203</v>
      </c>
      <c r="F90" t="s">
        <v>2432</v>
      </c>
      <c r="G90" t="s">
        <v>2433</v>
      </c>
      <c r="H90" t="s">
        <v>2434</v>
      </c>
      <c r="I90" t="s">
        <v>1090</v>
      </c>
      <c r="J90" t="s">
        <v>2182</v>
      </c>
      <c r="K90" t="s">
        <v>61</v>
      </c>
      <c r="L90" t="s">
        <v>2127</v>
      </c>
      <c r="M90" t="s">
        <v>2152</v>
      </c>
      <c r="N90" t="s">
        <v>1686</v>
      </c>
      <c r="O90" t="s">
        <v>76</v>
      </c>
      <c r="P90" t="s">
        <v>2129</v>
      </c>
      <c r="Q90" t="s">
        <v>2130</v>
      </c>
      <c r="R90" t="s">
        <v>33</v>
      </c>
    </row>
    <row r="91" spans="1:18" x14ac:dyDescent="0.35">
      <c r="A91" t="s">
        <v>20</v>
      </c>
      <c r="B91">
        <v>17645</v>
      </c>
      <c r="C91" t="s">
        <v>949</v>
      </c>
      <c r="D91" t="s">
        <v>950</v>
      </c>
      <c r="E91" t="s">
        <v>2207</v>
      </c>
      <c r="F91" t="s">
        <v>2435</v>
      </c>
      <c r="G91" t="s">
        <v>2436</v>
      </c>
      <c r="H91" t="s">
        <v>2437</v>
      </c>
      <c r="I91" t="s">
        <v>1090</v>
      </c>
      <c r="J91" t="s">
        <v>2182</v>
      </c>
      <c r="K91" t="s">
        <v>61</v>
      </c>
      <c r="L91" t="s">
        <v>2127</v>
      </c>
      <c r="M91" t="s">
        <v>2128</v>
      </c>
      <c r="N91" t="s">
        <v>1686</v>
      </c>
      <c r="O91" t="s">
        <v>32</v>
      </c>
      <c r="P91" t="s">
        <v>2129</v>
      </c>
      <c r="Q91" t="s">
        <v>2277</v>
      </c>
      <c r="R91" t="s">
        <v>33</v>
      </c>
    </row>
    <row r="92" spans="1:18" x14ac:dyDescent="0.35">
      <c r="A92" t="s">
        <v>20</v>
      </c>
      <c r="B92">
        <v>17645</v>
      </c>
      <c r="C92" t="s">
        <v>949</v>
      </c>
      <c r="D92" t="s">
        <v>950</v>
      </c>
      <c r="E92" t="s">
        <v>2211</v>
      </c>
      <c r="F92" t="s">
        <v>2438</v>
      </c>
      <c r="G92" t="s">
        <v>2439</v>
      </c>
      <c r="H92" t="s">
        <v>2440</v>
      </c>
      <c r="I92" t="s">
        <v>1090</v>
      </c>
      <c r="J92" t="s">
        <v>2100</v>
      </c>
      <c r="K92" t="s">
        <v>46</v>
      </c>
      <c r="L92" t="s">
        <v>2135</v>
      </c>
      <c r="M92" t="s">
        <v>2191</v>
      </c>
      <c r="N92" t="s">
        <v>1686</v>
      </c>
      <c r="O92" t="s">
        <v>32</v>
      </c>
      <c r="P92" t="s">
        <v>2137</v>
      </c>
      <c r="Q92" t="s">
        <v>2130</v>
      </c>
      <c r="R92" t="s">
        <v>33</v>
      </c>
    </row>
    <row r="93" spans="1:18" x14ac:dyDescent="0.35">
      <c r="A93" t="s">
        <v>20</v>
      </c>
      <c r="B93">
        <v>17645</v>
      </c>
      <c r="C93" t="s">
        <v>949</v>
      </c>
      <c r="D93" t="s">
        <v>950</v>
      </c>
      <c r="E93" t="s">
        <v>2215</v>
      </c>
      <c r="F93" t="s">
        <v>2441</v>
      </c>
      <c r="G93" t="s">
        <v>2442</v>
      </c>
      <c r="H93" t="s">
        <v>2443</v>
      </c>
      <c r="I93" t="s">
        <v>1090</v>
      </c>
      <c r="K93" t="s">
        <v>61</v>
      </c>
      <c r="L93" t="s">
        <v>2127</v>
      </c>
      <c r="M93" t="s">
        <v>2152</v>
      </c>
      <c r="N93" t="s">
        <v>1686</v>
      </c>
      <c r="O93" t="s">
        <v>32</v>
      </c>
      <c r="P93" t="s">
        <v>2129</v>
      </c>
      <c r="Q93" t="s">
        <v>2130</v>
      </c>
      <c r="R93" t="s">
        <v>33</v>
      </c>
    </row>
    <row r="94" spans="1:18" x14ac:dyDescent="0.35">
      <c r="A94" t="s">
        <v>20</v>
      </c>
      <c r="B94">
        <v>17645</v>
      </c>
      <c r="C94" t="s">
        <v>949</v>
      </c>
      <c r="D94" t="s">
        <v>950</v>
      </c>
      <c r="E94" t="s">
        <v>2219</v>
      </c>
      <c r="F94" t="s">
        <v>2444</v>
      </c>
      <c r="G94" t="s">
        <v>2445</v>
      </c>
      <c r="H94" t="s">
        <v>2446</v>
      </c>
      <c r="I94" t="s">
        <v>1090</v>
      </c>
      <c r="K94" t="s">
        <v>61</v>
      </c>
      <c r="L94" t="s">
        <v>2127</v>
      </c>
      <c r="M94" t="s">
        <v>2152</v>
      </c>
      <c r="N94" t="s">
        <v>1686</v>
      </c>
      <c r="O94" t="s">
        <v>32</v>
      </c>
      <c r="P94" t="s">
        <v>2137</v>
      </c>
      <c r="Q94" t="s">
        <v>2130</v>
      </c>
      <c r="R94" t="s">
        <v>33</v>
      </c>
    </row>
    <row r="95" spans="1:18" x14ac:dyDescent="0.35">
      <c r="A95" t="s">
        <v>20</v>
      </c>
      <c r="B95">
        <v>17645</v>
      </c>
      <c r="C95" t="s">
        <v>949</v>
      </c>
      <c r="D95" t="s">
        <v>950</v>
      </c>
      <c r="E95" t="s">
        <v>2223</v>
      </c>
      <c r="F95" t="s">
        <v>2447</v>
      </c>
      <c r="G95" t="s">
        <v>2448</v>
      </c>
      <c r="H95" t="s">
        <v>2449</v>
      </c>
      <c r="I95" t="s">
        <v>1090</v>
      </c>
      <c r="K95" t="s">
        <v>28</v>
      </c>
      <c r="L95" t="s">
        <v>2135</v>
      </c>
      <c r="M95" t="s">
        <v>2191</v>
      </c>
      <c r="N95" t="s">
        <v>1700</v>
      </c>
      <c r="O95" t="s">
        <v>76</v>
      </c>
      <c r="P95" t="s">
        <v>2137</v>
      </c>
      <c r="Q95" t="s">
        <v>2130</v>
      </c>
      <c r="R95" t="s">
        <v>33</v>
      </c>
    </row>
    <row r="96" spans="1:18" x14ac:dyDescent="0.35">
      <c r="A96" t="s">
        <v>20</v>
      </c>
      <c r="B96">
        <v>17645</v>
      </c>
      <c r="C96" t="s">
        <v>949</v>
      </c>
      <c r="D96" t="s">
        <v>950</v>
      </c>
      <c r="E96" t="s">
        <v>2227</v>
      </c>
      <c r="F96" t="s">
        <v>2450</v>
      </c>
      <c r="G96" t="s">
        <v>2451</v>
      </c>
      <c r="H96" t="s">
        <v>2452</v>
      </c>
      <c r="I96" t="s">
        <v>1090</v>
      </c>
      <c r="K96" t="s">
        <v>28</v>
      </c>
      <c r="L96" t="s">
        <v>2135</v>
      </c>
      <c r="M96" t="s">
        <v>2128</v>
      </c>
      <c r="N96" t="s">
        <v>1686</v>
      </c>
      <c r="O96" t="s">
        <v>76</v>
      </c>
      <c r="P96" t="s">
        <v>2137</v>
      </c>
      <c r="Q96" t="s">
        <v>2130</v>
      </c>
      <c r="R96" t="s">
        <v>33</v>
      </c>
    </row>
    <row r="97" spans="1:18" x14ac:dyDescent="0.35">
      <c r="A97" t="s">
        <v>20</v>
      </c>
      <c r="B97">
        <v>17645</v>
      </c>
      <c r="C97" t="s">
        <v>949</v>
      </c>
      <c r="D97" t="s">
        <v>950</v>
      </c>
      <c r="E97" t="s">
        <v>2231</v>
      </c>
      <c r="F97" t="s">
        <v>2453</v>
      </c>
      <c r="G97" t="s">
        <v>2454</v>
      </c>
      <c r="H97" t="s">
        <v>2455</v>
      </c>
      <c r="I97" t="s">
        <v>1090</v>
      </c>
      <c r="K97" t="s">
        <v>61</v>
      </c>
      <c r="L97" t="s">
        <v>2127</v>
      </c>
      <c r="M97" t="s">
        <v>2136</v>
      </c>
      <c r="N97" t="s">
        <v>1686</v>
      </c>
      <c r="O97" t="s">
        <v>76</v>
      </c>
      <c r="P97" t="s">
        <v>2129</v>
      </c>
      <c r="Q97" t="s">
        <v>2130</v>
      </c>
      <c r="R97" t="s">
        <v>33</v>
      </c>
    </row>
    <row r="98" spans="1:18" x14ac:dyDescent="0.35">
      <c r="A98" t="s">
        <v>20</v>
      </c>
      <c r="B98">
        <v>17645</v>
      </c>
      <c r="C98" t="s">
        <v>949</v>
      </c>
      <c r="D98" t="s">
        <v>950</v>
      </c>
      <c r="E98" t="s">
        <v>2235</v>
      </c>
      <c r="F98" t="s">
        <v>2456</v>
      </c>
      <c r="G98" t="s">
        <v>2457</v>
      </c>
      <c r="H98" t="s">
        <v>2458</v>
      </c>
      <c r="I98" t="s">
        <v>1090</v>
      </c>
      <c r="K98" t="s">
        <v>61</v>
      </c>
      <c r="L98" t="s">
        <v>2127</v>
      </c>
      <c r="M98" t="s">
        <v>2191</v>
      </c>
      <c r="N98" t="s">
        <v>1686</v>
      </c>
      <c r="O98" t="s">
        <v>76</v>
      </c>
      <c r="P98" t="s">
        <v>2129</v>
      </c>
      <c r="Q98" t="s">
        <v>2130</v>
      </c>
      <c r="R98" t="s">
        <v>33</v>
      </c>
    </row>
    <row r="99" spans="1:18" x14ac:dyDescent="0.35">
      <c r="A99" t="s">
        <v>20</v>
      </c>
      <c r="B99">
        <v>17645</v>
      </c>
      <c r="C99" t="s">
        <v>949</v>
      </c>
      <c r="D99" t="s">
        <v>950</v>
      </c>
      <c r="E99" t="s">
        <v>2269</v>
      </c>
      <c r="F99" t="s">
        <v>2459</v>
      </c>
      <c r="G99" t="s">
        <v>2460</v>
      </c>
      <c r="H99" t="s">
        <v>2461</v>
      </c>
      <c r="I99" t="s">
        <v>1090</v>
      </c>
      <c r="K99" t="s">
        <v>28</v>
      </c>
      <c r="M99" t="s">
        <v>2191</v>
      </c>
      <c r="N99" t="s">
        <v>1686</v>
      </c>
      <c r="O99" t="s">
        <v>76</v>
      </c>
      <c r="P99" t="s">
        <v>2137</v>
      </c>
      <c r="Q99" t="s">
        <v>2277</v>
      </c>
      <c r="R99" t="s">
        <v>33</v>
      </c>
    </row>
    <row r="100" spans="1:18" x14ac:dyDescent="0.35">
      <c r="A100" t="s">
        <v>20</v>
      </c>
      <c r="B100">
        <v>17647</v>
      </c>
      <c r="C100" t="s">
        <v>1252</v>
      </c>
      <c r="D100" t="s">
        <v>1253</v>
      </c>
      <c r="E100" t="s">
        <v>2123</v>
      </c>
      <c r="F100" t="s">
        <v>2462</v>
      </c>
      <c r="G100" t="s">
        <v>2463</v>
      </c>
      <c r="H100" t="s">
        <v>2464</v>
      </c>
      <c r="I100" t="s">
        <v>1257</v>
      </c>
      <c r="K100" t="s">
        <v>61</v>
      </c>
      <c r="L100" t="s">
        <v>2127</v>
      </c>
      <c r="M100" t="s">
        <v>2191</v>
      </c>
      <c r="N100" t="s">
        <v>1681</v>
      </c>
      <c r="O100" t="s">
        <v>76</v>
      </c>
      <c r="P100" t="s">
        <v>2137</v>
      </c>
      <c r="Q100" t="s">
        <v>2130</v>
      </c>
      <c r="R100" t="s">
        <v>33</v>
      </c>
    </row>
    <row r="101" spans="1:18" x14ac:dyDescent="0.35">
      <c r="A101" t="s">
        <v>20</v>
      </c>
      <c r="B101">
        <v>17647</v>
      </c>
      <c r="C101" t="s">
        <v>1252</v>
      </c>
      <c r="D101" t="s">
        <v>1253</v>
      </c>
      <c r="E101" t="s">
        <v>2131</v>
      </c>
      <c r="F101" t="s">
        <v>2465</v>
      </c>
      <c r="G101" t="s">
        <v>2466</v>
      </c>
      <c r="H101" t="s">
        <v>2467</v>
      </c>
      <c r="I101" t="s">
        <v>1257</v>
      </c>
      <c r="K101" t="s">
        <v>46</v>
      </c>
      <c r="L101" t="s">
        <v>2135</v>
      </c>
      <c r="M101" t="s">
        <v>2128</v>
      </c>
      <c r="N101" t="s">
        <v>1686</v>
      </c>
      <c r="O101" t="s">
        <v>32</v>
      </c>
      <c r="P101" t="s">
        <v>2137</v>
      </c>
      <c r="Q101" t="s">
        <v>2130</v>
      </c>
      <c r="R101" t="s">
        <v>33</v>
      </c>
    </row>
    <row r="102" spans="1:18" x14ac:dyDescent="0.35">
      <c r="A102" t="s">
        <v>20</v>
      </c>
      <c r="B102">
        <v>17647</v>
      </c>
      <c r="C102" t="s">
        <v>1252</v>
      </c>
      <c r="D102" t="s">
        <v>1253</v>
      </c>
      <c r="E102" t="s">
        <v>2138</v>
      </c>
      <c r="F102" t="s">
        <v>2468</v>
      </c>
      <c r="G102" t="s">
        <v>2469</v>
      </c>
      <c r="H102" t="s">
        <v>2470</v>
      </c>
      <c r="I102" t="s">
        <v>1257</v>
      </c>
      <c r="K102" t="s">
        <v>28</v>
      </c>
      <c r="L102" t="s">
        <v>2135</v>
      </c>
      <c r="M102" t="s">
        <v>2128</v>
      </c>
      <c r="N102" t="s">
        <v>1700</v>
      </c>
      <c r="O102" t="s">
        <v>32</v>
      </c>
      <c r="P102" t="s">
        <v>2137</v>
      </c>
      <c r="Q102" t="s">
        <v>2130</v>
      </c>
      <c r="R102" t="s">
        <v>33</v>
      </c>
    </row>
    <row r="103" spans="1:18" x14ac:dyDescent="0.35">
      <c r="A103" t="s">
        <v>20</v>
      </c>
      <c r="B103">
        <v>17647</v>
      </c>
      <c r="C103" t="s">
        <v>1252</v>
      </c>
      <c r="D103" t="s">
        <v>1253</v>
      </c>
      <c r="E103" t="s">
        <v>2143</v>
      </c>
      <c r="F103" t="s">
        <v>2471</v>
      </c>
      <c r="G103" t="s">
        <v>2472</v>
      </c>
      <c r="H103" t="s">
        <v>2473</v>
      </c>
      <c r="I103" t="s">
        <v>1257</v>
      </c>
      <c r="K103" t="s">
        <v>28</v>
      </c>
      <c r="L103" t="s">
        <v>2135</v>
      </c>
      <c r="M103" t="s">
        <v>2128</v>
      </c>
      <c r="N103" t="s">
        <v>1686</v>
      </c>
      <c r="O103" t="s">
        <v>32</v>
      </c>
      <c r="P103" t="s">
        <v>2137</v>
      </c>
      <c r="Q103" t="s">
        <v>2130</v>
      </c>
      <c r="R103" t="s">
        <v>33</v>
      </c>
    </row>
    <row r="104" spans="1:18" x14ac:dyDescent="0.35">
      <c r="A104" t="s">
        <v>20</v>
      </c>
      <c r="B104">
        <v>17647</v>
      </c>
      <c r="C104" t="s">
        <v>1252</v>
      </c>
      <c r="D104" t="s">
        <v>1253</v>
      </c>
      <c r="E104" t="s">
        <v>2147</v>
      </c>
      <c r="F104" t="s">
        <v>2474</v>
      </c>
      <c r="G104" t="s">
        <v>2475</v>
      </c>
      <c r="H104" t="s">
        <v>2476</v>
      </c>
      <c r="I104" t="s">
        <v>1257</v>
      </c>
      <c r="K104" t="s">
        <v>61</v>
      </c>
      <c r="L104" t="s">
        <v>2127</v>
      </c>
      <c r="M104" t="s">
        <v>2191</v>
      </c>
      <c r="N104" t="s">
        <v>1686</v>
      </c>
      <c r="O104" t="s">
        <v>32</v>
      </c>
      <c r="P104" t="s">
        <v>2129</v>
      </c>
      <c r="Q104" t="s">
        <v>2130</v>
      </c>
      <c r="R104" t="s">
        <v>33</v>
      </c>
    </row>
    <row r="105" spans="1:18" x14ac:dyDescent="0.35">
      <c r="A105" t="s">
        <v>20</v>
      </c>
      <c r="B105">
        <v>17647</v>
      </c>
      <c r="C105" t="s">
        <v>1252</v>
      </c>
      <c r="D105" t="s">
        <v>1253</v>
      </c>
      <c r="E105" t="s">
        <v>2153</v>
      </c>
      <c r="F105" t="s">
        <v>2477</v>
      </c>
      <c r="G105" t="s">
        <v>2478</v>
      </c>
      <c r="H105" t="s">
        <v>2479</v>
      </c>
      <c r="I105" t="s">
        <v>1257</v>
      </c>
      <c r="K105" t="s">
        <v>61</v>
      </c>
      <c r="L105" t="s">
        <v>2127</v>
      </c>
      <c r="M105" t="s">
        <v>2191</v>
      </c>
      <c r="N105" t="s">
        <v>1686</v>
      </c>
      <c r="O105" t="s">
        <v>76</v>
      </c>
      <c r="P105" t="s">
        <v>2129</v>
      </c>
      <c r="Q105" t="s">
        <v>2130</v>
      </c>
      <c r="R105" t="s">
        <v>33</v>
      </c>
    </row>
    <row r="106" spans="1:18" x14ac:dyDescent="0.35">
      <c r="A106" t="s">
        <v>20</v>
      </c>
      <c r="B106">
        <v>17647</v>
      </c>
      <c r="C106" t="s">
        <v>1252</v>
      </c>
      <c r="D106" t="s">
        <v>1253</v>
      </c>
      <c r="E106" t="s">
        <v>2157</v>
      </c>
      <c r="F106" t="s">
        <v>2480</v>
      </c>
      <c r="G106" t="s">
        <v>2481</v>
      </c>
      <c r="H106" t="s">
        <v>2482</v>
      </c>
      <c r="I106" t="s">
        <v>1257</v>
      </c>
      <c r="K106" t="s">
        <v>28</v>
      </c>
      <c r="L106" t="s">
        <v>2135</v>
      </c>
      <c r="M106" t="s">
        <v>2128</v>
      </c>
      <c r="N106" t="s">
        <v>1700</v>
      </c>
      <c r="O106" t="s">
        <v>32</v>
      </c>
      <c r="P106" t="s">
        <v>2137</v>
      </c>
      <c r="Q106" t="s">
        <v>2130</v>
      </c>
      <c r="R106" t="s">
        <v>33</v>
      </c>
    </row>
    <row r="107" spans="1:18" x14ac:dyDescent="0.35">
      <c r="A107" t="s">
        <v>20</v>
      </c>
      <c r="B107">
        <v>17647</v>
      </c>
      <c r="C107" t="s">
        <v>1252</v>
      </c>
      <c r="D107" t="s">
        <v>1253</v>
      </c>
      <c r="E107" t="s">
        <v>2161</v>
      </c>
      <c r="F107" t="s">
        <v>2483</v>
      </c>
      <c r="G107" t="s">
        <v>2484</v>
      </c>
      <c r="H107" t="s">
        <v>2485</v>
      </c>
      <c r="I107" t="s">
        <v>1257</v>
      </c>
      <c r="K107" t="s">
        <v>46</v>
      </c>
      <c r="L107" t="s">
        <v>2135</v>
      </c>
      <c r="M107" t="s">
        <v>2128</v>
      </c>
      <c r="N107" t="s">
        <v>1686</v>
      </c>
      <c r="O107" t="s">
        <v>76</v>
      </c>
      <c r="P107" t="s">
        <v>2129</v>
      </c>
      <c r="Q107" t="s">
        <v>2130</v>
      </c>
      <c r="R107" t="s">
        <v>33</v>
      </c>
    </row>
    <row r="108" spans="1:18" x14ac:dyDescent="0.35">
      <c r="A108" t="s">
        <v>20</v>
      </c>
      <c r="B108">
        <v>17647</v>
      </c>
      <c r="C108" t="s">
        <v>1252</v>
      </c>
      <c r="D108" t="s">
        <v>1253</v>
      </c>
      <c r="E108" t="s">
        <v>2165</v>
      </c>
      <c r="F108" t="s">
        <v>2486</v>
      </c>
      <c r="G108" t="s">
        <v>2487</v>
      </c>
      <c r="H108" t="s">
        <v>2488</v>
      </c>
      <c r="I108" t="s">
        <v>1257</v>
      </c>
      <c r="K108" t="s">
        <v>28</v>
      </c>
      <c r="L108" t="s">
        <v>2135</v>
      </c>
      <c r="M108" t="s">
        <v>2128</v>
      </c>
      <c r="N108" t="s">
        <v>1700</v>
      </c>
      <c r="O108" t="s">
        <v>32</v>
      </c>
      <c r="P108" t="s">
        <v>2137</v>
      </c>
      <c r="Q108" t="s">
        <v>2130</v>
      </c>
      <c r="R108" t="s">
        <v>33</v>
      </c>
    </row>
    <row r="109" spans="1:18" x14ac:dyDescent="0.35">
      <c r="A109" t="s">
        <v>20</v>
      </c>
      <c r="B109">
        <v>17647</v>
      </c>
      <c r="C109" t="s">
        <v>1252</v>
      </c>
      <c r="D109" t="s">
        <v>1253</v>
      </c>
      <c r="E109" t="s">
        <v>2169</v>
      </c>
      <c r="F109" t="s">
        <v>2489</v>
      </c>
      <c r="G109" t="s">
        <v>2490</v>
      </c>
      <c r="H109" t="s">
        <v>2491</v>
      </c>
      <c r="I109" t="s">
        <v>1257</v>
      </c>
      <c r="K109" t="s">
        <v>28</v>
      </c>
      <c r="L109" t="s">
        <v>2135</v>
      </c>
      <c r="M109" t="s">
        <v>2191</v>
      </c>
      <c r="N109" t="s">
        <v>1686</v>
      </c>
      <c r="O109" t="s">
        <v>32</v>
      </c>
      <c r="P109" t="s">
        <v>2137</v>
      </c>
      <c r="Q109" t="s">
        <v>2130</v>
      </c>
      <c r="R109" t="s">
        <v>33</v>
      </c>
    </row>
    <row r="110" spans="1:18" x14ac:dyDescent="0.35">
      <c r="A110" t="s">
        <v>20</v>
      </c>
      <c r="B110">
        <v>17647</v>
      </c>
      <c r="C110" t="s">
        <v>1252</v>
      </c>
      <c r="D110" t="s">
        <v>1253</v>
      </c>
      <c r="E110" t="s">
        <v>2174</v>
      </c>
      <c r="F110" t="s">
        <v>2492</v>
      </c>
      <c r="G110" t="s">
        <v>2493</v>
      </c>
      <c r="H110" t="s">
        <v>2494</v>
      </c>
      <c r="I110" t="s">
        <v>1257</v>
      </c>
      <c r="K110" t="s">
        <v>46</v>
      </c>
      <c r="L110" t="s">
        <v>2135</v>
      </c>
      <c r="M110" t="s">
        <v>2191</v>
      </c>
      <c r="N110" t="s">
        <v>1686</v>
      </c>
      <c r="O110" t="s">
        <v>32</v>
      </c>
      <c r="P110" t="s">
        <v>2129</v>
      </c>
      <c r="Q110" t="s">
        <v>2277</v>
      </c>
      <c r="R110" t="s">
        <v>33</v>
      </c>
    </row>
    <row r="111" spans="1:18" x14ac:dyDescent="0.35">
      <c r="A111" t="s">
        <v>20</v>
      </c>
      <c r="B111">
        <v>17647</v>
      </c>
      <c r="C111" t="s">
        <v>1252</v>
      </c>
      <c r="D111" t="s">
        <v>1253</v>
      </c>
      <c r="E111" t="s">
        <v>2178</v>
      </c>
      <c r="F111" t="s">
        <v>2495</v>
      </c>
      <c r="G111" t="s">
        <v>2496</v>
      </c>
      <c r="H111" t="s">
        <v>2497</v>
      </c>
      <c r="I111" t="s">
        <v>1257</v>
      </c>
      <c r="K111" t="s">
        <v>28</v>
      </c>
      <c r="L111" t="s">
        <v>2135</v>
      </c>
      <c r="M111" t="s">
        <v>2128</v>
      </c>
      <c r="N111" t="s">
        <v>1686</v>
      </c>
      <c r="O111" t="s">
        <v>32</v>
      </c>
      <c r="P111" t="s">
        <v>2137</v>
      </c>
      <c r="Q111" t="s">
        <v>2130</v>
      </c>
      <c r="R111" t="s">
        <v>33</v>
      </c>
    </row>
    <row r="112" spans="1:18" x14ac:dyDescent="0.35">
      <c r="A112" t="s">
        <v>20</v>
      </c>
      <c r="B112">
        <v>17647</v>
      </c>
      <c r="C112" t="s">
        <v>1252</v>
      </c>
      <c r="D112" t="s">
        <v>1253</v>
      </c>
      <c r="E112" t="s">
        <v>2339</v>
      </c>
      <c r="F112" t="s">
        <v>2498</v>
      </c>
      <c r="G112" t="s">
        <v>2499</v>
      </c>
      <c r="H112" t="s">
        <v>2500</v>
      </c>
      <c r="I112" t="s">
        <v>1257</v>
      </c>
      <c r="K112" t="s">
        <v>28</v>
      </c>
      <c r="L112" t="s">
        <v>2135</v>
      </c>
      <c r="M112" t="s">
        <v>2191</v>
      </c>
      <c r="N112" t="s">
        <v>1700</v>
      </c>
      <c r="O112" t="s">
        <v>76</v>
      </c>
      <c r="P112" t="s">
        <v>2137</v>
      </c>
      <c r="Q112" t="s">
        <v>2130</v>
      </c>
      <c r="R112" t="s">
        <v>33</v>
      </c>
    </row>
    <row r="113" spans="1:18" x14ac:dyDescent="0.35">
      <c r="A113" t="s">
        <v>20</v>
      </c>
      <c r="B113">
        <v>17647</v>
      </c>
      <c r="C113" t="s">
        <v>1252</v>
      </c>
      <c r="D113" t="s">
        <v>1253</v>
      </c>
      <c r="E113" t="s">
        <v>2198</v>
      </c>
      <c r="F113" t="s">
        <v>2501</v>
      </c>
      <c r="G113" t="s">
        <v>2502</v>
      </c>
      <c r="H113" t="s">
        <v>2503</v>
      </c>
      <c r="I113" t="s">
        <v>1395</v>
      </c>
      <c r="K113" t="s">
        <v>28</v>
      </c>
      <c r="L113" t="s">
        <v>2202</v>
      </c>
      <c r="M113" t="s">
        <v>2136</v>
      </c>
      <c r="N113" t="s">
        <v>1686</v>
      </c>
      <c r="O113" t="s">
        <v>76</v>
      </c>
      <c r="P113" t="s">
        <v>2129</v>
      </c>
      <c r="Q113" t="s">
        <v>2130</v>
      </c>
      <c r="R113" t="s">
        <v>33</v>
      </c>
    </row>
    <row r="114" spans="1:18" x14ac:dyDescent="0.35">
      <c r="A114" t="s">
        <v>20</v>
      </c>
      <c r="B114">
        <v>17647</v>
      </c>
      <c r="C114" t="s">
        <v>1252</v>
      </c>
      <c r="D114" t="s">
        <v>1253</v>
      </c>
      <c r="E114" t="s">
        <v>2203</v>
      </c>
      <c r="F114" t="s">
        <v>2504</v>
      </c>
      <c r="G114" t="s">
        <v>2505</v>
      </c>
      <c r="H114" t="s">
        <v>2506</v>
      </c>
      <c r="I114" t="s">
        <v>1395</v>
      </c>
      <c r="K114" t="s">
        <v>61</v>
      </c>
      <c r="L114" t="s">
        <v>2127</v>
      </c>
      <c r="M114" t="s">
        <v>2136</v>
      </c>
      <c r="N114" t="s">
        <v>1686</v>
      </c>
      <c r="O114" t="s">
        <v>76</v>
      </c>
      <c r="P114" t="s">
        <v>2129</v>
      </c>
      <c r="Q114" t="s">
        <v>2130</v>
      </c>
      <c r="R114" t="s">
        <v>33</v>
      </c>
    </row>
    <row r="115" spans="1:18" x14ac:dyDescent="0.35">
      <c r="A115" t="s">
        <v>20</v>
      </c>
      <c r="B115">
        <v>17647</v>
      </c>
      <c r="C115" t="s">
        <v>1252</v>
      </c>
      <c r="D115" t="s">
        <v>1253</v>
      </c>
      <c r="E115" t="s">
        <v>2207</v>
      </c>
      <c r="F115" t="s">
        <v>2507</v>
      </c>
      <c r="G115" t="s">
        <v>2508</v>
      </c>
      <c r="H115" t="s">
        <v>2509</v>
      </c>
      <c r="I115" t="s">
        <v>1395</v>
      </c>
      <c r="K115" t="s">
        <v>46</v>
      </c>
      <c r="L115" t="s">
        <v>2135</v>
      </c>
      <c r="M115" t="s">
        <v>2136</v>
      </c>
      <c r="N115" t="s">
        <v>1686</v>
      </c>
      <c r="O115" t="s">
        <v>32</v>
      </c>
      <c r="P115" t="s">
        <v>2129</v>
      </c>
      <c r="Q115" t="s">
        <v>2130</v>
      </c>
      <c r="R115" t="s">
        <v>33</v>
      </c>
    </row>
    <row r="116" spans="1:18" x14ac:dyDescent="0.35">
      <c r="A116" t="s">
        <v>20</v>
      </c>
      <c r="B116">
        <v>17647</v>
      </c>
      <c r="C116" t="s">
        <v>1252</v>
      </c>
      <c r="D116" t="s">
        <v>1253</v>
      </c>
      <c r="E116" t="s">
        <v>2211</v>
      </c>
      <c r="F116" t="s">
        <v>2510</v>
      </c>
      <c r="G116" t="s">
        <v>2511</v>
      </c>
      <c r="H116" t="s">
        <v>2512</v>
      </c>
      <c r="I116" t="s">
        <v>1395</v>
      </c>
      <c r="K116" t="s">
        <v>28</v>
      </c>
      <c r="L116" t="s">
        <v>2135</v>
      </c>
      <c r="M116" t="s">
        <v>2136</v>
      </c>
      <c r="N116" t="s">
        <v>1686</v>
      </c>
      <c r="O116" t="s">
        <v>76</v>
      </c>
      <c r="P116" t="s">
        <v>2129</v>
      </c>
      <c r="Q116" t="s">
        <v>2130</v>
      </c>
      <c r="R116" t="s">
        <v>33</v>
      </c>
    </row>
    <row r="117" spans="1:18" x14ac:dyDescent="0.35">
      <c r="A117" t="s">
        <v>20</v>
      </c>
      <c r="B117">
        <v>17647</v>
      </c>
      <c r="C117" t="s">
        <v>1252</v>
      </c>
      <c r="D117" t="s">
        <v>1253</v>
      </c>
      <c r="E117" t="s">
        <v>2215</v>
      </c>
      <c r="F117" t="s">
        <v>2513</v>
      </c>
      <c r="G117" t="s">
        <v>2514</v>
      </c>
      <c r="H117" t="s">
        <v>2515</v>
      </c>
      <c r="I117" t="s">
        <v>1395</v>
      </c>
      <c r="K117" t="s">
        <v>28</v>
      </c>
      <c r="L117" t="s">
        <v>2135</v>
      </c>
      <c r="M117" t="s">
        <v>2128</v>
      </c>
      <c r="N117" t="s">
        <v>1681</v>
      </c>
      <c r="O117" t="s">
        <v>32</v>
      </c>
      <c r="P117" t="s">
        <v>2137</v>
      </c>
      <c r="Q117" t="s">
        <v>2130</v>
      </c>
      <c r="R117" t="s">
        <v>33</v>
      </c>
    </row>
    <row r="118" spans="1:18" x14ac:dyDescent="0.35">
      <c r="A118" t="s">
        <v>20</v>
      </c>
      <c r="B118">
        <v>17647</v>
      </c>
      <c r="C118" t="s">
        <v>1252</v>
      </c>
      <c r="D118" t="s">
        <v>1253</v>
      </c>
      <c r="E118" t="s">
        <v>2219</v>
      </c>
      <c r="F118" t="s">
        <v>2516</v>
      </c>
      <c r="G118" t="s">
        <v>2517</v>
      </c>
      <c r="H118" t="s">
        <v>2518</v>
      </c>
      <c r="I118" t="s">
        <v>1395</v>
      </c>
      <c r="K118" t="s">
        <v>46</v>
      </c>
      <c r="L118" t="s">
        <v>2135</v>
      </c>
      <c r="N118" t="s">
        <v>1686</v>
      </c>
      <c r="O118" t="s">
        <v>76</v>
      </c>
      <c r="P118" t="s">
        <v>2137</v>
      </c>
      <c r="Q118" t="s">
        <v>2130</v>
      </c>
      <c r="R118" t="s">
        <v>33</v>
      </c>
    </row>
    <row r="119" spans="1:18" x14ac:dyDescent="0.35">
      <c r="A119" t="s">
        <v>20</v>
      </c>
      <c r="B119">
        <v>17647</v>
      </c>
      <c r="C119" t="s">
        <v>1252</v>
      </c>
      <c r="D119" t="s">
        <v>1253</v>
      </c>
      <c r="E119" t="s">
        <v>2223</v>
      </c>
      <c r="F119" t="s">
        <v>2519</v>
      </c>
      <c r="G119" t="s">
        <v>2520</v>
      </c>
      <c r="H119" t="s">
        <v>2521</v>
      </c>
      <c r="I119" t="s">
        <v>1395</v>
      </c>
      <c r="K119" t="s">
        <v>28</v>
      </c>
      <c r="L119" t="s">
        <v>2135</v>
      </c>
      <c r="M119" t="s">
        <v>2191</v>
      </c>
      <c r="N119" t="s">
        <v>1686</v>
      </c>
      <c r="O119" t="s">
        <v>76</v>
      </c>
      <c r="P119" t="s">
        <v>2129</v>
      </c>
      <c r="Q119" t="s">
        <v>2130</v>
      </c>
      <c r="R119" t="s">
        <v>33</v>
      </c>
    </row>
    <row r="120" spans="1:18" x14ac:dyDescent="0.35">
      <c r="A120" t="s">
        <v>20</v>
      </c>
      <c r="B120">
        <v>17647</v>
      </c>
      <c r="C120" t="s">
        <v>1252</v>
      </c>
      <c r="D120" t="s">
        <v>1253</v>
      </c>
      <c r="E120" t="s">
        <v>2227</v>
      </c>
      <c r="F120" t="s">
        <v>2522</v>
      </c>
      <c r="G120" t="s">
        <v>2523</v>
      </c>
      <c r="H120" t="s">
        <v>2524</v>
      </c>
      <c r="I120" t="s">
        <v>1395</v>
      </c>
      <c r="K120" t="s">
        <v>61</v>
      </c>
      <c r="L120" t="s">
        <v>2127</v>
      </c>
      <c r="M120" t="s">
        <v>2191</v>
      </c>
      <c r="N120" t="s">
        <v>1686</v>
      </c>
      <c r="O120" t="s">
        <v>32</v>
      </c>
      <c r="P120" t="s">
        <v>2129</v>
      </c>
      <c r="Q120" t="s">
        <v>2130</v>
      </c>
      <c r="R120" t="s">
        <v>33</v>
      </c>
    </row>
    <row r="121" spans="1:18" x14ac:dyDescent="0.35">
      <c r="A121" t="s">
        <v>20</v>
      </c>
      <c r="B121">
        <v>17647</v>
      </c>
      <c r="C121" t="s">
        <v>1252</v>
      </c>
      <c r="D121" t="s">
        <v>1253</v>
      </c>
      <c r="E121" t="s">
        <v>2231</v>
      </c>
      <c r="F121" t="s">
        <v>2525</v>
      </c>
      <c r="G121" t="s">
        <v>2526</v>
      </c>
      <c r="H121" t="s">
        <v>2527</v>
      </c>
      <c r="I121" t="s">
        <v>1395</v>
      </c>
      <c r="K121" t="s">
        <v>46</v>
      </c>
      <c r="L121" t="s">
        <v>2135</v>
      </c>
      <c r="M121" t="s">
        <v>2191</v>
      </c>
      <c r="N121" t="s">
        <v>1686</v>
      </c>
      <c r="O121" t="s">
        <v>32</v>
      </c>
      <c r="P121" t="s">
        <v>2137</v>
      </c>
      <c r="Q121" t="s">
        <v>2130</v>
      </c>
      <c r="R121" t="s">
        <v>33</v>
      </c>
    </row>
    <row r="122" spans="1:18" x14ac:dyDescent="0.35">
      <c r="A122" t="s">
        <v>20</v>
      </c>
      <c r="B122">
        <v>17647</v>
      </c>
      <c r="C122" t="s">
        <v>1252</v>
      </c>
      <c r="D122" t="s">
        <v>1253</v>
      </c>
      <c r="E122" t="s">
        <v>2235</v>
      </c>
      <c r="F122" t="s">
        <v>2528</v>
      </c>
      <c r="G122" t="s">
        <v>2529</v>
      </c>
      <c r="H122" t="s">
        <v>2530</v>
      </c>
      <c r="I122" t="s">
        <v>1395</v>
      </c>
      <c r="K122" t="s">
        <v>46</v>
      </c>
      <c r="L122" t="s">
        <v>2202</v>
      </c>
      <c r="M122" t="s">
        <v>2191</v>
      </c>
      <c r="N122" t="s">
        <v>1686</v>
      </c>
      <c r="O122" t="s">
        <v>76</v>
      </c>
      <c r="P122" t="s">
        <v>2137</v>
      </c>
      <c r="Q122" t="s">
        <v>2130</v>
      </c>
      <c r="R122" t="s">
        <v>33</v>
      </c>
    </row>
    <row r="123" spans="1:18" x14ac:dyDescent="0.35">
      <c r="A123" t="s">
        <v>20</v>
      </c>
      <c r="B123">
        <v>17647</v>
      </c>
      <c r="C123" t="s">
        <v>1252</v>
      </c>
      <c r="D123" t="s">
        <v>1253</v>
      </c>
      <c r="E123" t="s">
        <v>2269</v>
      </c>
      <c r="F123" t="s">
        <v>2531</v>
      </c>
      <c r="G123" t="s">
        <v>2532</v>
      </c>
      <c r="H123" t="s">
        <v>2533</v>
      </c>
      <c r="I123" t="s">
        <v>1395</v>
      </c>
      <c r="K123" t="s">
        <v>28</v>
      </c>
      <c r="L123" t="s">
        <v>2135</v>
      </c>
      <c r="M123" t="s">
        <v>2136</v>
      </c>
      <c r="N123" t="s">
        <v>1686</v>
      </c>
      <c r="O123" t="s">
        <v>76</v>
      </c>
      <c r="P123" t="s">
        <v>2137</v>
      </c>
      <c r="Q123" t="s">
        <v>2130</v>
      </c>
      <c r="R123" t="s">
        <v>33</v>
      </c>
    </row>
    <row r="124" spans="1:18" x14ac:dyDescent="0.35">
      <c r="A124" t="s">
        <v>20</v>
      </c>
      <c r="B124">
        <v>17647</v>
      </c>
      <c r="C124" t="s">
        <v>1252</v>
      </c>
      <c r="D124" t="s">
        <v>1253</v>
      </c>
      <c r="E124" t="s">
        <v>2273</v>
      </c>
      <c r="F124" t="s">
        <v>2534</v>
      </c>
      <c r="G124" t="s">
        <v>2535</v>
      </c>
      <c r="H124" t="s">
        <v>2536</v>
      </c>
      <c r="I124" t="s">
        <v>1395</v>
      </c>
      <c r="K124" t="s">
        <v>46</v>
      </c>
      <c r="L124" t="s">
        <v>2135</v>
      </c>
      <c r="M124" t="s">
        <v>2191</v>
      </c>
      <c r="N124" t="s">
        <v>1700</v>
      </c>
      <c r="O124" t="s">
        <v>76</v>
      </c>
      <c r="P124" t="s">
        <v>2137</v>
      </c>
      <c r="Q124" t="s">
        <v>2192</v>
      </c>
      <c r="R124" t="s">
        <v>33</v>
      </c>
    </row>
    <row r="125" spans="1:18" x14ac:dyDescent="0.35">
      <c r="A125" t="s">
        <v>20</v>
      </c>
      <c r="B125">
        <v>17647</v>
      </c>
      <c r="C125" t="s">
        <v>1252</v>
      </c>
      <c r="D125" t="s">
        <v>1253</v>
      </c>
      <c r="E125" t="s">
        <v>2278</v>
      </c>
      <c r="F125" t="s">
        <v>2537</v>
      </c>
      <c r="G125" t="s">
        <v>2538</v>
      </c>
      <c r="H125" t="s">
        <v>2539</v>
      </c>
      <c r="I125" t="s">
        <v>1395</v>
      </c>
      <c r="K125" t="s">
        <v>46</v>
      </c>
      <c r="L125" t="s">
        <v>2135</v>
      </c>
      <c r="N125" t="s">
        <v>1686</v>
      </c>
      <c r="O125" t="s">
        <v>76</v>
      </c>
      <c r="P125" t="s">
        <v>2137</v>
      </c>
      <c r="Q125" t="s">
        <v>2130</v>
      </c>
      <c r="R125" t="s">
        <v>33</v>
      </c>
    </row>
    <row r="126" spans="1:18" x14ac:dyDescent="0.35">
      <c r="A126" t="s">
        <v>20</v>
      </c>
      <c r="B126">
        <v>17647</v>
      </c>
      <c r="C126" t="s">
        <v>1252</v>
      </c>
      <c r="D126" t="s">
        <v>1253</v>
      </c>
      <c r="E126" t="s">
        <v>2540</v>
      </c>
      <c r="F126" t="s">
        <v>2541</v>
      </c>
      <c r="G126" t="s">
        <v>2542</v>
      </c>
      <c r="H126" t="s">
        <v>2543</v>
      </c>
      <c r="I126" t="s">
        <v>1395</v>
      </c>
      <c r="K126" t="s">
        <v>61</v>
      </c>
      <c r="L126" t="s">
        <v>2127</v>
      </c>
      <c r="M126" t="s">
        <v>2191</v>
      </c>
      <c r="N126" t="s">
        <v>1686</v>
      </c>
      <c r="O126" t="s">
        <v>32</v>
      </c>
      <c r="P126" t="s">
        <v>2129</v>
      </c>
      <c r="Q126" t="s">
        <v>2130</v>
      </c>
      <c r="R126" t="s">
        <v>33</v>
      </c>
    </row>
    <row r="127" spans="1:18" x14ac:dyDescent="0.35">
      <c r="A127" t="s">
        <v>20</v>
      </c>
      <c r="B127">
        <v>17647</v>
      </c>
      <c r="C127" t="s">
        <v>1252</v>
      </c>
      <c r="D127" t="s">
        <v>1253</v>
      </c>
      <c r="E127" t="s">
        <v>2544</v>
      </c>
      <c r="F127" t="s">
        <v>2545</v>
      </c>
      <c r="G127" t="s">
        <v>2546</v>
      </c>
      <c r="H127" t="s">
        <v>2547</v>
      </c>
      <c r="I127" t="s">
        <v>1395</v>
      </c>
      <c r="K127" t="s">
        <v>28</v>
      </c>
      <c r="L127" t="s">
        <v>2135</v>
      </c>
      <c r="M127" t="s">
        <v>2136</v>
      </c>
      <c r="N127" t="s">
        <v>1686</v>
      </c>
      <c r="O127" t="s">
        <v>76</v>
      </c>
      <c r="P127" t="s">
        <v>2137</v>
      </c>
      <c r="Q127" t="s">
        <v>2130</v>
      </c>
      <c r="R127" t="s">
        <v>33</v>
      </c>
    </row>
    <row r="128" spans="1:18" x14ac:dyDescent="0.35">
      <c r="A128" t="s">
        <v>20</v>
      </c>
      <c r="B128">
        <v>17643</v>
      </c>
      <c r="C128" t="s">
        <v>426</v>
      </c>
      <c r="D128" t="s">
        <v>427</v>
      </c>
      <c r="E128" t="s">
        <v>2198</v>
      </c>
      <c r="F128" t="s">
        <v>2239</v>
      </c>
      <c r="G128" t="s">
        <v>2240</v>
      </c>
      <c r="H128" t="s">
        <v>2241</v>
      </c>
      <c r="I128" t="s">
        <v>431</v>
      </c>
      <c r="K128" t="s">
        <v>28</v>
      </c>
      <c r="L128" t="s">
        <v>2135</v>
      </c>
      <c r="M128" t="s">
        <v>2136</v>
      </c>
      <c r="N128" t="s">
        <v>1700</v>
      </c>
      <c r="O128" t="s">
        <v>32</v>
      </c>
      <c r="P128" t="s">
        <v>2137</v>
      </c>
      <c r="Q128" t="s">
        <v>2130</v>
      </c>
      <c r="R128" t="s">
        <v>33</v>
      </c>
    </row>
    <row r="129" spans="1:18" x14ac:dyDescent="0.35">
      <c r="A129" t="s">
        <v>20</v>
      </c>
      <c r="B129">
        <v>17643</v>
      </c>
      <c r="C129" t="s">
        <v>426</v>
      </c>
      <c r="D129" t="s">
        <v>427</v>
      </c>
      <c r="E129" t="s">
        <v>2203</v>
      </c>
      <c r="F129" t="s">
        <v>2242</v>
      </c>
      <c r="G129" t="s">
        <v>2243</v>
      </c>
      <c r="H129" t="s">
        <v>2244</v>
      </c>
      <c r="I129" t="s">
        <v>431</v>
      </c>
      <c r="K129" t="s">
        <v>61</v>
      </c>
      <c r="L129" t="s">
        <v>2127</v>
      </c>
      <c r="M129" t="s">
        <v>2191</v>
      </c>
      <c r="N129" t="s">
        <v>1686</v>
      </c>
      <c r="O129" t="s">
        <v>32</v>
      </c>
      <c r="P129" t="s">
        <v>2129</v>
      </c>
      <c r="Q129" t="s">
        <v>2130</v>
      </c>
      <c r="R129" t="s">
        <v>33</v>
      </c>
    </row>
    <row r="130" spans="1:18" x14ac:dyDescent="0.35">
      <c r="A130" t="s">
        <v>20</v>
      </c>
      <c r="B130">
        <v>17643</v>
      </c>
      <c r="C130" t="s">
        <v>426</v>
      </c>
      <c r="D130" t="s">
        <v>427</v>
      </c>
      <c r="E130" t="s">
        <v>2207</v>
      </c>
      <c r="F130" t="s">
        <v>2245</v>
      </c>
      <c r="G130" t="s">
        <v>2246</v>
      </c>
      <c r="H130" t="s">
        <v>2247</v>
      </c>
      <c r="I130" t="s">
        <v>431</v>
      </c>
      <c r="K130" t="s">
        <v>61</v>
      </c>
      <c r="L130" t="s">
        <v>2127</v>
      </c>
      <c r="M130" t="s">
        <v>2136</v>
      </c>
      <c r="N130" t="s">
        <v>1686</v>
      </c>
      <c r="O130" t="s">
        <v>32</v>
      </c>
      <c r="P130" t="s">
        <v>2129</v>
      </c>
      <c r="Q130" t="s">
        <v>2130</v>
      </c>
      <c r="R130" t="s">
        <v>33</v>
      </c>
    </row>
    <row r="131" spans="1:18" x14ac:dyDescent="0.35">
      <c r="A131" t="s">
        <v>20</v>
      </c>
      <c r="B131">
        <v>17643</v>
      </c>
      <c r="C131" t="s">
        <v>426</v>
      </c>
      <c r="D131" t="s">
        <v>427</v>
      </c>
      <c r="E131" t="s">
        <v>2211</v>
      </c>
      <c r="F131" t="s">
        <v>2248</v>
      </c>
      <c r="G131" t="s">
        <v>2249</v>
      </c>
      <c r="H131" t="s">
        <v>2250</v>
      </c>
      <c r="I131" t="s">
        <v>431</v>
      </c>
      <c r="K131" t="s">
        <v>28</v>
      </c>
      <c r="L131" t="s">
        <v>2202</v>
      </c>
      <c r="M131" t="s">
        <v>2136</v>
      </c>
      <c r="N131" t="s">
        <v>1686</v>
      </c>
      <c r="O131" t="s">
        <v>32</v>
      </c>
      <c r="P131" t="s">
        <v>2137</v>
      </c>
      <c r="Q131" t="s">
        <v>2130</v>
      </c>
      <c r="R131" t="s">
        <v>33</v>
      </c>
    </row>
    <row r="132" spans="1:18" x14ac:dyDescent="0.35">
      <c r="A132" t="s">
        <v>20</v>
      </c>
      <c r="B132">
        <v>17643</v>
      </c>
      <c r="C132" t="s">
        <v>426</v>
      </c>
      <c r="D132" t="s">
        <v>427</v>
      </c>
      <c r="E132" t="s">
        <v>2215</v>
      </c>
      <c r="F132" t="s">
        <v>2251</v>
      </c>
      <c r="G132" t="s">
        <v>2252</v>
      </c>
      <c r="H132" t="s">
        <v>2253</v>
      </c>
      <c r="I132" t="s">
        <v>431</v>
      </c>
      <c r="K132" t="s">
        <v>28</v>
      </c>
      <c r="L132" t="s">
        <v>2202</v>
      </c>
      <c r="M132" t="s">
        <v>2136</v>
      </c>
      <c r="N132" t="s">
        <v>1686</v>
      </c>
      <c r="O132" t="s">
        <v>76</v>
      </c>
      <c r="P132" t="s">
        <v>2137</v>
      </c>
      <c r="Q132" t="s">
        <v>2130</v>
      </c>
      <c r="R132" t="s">
        <v>33</v>
      </c>
    </row>
    <row r="133" spans="1:18" x14ac:dyDescent="0.35">
      <c r="A133" t="s">
        <v>20</v>
      </c>
      <c r="B133">
        <v>17643</v>
      </c>
      <c r="C133" t="s">
        <v>426</v>
      </c>
      <c r="D133" t="s">
        <v>427</v>
      </c>
      <c r="E133" t="s">
        <v>2219</v>
      </c>
      <c r="F133" t="s">
        <v>2254</v>
      </c>
      <c r="G133" t="s">
        <v>2255</v>
      </c>
      <c r="H133" t="s">
        <v>2256</v>
      </c>
      <c r="I133" t="s">
        <v>431</v>
      </c>
      <c r="K133" t="s">
        <v>28</v>
      </c>
      <c r="L133" t="s">
        <v>2202</v>
      </c>
      <c r="M133" t="s">
        <v>2136</v>
      </c>
      <c r="N133" t="s">
        <v>1686</v>
      </c>
      <c r="O133" t="s">
        <v>32</v>
      </c>
      <c r="P133" t="s">
        <v>2137</v>
      </c>
      <c r="Q133" t="s">
        <v>2130</v>
      </c>
      <c r="R133" t="s">
        <v>33</v>
      </c>
    </row>
    <row r="134" spans="1:18" x14ac:dyDescent="0.35">
      <c r="A134" t="s">
        <v>20</v>
      </c>
      <c r="B134">
        <v>17643</v>
      </c>
      <c r="C134" t="s">
        <v>426</v>
      </c>
      <c r="D134" t="s">
        <v>427</v>
      </c>
      <c r="E134" t="s">
        <v>2223</v>
      </c>
      <c r="F134" t="s">
        <v>2257</v>
      </c>
      <c r="G134" t="s">
        <v>2258</v>
      </c>
      <c r="H134" t="s">
        <v>2259</v>
      </c>
      <c r="I134" t="s">
        <v>431</v>
      </c>
      <c r="K134" t="s">
        <v>61</v>
      </c>
      <c r="L134" t="s">
        <v>2127</v>
      </c>
      <c r="M134" t="s">
        <v>2152</v>
      </c>
      <c r="N134" t="s">
        <v>1681</v>
      </c>
      <c r="O134" t="s">
        <v>76</v>
      </c>
      <c r="P134" t="s">
        <v>2129</v>
      </c>
      <c r="Q134" t="s">
        <v>2192</v>
      </c>
      <c r="R134" t="s">
        <v>33</v>
      </c>
    </row>
    <row r="135" spans="1:18" x14ac:dyDescent="0.35">
      <c r="A135" t="s">
        <v>20</v>
      </c>
      <c r="B135">
        <v>17643</v>
      </c>
      <c r="C135" t="s">
        <v>426</v>
      </c>
      <c r="D135" t="s">
        <v>427</v>
      </c>
      <c r="E135" t="s">
        <v>2227</v>
      </c>
      <c r="F135" t="s">
        <v>2260</v>
      </c>
      <c r="G135" t="s">
        <v>2261</v>
      </c>
      <c r="H135" t="s">
        <v>2262</v>
      </c>
      <c r="I135" t="s">
        <v>431</v>
      </c>
      <c r="K135" t="s">
        <v>28</v>
      </c>
      <c r="L135" t="s">
        <v>2135</v>
      </c>
      <c r="M135" t="s">
        <v>2128</v>
      </c>
      <c r="N135" t="s">
        <v>1681</v>
      </c>
      <c r="O135" t="s">
        <v>76</v>
      </c>
      <c r="P135" t="s">
        <v>2137</v>
      </c>
      <c r="Q135" t="s">
        <v>2130</v>
      </c>
      <c r="R135" t="s">
        <v>33</v>
      </c>
    </row>
    <row r="136" spans="1:18" x14ac:dyDescent="0.35">
      <c r="A136" t="s">
        <v>20</v>
      </c>
      <c r="B136">
        <v>17643</v>
      </c>
      <c r="C136" t="s">
        <v>426</v>
      </c>
      <c r="D136" t="s">
        <v>427</v>
      </c>
      <c r="E136" t="s">
        <v>2231</v>
      </c>
      <c r="F136" t="s">
        <v>2263</v>
      </c>
      <c r="G136" t="s">
        <v>2264</v>
      </c>
      <c r="H136" t="s">
        <v>2265</v>
      </c>
      <c r="I136" t="s">
        <v>431</v>
      </c>
      <c r="K136" t="s">
        <v>61</v>
      </c>
      <c r="L136" t="s">
        <v>2135</v>
      </c>
      <c r="M136" t="s">
        <v>2191</v>
      </c>
      <c r="N136" t="s">
        <v>1686</v>
      </c>
      <c r="O136" t="s">
        <v>76</v>
      </c>
      <c r="P136" t="s">
        <v>2137</v>
      </c>
      <c r="Q136" t="s">
        <v>2130</v>
      </c>
      <c r="R136" t="s">
        <v>33</v>
      </c>
    </row>
    <row r="137" spans="1:18" x14ac:dyDescent="0.35">
      <c r="A137" t="s">
        <v>20</v>
      </c>
      <c r="B137">
        <v>17643</v>
      </c>
      <c r="C137" t="s">
        <v>426</v>
      </c>
      <c r="D137" t="s">
        <v>427</v>
      </c>
      <c r="E137" t="s">
        <v>2235</v>
      </c>
      <c r="F137" t="s">
        <v>2266</v>
      </c>
      <c r="G137" t="s">
        <v>2267</v>
      </c>
      <c r="H137" t="s">
        <v>2268</v>
      </c>
      <c r="I137" t="s">
        <v>431</v>
      </c>
      <c r="K137" t="s">
        <v>46</v>
      </c>
      <c r="L137" t="s">
        <v>2135</v>
      </c>
      <c r="M137" t="s">
        <v>2191</v>
      </c>
      <c r="N137" t="s">
        <v>1686</v>
      </c>
      <c r="O137" t="s">
        <v>76</v>
      </c>
      <c r="P137" t="s">
        <v>2137</v>
      </c>
      <c r="Q137" t="s">
        <v>2130</v>
      </c>
      <c r="R137" t="s">
        <v>33</v>
      </c>
    </row>
    <row r="138" spans="1:18" x14ac:dyDescent="0.35">
      <c r="A138" t="s">
        <v>20</v>
      </c>
      <c r="B138">
        <v>17643</v>
      </c>
      <c r="C138" t="s">
        <v>426</v>
      </c>
      <c r="D138" t="s">
        <v>427</v>
      </c>
      <c r="E138" t="s">
        <v>2269</v>
      </c>
      <c r="F138" t="s">
        <v>2270</v>
      </c>
      <c r="G138" t="s">
        <v>2271</v>
      </c>
      <c r="H138" t="s">
        <v>2272</v>
      </c>
      <c r="I138" t="s">
        <v>431</v>
      </c>
      <c r="K138" t="s">
        <v>28</v>
      </c>
      <c r="L138" t="s">
        <v>2135</v>
      </c>
      <c r="M138" t="s">
        <v>2191</v>
      </c>
      <c r="N138" t="s">
        <v>1686</v>
      </c>
      <c r="O138" t="s">
        <v>76</v>
      </c>
      <c r="P138" t="s">
        <v>2137</v>
      </c>
      <c r="Q138" t="s">
        <v>2130</v>
      </c>
      <c r="R138" t="s">
        <v>33</v>
      </c>
    </row>
    <row r="139" spans="1:18" x14ac:dyDescent="0.35">
      <c r="A139" t="s">
        <v>20</v>
      </c>
      <c r="B139">
        <v>17643</v>
      </c>
      <c r="C139" t="s">
        <v>426</v>
      </c>
      <c r="D139" t="s">
        <v>427</v>
      </c>
      <c r="E139" t="s">
        <v>2273</v>
      </c>
      <c r="F139" t="s">
        <v>2274</v>
      </c>
      <c r="G139" t="s">
        <v>2275</v>
      </c>
      <c r="H139" t="s">
        <v>2276</v>
      </c>
      <c r="I139" t="s">
        <v>431</v>
      </c>
      <c r="K139" t="s">
        <v>61</v>
      </c>
      <c r="L139" t="s">
        <v>2127</v>
      </c>
      <c r="M139" t="s">
        <v>2152</v>
      </c>
      <c r="N139" t="s">
        <v>1686</v>
      </c>
      <c r="O139" t="s">
        <v>76</v>
      </c>
      <c r="P139" t="s">
        <v>2129</v>
      </c>
      <c r="Q139" t="s">
        <v>2277</v>
      </c>
      <c r="R139" t="s">
        <v>33</v>
      </c>
    </row>
    <row r="140" spans="1:18" x14ac:dyDescent="0.35">
      <c r="A140" t="s">
        <v>20</v>
      </c>
      <c r="B140">
        <v>17643</v>
      </c>
      <c r="C140" t="s">
        <v>426</v>
      </c>
      <c r="D140" t="s">
        <v>427</v>
      </c>
      <c r="E140" t="s">
        <v>2278</v>
      </c>
      <c r="F140" t="s">
        <v>2279</v>
      </c>
      <c r="G140" t="s">
        <v>2280</v>
      </c>
      <c r="H140" t="s">
        <v>2281</v>
      </c>
      <c r="I140" t="s">
        <v>431</v>
      </c>
      <c r="K140" t="s">
        <v>61</v>
      </c>
      <c r="L140" t="s">
        <v>2127</v>
      </c>
      <c r="M140" t="s">
        <v>2191</v>
      </c>
      <c r="N140" t="s">
        <v>1686</v>
      </c>
      <c r="O140" t="s">
        <v>76</v>
      </c>
      <c r="P140" t="s">
        <v>2129</v>
      </c>
      <c r="Q140" t="s">
        <v>2130</v>
      </c>
      <c r="R140" t="s">
        <v>33</v>
      </c>
    </row>
    <row r="141" spans="1:18" x14ac:dyDescent="0.35">
      <c r="A141" t="s">
        <v>20</v>
      </c>
      <c r="B141">
        <v>17643</v>
      </c>
      <c r="C141" t="s">
        <v>426</v>
      </c>
      <c r="D141" t="s">
        <v>427</v>
      </c>
      <c r="E141" t="s">
        <v>2123</v>
      </c>
      <c r="F141" t="s">
        <v>2282</v>
      </c>
      <c r="G141" t="s">
        <v>2283</v>
      </c>
      <c r="H141" t="s">
        <v>2284</v>
      </c>
      <c r="I141" t="s">
        <v>557</v>
      </c>
      <c r="K141" t="s">
        <v>46</v>
      </c>
      <c r="L141" t="s">
        <v>2202</v>
      </c>
      <c r="M141" t="s">
        <v>2191</v>
      </c>
      <c r="N141" t="s">
        <v>1686</v>
      </c>
      <c r="O141" t="s">
        <v>32</v>
      </c>
      <c r="P141" t="s">
        <v>2129</v>
      </c>
      <c r="Q141" t="s">
        <v>2130</v>
      </c>
      <c r="R141" t="s">
        <v>33</v>
      </c>
    </row>
    <row r="142" spans="1:18" x14ac:dyDescent="0.35">
      <c r="A142" t="s">
        <v>20</v>
      </c>
      <c r="B142">
        <v>17643</v>
      </c>
      <c r="C142" t="s">
        <v>426</v>
      </c>
      <c r="D142" t="s">
        <v>427</v>
      </c>
      <c r="E142" t="s">
        <v>2131</v>
      </c>
      <c r="F142" t="s">
        <v>2285</v>
      </c>
      <c r="G142" t="s">
        <v>2286</v>
      </c>
      <c r="H142" t="s">
        <v>2287</v>
      </c>
      <c r="I142" t="s">
        <v>557</v>
      </c>
      <c r="K142" t="s">
        <v>61</v>
      </c>
      <c r="L142" t="s">
        <v>2127</v>
      </c>
      <c r="M142" t="s">
        <v>2136</v>
      </c>
      <c r="N142" t="s">
        <v>1686</v>
      </c>
      <c r="O142" t="s">
        <v>32</v>
      </c>
      <c r="P142" t="s">
        <v>2129</v>
      </c>
      <c r="Q142" t="s">
        <v>2130</v>
      </c>
      <c r="R142" t="s">
        <v>33</v>
      </c>
    </row>
    <row r="143" spans="1:18" x14ac:dyDescent="0.35">
      <c r="A143" t="s">
        <v>20</v>
      </c>
      <c r="B143">
        <v>17643</v>
      </c>
      <c r="C143" t="s">
        <v>426</v>
      </c>
      <c r="D143" t="s">
        <v>427</v>
      </c>
      <c r="E143" t="s">
        <v>2138</v>
      </c>
      <c r="F143" t="s">
        <v>2288</v>
      </c>
      <c r="G143" t="s">
        <v>2289</v>
      </c>
      <c r="H143" t="s">
        <v>2290</v>
      </c>
      <c r="I143" t="s">
        <v>557</v>
      </c>
      <c r="K143" t="s">
        <v>61</v>
      </c>
      <c r="L143" t="s">
        <v>2127</v>
      </c>
      <c r="M143" t="s">
        <v>2191</v>
      </c>
      <c r="N143" t="s">
        <v>1686</v>
      </c>
      <c r="O143" t="s">
        <v>32</v>
      </c>
      <c r="P143" t="s">
        <v>2129</v>
      </c>
      <c r="Q143" t="s">
        <v>2130</v>
      </c>
      <c r="R143" t="s">
        <v>33</v>
      </c>
    </row>
    <row r="144" spans="1:18" x14ac:dyDescent="0.35">
      <c r="A144" t="s">
        <v>20</v>
      </c>
      <c r="B144">
        <v>17643</v>
      </c>
      <c r="C144" t="s">
        <v>426</v>
      </c>
      <c r="D144" t="s">
        <v>427</v>
      </c>
      <c r="E144" t="s">
        <v>2143</v>
      </c>
      <c r="F144" t="s">
        <v>2291</v>
      </c>
      <c r="G144" t="s">
        <v>2292</v>
      </c>
      <c r="H144" t="s">
        <v>2293</v>
      </c>
      <c r="I144" t="s">
        <v>557</v>
      </c>
      <c r="K144" t="s">
        <v>61</v>
      </c>
      <c r="L144" t="s">
        <v>2127</v>
      </c>
      <c r="M144" t="s">
        <v>2152</v>
      </c>
      <c r="N144" t="s">
        <v>1681</v>
      </c>
      <c r="O144" t="s">
        <v>76</v>
      </c>
      <c r="P144" t="s">
        <v>2137</v>
      </c>
      <c r="Q144" t="s">
        <v>2130</v>
      </c>
      <c r="R144" t="s">
        <v>33</v>
      </c>
    </row>
    <row r="145" spans="1:18" x14ac:dyDescent="0.35">
      <c r="A145" t="s">
        <v>20</v>
      </c>
      <c r="B145">
        <v>17643</v>
      </c>
      <c r="C145" t="s">
        <v>426</v>
      </c>
      <c r="D145" t="s">
        <v>427</v>
      </c>
      <c r="E145" t="s">
        <v>2147</v>
      </c>
      <c r="F145" t="s">
        <v>2294</v>
      </c>
      <c r="G145" t="s">
        <v>2295</v>
      </c>
      <c r="H145" t="s">
        <v>2296</v>
      </c>
      <c r="I145" t="s">
        <v>557</v>
      </c>
      <c r="K145" t="s">
        <v>61</v>
      </c>
      <c r="L145" t="s">
        <v>2127</v>
      </c>
      <c r="M145" t="s">
        <v>2136</v>
      </c>
      <c r="N145" t="s">
        <v>1686</v>
      </c>
      <c r="O145" t="s">
        <v>76</v>
      </c>
      <c r="P145" t="s">
        <v>2129</v>
      </c>
      <c r="Q145" t="s">
        <v>2130</v>
      </c>
      <c r="R145" t="s">
        <v>33</v>
      </c>
    </row>
    <row r="146" spans="1:18" x14ac:dyDescent="0.35">
      <c r="A146" t="s">
        <v>20</v>
      </c>
      <c r="B146">
        <v>17643</v>
      </c>
      <c r="C146" t="s">
        <v>426</v>
      </c>
      <c r="D146" t="s">
        <v>427</v>
      </c>
      <c r="E146" t="s">
        <v>2157</v>
      </c>
      <c r="F146" t="s">
        <v>2297</v>
      </c>
      <c r="G146" t="s">
        <v>2298</v>
      </c>
      <c r="H146" t="s">
        <v>2299</v>
      </c>
      <c r="I146" t="s">
        <v>557</v>
      </c>
      <c r="K146" t="s">
        <v>61</v>
      </c>
      <c r="L146" t="s">
        <v>2127</v>
      </c>
      <c r="M146" t="s">
        <v>2136</v>
      </c>
      <c r="N146" t="s">
        <v>1681</v>
      </c>
      <c r="O146" t="s">
        <v>76</v>
      </c>
      <c r="P146" t="s">
        <v>2137</v>
      </c>
      <c r="Q146" t="s">
        <v>2130</v>
      </c>
      <c r="R146" t="s">
        <v>33</v>
      </c>
    </row>
    <row r="147" spans="1:18" x14ac:dyDescent="0.35">
      <c r="A147" t="s">
        <v>20</v>
      </c>
      <c r="B147">
        <v>17643</v>
      </c>
      <c r="C147" t="s">
        <v>426</v>
      </c>
      <c r="D147" t="s">
        <v>427</v>
      </c>
      <c r="E147" t="s">
        <v>2153</v>
      </c>
      <c r="F147" t="s">
        <v>2300</v>
      </c>
      <c r="G147" t="s">
        <v>2301</v>
      </c>
      <c r="H147" t="s">
        <v>2302</v>
      </c>
      <c r="I147" t="s">
        <v>557</v>
      </c>
      <c r="K147" t="s">
        <v>61</v>
      </c>
      <c r="L147" t="s">
        <v>2151</v>
      </c>
      <c r="N147" t="s">
        <v>1681</v>
      </c>
      <c r="O147" t="s">
        <v>76</v>
      </c>
      <c r="R147" t="s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>
      <selection activeCell="I2" sqref="I2:I7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2548</v>
      </c>
      <c r="M1" t="s">
        <v>1528</v>
      </c>
      <c r="N1" t="s">
        <v>14</v>
      </c>
      <c r="O1" t="s">
        <v>15</v>
      </c>
      <c r="P1" t="s">
        <v>19</v>
      </c>
    </row>
    <row r="2" spans="1:16" x14ac:dyDescent="0.35">
      <c r="A2" t="s">
        <v>20</v>
      </c>
      <c r="B2">
        <v>17644</v>
      </c>
      <c r="C2" t="s">
        <v>21</v>
      </c>
      <c r="D2" t="s">
        <v>22</v>
      </c>
      <c r="E2" t="s">
        <v>2549</v>
      </c>
      <c r="F2" t="s">
        <v>235</v>
      </c>
      <c r="G2" t="s">
        <v>2550</v>
      </c>
      <c r="H2" t="s">
        <v>2551</v>
      </c>
      <c r="I2" t="s">
        <v>27</v>
      </c>
      <c r="K2" t="s">
        <v>28</v>
      </c>
      <c r="L2" t="s">
        <v>2552</v>
      </c>
      <c r="M2" t="s">
        <v>1681</v>
      </c>
      <c r="N2" t="s">
        <v>32</v>
      </c>
      <c r="O2" t="s">
        <v>33</v>
      </c>
    </row>
    <row r="3" spans="1:16" x14ac:dyDescent="0.35">
      <c r="A3" t="s">
        <v>20</v>
      </c>
      <c r="B3">
        <v>17644</v>
      </c>
      <c r="C3" t="s">
        <v>21</v>
      </c>
      <c r="D3" t="s">
        <v>22</v>
      </c>
      <c r="E3" t="s">
        <v>2553</v>
      </c>
      <c r="F3" t="s">
        <v>252</v>
      </c>
      <c r="G3" t="s">
        <v>2554</v>
      </c>
      <c r="H3" t="s">
        <v>2555</v>
      </c>
      <c r="I3" t="s">
        <v>27</v>
      </c>
      <c r="K3" t="s">
        <v>28</v>
      </c>
      <c r="L3" t="s">
        <v>2552</v>
      </c>
      <c r="M3" t="s">
        <v>1681</v>
      </c>
      <c r="N3" t="s">
        <v>32</v>
      </c>
      <c r="O3" t="s">
        <v>33</v>
      </c>
    </row>
    <row r="4" spans="1:16" x14ac:dyDescent="0.35">
      <c r="A4" t="s">
        <v>20</v>
      </c>
      <c r="B4">
        <v>17644</v>
      </c>
      <c r="C4" t="s">
        <v>21</v>
      </c>
      <c r="D4" t="s">
        <v>22</v>
      </c>
      <c r="E4" t="s">
        <v>2556</v>
      </c>
      <c r="F4" t="s">
        <v>2557</v>
      </c>
      <c r="G4" t="s">
        <v>2558</v>
      </c>
      <c r="H4" t="s">
        <v>2559</v>
      </c>
      <c r="I4" t="s">
        <v>27</v>
      </c>
      <c r="K4" t="s">
        <v>46</v>
      </c>
      <c r="L4" t="s">
        <v>2560</v>
      </c>
      <c r="M4" t="s">
        <v>1681</v>
      </c>
      <c r="N4" t="s">
        <v>32</v>
      </c>
      <c r="O4" t="s">
        <v>33</v>
      </c>
    </row>
    <row r="5" spans="1:16" x14ac:dyDescent="0.35">
      <c r="A5" t="s">
        <v>20</v>
      </c>
      <c r="B5">
        <v>17644</v>
      </c>
      <c r="C5" t="s">
        <v>21</v>
      </c>
      <c r="D5" t="s">
        <v>22</v>
      </c>
      <c r="E5" t="s">
        <v>2561</v>
      </c>
      <c r="F5" t="s">
        <v>2562</v>
      </c>
      <c r="G5" t="s">
        <v>2563</v>
      </c>
      <c r="H5" t="s">
        <v>2564</v>
      </c>
      <c r="I5" t="s">
        <v>27</v>
      </c>
      <c r="K5" t="s">
        <v>28</v>
      </c>
      <c r="L5" t="s">
        <v>2552</v>
      </c>
      <c r="M5" t="s">
        <v>1681</v>
      </c>
      <c r="N5" t="s">
        <v>32</v>
      </c>
      <c r="O5" t="s">
        <v>33</v>
      </c>
    </row>
    <row r="6" spans="1:16" x14ac:dyDescent="0.35">
      <c r="A6" t="s">
        <v>20</v>
      </c>
      <c r="B6">
        <v>17644</v>
      </c>
      <c r="C6" t="s">
        <v>21</v>
      </c>
      <c r="D6" t="s">
        <v>22</v>
      </c>
      <c r="E6" t="s">
        <v>2565</v>
      </c>
      <c r="F6" t="s">
        <v>284</v>
      </c>
      <c r="G6" t="s">
        <v>2566</v>
      </c>
      <c r="H6" t="s">
        <v>2567</v>
      </c>
      <c r="I6" t="s">
        <v>27</v>
      </c>
      <c r="K6" t="s">
        <v>46</v>
      </c>
      <c r="L6" t="s">
        <v>2560</v>
      </c>
      <c r="M6" t="s">
        <v>1681</v>
      </c>
      <c r="N6" t="s">
        <v>32</v>
      </c>
      <c r="O6" t="s">
        <v>33</v>
      </c>
    </row>
    <row r="7" spans="1:16" x14ac:dyDescent="0.35">
      <c r="A7" t="s">
        <v>20</v>
      </c>
      <c r="B7">
        <v>17644</v>
      </c>
      <c r="C7" t="s">
        <v>21</v>
      </c>
      <c r="D7" t="s">
        <v>22</v>
      </c>
      <c r="E7" t="s">
        <v>2568</v>
      </c>
      <c r="F7" t="s">
        <v>2569</v>
      </c>
      <c r="G7" t="s">
        <v>2570</v>
      </c>
      <c r="H7" t="s">
        <v>2571</v>
      </c>
      <c r="I7" t="s">
        <v>27</v>
      </c>
      <c r="K7" t="s">
        <v>28</v>
      </c>
      <c r="L7" t="s">
        <v>2552</v>
      </c>
      <c r="M7" t="s">
        <v>1686</v>
      </c>
      <c r="N7" t="s">
        <v>2572</v>
      </c>
      <c r="O7" t="s">
        <v>33</v>
      </c>
    </row>
    <row r="8" spans="1:16" x14ac:dyDescent="0.35">
      <c r="A8" t="s">
        <v>20</v>
      </c>
      <c r="B8">
        <v>17644</v>
      </c>
      <c r="C8" t="s">
        <v>21</v>
      </c>
      <c r="D8" t="s">
        <v>22</v>
      </c>
      <c r="E8" t="s">
        <v>2573</v>
      </c>
      <c r="F8" t="s">
        <v>35</v>
      </c>
      <c r="G8" t="s">
        <v>2574</v>
      </c>
      <c r="H8" t="s">
        <v>2575</v>
      </c>
      <c r="I8" t="s">
        <v>238</v>
      </c>
      <c r="K8" t="s">
        <v>61</v>
      </c>
      <c r="L8" t="s">
        <v>2552</v>
      </c>
      <c r="M8" t="s">
        <v>1681</v>
      </c>
      <c r="N8" t="s">
        <v>76</v>
      </c>
      <c r="O8" t="s">
        <v>33</v>
      </c>
    </row>
    <row r="9" spans="1:16" x14ac:dyDescent="0.35">
      <c r="A9" t="s">
        <v>20</v>
      </c>
      <c r="B9">
        <v>17644</v>
      </c>
      <c r="C9" t="s">
        <v>21</v>
      </c>
      <c r="D9" t="s">
        <v>22</v>
      </c>
      <c r="E9" t="s">
        <v>2576</v>
      </c>
      <c r="F9" t="s">
        <v>64</v>
      </c>
      <c r="G9" t="s">
        <v>2577</v>
      </c>
      <c r="H9" t="s">
        <v>2578</v>
      </c>
      <c r="I9" t="s">
        <v>238</v>
      </c>
      <c r="K9" t="s">
        <v>28</v>
      </c>
      <c r="L9" t="s">
        <v>2552</v>
      </c>
      <c r="M9" t="s">
        <v>1681</v>
      </c>
      <c r="N9" t="s">
        <v>76</v>
      </c>
      <c r="O9" t="s">
        <v>33</v>
      </c>
    </row>
    <row r="10" spans="1:16" x14ac:dyDescent="0.35">
      <c r="A10" t="s">
        <v>20</v>
      </c>
      <c r="B10">
        <v>17644</v>
      </c>
      <c r="C10" t="s">
        <v>21</v>
      </c>
      <c r="D10" t="s">
        <v>22</v>
      </c>
      <c r="E10" t="s">
        <v>2579</v>
      </c>
      <c r="F10" t="s">
        <v>2580</v>
      </c>
      <c r="G10" t="s">
        <v>2581</v>
      </c>
      <c r="H10" t="s">
        <v>2582</v>
      </c>
      <c r="I10" t="s">
        <v>238</v>
      </c>
      <c r="K10" t="s">
        <v>28</v>
      </c>
      <c r="L10" t="s">
        <v>2552</v>
      </c>
      <c r="M10" t="s">
        <v>1681</v>
      </c>
      <c r="N10" t="s">
        <v>76</v>
      </c>
      <c r="O10" t="s">
        <v>33</v>
      </c>
    </row>
    <row r="11" spans="1:16" x14ac:dyDescent="0.35">
      <c r="A11" t="s">
        <v>20</v>
      </c>
      <c r="B11">
        <v>17644</v>
      </c>
      <c r="C11" t="s">
        <v>21</v>
      </c>
      <c r="D11" t="s">
        <v>22</v>
      </c>
      <c r="E11" t="s">
        <v>2583</v>
      </c>
      <c r="F11" t="s">
        <v>117</v>
      </c>
      <c r="G11" t="s">
        <v>2584</v>
      </c>
      <c r="H11" t="s">
        <v>2585</v>
      </c>
      <c r="I11" t="s">
        <v>238</v>
      </c>
      <c r="K11" t="s">
        <v>61</v>
      </c>
      <c r="L11" t="s">
        <v>2552</v>
      </c>
      <c r="M11" t="s">
        <v>1681</v>
      </c>
      <c r="N11" t="s">
        <v>76</v>
      </c>
      <c r="O11" t="s">
        <v>33</v>
      </c>
    </row>
    <row r="12" spans="1:16" x14ac:dyDescent="0.35">
      <c r="A12" t="s">
        <v>20</v>
      </c>
      <c r="B12">
        <v>17644</v>
      </c>
      <c r="C12" t="s">
        <v>21</v>
      </c>
      <c r="D12" t="s">
        <v>22</v>
      </c>
      <c r="E12" t="s">
        <v>2586</v>
      </c>
      <c r="F12" t="s">
        <v>150</v>
      </c>
      <c r="G12" t="s">
        <v>2587</v>
      </c>
      <c r="H12" t="s">
        <v>2588</v>
      </c>
      <c r="I12" t="s">
        <v>238</v>
      </c>
      <c r="K12" t="s">
        <v>28</v>
      </c>
      <c r="L12" t="s">
        <v>2552</v>
      </c>
      <c r="M12" t="s">
        <v>1681</v>
      </c>
      <c r="N12" t="s">
        <v>76</v>
      </c>
      <c r="O12" t="s">
        <v>33</v>
      </c>
    </row>
    <row r="13" spans="1:16" x14ac:dyDescent="0.35">
      <c r="A13" t="s">
        <v>20</v>
      </c>
      <c r="B13">
        <v>17643</v>
      </c>
      <c r="C13" t="s">
        <v>426</v>
      </c>
      <c r="D13" t="s">
        <v>427</v>
      </c>
      <c r="E13" t="s">
        <v>2549</v>
      </c>
      <c r="F13" t="s">
        <v>2589</v>
      </c>
      <c r="G13" t="s">
        <v>2590</v>
      </c>
      <c r="H13" t="s">
        <v>2591</v>
      </c>
      <c r="I13" t="s">
        <v>557</v>
      </c>
      <c r="K13" t="s">
        <v>28</v>
      </c>
      <c r="L13" t="s">
        <v>2552</v>
      </c>
      <c r="M13" t="s">
        <v>1681</v>
      </c>
      <c r="N13" t="s">
        <v>32</v>
      </c>
      <c r="O13" t="s">
        <v>33</v>
      </c>
      <c r="P13" t="s">
        <v>432</v>
      </c>
    </row>
    <row r="14" spans="1:16" x14ac:dyDescent="0.35">
      <c r="A14" t="s">
        <v>20</v>
      </c>
      <c r="B14">
        <v>17643</v>
      </c>
      <c r="C14" t="s">
        <v>426</v>
      </c>
      <c r="D14" t="s">
        <v>427</v>
      </c>
      <c r="E14" t="s">
        <v>2553</v>
      </c>
      <c r="F14" t="s">
        <v>439</v>
      </c>
      <c r="G14" t="s">
        <v>2592</v>
      </c>
      <c r="H14" t="s">
        <v>2593</v>
      </c>
      <c r="I14" t="s">
        <v>557</v>
      </c>
      <c r="K14" t="s">
        <v>61</v>
      </c>
      <c r="L14" t="s">
        <v>2552</v>
      </c>
      <c r="M14" t="s">
        <v>1681</v>
      </c>
      <c r="N14" t="s">
        <v>32</v>
      </c>
      <c r="O14" t="s">
        <v>33</v>
      </c>
      <c r="P14" t="s">
        <v>432</v>
      </c>
    </row>
    <row r="15" spans="1:16" x14ac:dyDescent="0.35">
      <c r="A15" t="s">
        <v>20</v>
      </c>
      <c r="B15">
        <v>17643</v>
      </c>
      <c r="C15" t="s">
        <v>426</v>
      </c>
      <c r="D15" t="s">
        <v>427</v>
      </c>
      <c r="E15" t="s">
        <v>2556</v>
      </c>
      <c r="F15" t="s">
        <v>457</v>
      </c>
      <c r="G15" t="s">
        <v>2594</v>
      </c>
      <c r="H15" t="s">
        <v>2595</v>
      </c>
      <c r="I15" t="s">
        <v>557</v>
      </c>
      <c r="K15" t="s">
        <v>28</v>
      </c>
      <c r="L15" t="s">
        <v>2552</v>
      </c>
      <c r="M15" t="s">
        <v>1681</v>
      </c>
      <c r="N15" t="s">
        <v>32</v>
      </c>
      <c r="O15" t="s">
        <v>33</v>
      </c>
      <c r="P15" t="s">
        <v>432</v>
      </c>
    </row>
    <row r="16" spans="1:16" x14ac:dyDescent="0.35">
      <c r="A16" t="s">
        <v>20</v>
      </c>
      <c r="B16">
        <v>17643</v>
      </c>
      <c r="C16" t="s">
        <v>426</v>
      </c>
      <c r="D16" t="s">
        <v>427</v>
      </c>
      <c r="E16" t="s">
        <v>2561</v>
      </c>
      <c r="F16" t="s">
        <v>475</v>
      </c>
      <c r="G16" t="s">
        <v>2596</v>
      </c>
      <c r="H16" t="s">
        <v>2597</v>
      </c>
      <c r="I16" t="s">
        <v>557</v>
      </c>
      <c r="K16" t="s">
        <v>61</v>
      </c>
      <c r="L16" t="s">
        <v>2552</v>
      </c>
      <c r="M16" t="s">
        <v>1681</v>
      </c>
      <c r="N16" t="s">
        <v>32</v>
      </c>
      <c r="O16" t="s">
        <v>33</v>
      </c>
      <c r="P16" t="s">
        <v>432</v>
      </c>
    </row>
    <row r="17" spans="1:16" x14ac:dyDescent="0.35">
      <c r="A17" t="s">
        <v>20</v>
      </c>
      <c r="B17">
        <v>17643</v>
      </c>
      <c r="C17" t="s">
        <v>426</v>
      </c>
      <c r="D17" t="s">
        <v>427</v>
      </c>
      <c r="E17" t="s">
        <v>2565</v>
      </c>
      <c r="F17" t="s">
        <v>2598</v>
      </c>
      <c r="G17" t="s">
        <v>2599</v>
      </c>
      <c r="H17" t="s">
        <v>2600</v>
      </c>
      <c r="I17" t="s">
        <v>557</v>
      </c>
      <c r="K17" t="s">
        <v>28</v>
      </c>
      <c r="L17" t="s">
        <v>2560</v>
      </c>
      <c r="M17" t="s">
        <v>1681</v>
      </c>
      <c r="N17" t="s">
        <v>56</v>
      </c>
      <c r="O17" t="s">
        <v>33</v>
      </c>
      <c r="P17" t="s">
        <v>432</v>
      </c>
    </row>
    <row r="18" spans="1:16" x14ac:dyDescent="0.35">
      <c r="A18" t="s">
        <v>20</v>
      </c>
      <c r="B18">
        <v>17643</v>
      </c>
      <c r="C18" t="s">
        <v>426</v>
      </c>
      <c r="D18" t="s">
        <v>427</v>
      </c>
      <c r="E18" t="s">
        <v>2568</v>
      </c>
      <c r="F18" t="s">
        <v>542</v>
      </c>
      <c r="G18" t="s">
        <v>2601</v>
      </c>
      <c r="H18" t="s">
        <v>2602</v>
      </c>
      <c r="I18" t="s">
        <v>557</v>
      </c>
      <c r="K18" t="s">
        <v>61</v>
      </c>
      <c r="L18" t="s">
        <v>2552</v>
      </c>
      <c r="M18" t="s">
        <v>1681</v>
      </c>
      <c r="N18" t="s">
        <v>56</v>
      </c>
      <c r="O18" t="s">
        <v>33</v>
      </c>
      <c r="P18" t="s">
        <v>432</v>
      </c>
    </row>
    <row r="19" spans="1:16" x14ac:dyDescent="0.35">
      <c r="A19" t="s">
        <v>20</v>
      </c>
      <c r="B19">
        <v>17643</v>
      </c>
      <c r="C19" t="s">
        <v>426</v>
      </c>
      <c r="D19" t="s">
        <v>427</v>
      </c>
      <c r="E19" t="s">
        <v>2573</v>
      </c>
      <c r="F19" t="s">
        <v>573</v>
      </c>
      <c r="G19" t="s">
        <v>2603</v>
      </c>
      <c r="H19" t="s">
        <v>2604</v>
      </c>
      <c r="I19" t="s">
        <v>431</v>
      </c>
      <c r="K19" t="s">
        <v>28</v>
      </c>
      <c r="L19" t="s">
        <v>2552</v>
      </c>
      <c r="M19" t="s">
        <v>1681</v>
      </c>
      <c r="N19" t="s">
        <v>76</v>
      </c>
      <c r="O19" t="s">
        <v>33</v>
      </c>
      <c r="P19" t="s">
        <v>432</v>
      </c>
    </row>
    <row r="20" spans="1:16" x14ac:dyDescent="0.35">
      <c r="A20" t="s">
        <v>20</v>
      </c>
      <c r="B20">
        <v>17643</v>
      </c>
      <c r="C20" t="s">
        <v>426</v>
      </c>
      <c r="D20" t="s">
        <v>427</v>
      </c>
      <c r="E20" t="s">
        <v>2576</v>
      </c>
      <c r="F20" t="s">
        <v>582</v>
      </c>
      <c r="G20" t="s">
        <v>2605</v>
      </c>
      <c r="H20" t="s">
        <v>2606</v>
      </c>
      <c r="I20" t="s">
        <v>431</v>
      </c>
      <c r="K20" t="s">
        <v>28</v>
      </c>
      <c r="L20" t="s">
        <v>2552</v>
      </c>
      <c r="M20" t="s">
        <v>1681</v>
      </c>
      <c r="N20" t="s">
        <v>76</v>
      </c>
      <c r="O20" t="s">
        <v>33</v>
      </c>
      <c r="P20" t="s">
        <v>432</v>
      </c>
    </row>
    <row r="21" spans="1:16" x14ac:dyDescent="0.35">
      <c r="A21" t="s">
        <v>20</v>
      </c>
      <c r="B21">
        <v>17643</v>
      </c>
      <c r="C21" t="s">
        <v>426</v>
      </c>
      <c r="D21" t="s">
        <v>427</v>
      </c>
      <c r="E21" t="s">
        <v>2579</v>
      </c>
      <c r="F21" t="s">
        <v>2607</v>
      </c>
      <c r="G21" t="s">
        <v>2608</v>
      </c>
      <c r="H21" t="s">
        <v>2609</v>
      </c>
      <c r="I21" t="s">
        <v>431</v>
      </c>
      <c r="K21" t="s">
        <v>28</v>
      </c>
      <c r="L21" t="s">
        <v>2552</v>
      </c>
      <c r="M21" t="s">
        <v>1681</v>
      </c>
      <c r="N21" t="s">
        <v>76</v>
      </c>
      <c r="O21" t="s">
        <v>33</v>
      </c>
      <c r="P21" t="s">
        <v>432</v>
      </c>
    </row>
    <row r="22" spans="1:16" x14ac:dyDescent="0.35">
      <c r="A22" t="s">
        <v>20</v>
      </c>
      <c r="B22">
        <v>17643</v>
      </c>
      <c r="C22" t="s">
        <v>426</v>
      </c>
      <c r="D22" t="s">
        <v>427</v>
      </c>
      <c r="E22" t="s">
        <v>2583</v>
      </c>
      <c r="F22" t="s">
        <v>2610</v>
      </c>
      <c r="G22" t="s">
        <v>2611</v>
      </c>
      <c r="H22" t="s">
        <v>2612</v>
      </c>
      <c r="I22" t="s">
        <v>431</v>
      </c>
      <c r="K22" t="s">
        <v>28</v>
      </c>
      <c r="L22" t="s">
        <v>2552</v>
      </c>
      <c r="M22" t="s">
        <v>1681</v>
      </c>
      <c r="N22" t="s">
        <v>32</v>
      </c>
      <c r="O22" t="s">
        <v>33</v>
      </c>
      <c r="P22" t="s">
        <v>432</v>
      </c>
    </row>
    <row r="23" spans="1:16" x14ac:dyDescent="0.35">
      <c r="A23" t="s">
        <v>20</v>
      </c>
      <c r="B23">
        <v>17643</v>
      </c>
      <c r="C23" t="s">
        <v>426</v>
      </c>
      <c r="D23" t="s">
        <v>427</v>
      </c>
      <c r="E23" t="s">
        <v>2586</v>
      </c>
      <c r="F23" t="s">
        <v>2613</v>
      </c>
      <c r="G23" t="s">
        <v>2614</v>
      </c>
      <c r="H23" t="s">
        <v>2615</v>
      </c>
      <c r="I23" t="s">
        <v>431</v>
      </c>
      <c r="K23" t="s">
        <v>61</v>
      </c>
      <c r="L23" t="s">
        <v>2552</v>
      </c>
      <c r="M23" t="s">
        <v>1681</v>
      </c>
      <c r="N23" t="s">
        <v>32</v>
      </c>
      <c r="O23" t="s">
        <v>33</v>
      </c>
      <c r="P23" t="s">
        <v>432</v>
      </c>
    </row>
    <row r="24" spans="1:16" x14ac:dyDescent="0.35">
      <c r="A24" t="s">
        <v>20</v>
      </c>
      <c r="B24">
        <v>17643</v>
      </c>
      <c r="C24" t="s">
        <v>426</v>
      </c>
      <c r="D24" t="s">
        <v>427</v>
      </c>
      <c r="E24" t="s">
        <v>2616</v>
      </c>
      <c r="F24" t="s">
        <v>642</v>
      </c>
      <c r="G24" t="s">
        <v>2617</v>
      </c>
      <c r="H24" t="s">
        <v>2618</v>
      </c>
      <c r="I24" t="s">
        <v>431</v>
      </c>
      <c r="K24" t="s">
        <v>28</v>
      </c>
      <c r="L24" t="s">
        <v>2552</v>
      </c>
      <c r="M24" t="s">
        <v>1681</v>
      </c>
      <c r="N24" t="s">
        <v>76</v>
      </c>
      <c r="O24" t="s">
        <v>33</v>
      </c>
      <c r="P24" t="s">
        <v>432</v>
      </c>
    </row>
    <row r="25" spans="1:16" x14ac:dyDescent="0.35">
      <c r="A25" t="s">
        <v>20</v>
      </c>
      <c r="B25">
        <v>17643</v>
      </c>
      <c r="C25" t="s">
        <v>426</v>
      </c>
      <c r="D25" t="s">
        <v>427</v>
      </c>
      <c r="E25" t="s">
        <v>2619</v>
      </c>
      <c r="F25" t="s">
        <v>2620</v>
      </c>
      <c r="G25" t="s">
        <v>2621</v>
      </c>
      <c r="H25" t="s">
        <v>2622</v>
      </c>
      <c r="I25" t="s">
        <v>431</v>
      </c>
      <c r="K25" t="s">
        <v>28</v>
      </c>
      <c r="L25" t="s">
        <v>2552</v>
      </c>
      <c r="M25" t="s">
        <v>1681</v>
      </c>
      <c r="N25" t="s">
        <v>76</v>
      </c>
      <c r="O25" t="s">
        <v>33</v>
      </c>
      <c r="P25" t="s">
        <v>432</v>
      </c>
    </row>
    <row r="26" spans="1:16" x14ac:dyDescent="0.35">
      <c r="A26" t="s">
        <v>20</v>
      </c>
      <c r="B26">
        <v>17643</v>
      </c>
      <c r="C26" t="s">
        <v>426</v>
      </c>
      <c r="D26" t="s">
        <v>427</v>
      </c>
      <c r="E26" t="s">
        <v>2623</v>
      </c>
      <c r="F26" t="s">
        <v>545</v>
      </c>
      <c r="G26" t="s">
        <v>2624</v>
      </c>
      <c r="H26" t="s">
        <v>2625</v>
      </c>
      <c r="I26" t="s">
        <v>431</v>
      </c>
      <c r="K26" t="s">
        <v>28</v>
      </c>
      <c r="L26" t="s">
        <v>2552</v>
      </c>
      <c r="M26" t="s">
        <v>1686</v>
      </c>
      <c r="N26" t="s">
        <v>76</v>
      </c>
      <c r="O26" t="s">
        <v>33</v>
      </c>
      <c r="P26" t="s">
        <v>432</v>
      </c>
    </row>
    <row r="27" spans="1:16" x14ac:dyDescent="0.35">
      <c r="A27" t="s">
        <v>20</v>
      </c>
      <c r="B27">
        <v>17646</v>
      </c>
      <c r="C27" t="s">
        <v>666</v>
      </c>
      <c r="D27" t="s">
        <v>667</v>
      </c>
      <c r="E27" t="s">
        <v>2549</v>
      </c>
      <c r="F27" t="s">
        <v>672</v>
      </c>
      <c r="G27" t="s">
        <v>2626</v>
      </c>
      <c r="H27" t="s">
        <v>2627</v>
      </c>
      <c r="I27" t="s">
        <v>809</v>
      </c>
      <c r="K27" t="s">
        <v>28</v>
      </c>
      <c r="L27" t="s">
        <v>2552</v>
      </c>
      <c r="M27" t="s">
        <v>1681</v>
      </c>
      <c r="N27" t="s">
        <v>32</v>
      </c>
      <c r="O27" t="s">
        <v>33</v>
      </c>
    </row>
    <row r="28" spans="1:16" x14ac:dyDescent="0.35">
      <c r="A28" t="s">
        <v>20</v>
      </c>
      <c r="B28">
        <v>17646</v>
      </c>
      <c r="C28" t="s">
        <v>666</v>
      </c>
      <c r="D28" t="s">
        <v>667</v>
      </c>
      <c r="E28" t="s">
        <v>2553</v>
      </c>
      <c r="F28" t="s">
        <v>835</v>
      </c>
      <c r="G28" t="s">
        <v>2628</v>
      </c>
      <c r="H28" t="s">
        <v>2629</v>
      </c>
      <c r="I28" t="s">
        <v>809</v>
      </c>
      <c r="K28" t="s">
        <v>28</v>
      </c>
      <c r="L28" t="s">
        <v>2552</v>
      </c>
      <c r="M28" t="s">
        <v>1686</v>
      </c>
      <c r="N28" t="s">
        <v>56</v>
      </c>
      <c r="O28" t="s">
        <v>33</v>
      </c>
    </row>
    <row r="29" spans="1:16" x14ac:dyDescent="0.35">
      <c r="A29" t="s">
        <v>20</v>
      </c>
      <c r="B29">
        <v>17646</v>
      </c>
      <c r="C29" t="s">
        <v>666</v>
      </c>
      <c r="D29" t="s">
        <v>667</v>
      </c>
      <c r="E29" t="s">
        <v>2556</v>
      </c>
      <c r="F29" t="s">
        <v>2630</v>
      </c>
      <c r="G29" t="s">
        <v>2631</v>
      </c>
      <c r="H29" t="s">
        <v>2632</v>
      </c>
      <c r="I29" t="s">
        <v>809</v>
      </c>
      <c r="K29" t="s">
        <v>28</v>
      </c>
      <c r="L29" t="s">
        <v>2633</v>
      </c>
      <c r="M29" t="s">
        <v>1681</v>
      </c>
      <c r="N29" t="s">
        <v>56</v>
      </c>
      <c r="O29" t="s">
        <v>33</v>
      </c>
    </row>
    <row r="30" spans="1:16" x14ac:dyDescent="0.35">
      <c r="A30" t="s">
        <v>20</v>
      </c>
      <c r="B30">
        <v>17646</v>
      </c>
      <c r="C30" t="s">
        <v>666</v>
      </c>
      <c r="D30" t="s">
        <v>667</v>
      </c>
      <c r="E30" t="s">
        <v>2561</v>
      </c>
      <c r="F30" t="s">
        <v>749</v>
      </c>
      <c r="G30" t="s">
        <v>2634</v>
      </c>
      <c r="H30" t="s">
        <v>2635</v>
      </c>
      <c r="I30" t="s">
        <v>809</v>
      </c>
      <c r="K30" t="s">
        <v>28</v>
      </c>
      <c r="L30" t="s">
        <v>2552</v>
      </c>
      <c r="M30" t="s">
        <v>1681</v>
      </c>
      <c r="N30" t="s">
        <v>32</v>
      </c>
      <c r="O30" t="s">
        <v>33</v>
      </c>
    </row>
    <row r="31" spans="1:16" x14ac:dyDescent="0.35">
      <c r="A31" t="s">
        <v>20</v>
      </c>
      <c r="B31">
        <v>17646</v>
      </c>
      <c r="C31" t="s">
        <v>666</v>
      </c>
      <c r="D31" t="s">
        <v>667</v>
      </c>
      <c r="E31" t="s">
        <v>2565</v>
      </c>
      <c r="F31" t="s">
        <v>2636</v>
      </c>
      <c r="G31" t="s">
        <v>2637</v>
      </c>
      <c r="H31" t="s">
        <v>2638</v>
      </c>
      <c r="I31" t="s">
        <v>809</v>
      </c>
      <c r="K31" t="s">
        <v>28</v>
      </c>
      <c r="L31" t="s">
        <v>2552</v>
      </c>
      <c r="M31" t="s">
        <v>1681</v>
      </c>
      <c r="N31" t="s">
        <v>32</v>
      </c>
      <c r="O31" t="s">
        <v>33</v>
      </c>
    </row>
    <row r="32" spans="1:16" x14ac:dyDescent="0.35">
      <c r="A32" t="s">
        <v>20</v>
      </c>
      <c r="B32">
        <v>17646</v>
      </c>
      <c r="C32" t="s">
        <v>666</v>
      </c>
      <c r="D32" t="s">
        <v>667</v>
      </c>
      <c r="E32" t="s">
        <v>2573</v>
      </c>
      <c r="F32" t="s">
        <v>2639</v>
      </c>
      <c r="G32" t="s">
        <v>2640</v>
      </c>
      <c r="H32" t="s">
        <v>2641</v>
      </c>
      <c r="I32" t="s">
        <v>671</v>
      </c>
      <c r="K32" t="s">
        <v>61</v>
      </c>
      <c r="L32" t="s">
        <v>2552</v>
      </c>
      <c r="M32" t="s">
        <v>1681</v>
      </c>
      <c r="N32" t="s">
        <v>32</v>
      </c>
      <c r="O32" t="s">
        <v>33</v>
      </c>
    </row>
    <row r="33" spans="1:15" x14ac:dyDescent="0.35">
      <c r="A33" t="s">
        <v>20</v>
      </c>
      <c r="B33">
        <v>17646</v>
      </c>
      <c r="C33" t="s">
        <v>666</v>
      </c>
      <c r="D33" t="s">
        <v>667</v>
      </c>
      <c r="E33" t="s">
        <v>2576</v>
      </c>
      <c r="F33" t="s">
        <v>850</v>
      </c>
      <c r="G33" t="s">
        <v>2642</v>
      </c>
      <c r="H33" t="s">
        <v>2643</v>
      </c>
      <c r="I33" t="s">
        <v>671</v>
      </c>
      <c r="K33" t="s">
        <v>46</v>
      </c>
      <c r="L33" t="s">
        <v>2560</v>
      </c>
      <c r="M33" t="s">
        <v>1681</v>
      </c>
      <c r="N33" t="s">
        <v>32</v>
      </c>
      <c r="O33" t="s">
        <v>33</v>
      </c>
    </row>
    <row r="34" spans="1:15" x14ac:dyDescent="0.35">
      <c r="A34" t="s">
        <v>20</v>
      </c>
      <c r="B34">
        <v>17646</v>
      </c>
      <c r="C34" t="s">
        <v>666</v>
      </c>
      <c r="D34" t="s">
        <v>667</v>
      </c>
      <c r="E34" t="s">
        <v>2579</v>
      </c>
      <c r="F34" t="s">
        <v>2644</v>
      </c>
      <c r="G34" t="s">
        <v>2645</v>
      </c>
      <c r="H34" t="s">
        <v>2646</v>
      </c>
      <c r="I34" t="s">
        <v>671</v>
      </c>
      <c r="K34" t="s">
        <v>61</v>
      </c>
      <c r="L34" t="s">
        <v>2552</v>
      </c>
      <c r="M34" t="s">
        <v>1681</v>
      </c>
      <c r="N34" t="s">
        <v>32</v>
      </c>
      <c r="O34" t="s">
        <v>33</v>
      </c>
    </row>
    <row r="35" spans="1:15" x14ac:dyDescent="0.35">
      <c r="A35" t="s">
        <v>20</v>
      </c>
      <c r="B35">
        <v>17646</v>
      </c>
      <c r="C35" t="s">
        <v>666</v>
      </c>
      <c r="D35" t="s">
        <v>667</v>
      </c>
      <c r="E35" t="s">
        <v>2583</v>
      </c>
      <c r="F35" t="s">
        <v>2647</v>
      </c>
      <c r="G35" t="s">
        <v>2648</v>
      </c>
      <c r="H35" t="s">
        <v>2649</v>
      </c>
      <c r="I35" t="s">
        <v>671</v>
      </c>
      <c r="K35" t="s">
        <v>61</v>
      </c>
      <c r="L35" t="s">
        <v>2552</v>
      </c>
      <c r="M35" t="s">
        <v>1681</v>
      </c>
      <c r="N35" t="s">
        <v>32</v>
      </c>
      <c r="O35" t="s">
        <v>33</v>
      </c>
    </row>
    <row r="36" spans="1:15" x14ac:dyDescent="0.35">
      <c r="A36" t="s">
        <v>20</v>
      </c>
      <c r="B36">
        <v>17646</v>
      </c>
      <c r="C36" t="s">
        <v>666</v>
      </c>
      <c r="D36" t="s">
        <v>667</v>
      </c>
      <c r="E36" t="s">
        <v>2586</v>
      </c>
      <c r="F36" t="s">
        <v>883</v>
      </c>
      <c r="G36" t="s">
        <v>2650</v>
      </c>
      <c r="H36" t="s">
        <v>2651</v>
      </c>
      <c r="I36" t="s">
        <v>671</v>
      </c>
      <c r="K36" t="s">
        <v>61</v>
      </c>
      <c r="L36" t="s">
        <v>2552</v>
      </c>
      <c r="M36" t="s">
        <v>1681</v>
      </c>
      <c r="N36" t="s">
        <v>32</v>
      </c>
      <c r="O36" t="s">
        <v>33</v>
      </c>
    </row>
    <row r="37" spans="1:15" x14ac:dyDescent="0.35">
      <c r="A37" t="s">
        <v>20</v>
      </c>
      <c r="B37">
        <v>17646</v>
      </c>
      <c r="C37" t="s">
        <v>666</v>
      </c>
      <c r="D37" t="s">
        <v>667</v>
      </c>
      <c r="E37" t="s">
        <v>2616</v>
      </c>
      <c r="F37" t="s">
        <v>2652</v>
      </c>
      <c r="G37" t="s">
        <v>2653</v>
      </c>
      <c r="H37" t="s">
        <v>2654</v>
      </c>
      <c r="I37" t="s">
        <v>671</v>
      </c>
      <c r="K37" t="s">
        <v>28</v>
      </c>
      <c r="L37" t="s">
        <v>2552</v>
      </c>
      <c r="M37" t="s">
        <v>1681</v>
      </c>
      <c r="N37" t="s">
        <v>56</v>
      </c>
      <c r="O37" t="s">
        <v>33</v>
      </c>
    </row>
    <row r="38" spans="1:15" x14ac:dyDescent="0.35">
      <c r="A38" t="s">
        <v>20</v>
      </c>
      <c r="B38">
        <v>17646</v>
      </c>
      <c r="C38" t="s">
        <v>666</v>
      </c>
      <c r="D38" t="s">
        <v>667</v>
      </c>
      <c r="E38" t="s">
        <v>2619</v>
      </c>
      <c r="F38" t="s">
        <v>2655</v>
      </c>
      <c r="G38" t="s">
        <v>2656</v>
      </c>
      <c r="H38" t="s">
        <v>2657</v>
      </c>
      <c r="I38" t="s">
        <v>671</v>
      </c>
      <c r="K38" t="s">
        <v>28</v>
      </c>
      <c r="L38" t="s">
        <v>2552</v>
      </c>
      <c r="M38" t="s">
        <v>1681</v>
      </c>
      <c r="N38" t="s">
        <v>32</v>
      </c>
      <c r="O38" t="s">
        <v>33</v>
      </c>
    </row>
    <row r="39" spans="1:15" x14ac:dyDescent="0.35">
      <c r="A39" t="s">
        <v>20</v>
      </c>
      <c r="B39">
        <v>17645</v>
      </c>
      <c r="C39" t="s">
        <v>949</v>
      </c>
      <c r="D39" t="s">
        <v>950</v>
      </c>
      <c r="E39" t="s">
        <v>2549</v>
      </c>
      <c r="F39" t="s">
        <v>2658</v>
      </c>
      <c r="G39" t="s">
        <v>2659</v>
      </c>
      <c r="H39" t="s">
        <v>2660</v>
      </c>
      <c r="I39" t="s">
        <v>954</v>
      </c>
      <c r="K39" t="s">
        <v>61</v>
      </c>
      <c r="L39" t="s">
        <v>2552</v>
      </c>
      <c r="M39" t="s">
        <v>1681</v>
      </c>
      <c r="N39" t="s">
        <v>56</v>
      </c>
      <c r="O39" t="s">
        <v>33</v>
      </c>
    </row>
    <row r="40" spans="1:15" x14ac:dyDescent="0.35">
      <c r="A40" t="s">
        <v>20</v>
      </c>
      <c r="B40">
        <v>17645</v>
      </c>
      <c r="C40" t="s">
        <v>949</v>
      </c>
      <c r="D40" t="s">
        <v>950</v>
      </c>
      <c r="E40" t="s">
        <v>2553</v>
      </c>
      <c r="F40" t="s">
        <v>1120</v>
      </c>
      <c r="G40" t="s">
        <v>2661</v>
      </c>
      <c r="H40" t="s">
        <v>2662</v>
      </c>
      <c r="I40" t="s">
        <v>954</v>
      </c>
      <c r="K40" t="s">
        <v>61</v>
      </c>
      <c r="L40" t="s">
        <v>2552</v>
      </c>
      <c r="M40" t="s">
        <v>1681</v>
      </c>
      <c r="N40" t="s">
        <v>2572</v>
      </c>
      <c r="O40" t="s">
        <v>33</v>
      </c>
    </row>
    <row r="41" spans="1:15" x14ac:dyDescent="0.35">
      <c r="A41" t="s">
        <v>20</v>
      </c>
      <c r="B41">
        <v>17645</v>
      </c>
      <c r="C41" t="s">
        <v>949</v>
      </c>
      <c r="D41" t="s">
        <v>950</v>
      </c>
      <c r="E41" t="s">
        <v>2556</v>
      </c>
      <c r="F41" t="s">
        <v>2663</v>
      </c>
      <c r="G41" t="s">
        <v>2664</v>
      </c>
      <c r="H41" t="s">
        <v>2665</v>
      </c>
      <c r="I41" t="s">
        <v>954</v>
      </c>
      <c r="K41" t="s">
        <v>28</v>
      </c>
      <c r="L41" t="s">
        <v>2552</v>
      </c>
      <c r="M41" t="s">
        <v>1681</v>
      </c>
      <c r="N41" t="s">
        <v>2572</v>
      </c>
      <c r="O41" t="s">
        <v>33</v>
      </c>
    </row>
    <row r="42" spans="1:15" x14ac:dyDescent="0.35">
      <c r="A42" t="s">
        <v>20</v>
      </c>
      <c r="B42">
        <v>17645</v>
      </c>
      <c r="C42" t="s">
        <v>949</v>
      </c>
      <c r="D42" t="s">
        <v>950</v>
      </c>
      <c r="E42" t="s">
        <v>2561</v>
      </c>
      <c r="F42" t="s">
        <v>2666</v>
      </c>
      <c r="G42" t="s">
        <v>2667</v>
      </c>
      <c r="H42" t="s">
        <v>2668</v>
      </c>
      <c r="I42" t="s">
        <v>954</v>
      </c>
      <c r="K42" t="s">
        <v>61</v>
      </c>
      <c r="L42" t="s">
        <v>2552</v>
      </c>
      <c r="M42" t="s">
        <v>1681</v>
      </c>
      <c r="N42" t="s">
        <v>56</v>
      </c>
      <c r="O42" t="s">
        <v>33</v>
      </c>
    </row>
    <row r="43" spans="1:15" x14ac:dyDescent="0.35">
      <c r="A43" t="s">
        <v>20</v>
      </c>
      <c r="B43">
        <v>17645</v>
      </c>
      <c r="C43" t="s">
        <v>949</v>
      </c>
      <c r="D43" t="s">
        <v>950</v>
      </c>
      <c r="E43" t="s">
        <v>2565</v>
      </c>
      <c r="F43" t="s">
        <v>2669</v>
      </c>
      <c r="G43" t="s">
        <v>2670</v>
      </c>
      <c r="H43" t="s">
        <v>2671</v>
      </c>
      <c r="I43" t="s">
        <v>954</v>
      </c>
      <c r="K43" t="s">
        <v>61</v>
      </c>
      <c r="L43" t="s">
        <v>2552</v>
      </c>
      <c r="M43" t="s">
        <v>1681</v>
      </c>
      <c r="N43" t="s">
        <v>2572</v>
      </c>
      <c r="O43" t="s">
        <v>33</v>
      </c>
    </row>
    <row r="44" spans="1:15" x14ac:dyDescent="0.35">
      <c r="A44" t="s">
        <v>20</v>
      </c>
      <c r="B44">
        <v>17645</v>
      </c>
      <c r="C44" t="s">
        <v>949</v>
      </c>
      <c r="D44" t="s">
        <v>950</v>
      </c>
      <c r="E44" t="s">
        <v>2568</v>
      </c>
      <c r="F44" t="s">
        <v>2672</v>
      </c>
      <c r="G44" t="s">
        <v>2673</v>
      </c>
      <c r="H44" t="s">
        <v>2674</v>
      </c>
      <c r="I44" t="s">
        <v>954</v>
      </c>
      <c r="K44" t="s">
        <v>61</v>
      </c>
      <c r="L44" t="s">
        <v>2552</v>
      </c>
      <c r="M44" t="s">
        <v>1681</v>
      </c>
      <c r="N44" t="s">
        <v>2572</v>
      </c>
      <c r="O44" t="s">
        <v>33</v>
      </c>
    </row>
    <row r="45" spans="1:15" x14ac:dyDescent="0.35">
      <c r="A45" t="s">
        <v>20</v>
      </c>
      <c r="B45">
        <v>17645</v>
      </c>
      <c r="C45" t="s">
        <v>949</v>
      </c>
      <c r="D45" t="s">
        <v>950</v>
      </c>
      <c r="E45" t="s">
        <v>2675</v>
      </c>
      <c r="F45" t="s">
        <v>1205</v>
      </c>
      <c r="G45" t="s">
        <v>2676</v>
      </c>
      <c r="H45" t="s">
        <v>2677</v>
      </c>
      <c r="I45" t="s">
        <v>954</v>
      </c>
      <c r="K45" t="s">
        <v>61</v>
      </c>
      <c r="L45" t="s">
        <v>2552</v>
      </c>
      <c r="M45" t="s">
        <v>1681</v>
      </c>
      <c r="N45" t="s">
        <v>2572</v>
      </c>
      <c r="O45" t="s">
        <v>33</v>
      </c>
    </row>
    <row r="46" spans="1:15" x14ac:dyDescent="0.35">
      <c r="A46" t="s">
        <v>20</v>
      </c>
      <c r="B46">
        <v>17645</v>
      </c>
      <c r="C46" t="s">
        <v>949</v>
      </c>
      <c r="D46" t="s">
        <v>950</v>
      </c>
      <c r="E46" t="s">
        <v>2678</v>
      </c>
      <c r="F46" t="s">
        <v>1211</v>
      </c>
      <c r="G46" t="s">
        <v>2679</v>
      </c>
      <c r="H46" t="s">
        <v>2680</v>
      </c>
      <c r="I46" t="s">
        <v>954</v>
      </c>
      <c r="K46" t="s">
        <v>28</v>
      </c>
      <c r="L46" t="s">
        <v>2552</v>
      </c>
      <c r="M46" t="s">
        <v>1681</v>
      </c>
      <c r="N46" t="s">
        <v>2572</v>
      </c>
      <c r="O46" t="s">
        <v>33</v>
      </c>
    </row>
    <row r="47" spans="1:15" x14ac:dyDescent="0.35">
      <c r="A47" t="s">
        <v>20</v>
      </c>
      <c r="B47">
        <v>17645</v>
      </c>
      <c r="C47" t="s">
        <v>949</v>
      </c>
      <c r="D47" t="s">
        <v>950</v>
      </c>
      <c r="E47" t="s">
        <v>2681</v>
      </c>
      <c r="F47" t="s">
        <v>2682</v>
      </c>
      <c r="G47" t="s">
        <v>2683</v>
      </c>
      <c r="H47" t="s">
        <v>2684</v>
      </c>
      <c r="I47" t="s">
        <v>954</v>
      </c>
      <c r="K47" t="s">
        <v>28</v>
      </c>
      <c r="L47" t="s">
        <v>2552</v>
      </c>
      <c r="M47" t="s">
        <v>1681</v>
      </c>
      <c r="N47" t="s">
        <v>2572</v>
      </c>
      <c r="O47" t="s">
        <v>33</v>
      </c>
    </row>
    <row r="48" spans="1:15" x14ac:dyDescent="0.35">
      <c r="A48" t="s">
        <v>20</v>
      </c>
      <c r="B48">
        <v>17645</v>
      </c>
      <c r="C48" t="s">
        <v>949</v>
      </c>
      <c r="D48" t="s">
        <v>950</v>
      </c>
      <c r="E48" t="s">
        <v>2685</v>
      </c>
      <c r="F48" t="s">
        <v>1222</v>
      </c>
      <c r="G48" t="s">
        <v>2686</v>
      </c>
      <c r="H48" t="s">
        <v>2687</v>
      </c>
      <c r="I48" t="s">
        <v>954</v>
      </c>
      <c r="K48" t="s">
        <v>28</v>
      </c>
      <c r="L48" t="s">
        <v>2552</v>
      </c>
      <c r="M48" t="s">
        <v>1681</v>
      </c>
      <c r="N48" t="s">
        <v>2572</v>
      </c>
      <c r="O48" t="s">
        <v>33</v>
      </c>
    </row>
    <row r="49" spans="1:15" x14ac:dyDescent="0.35">
      <c r="A49" t="s">
        <v>20</v>
      </c>
      <c r="B49">
        <v>17645</v>
      </c>
      <c r="C49" t="s">
        <v>949</v>
      </c>
      <c r="D49" t="s">
        <v>950</v>
      </c>
      <c r="E49" t="s">
        <v>2573</v>
      </c>
      <c r="F49" t="s">
        <v>1126</v>
      </c>
      <c r="G49" t="s">
        <v>2688</v>
      </c>
      <c r="H49" t="s">
        <v>2689</v>
      </c>
      <c r="I49" t="s">
        <v>1090</v>
      </c>
      <c r="K49" t="s">
        <v>28</v>
      </c>
      <c r="L49" t="s">
        <v>2552</v>
      </c>
      <c r="M49" t="s">
        <v>1681</v>
      </c>
      <c r="N49" t="s">
        <v>56</v>
      </c>
      <c r="O49" t="s">
        <v>33</v>
      </c>
    </row>
    <row r="50" spans="1:15" x14ac:dyDescent="0.35">
      <c r="A50" t="s">
        <v>20</v>
      </c>
      <c r="B50">
        <v>17645</v>
      </c>
      <c r="C50" t="s">
        <v>949</v>
      </c>
      <c r="D50" t="s">
        <v>950</v>
      </c>
      <c r="E50" t="s">
        <v>2576</v>
      </c>
      <c r="F50" t="s">
        <v>2690</v>
      </c>
      <c r="G50" t="s">
        <v>2691</v>
      </c>
      <c r="H50" t="s">
        <v>2692</v>
      </c>
      <c r="I50" t="s">
        <v>1090</v>
      </c>
      <c r="K50" t="s">
        <v>28</v>
      </c>
      <c r="L50" t="s">
        <v>2552</v>
      </c>
      <c r="M50" t="s">
        <v>1686</v>
      </c>
      <c r="N50" t="s">
        <v>56</v>
      </c>
      <c r="O50" t="s">
        <v>33</v>
      </c>
    </row>
    <row r="51" spans="1:15" x14ac:dyDescent="0.35">
      <c r="A51" t="s">
        <v>20</v>
      </c>
      <c r="B51">
        <v>17645</v>
      </c>
      <c r="C51" t="s">
        <v>949</v>
      </c>
      <c r="D51" t="s">
        <v>950</v>
      </c>
      <c r="E51" t="s">
        <v>2579</v>
      </c>
      <c r="F51" t="s">
        <v>2693</v>
      </c>
      <c r="G51" t="s">
        <v>2694</v>
      </c>
      <c r="H51" t="s">
        <v>2695</v>
      </c>
      <c r="I51" t="s">
        <v>1090</v>
      </c>
      <c r="K51" t="s">
        <v>46</v>
      </c>
      <c r="L51" t="s">
        <v>2560</v>
      </c>
      <c r="M51" t="s">
        <v>1681</v>
      </c>
      <c r="N51" t="s">
        <v>56</v>
      </c>
      <c r="O51" t="s">
        <v>33</v>
      </c>
    </row>
    <row r="52" spans="1:15" x14ac:dyDescent="0.35">
      <c r="A52" t="s">
        <v>20</v>
      </c>
      <c r="B52">
        <v>17645</v>
      </c>
      <c r="C52" t="s">
        <v>949</v>
      </c>
      <c r="D52" t="s">
        <v>950</v>
      </c>
      <c r="E52" t="s">
        <v>2583</v>
      </c>
      <c r="F52" t="s">
        <v>2696</v>
      </c>
      <c r="G52" t="s">
        <v>2697</v>
      </c>
      <c r="H52" t="s">
        <v>2698</v>
      </c>
      <c r="I52" t="s">
        <v>1090</v>
      </c>
      <c r="K52" t="s">
        <v>61</v>
      </c>
      <c r="L52" t="s">
        <v>2552</v>
      </c>
      <c r="M52" t="s">
        <v>1681</v>
      </c>
      <c r="N52" t="s">
        <v>56</v>
      </c>
      <c r="O52" t="s">
        <v>33</v>
      </c>
    </row>
    <row r="53" spans="1:15" x14ac:dyDescent="0.35">
      <c r="A53" t="s">
        <v>20</v>
      </c>
      <c r="B53">
        <v>17647</v>
      </c>
      <c r="C53" t="s">
        <v>1252</v>
      </c>
      <c r="D53" t="s">
        <v>1253</v>
      </c>
      <c r="E53" t="s">
        <v>2549</v>
      </c>
      <c r="F53" t="s">
        <v>1392</v>
      </c>
      <c r="G53" t="s">
        <v>2699</v>
      </c>
      <c r="H53" t="s">
        <v>2700</v>
      </c>
      <c r="I53" t="s">
        <v>1257</v>
      </c>
      <c r="K53" t="s">
        <v>61</v>
      </c>
      <c r="L53" t="s">
        <v>2552</v>
      </c>
      <c r="M53" t="s">
        <v>1681</v>
      </c>
      <c r="N53" t="s">
        <v>2572</v>
      </c>
      <c r="O53" t="s">
        <v>33</v>
      </c>
    </row>
    <row r="54" spans="1:15" x14ac:dyDescent="0.35">
      <c r="A54" t="s">
        <v>20</v>
      </c>
      <c r="B54">
        <v>17647</v>
      </c>
      <c r="C54" t="s">
        <v>1252</v>
      </c>
      <c r="D54" t="s">
        <v>1253</v>
      </c>
      <c r="E54" t="s">
        <v>2553</v>
      </c>
      <c r="F54" t="s">
        <v>1403</v>
      </c>
      <c r="G54" t="s">
        <v>2701</v>
      </c>
      <c r="H54" t="s">
        <v>2702</v>
      </c>
      <c r="I54" t="s">
        <v>1257</v>
      </c>
      <c r="K54" t="s">
        <v>61</v>
      </c>
      <c r="L54" t="s">
        <v>2552</v>
      </c>
      <c r="M54" t="s">
        <v>1681</v>
      </c>
      <c r="N54" t="s">
        <v>2572</v>
      </c>
      <c r="O54" t="s">
        <v>33</v>
      </c>
    </row>
    <row r="55" spans="1:15" x14ac:dyDescent="0.35">
      <c r="A55" t="s">
        <v>20</v>
      </c>
      <c r="B55">
        <v>17647</v>
      </c>
      <c r="C55" t="s">
        <v>1252</v>
      </c>
      <c r="D55" t="s">
        <v>1253</v>
      </c>
      <c r="E55" t="s">
        <v>2556</v>
      </c>
      <c r="F55" t="s">
        <v>2703</v>
      </c>
      <c r="G55" t="s">
        <v>2704</v>
      </c>
      <c r="H55" t="s">
        <v>2705</v>
      </c>
      <c r="I55" t="s">
        <v>1257</v>
      </c>
      <c r="K55" t="s">
        <v>28</v>
      </c>
      <c r="L55" t="s">
        <v>2552</v>
      </c>
      <c r="M55" t="s">
        <v>1681</v>
      </c>
      <c r="N55" t="s">
        <v>2572</v>
      </c>
      <c r="O55" t="s">
        <v>33</v>
      </c>
    </row>
    <row r="56" spans="1:15" x14ac:dyDescent="0.35">
      <c r="A56" t="s">
        <v>20</v>
      </c>
      <c r="B56">
        <v>17647</v>
      </c>
      <c r="C56" t="s">
        <v>1252</v>
      </c>
      <c r="D56" t="s">
        <v>1253</v>
      </c>
      <c r="E56" t="s">
        <v>2561</v>
      </c>
      <c r="F56" t="s">
        <v>2706</v>
      </c>
      <c r="G56" t="s">
        <v>2707</v>
      </c>
      <c r="H56" t="s">
        <v>2708</v>
      </c>
      <c r="I56" t="s">
        <v>1257</v>
      </c>
      <c r="K56" t="s">
        <v>61</v>
      </c>
      <c r="L56" t="s">
        <v>2552</v>
      </c>
      <c r="M56" t="s">
        <v>1681</v>
      </c>
      <c r="N56" t="s">
        <v>2572</v>
      </c>
      <c r="O56" t="s">
        <v>33</v>
      </c>
    </row>
    <row r="57" spans="1:15" x14ac:dyDescent="0.35">
      <c r="A57" t="s">
        <v>20</v>
      </c>
      <c r="B57">
        <v>17647</v>
      </c>
      <c r="C57" t="s">
        <v>1252</v>
      </c>
      <c r="D57" t="s">
        <v>1253</v>
      </c>
      <c r="E57" t="s">
        <v>2565</v>
      </c>
      <c r="F57" t="s">
        <v>1475</v>
      </c>
      <c r="G57" t="s">
        <v>2709</v>
      </c>
      <c r="H57" t="s">
        <v>2710</v>
      </c>
      <c r="I57" t="s">
        <v>1257</v>
      </c>
      <c r="K57" t="s">
        <v>61</v>
      </c>
      <c r="L57" t="s">
        <v>2552</v>
      </c>
      <c r="M57" t="s">
        <v>1681</v>
      </c>
      <c r="N57" t="s">
        <v>2572</v>
      </c>
      <c r="O57" t="s">
        <v>33</v>
      </c>
    </row>
    <row r="58" spans="1:15" x14ac:dyDescent="0.35">
      <c r="A58" t="s">
        <v>20</v>
      </c>
      <c r="B58">
        <v>17647</v>
      </c>
      <c r="C58" t="s">
        <v>1252</v>
      </c>
      <c r="D58" t="s">
        <v>1253</v>
      </c>
      <c r="E58" t="s">
        <v>2568</v>
      </c>
      <c r="F58" t="s">
        <v>1504</v>
      </c>
      <c r="G58" t="s">
        <v>2711</v>
      </c>
      <c r="H58" t="s">
        <v>2712</v>
      </c>
      <c r="I58" t="s">
        <v>1257</v>
      </c>
      <c r="K58" t="s">
        <v>28</v>
      </c>
      <c r="L58" t="s">
        <v>2560</v>
      </c>
      <c r="M58" t="s">
        <v>1681</v>
      </c>
      <c r="N58" t="s">
        <v>56</v>
      </c>
      <c r="O58" t="s">
        <v>33</v>
      </c>
    </row>
    <row r="59" spans="1:15" x14ac:dyDescent="0.35">
      <c r="A59" t="s">
        <v>20</v>
      </c>
      <c r="B59">
        <v>17647</v>
      </c>
      <c r="C59" t="s">
        <v>1252</v>
      </c>
      <c r="D59" t="s">
        <v>1253</v>
      </c>
      <c r="E59" t="s">
        <v>2675</v>
      </c>
      <c r="F59" t="s">
        <v>2713</v>
      </c>
      <c r="G59" t="s">
        <v>2714</v>
      </c>
      <c r="H59" t="s">
        <v>2715</v>
      </c>
      <c r="I59" t="s">
        <v>1257</v>
      </c>
      <c r="K59" t="s">
        <v>28</v>
      </c>
      <c r="L59" t="s">
        <v>2552</v>
      </c>
      <c r="M59" t="s">
        <v>1681</v>
      </c>
      <c r="N59" t="s">
        <v>56</v>
      </c>
      <c r="O59" t="s">
        <v>33</v>
      </c>
    </row>
    <row r="60" spans="1:15" x14ac:dyDescent="0.35">
      <c r="A60" t="s">
        <v>20</v>
      </c>
      <c r="B60">
        <v>17647</v>
      </c>
      <c r="C60" t="s">
        <v>1252</v>
      </c>
      <c r="D60" t="s">
        <v>1253</v>
      </c>
      <c r="E60" t="s">
        <v>2573</v>
      </c>
      <c r="F60" t="s">
        <v>1261</v>
      </c>
      <c r="G60" t="s">
        <v>2716</v>
      </c>
      <c r="H60" t="s">
        <v>2717</v>
      </c>
      <c r="I60" t="s">
        <v>1395</v>
      </c>
      <c r="K60" t="s">
        <v>28</v>
      </c>
      <c r="L60" t="s">
        <v>2552</v>
      </c>
      <c r="M60" t="s">
        <v>1686</v>
      </c>
      <c r="N60" t="s">
        <v>76</v>
      </c>
      <c r="O60" t="s">
        <v>33</v>
      </c>
    </row>
    <row r="61" spans="1:15" x14ac:dyDescent="0.35">
      <c r="A61" t="s">
        <v>20</v>
      </c>
      <c r="B61">
        <v>17647</v>
      </c>
      <c r="C61" t="s">
        <v>1252</v>
      </c>
      <c r="D61" t="s">
        <v>1253</v>
      </c>
      <c r="E61" t="s">
        <v>2576</v>
      </c>
      <c r="F61" t="s">
        <v>2718</v>
      </c>
      <c r="G61" t="s">
        <v>2719</v>
      </c>
      <c r="H61" t="s">
        <v>2720</v>
      </c>
      <c r="I61" t="s">
        <v>1395</v>
      </c>
      <c r="K61" t="s">
        <v>28</v>
      </c>
      <c r="L61" t="s">
        <v>2552</v>
      </c>
      <c r="M61" t="s">
        <v>1681</v>
      </c>
      <c r="N61" t="s">
        <v>76</v>
      </c>
      <c r="O61" t="s">
        <v>33</v>
      </c>
    </row>
    <row r="62" spans="1:15" x14ac:dyDescent="0.35">
      <c r="A62" t="s">
        <v>20</v>
      </c>
      <c r="B62">
        <v>17647</v>
      </c>
      <c r="C62" t="s">
        <v>1252</v>
      </c>
      <c r="D62" t="s">
        <v>1253</v>
      </c>
      <c r="E62" t="s">
        <v>2579</v>
      </c>
      <c r="F62" t="s">
        <v>1321</v>
      </c>
      <c r="G62" t="s">
        <v>2721</v>
      </c>
      <c r="H62" t="s">
        <v>2722</v>
      </c>
      <c r="I62" t="s">
        <v>1395</v>
      </c>
      <c r="K62" t="s">
        <v>28</v>
      </c>
      <c r="L62" t="s">
        <v>2552</v>
      </c>
      <c r="M62" t="s">
        <v>1681</v>
      </c>
      <c r="N62" t="s">
        <v>76</v>
      </c>
      <c r="O62" t="s">
        <v>33</v>
      </c>
    </row>
    <row r="63" spans="1:15" x14ac:dyDescent="0.35">
      <c r="A63" t="s">
        <v>20</v>
      </c>
      <c r="B63">
        <v>17647</v>
      </c>
      <c r="C63" t="s">
        <v>1252</v>
      </c>
      <c r="D63" t="s">
        <v>1253</v>
      </c>
      <c r="E63" t="s">
        <v>2583</v>
      </c>
      <c r="F63" t="s">
        <v>1342</v>
      </c>
      <c r="G63" t="s">
        <v>2723</v>
      </c>
      <c r="H63" t="s">
        <v>2724</v>
      </c>
      <c r="I63" t="s">
        <v>1395</v>
      </c>
      <c r="K63" t="s">
        <v>61</v>
      </c>
      <c r="L63" t="s">
        <v>2552</v>
      </c>
      <c r="M63" t="s">
        <v>1681</v>
      </c>
      <c r="N63" t="s">
        <v>76</v>
      </c>
      <c r="O63" t="s">
        <v>33</v>
      </c>
    </row>
    <row r="64" spans="1:15" x14ac:dyDescent="0.35">
      <c r="A64" t="s">
        <v>20</v>
      </c>
      <c r="B64">
        <v>17647</v>
      </c>
      <c r="C64" t="s">
        <v>1252</v>
      </c>
      <c r="D64" t="s">
        <v>1253</v>
      </c>
      <c r="E64" t="s">
        <v>2586</v>
      </c>
      <c r="F64" t="s">
        <v>2725</v>
      </c>
      <c r="G64" t="s">
        <v>2726</v>
      </c>
      <c r="H64" t="s">
        <v>2727</v>
      </c>
      <c r="I64" t="s">
        <v>1395</v>
      </c>
      <c r="K64" t="s">
        <v>28</v>
      </c>
      <c r="L64" t="s">
        <v>2552</v>
      </c>
      <c r="M64" t="s">
        <v>1681</v>
      </c>
      <c r="N64" t="s">
        <v>76</v>
      </c>
      <c r="O64" t="s">
        <v>33</v>
      </c>
    </row>
    <row r="65" spans="1:15" x14ac:dyDescent="0.35">
      <c r="A65" t="s">
        <v>20</v>
      </c>
      <c r="B65">
        <v>17647</v>
      </c>
      <c r="C65" t="s">
        <v>1252</v>
      </c>
      <c r="D65" t="s">
        <v>1253</v>
      </c>
      <c r="E65" t="s">
        <v>2616</v>
      </c>
      <c r="F65" t="s">
        <v>1380</v>
      </c>
      <c r="G65" t="s">
        <v>2728</v>
      </c>
      <c r="H65" t="s">
        <v>2729</v>
      </c>
      <c r="I65" t="s">
        <v>1395</v>
      </c>
      <c r="K65" t="s">
        <v>28</v>
      </c>
      <c r="L65" t="s">
        <v>2552</v>
      </c>
      <c r="M65" t="s">
        <v>1681</v>
      </c>
      <c r="N65" t="s">
        <v>76</v>
      </c>
      <c r="O65" t="s">
        <v>33</v>
      </c>
    </row>
    <row r="66" spans="1:15" x14ac:dyDescent="0.35">
      <c r="A66" t="s">
        <v>20</v>
      </c>
      <c r="B66">
        <v>17643</v>
      </c>
      <c r="C66" t="s">
        <v>426</v>
      </c>
      <c r="D66" t="s">
        <v>427</v>
      </c>
      <c r="E66" t="s">
        <v>2549</v>
      </c>
      <c r="F66" t="s">
        <v>2589</v>
      </c>
      <c r="G66" t="s">
        <v>2590</v>
      </c>
      <c r="H66" t="s">
        <v>2591</v>
      </c>
      <c r="I66" t="s">
        <v>557</v>
      </c>
      <c r="K66" t="s">
        <v>28</v>
      </c>
      <c r="L66" t="s">
        <v>2552</v>
      </c>
      <c r="M66" t="s">
        <v>1681</v>
      </c>
      <c r="N66" t="s">
        <v>32</v>
      </c>
      <c r="O66" t="s">
        <v>33</v>
      </c>
    </row>
    <row r="67" spans="1:15" x14ac:dyDescent="0.35">
      <c r="A67" t="s">
        <v>20</v>
      </c>
      <c r="B67">
        <v>17643</v>
      </c>
      <c r="C67" t="s">
        <v>426</v>
      </c>
      <c r="D67" t="s">
        <v>427</v>
      </c>
      <c r="E67" t="s">
        <v>2553</v>
      </c>
      <c r="F67" t="s">
        <v>439</v>
      </c>
      <c r="G67" t="s">
        <v>2592</v>
      </c>
      <c r="H67" t="s">
        <v>2593</v>
      </c>
      <c r="I67" t="s">
        <v>557</v>
      </c>
      <c r="K67" t="s">
        <v>61</v>
      </c>
      <c r="L67" t="s">
        <v>2552</v>
      </c>
      <c r="M67" t="s">
        <v>1681</v>
      </c>
      <c r="N67" t="s">
        <v>32</v>
      </c>
      <c r="O67" t="s">
        <v>33</v>
      </c>
    </row>
    <row r="68" spans="1:15" x14ac:dyDescent="0.35">
      <c r="A68" t="s">
        <v>20</v>
      </c>
      <c r="B68">
        <v>17643</v>
      </c>
      <c r="C68" t="s">
        <v>426</v>
      </c>
      <c r="D68" t="s">
        <v>427</v>
      </c>
      <c r="E68" t="s">
        <v>2556</v>
      </c>
      <c r="F68" t="s">
        <v>457</v>
      </c>
      <c r="G68" t="s">
        <v>2594</v>
      </c>
      <c r="H68" t="s">
        <v>2595</v>
      </c>
      <c r="I68" t="s">
        <v>557</v>
      </c>
      <c r="K68" t="s">
        <v>28</v>
      </c>
      <c r="L68" t="s">
        <v>2552</v>
      </c>
      <c r="M68" t="s">
        <v>1681</v>
      </c>
      <c r="N68" t="s">
        <v>32</v>
      </c>
      <c r="O68" t="s">
        <v>33</v>
      </c>
    </row>
    <row r="69" spans="1:15" x14ac:dyDescent="0.35">
      <c r="A69" t="s">
        <v>20</v>
      </c>
      <c r="B69">
        <v>17643</v>
      </c>
      <c r="C69" t="s">
        <v>426</v>
      </c>
      <c r="D69" t="s">
        <v>427</v>
      </c>
      <c r="E69" t="s">
        <v>2561</v>
      </c>
      <c r="F69" t="s">
        <v>475</v>
      </c>
      <c r="G69" t="s">
        <v>2596</v>
      </c>
      <c r="H69" t="s">
        <v>2597</v>
      </c>
      <c r="I69" t="s">
        <v>557</v>
      </c>
      <c r="K69" t="s">
        <v>61</v>
      </c>
      <c r="L69" t="s">
        <v>2552</v>
      </c>
      <c r="M69" t="s">
        <v>1681</v>
      </c>
      <c r="N69" t="s">
        <v>32</v>
      </c>
      <c r="O69" t="s">
        <v>33</v>
      </c>
    </row>
    <row r="70" spans="1:15" x14ac:dyDescent="0.35">
      <c r="A70" t="s">
        <v>20</v>
      </c>
      <c r="B70">
        <v>17643</v>
      </c>
      <c r="C70" t="s">
        <v>426</v>
      </c>
      <c r="D70" t="s">
        <v>427</v>
      </c>
      <c r="E70" t="s">
        <v>2565</v>
      </c>
      <c r="F70" t="s">
        <v>2598</v>
      </c>
      <c r="G70" t="s">
        <v>2599</v>
      </c>
      <c r="H70" t="s">
        <v>2600</v>
      </c>
      <c r="I70" t="s">
        <v>557</v>
      </c>
      <c r="K70" t="s">
        <v>28</v>
      </c>
      <c r="L70" t="s">
        <v>2560</v>
      </c>
      <c r="M70" t="s">
        <v>1681</v>
      </c>
      <c r="N70" t="s">
        <v>56</v>
      </c>
      <c r="O70" t="s">
        <v>33</v>
      </c>
    </row>
    <row r="71" spans="1:15" x14ac:dyDescent="0.35">
      <c r="A71" t="s">
        <v>20</v>
      </c>
      <c r="B71">
        <v>17643</v>
      </c>
      <c r="C71" t="s">
        <v>426</v>
      </c>
      <c r="D71" t="s">
        <v>427</v>
      </c>
      <c r="E71" t="s">
        <v>2568</v>
      </c>
      <c r="F71" t="s">
        <v>542</v>
      </c>
      <c r="G71" t="s">
        <v>2601</v>
      </c>
      <c r="H71" t="s">
        <v>2602</v>
      </c>
      <c r="I71" t="s">
        <v>557</v>
      </c>
      <c r="K71" t="s">
        <v>61</v>
      </c>
      <c r="L71" t="s">
        <v>2552</v>
      </c>
      <c r="M71" t="s">
        <v>1681</v>
      </c>
      <c r="N71" t="s">
        <v>56</v>
      </c>
      <c r="O71" t="s">
        <v>33</v>
      </c>
    </row>
    <row r="72" spans="1:15" x14ac:dyDescent="0.35">
      <c r="A72" t="s">
        <v>20</v>
      </c>
      <c r="B72">
        <v>17643</v>
      </c>
      <c r="C72" t="s">
        <v>426</v>
      </c>
      <c r="D72" t="s">
        <v>427</v>
      </c>
      <c r="E72" t="s">
        <v>2573</v>
      </c>
      <c r="F72" t="s">
        <v>573</v>
      </c>
      <c r="G72" t="s">
        <v>2603</v>
      </c>
      <c r="H72" t="s">
        <v>2604</v>
      </c>
      <c r="I72" t="s">
        <v>431</v>
      </c>
      <c r="K72" t="s">
        <v>28</v>
      </c>
      <c r="L72" t="s">
        <v>2552</v>
      </c>
      <c r="M72" t="s">
        <v>1681</v>
      </c>
      <c r="N72" t="s">
        <v>76</v>
      </c>
      <c r="O72" t="s">
        <v>33</v>
      </c>
    </row>
    <row r="73" spans="1:15" x14ac:dyDescent="0.35">
      <c r="A73" t="s">
        <v>20</v>
      </c>
      <c r="B73">
        <v>17643</v>
      </c>
      <c r="C73" t="s">
        <v>426</v>
      </c>
      <c r="D73" t="s">
        <v>427</v>
      </c>
      <c r="E73" t="s">
        <v>2576</v>
      </c>
      <c r="F73" t="s">
        <v>582</v>
      </c>
      <c r="G73" t="s">
        <v>2605</v>
      </c>
      <c r="H73" t="s">
        <v>2606</v>
      </c>
      <c r="I73" t="s">
        <v>431</v>
      </c>
      <c r="K73" t="s">
        <v>28</v>
      </c>
      <c r="L73" t="s">
        <v>2552</v>
      </c>
      <c r="M73" t="s">
        <v>1681</v>
      </c>
      <c r="N73" t="s">
        <v>76</v>
      </c>
      <c r="O73" t="s">
        <v>33</v>
      </c>
    </row>
    <row r="74" spans="1:15" x14ac:dyDescent="0.35">
      <c r="A74" t="s">
        <v>20</v>
      </c>
      <c r="B74">
        <v>17643</v>
      </c>
      <c r="C74" t="s">
        <v>426</v>
      </c>
      <c r="D74" t="s">
        <v>427</v>
      </c>
      <c r="E74" t="s">
        <v>2579</v>
      </c>
      <c r="F74" t="s">
        <v>2607</v>
      </c>
      <c r="G74" t="s">
        <v>2608</v>
      </c>
      <c r="H74" t="s">
        <v>2609</v>
      </c>
      <c r="I74" t="s">
        <v>431</v>
      </c>
      <c r="K74" t="s">
        <v>28</v>
      </c>
      <c r="L74" t="s">
        <v>2552</v>
      </c>
      <c r="M74" t="s">
        <v>1681</v>
      </c>
      <c r="N74" t="s">
        <v>76</v>
      </c>
      <c r="O74" t="s">
        <v>33</v>
      </c>
    </row>
    <row r="75" spans="1:15" x14ac:dyDescent="0.35">
      <c r="A75" t="s">
        <v>20</v>
      </c>
      <c r="B75">
        <v>17643</v>
      </c>
      <c r="C75" t="s">
        <v>426</v>
      </c>
      <c r="D75" t="s">
        <v>427</v>
      </c>
      <c r="E75" t="s">
        <v>2583</v>
      </c>
      <c r="F75" t="s">
        <v>2610</v>
      </c>
      <c r="G75" t="s">
        <v>2611</v>
      </c>
      <c r="H75" t="s">
        <v>2612</v>
      </c>
      <c r="I75" t="s">
        <v>431</v>
      </c>
      <c r="K75" t="s">
        <v>28</v>
      </c>
      <c r="L75" t="s">
        <v>2552</v>
      </c>
      <c r="M75" t="s">
        <v>1681</v>
      </c>
      <c r="N75" t="s">
        <v>32</v>
      </c>
      <c r="O75" t="s">
        <v>33</v>
      </c>
    </row>
    <row r="76" spans="1:15" x14ac:dyDescent="0.35">
      <c r="A76" t="s">
        <v>20</v>
      </c>
      <c r="B76">
        <v>17643</v>
      </c>
      <c r="C76" t="s">
        <v>426</v>
      </c>
      <c r="D76" t="s">
        <v>427</v>
      </c>
      <c r="E76" t="s">
        <v>2586</v>
      </c>
      <c r="F76" t="s">
        <v>2613</v>
      </c>
      <c r="G76" t="s">
        <v>2614</v>
      </c>
      <c r="H76" t="s">
        <v>2615</v>
      </c>
      <c r="I76" t="s">
        <v>431</v>
      </c>
      <c r="K76" t="s">
        <v>61</v>
      </c>
      <c r="L76" t="s">
        <v>2552</v>
      </c>
      <c r="M76" t="s">
        <v>1681</v>
      </c>
      <c r="N76" t="s">
        <v>32</v>
      </c>
      <c r="O76" t="s">
        <v>33</v>
      </c>
    </row>
    <row r="77" spans="1:15" x14ac:dyDescent="0.35">
      <c r="A77" t="s">
        <v>20</v>
      </c>
      <c r="B77">
        <v>17643</v>
      </c>
      <c r="C77" t="s">
        <v>426</v>
      </c>
      <c r="D77" t="s">
        <v>427</v>
      </c>
      <c r="E77" t="s">
        <v>2616</v>
      </c>
      <c r="F77" t="s">
        <v>642</v>
      </c>
      <c r="G77" t="s">
        <v>2617</v>
      </c>
      <c r="H77" t="s">
        <v>2618</v>
      </c>
      <c r="I77" t="s">
        <v>431</v>
      </c>
      <c r="K77" t="s">
        <v>28</v>
      </c>
      <c r="L77" t="s">
        <v>2552</v>
      </c>
      <c r="M77" t="s">
        <v>1681</v>
      </c>
      <c r="N77" t="s">
        <v>76</v>
      </c>
      <c r="O77" t="s">
        <v>33</v>
      </c>
    </row>
    <row r="78" spans="1:15" x14ac:dyDescent="0.35">
      <c r="A78" t="s">
        <v>20</v>
      </c>
      <c r="B78">
        <v>17643</v>
      </c>
      <c r="C78" t="s">
        <v>426</v>
      </c>
      <c r="D78" t="s">
        <v>427</v>
      </c>
      <c r="E78" t="s">
        <v>2619</v>
      </c>
      <c r="F78" t="s">
        <v>2620</v>
      </c>
      <c r="G78" t="s">
        <v>2621</v>
      </c>
      <c r="H78" t="s">
        <v>2622</v>
      </c>
      <c r="I78" t="s">
        <v>431</v>
      </c>
      <c r="K78" t="s">
        <v>28</v>
      </c>
      <c r="L78" t="s">
        <v>2552</v>
      </c>
      <c r="M78" t="s">
        <v>1681</v>
      </c>
      <c r="N78" t="s">
        <v>76</v>
      </c>
      <c r="O78" t="s">
        <v>33</v>
      </c>
    </row>
    <row r="79" spans="1:15" x14ac:dyDescent="0.35">
      <c r="A79" t="s">
        <v>20</v>
      </c>
      <c r="B79">
        <v>17643</v>
      </c>
      <c r="C79" t="s">
        <v>426</v>
      </c>
      <c r="D79" t="s">
        <v>427</v>
      </c>
      <c r="E79" t="s">
        <v>2623</v>
      </c>
      <c r="F79" t="s">
        <v>545</v>
      </c>
      <c r="G79" t="s">
        <v>2624</v>
      </c>
      <c r="H79" t="s">
        <v>2625</v>
      </c>
      <c r="I79" t="s">
        <v>431</v>
      </c>
      <c r="K79" t="s">
        <v>28</v>
      </c>
      <c r="L79" t="s">
        <v>2552</v>
      </c>
      <c r="M79" t="s">
        <v>1686</v>
      </c>
      <c r="N79" t="s">
        <v>76</v>
      </c>
      <c r="O79" t="s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7"/>
  <sheetViews>
    <sheetView workbookViewId="0">
      <selection activeCell="I23" sqref="I23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2730</v>
      </c>
      <c r="L1" t="s">
        <v>2548</v>
      </c>
      <c r="M1" t="s">
        <v>2731</v>
      </c>
      <c r="N1" t="s">
        <v>14</v>
      </c>
      <c r="O1" t="s">
        <v>15</v>
      </c>
      <c r="P1" t="s">
        <v>19</v>
      </c>
    </row>
    <row r="2" spans="1:16" x14ac:dyDescent="0.35">
      <c r="A2" t="s">
        <v>20</v>
      </c>
      <c r="B2">
        <v>17644</v>
      </c>
      <c r="C2" t="s">
        <v>21</v>
      </c>
      <c r="D2" t="s">
        <v>22</v>
      </c>
      <c r="E2" t="s">
        <v>2732</v>
      </c>
      <c r="F2" t="s">
        <v>2733</v>
      </c>
      <c r="G2" t="s">
        <v>2734</v>
      </c>
      <c r="H2" t="s">
        <v>2735</v>
      </c>
      <c r="I2" t="s">
        <v>238</v>
      </c>
      <c r="O2" t="s">
        <v>33</v>
      </c>
    </row>
    <row r="3" spans="1:16" x14ac:dyDescent="0.35">
      <c r="A3" t="s">
        <v>20</v>
      </c>
      <c r="B3">
        <v>17644</v>
      </c>
      <c r="C3" t="s">
        <v>21</v>
      </c>
      <c r="D3" t="s">
        <v>22</v>
      </c>
      <c r="E3" t="s">
        <v>2736</v>
      </c>
      <c r="F3" t="s">
        <v>2737</v>
      </c>
      <c r="G3" t="s">
        <v>2738</v>
      </c>
      <c r="H3" t="s">
        <v>2739</v>
      </c>
      <c r="I3" t="s">
        <v>238</v>
      </c>
      <c r="O3" t="s">
        <v>33</v>
      </c>
    </row>
    <row r="4" spans="1:16" x14ac:dyDescent="0.35">
      <c r="A4" t="s">
        <v>20</v>
      </c>
      <c r="B4">
        <v>17644</v>
      </c>
      <c r="C4" t="s">
        <v>21</v>
      </c>
      <c r="D4" t="s">
        <v>22</v>
      </c>
      <c r="E4" t="s">
        <v>2740</v>
      </c>
      <c r="F4" t="s">
        <v>2741</v>
      </c>
      <c r="G4" t="s">
        <v>2742</v>
      </c>
      <c r="H4" t="s">
        <v>2743</v>
      </c>
      <c r="I4" t="s">
        <v>238</v>
      </c>
      <c r="O4" t="s">
        <v>33</v>
      </c>
    </row>
    <row r="5" spans="1:16" x14ac:dyDescent="0.35">
      <c r="A5" t="s">
        <v>20</v>
      </c>
      <c r="B5">
        <v>17644</v>
      </c>
      <c r="C5" t="s">
        <v>21</v>
      </c>
      <c r="D5" t="s">
        <v>22</v>
      </c>
      <c r="E5" t="s">
        <v>2744</v>
      </c>
      <c r="F5" t="s">
        <v>2745</v>
      </c>
      <c r="G5" t="s">
        <v>2746</v>
      </c>
      <c r="H5" t="s">
        <v>2747</v>
      </c>
      <c r="I5" t="s">
        <v>238</v>
      </c>
      <c r="O5" t="s">
        <v>33</v>
      </c>
    </row>
    <row r="6" spans="1:16" x14ac:dyDescent="0.35">
      <c r="A6" t="s">
        <v>20</v>
      </c>
      <c r="B6">
        <v>17644</v>
      </c>
      <c r="C6" t="s">
        <v>21</v>
      </c>
      <c r="D6" t="s">
        <v>22</v>
      </c>
      <c r="E6" t="s">
        <v>2748</v>
      </c>
      <c r="F6" t="s">
        <v>2749</v>
      </c>
      <c r="G6" t="s">
        <v>2750</v>
      </c>
      <c r="H6" t="s">
        <v>2751</v>
      </c>
      <c r="I6" t="s">
        <v>238</v>
      </c>
      <c r="O6" t="s">
        <v>33</v>
      </c>
    </row>
    <row r="7" spans="1:16" x14ac:dyDescent="0.35">
      <c r="A7" t="s">
        <v>20</v>
      </c>
      <c r="B7">
        <v>17644</v>
      </c>
      <c r="C7" t="s">
        <v>21</v>
      </c>
      <c r="D7" t="s">
        <v>22</v>
      </c>
      <c r="E7" t="s">
        <v>2752</v>
      </c>
      <c r="F7" t="s">
        <v>2753</v>
      </c>
      <c r="G7" t="s">
        <v>2754</v>
      </c>
      <c r="H7" t="s">
        <v>2755</v>
      </c>
      <c r="I7" t="s">
        <v>238</v>
      </c>
      <c r="O7" t="s">
        <v>33</v>
      </c>
    </row>
    <row r="8" spans="1:16" x14ac:dyDescent="0.35">
      <c r="A8" t="s">
        <v>20</v>
      </c>
      <c r="B8">
        <v>17644</v>
      </c>
      <c r="C8" t="s">
        <v>21</v>
      </c>
      <c r="D8" t="s">
        <v>22</v>
      </c>
      <c r="E8" t="s">
        <v>2756</v>
      </c>
      <c r="F8" t="s">
        <v>2757</v>
      </c>
      <c r="G8" t="s">
        <v>2758</v>
      </c>
      <c r="H8" t="s">
        <v>2759</v>
      </c>
      <c r="I8" t="s">
        <v>238</v>
      </c>
      <c r="O8" t="s">
        <v>33</v>
      </c>
    </row>
    <row r="9" spans="1:16" x14ac:dyDescent="0.35">
      <c r="A9" t="s">
        <v>20</v>
      </c>
      <c r="B9">
        <v>17644</v>
      </c>
      <c r="C9" t="s">
        <v>21</v>
      </c>
      <c r="D9" t="s">
        <v>22</v>
      </c>
      <c r="E9" t="s">
        <v>2760</v>
      </c>
      <c r="F9" t="s">
        <v>411</v>
      </c>
      <c r="G9" t="s">
        <v>2761</v>
      </c>
      <c r="H9" t="s">
        <v>2762</v>
      </c>
      <c r="I9" t="s">
        <v>238</v>
      </c>
      <c r="O9" t="s">
        <v>33</v>
      </c>
    </row>
    <row r="10" spans="1:16" x14ac:dyDescent="0.35">
      <c r="A10" t="s">
        <v>20</v>
      </c>
      <c r="B10">
        <v>17644</v>
      </c>
      <c r="C10" t="s">
        <v>21</v>
      </c>
      <c r="D10" t="s">
        <v>22</v>
      </c>
      <c r="E10" t="s">
        <v>2763</v>
      </c>
      <c r="F10" t="s">
        <v>423</v>
      </c>
      <c r="G10" t="s">
        <v>2764</v>
      </c>
      <c r="H10" t="s">
        <v>2765</v>
      </c>
      <c r="I10" t="s">
        <v>238</v>
      </c>
      <c r="O10" t="s">
        <v>33</v>
      </c>
    </row>
    <row r="11" spans="1:16" x14ac:dyDescent="0.35">
      <c r="A11" t="s">
        <v>20</v>
      </c>
      <c r="B11">
        <v>17644</v>
      </c>
      <c r="C11" t="s">
        <v>21</v>
      </c>
      <c r="D11" t="s">
        <v>22</v>
      </c>
      <c r="E11" t="s">
        <v>2766</v>
      </c>
      <c r="F11" t="s">
        <v>2767</v>
      </c>
      <c r="G11" t="s">
        <v>2768</v>
      </c>
      <c r="H11" t="s">
        <v>2769</v>
      </c>
      <c r="I11" t="s">
        <v>27</v>
      </c>
      <c r="O11" t="s">
        <v>33</v>
      </c>
    </row>
    <row r="12" spans="1:16" x14ac:dyDescent="0.35">
      <c r="A12" t="s">
        <v>20</v>
      </c>
      <c r="B12">
        <v>17644</v>
      </c>
      <c r="C12" t="s">
        <v>21</v>
      </c>
      <c r="D12" t="s">
        <v>22</v>
      </c>
      <c r="E12" t="s">
        <v>2770</v>
      </c>
      <c r="F12" t="s">
        <v>2771</v>
      </c>
      <c r="G12" t="s">
        <v>2772</v>
      </c>
      <c r="H12" t="s">
        <v>2773</v>
      </c>
      <c r="I12" t="s">
        <v>27</v>
      </c>
      <c r="O12" t="s">
        <v>33</v>
      </c>
    </row>
    <row r="13" spans="1:16" x14ac:dyDescent="0.35">
      <c r="A13" t="s">
        <v>20</v>
      </c>
      <c r="B13">
        <v>17644</v>
      </c>
      <c r="C13" t="s">
        <v>21</v>
      </c>
      <c r="D13" t="s">
        <v>22</v>
      </c>
      <c r="E13" t="s">
        <v>2774</v>
      </c>
      <c r="F13" t="s">
        <v>2775</v>
      </c>
      <c r="G13" t="s">
        <v>2776</v>
      </c>
      <c r="H13" t="s">
        <v>2777</v>
      </c>
      <c r="I13" t="s">
        <v>27</v>
      </c>
      <c r="O13" t="s">
        <v>33</v>
      </c>
    </row>
    <row r="14" spans="1:16" x14ac:dyDescent="0.35">
      <c r="A14" t="s">
        <v>20</v>
      </c>
      <c r="B14">
        <v>17644</v>
      </c>
      <c r="C14" t="s">
        <v>21</v>
      </c>
      <c r="D14" t="s">
        <v>22</v>
      </c>
      <c r="E14" t="s">
        <v>2778</v>
      </c>
      <c r="F14" t="s">
        <v>2779</v>
      </c>
      <c r="G14" t="s">
        <v>2780</v>
      </c>
      <c r="H14" t="s">
        <v>2781</v>
      </c>
      <c r="I14" t="s">
        <v>27</v>
      </c>
      <c r="O14" t="s">
        <v>33</v>
      </c>
    </row>
    <row r="15" spans="1:16" x14ac:dyDescent="0.35">
      <c r="A15" t="s">
        <v>20</v>
      </c>
      <c r="B15">
        <v>17644</v>
      </c>
      <c r="C15" t="s">
        <v>21</v>
      </c>
      <c r="D15" t="s">
        <v>22</v>
      </c>
      <c r="E15" t="s">
        <v>2782</v>
      </c>
      <c r="F15" t="s">
        <v>2783</v>
      </c>
      <c r="G15" t="s">
        <v>2784</v>
      </c>
      <c r="H15" t="s">
        <v>2785</v>
      </c>
      <c r="I15" t="s">
        <v>27</v>
      </c>
      <c r="O15" t="s">
        <v>33</v>
      </c>
    </row>
    <row r="16" spans="1:16" x14ac:dyDescent="0.35">
      <c r="A16" t="s">
        <v>20</v>
      </c>
      <c r="B16">
        <v>17644</v>
      </c>
      <c r="C16" t="s">
        <v>21</v>
      </c>
      <c r="D16" t="s">
        <v>22</v>
      </c>
      <c r="E16" t="s">
        <v>2786</v>
      </c>
      <c r="F16" t="s">
        <v>1616</v>
      </c>
      <c r="G16" t="s">
        <v>1617</v>
      </c>
      <c r="H16" t="s">
        <v>1618</v>
      </c>
      <c r="I16" t="s">
        <v>27</v>
      </c>
      <c r="J16" t="s">
        <v>1537</v>
      </c>
      <c r="O16" t="s">
        <v>33</v>
      </c>
    </row>
    <row r="17" spans="1:16" x14ac:dyDescent="0.35">
      <c r="A17" t="s">
        <v>20</v>
      </c>
      <c r="B17">
        <v>17644</v>
      </c>
      <c r="C17" t="s">
        <v>21</v>
      </c>
      <c r="D17" t="s">
        <v>22</v>
      </c>
      <c r="E17" t="s">
        <v>2787</v>
      </c>
      <c r="F17" t="s">
        <v>2788</v>
      </c>
      <c r="G17" t="s">
        <v>2789</v>
      </c>
      <c r="H17" t="s">
        <v>2790</v>
      </c>
      <c r="I17" t="s">
        <v>27</v>
      </c>
      <c r="O17" t="s">
        <v>33</v>
      </c>
    </row>
    <row r="18" spans="1:16" x14ac:dyDescent="0.35">
      <c r="A18" t="s">
        <v>20</v>
      </c>
      <c r="B18">
        <v>17644</v>
      </c>
      <c r="C18" t="s">
        <v>21</v>
      </c>
      <c r="D18" t="s">
        <v>22</v>
      </c>
      <c r="E18" t="s">
        <v>2791</v>
      </c>
      <c r="F18" t="s">
        <v>2792</v>
      </c>
      <c r="G18" t="s">
        <v>2793</v>
      </c>
      <c r="H18" t="s">
        <v>2794</v>
      </c>
      <c r="I18" t="s">
        <v>27</v>
      </c>
      <c r="O18" t="s">
        <v>33</v>
      </c>
    </row>
    <row r="19" spans="1:16" x14ac:dyDescent="0.35">
      <c r="A19" t="s">
        <v>20</v>
      </c>
      <c r="B19">
        <v>17644</v>
      </c>
      <c r="C19" t="s">
        <v>21</v>
      </c>
      <c r="D19" t="s">
        <v>22</v>
      </c>
      <c r="E19" t="s">
        <v>2795</v>
      </c>
      <c r="F19" t="s">
        <v>2796</v>
      </c>
      <c r="G19" t="s">
        <v>2797</v>
      </c>
      <c r="H19" t="s">
        <v>2798</v>
      </c>
      <c r="I19" t="s">
        <v>27</v>
      </c>
      <c r="O19" t="s">
        <v>33</v>
      </c>
    </row>
    <row r="20" spans="1:16" x14ac:dyDescent="0.35">
      <c r="A20" t="s">
        <v>20</v>
      </c>
      <c r="B20">
        <v>17643</v>
      </c>
      <c r="C20" t="s">
        <v>426</v>
      </c>
      <c r="D20" t="s">
        <v>427</v>
      </c>
      <c r="E20" t="s">
        <v>2766</v>
      </c>
      <c r="F20" t="s">
        <v>2799</v>
      </c>
      <c r="G20" t="s">
        <v>2800</v>
      </c>
      <c r="H20" t="s">
        <v>2801</v>
      </c>
      <c r="I20" t="s">
        <v>557</v>
      </c>
      <c r="O20" t="s">
        <v>33</v>
      </c>
      <c r="P20" t="s">
        <v>432</v>
      </c>
    </row>
    <row r="21" spans="1:16" x14ac:dyDescent="0.35">
      <c r="A21" t="s">
        <v>20</v>
      </c>
      <c r="B21">
        <v>17643</v>
      </c>
      <c r="C21" t="s">
        <v>426</v>
      </c>
      <c r="D21" t="s">
        <v>427</v>
      </c>
      <c r="E21" t="s">
        <v>2770</v>
      </c>
      <c r="F21" t="s">
        <v>2802</v>
      </c>
      <c r="G21" t="s">
        <v>2803</v>
      </c>
      <c r="H21" t="s">
        <v>2804</v>
      </c>
      <c r="I21" t="s">
        <v>557</v>
      </c>
      <c r="O21" t="s">
        <v>33</v>
      </c>
      <c r="P21" t="s">
        <v>432</v>
      </c>
    </row>
    <row r="22" spans="1:16" x14ac:dyDescent="0.35">
      <c r="A22" t="s">
        <v>20</v>
      </c>
      <c r="B22">
        <v>17643</v>
      </c>
      <c r="C22" t="s">
        <v>426</v>
      </c>
      <c r="D22" t="s">
        <v>427</v>
      </c>
      <c r="E22" t="s">
        <v>2774</v>
      </c>
      <c r="F22" t="s">
        <v>2805</v>
      </c>
      <c r="G22" t="s">
        <v>2806</v>
      </c>
      <c r="H22" t="s">
        <v>2807</v>
      </c>
      <c r="I22" t="s">
        <v>557</v>
      </c>
      <c r="O22" t="s">
        <v>33</v>
      </c>
      <c r="P22" t="s">
        <v>432</v>
      </c>
    </row>
    <row r="23" spans="1:16" x14ac:dyDescent="0.35">
      <c r="A23" t="s">
        <v>20</v>
      </c>
      <c r="B23">
        <v>17643</v>
      </c>
      <c r="C23" t="s">
        <v>426</v>
      </c>
      <c r="D23" t="s">
        <v>427</v>
      </c>
      <c r="E23" t="s">
        <v>2778</v>
      </c>
      <c r="F23" t="s">
        <v>2808</v>
      </c>
      <c r="G23" t="s">
        <v>2809</v>
      </c>
      <c r="H23" t="s">
        <v>2810</v>
      </c>
      <c r="I23" t="s">
        <v>557</v>
      </c>
      <c r="O23" t="s">
        <v>33</v>
      </c>
      <c r="P23" t="s">
        <v>432</v>
      </c>
    </row>
    <row r="24" spans="1:16" x14ac:dyDescent="0.35">
      <c r="A24" t="s">
        <v>20</v>
      </c>
      <c r="B24">
        <v>17643</v>
      </c>
      <c r="C24" t="s">
        <v>426</v>
      </c>
      <c r="D24" t="s">
        <v>427</v>
      </c>
      <c r="E24" t="s">
        <v>2782</v>
      </c>
      <c r="F24" t="s">
        <v>2495</v>
      </c>
      <c r="G24" t="s">
        <v>2811</v>
      </c>
      <c r="H24" t="s">
        <v>2497</v>
      </c>
      <c r="I24" t="s">
        <v>557</v>
      </c>
      <c r="O24" t="s">
        <v>33</v>
      </c>
      <c r="P24" t="s">
        <v>432</v>
      </c>
    </row>
    <row r="25" spans="1:16" x14ac:dyDescent="0.35">
      <c r="A25" t="s">
        <v>20</v>
      </c>
      <c r="B25">
        <v>17643</v>
      </c>
      <c r="C25" t="s">
        <v>426</v>
      </c>
      <c r="D25" t="s">
        <v>427</v>
      </c>
      <c r="E25" t="s">
        <v>2786</v>
      </c>
      <c r="F25" t="s">
        <v>2812</v>
      </c>
      <c r="G25" t="s">
        <v>2813</v>
      </c>
      <c r="H25" t="s">
        <v>2814</v>
      </c>
      <c r="I25" t="s">
        <v>557</v>
      </c>
      <c r="O25" t="s">
        <v>33</v>
      </c>
      <c r="P25" t="s">
        <v>432</v>
      </c>
    </row>
    <row r="26" spans="1:16" x14ac:dyDescent="0.35">
      <c r="A26" t="s">
        <v>20</v>
      </c>
      <c r="B26">
        <v>17643</v>
      </c>
      <c r="C26" t="s">
        <v>426</v>
      </c>
      <c r="D26" t="s">
        <v>427</v>
      </c>
      <c r="E26" t="s">
        <v>2732</v>
      </c>
      <c r="F26" t="s">
        <v>2815</v>
      </c>
      <c r="G26" t="s">
        <v>2816</v>
      </c>
      <c r="H26" t="s">
        <v>2817</v>
      </c>
      <c r="I26" t="s">
        <v>431</v>
      </c>
      <c r="O26" t="s">
        <v>33</v>
      </c>
      <c r="P26" t="s">
        <v>432</v>
      </c>
    </row>
    <row r="27" spans="1:16" x14ac:dyDescent="0.35">
      <c r="A27" t="s">
        <v>20</v>
      </c>
      <c r="B27">
        <v>17643</v>
      </c>
      <c r="C27" t="s">
        <v>426</v>
      </c>
      <c r="D27" t="s">
        <v>427</v>
      </c>
      <c r="E27" t="s">
        <v>2736</v>
      </c>
      <c r="F27" t="s">
        <v>2818</v>
      </c>
      <c r="G27" t="s">
        <v>2819</v>
      </c>
      <c r="H27" t="s">
        <v>2820</v>
      </c>
      <c r="I27" t="s">
        <v>431</v>
      </c>
      <c r="O27" t="s">
        <v>33</v>
      </c>
      <c r="P27" t="s">
        <v>432</v>
      </c>
    </row>
    <row r="28" spans="1:16" x14ac:dyDescent="0.35">
      <c r="A28" t="s">
        <v>20</v>
      </c>
      <c r="B28">
        <v>17643</v>
      </c>
      <c r="C28" t="s">
        <v>426</v>
      </c>
      <c r="D28" t="s">
        <v>427</v>
      </c>
      <c r="E28" t="s">
        <v>2740</v>
      </c>
      <c r="F28" t="s">
        <v>2821</v>
      </c>
      <c r="G28" t="s">
        <v>2822</v>
      </c>
      <c r="H28" t="s">
        <v>2823</v>
      </c>
      <c r="I28" t="s">
        <v>431</v>
      </c>
      <c r="O28" t="s">
        <v>33</v>
      </c>
      <c r="P28" t="s">
        <v>432</v>
      </c>
    </row>
    <row r="29" spans="1:16" x14ac:dyDescent="0.35">
      <c r="A29" t="s">
        <v>20</v>
      </c>
      <c r="B29">
        <v>17643</v>
      </c>
      <c r="C29" t="s">
        <v>426</v>
      </c>
      <c r="D29" t="s">
        <v>427</v>
      </c>
      <c r="E29" t="s">
        <v>2744</v>
      </c>
      <c r="F29" t="s">
        <v>1620</v>
      </c>
      <c r="G29" t="s">
        <v>1621</v>
      </c>
      <c r="H29" t="s">
        <v>1622</v>
      </c>
      <c r="I29" t="s">
        <v>431</v>
      </c>
      <c r="J29" t="s">
        <v>1537</v>
      </c>
      <c r="O29" t="s">
        <v>33</v>
      </c>
      <c r="P29" t="s">
        <v>432</v>
      </c>
    </row>
    <row r="30" spans="1:16" x14ac:dyDescent="0.35">
      <c r="A30" t="s">
        <v>20</v>
      </c>
      <c r="B30">
        <v>17643</v>
      </c>
      <c r="C30" t="s">
        <v>426</v>
      </c>
      <c r="D30" t="s">
        <v>427</v>
      </c>
      <c r="E30" t="s">
        <v>2748</v>
      </c>
      <c r="F30" t="s">
        <v>488</v>
      </c>
      <c r="G30" t="s">
        <v>2824</v>
      </c>
      <c r="H30" t="s">
        <v>2825</v>
      </c>
      <c r="I30" t="s">
        <v>431</v>
      </c>
      <c r="O30" t="s">
        <v>33</v>
      </c>
      <c r="P30" t="s">
        <v>432</v>
      </c>
    </row>
    <row r="31" spans="1:16" x14ac:dyDescent="0.35">
      <c r="A31" t="s">
        <v>20</v>
      </c>
      <c r="B31">
        <v>17643</v>
      </c>
      <c r="C31" t="s">
        <v>426</v>
      </c>
      <c r="D31" t="s">
        <v>427</v>
      </c>
      <c r="E31" t="s">
        <v>2752</v>
      </c>
      <c r="F31" t="s">
        <v>2826</v>
      </c>
      <c r="G31" t="s">
        <v>2827</v>
      </c>
      <c r="H31" t="s">
        <v>2828</v>
      </c>
      <c r="I31" t="s">
        <v>431</v>
      </c>
      <c r="O31" t="s">
        <v>33</v>
      </c>
      <c r="P31" t="s">
        <v>432</v>
      </c>
    </row>
    <row r="32" spans="1:16" x14ac:dyDescent="0.35">
      <c r="A32" t="s">
        <v>20</v>
      </c>
      <c r="B32">
        <v>17643</v>
      </c>
      <c r="C32" t="s">
        <v>426</v>
      </c>
      <c r="D32" t="s">
        <v>427</v>
      </c>
      <c r="E32" t="s">
        <v>2760</v>
      </c>
      <c r="F32" t="s">
        <v>2829</v>
      </c>
      <c r="G32" t="s">
        <v>2830</v>
      </c>
      <c r="H32" t="s">
        <v>2831</v>
      </c>
      <c r="I32" t="s">
        <v>431</v>
      </c>
      <c r="O32" t="s">
        <v>33</v>
      </c>
      <c r="P32" t="s">
        <v>432</v>
      </c>
    </row>
    <row r="33" spans="1:16" x14ac:dyDescent="0.35">
      <c r="A33" t="s">
        <v>20</v>
      </c>
      <c r="B33">
        <v>17643</v>
      </c>
      <c r="C33" t="s">
        <v>426</v>
      </c>
      <c r="D33" t="s">
        <v>427</v>
      </c>
      <c r="E33" t="s">
        <v>2763</v>
      </c>
      <c r="F33" t="s">
        <v>2832</v>
      </c>
      <c r="G33" t="s">
        <v>2833</v>
      </c>
      <c r="H33" t="s">
        <v>2834</v>
      </c>
      <c r="I33" t="s">
        <v>431</v>
      </c>
      <c r="O33" t="s">
        <v>33</v>
      </c>
      <c r="P33" t="s">
        <v>432</v>
      </c>
    </row>
    <row r="34" spans="1:16" x14ac:dyDescent="0.35">
      <c r="A34" t="s">
        <v>20</v>
      </c>
      <c r="B34">
        <v>17643</v>
      </c>
      <c r="C34" t="s">
        <v>426</v>
      </c>
      <c r="D34" t="s">
        <v>427</v>
      </c>
      <c r="E34" t="s">
        <v>2756</v>
      </c>
      <c r="F34" t="s">
        <v>2835</v>
      </c>
      <c r="G34" t="s">
        <v>2836</v>
      </c>
      <c r="H34" t="s">
        <v>2837</v>
      </c>
      <c r="I34" t="s">
        <v>431</v>
      </c>
      <c r="O34" t="s">
        <v>33</v>
      </c>
      <c r="P34" t="s">
        <v>432</v>
      </c>
    </row>
    <row r="35" spans="1:16" x14ac:dyDescent="0.35">
      <c r="A35" t="s">
        <v>20</v>
      </c>
      <c r="B35">
        <v>17643</v>
      </c>
      <c r="C35" t="s">
        <v>426</v>
      </c>
      <c r="D35" t="s">
        <v>427</v>
      </c>
      <c r="E35" t="s">
        <v>2838</v>
      </c>
      <c r="F35" t="s">
        <v>2839</v>
      </c>
      <c r="G35" t="s">
        <v>2840</v>
      </c>
      <c r="H35" t="s">
        <v>2841</v>
      </c>
      <c r="I35" t="s">
        <v>431</v>
      </c>
      <c r="O35" t="s">
        <v>33</v>
      </c>
      <c r="P35" t="s">
        <v>432</v>
      </c>
    </row>
    <row r="36" spans="1:16" x14ac:dyDescent="0.35">
      <c r="A36" t="s">
        <v>20</v>
      </c>
      <c r="B36">
        <v>17643</v>
      </c>
      <c r="C36" t="s">
        <v>426</v>
      </c>
      <c r="D36" t="s">
        <v>427</v>
      </c>
      <c r="E36" t="s">
        <v>2842</v>
      </c>
      <c r="F36" t="s">
        <v>2843</v>
      </c>
      <c r="G36" t="s">
        <v>2844</v>
      </c>
      <c r="H36" t="s">
        <v>2845</v>
      </c>
      <c r="I36" t="s">
        <v>431</v>
      </c>
      <c r="O36" t="s">
        <v>33</v>
      </c>
      <c r="P36" t="s">
        <v>432</v>
      </c>
    </row>
    <row r="37" spans="1:16" x14ac:dyDescent="0.35">
      <c r="A37" t="s">
        <v>20</v>
      </c>
      <c r="B37">
        <v>17643</v>
      </c>
      <c r="C37" t="s">
        <v>426</v>
      </c>
      <c r="D37" t="s">
        <v>427</v>
      </c>
      <c r="E37" t="s">
        <v>2846</v>
      </c>
      <c r="F37" t="s">
        <v>2847</v>
      </c>
      <c r="G37" t="s">
        <v>2848</v>
      </c>
      <c r="H37" t="s">
        <v>2849</v>
      </c>
      <c r="I37" t="s">
        <v>431</v>
      </c>
      <c r="O37" t="s">
        <v>33</v>
      </c>
      <c r="P37" t="s">
        <v>432</v>
      </c>
    </row>
    <row r="38" spans="1:16" x14ac:dyDescent="0.35">
      <c r="A38" t="s">
        <v>20</v>
      </c>
      <c r="B38">
        <v>17643</v>
      </c>
      <c r="C38" t="s">
        <v>426</v>
      </c>
      <c r="D38" t="s">
        <v>427</v>
      </c>
      <c r="E38" t="s">
        <v>2850</v>
      </c>
      <c r="F38" t="s">
        <v>2851</v>
      </c>
      <c r="G38" t="s">
        <v>2852</v>
      </c>
      <c r="H38" t="s">
        <v>2853</v>
      </c>
      <c r="I38" t="s">
        <v>431</v>
      </c>
      <c r="O38" t="s">
        <v>33</v>
      </c>
      <c r="P38" t="s">
        <v>432</v>
      </c>
    </row>
    <row r="39" spans="1:16" x14ac:dyDescent="0.35">
      <c r="A39" t="s">
        <v>20</v>
      </c>
      <c r="B39">
        <v>17646</v>
      </c>
      <c r="C39" t="s">
        <v>666</v>
      </c>
      <c r="D39" t="s">
        <v>667</v>
      </c>
      <c r="E39" t="s">
        <v>2732</v>
      </c>
      <c r="F39" t="s">
        <v>2854</v>
      </c>
      <c r="G39" t="s">
        <v>2855</v>
      </c>
      <c r="H39" t="s">
        <v>2856</v>
      </c>
      <c r="I39" t="s">
        <v>671</v>
      </c>
      <c r="O39" t="s">
        <v>33</v>
      </c>
    </row>
    <row r="40" spans="1:16" x14ac:dyDescent="0.35">
      <c r="A40" t="s">
        <v>20</v>
      </c>
      <c r="B40">
        <v>17646</v>
      </c>
      <c r="C40" t="s">
        <v>666</v>
      </c>
      <c r="D40" t="s">
        <v>667</v>
      </c>
      <c r="E40" t="s">
        <v>2736</v>
      </c>
      <c r="F40" t="s">
        <v>2857</v>
      </c>
      <c r="G40" t="s">
        <v>2858</v>
      </c>
      <c r="H40" t="s">
        <v>2859</v>
      </c>
      <c r="I40" t="s">
        <v>671</v>
      </c>
      <c r="O40" t="s">
        <v>33</v>
      </c>
    </row>
    <row r="41" spans="1:16" x14ac:dyDescent="0.35">
      <c r="A41" t="s">
        <v>20</v>
      </c>
      <c r="B41">
        <v>17646</v>
      </c>
      <c r="C41" t="s">
        <v>666</v>
      </c>
      <c r="D41" t="s">
        <v>667</v>
      </c>
      <c r="E41" t="s">
        <v>2744</v>
      </c>
      <c r="F41" t="s">
        <v>2860</v>
      </c>
      <c r="G41" t="s">
        <v>2861</v>
      </c>
      <c r="H41" t="s">
        <v>2862</v>
      </c>
      <c r="I41" t="s">
        <v>671</v>
      </c>
      <c r="O41" t="s">
        <v>33</v>
      </c>
    </row>
    <row r="42" spans="1:16" x14ac:dyDescent="0.35">
      <c r="A42" t="s">
        <v>20</v>
      </c>
      <c r="B42">
        <v>17646</v>
      </c>
      <c r="C42" t="s">
        <v>666</v>
      </c>
      <c r="D42" t="s">
        <v>667</v>
      </c>
      <c r="E42" t="s">
        <v>2740</v>
      </c>
      <c r="F42" t="s">
        <v>2863</v>
      </c>
      <c r="G42" t="s">
        <v>2864</v>
      </c>
      <c r="H42" t="s">
        <v>2865</v>
      </c>
      <c r="I42" t="s">
        <v>671</v>
      </c>
      <c r="O42" t="s">
        <v>33</v>
      </c>
    </row>
    <row r="43" spans="1:16" x14ac:dyDescent="0.35">
      <c r="A43" t="s">
        <v>20</v>
      </c>
      <c r="B43">
        <v>17646</v>
      </c>
      <c r="C43" t="s">
        <v>666</v>
      </c>
      <c r="D43" t="s">
        <v>667</v>
      </c>
      <c r="E43" t="s">
        <v>2752</v>
      </c>
      <c r="F43" t="s">
        <v>710</v>
      </c>
      <c r="G43" t="s">
        <v>2866</v>
      </c>
      <c r="H43" t="s">
        <v>1630</v>
      </c>
      <c r="I43" t="s">
        <v>671</v>
      </c>
      <c r="O43" t="s">
        <v>33</v>
      </c>
    </row>
    <row r="44" spans="1:16" x14ac:dyDescent="0.35">
      <c r="A44" t="s">
        <v>20</v>
      </c>
      <c r="B44">
        <v>17646</v>
      </c>
      <c r="C44" t="s">
        <v>666</v>
      </c>
      <c r="D44" t="s">
        <v>667</v>
      </c>
      <c r="E44" t="s">
        <v>2748</v>
      </c>
      <c r="F44" t="s">
        <v>710</v>
      </c>
      <c r="G44" t="s">
        <v>711</v>
      </c>
      <c r="H44" t="s">
        <v>1630</v>
      </c>
      <c r="I44" t="s">
        <v>671</v>
      </c>
      <c r="J44" t="s">
        <v>1537</v>
      </c>
      <c r="O44" t="s">
        <v>33</v>
      </c>
    </row>
    <row r="45" spans="1:16" x14ac:dyDescent="0.35">
      <c r="A45" t="s">
        <v>20</v>
      </c>
      <c r="B45">
        <v>17646</v>
      </c>
      <c r="C45" t="s">
        <v>666</v>
      </c>
      <c r="D45" t="s">
        <v>667</v>
      </c>
      <c r="E45" t="s">
        <v>2760</v>
      </c>
      <c r="F45" t="s">
        <v>2867</v>
      </c>
      <c r="G45" t="s">
        <v>2868</v>
      </c>
      <c r="H45" t="s">
        <v>2869</v>
      </c>
      <c r="I45" t="s">
        <v>671</v>
      </c>
      <c r="O45" t="s">
        <v>33</v>
      </c>
    </row>
    <row r="46" spans="1:16" x14ac:dyDescent="0.35">
      <c r="A46" t="s">
        <v>20</v>
      </c>
      <c r="B46">
        <v>17646</v>
      </c>
      <c r="C46" t="s">
        <v>666</v>
      </c>
      <c r="D46" t="s">
        <v>667</v>
      </c>
      <c r="E46" t="s">
        <v>2763</v>
      </c>
      <c r="F46" t="s">
        <v>2870</v>
      </c>
      <c r="G46" t="s">
        <v>2871</v>
      </c>
      <c r="H46" t="s">
        <v>2872</v>
      </c>
      <c r="I46" t="s">
        <v>671</v>
      </c>
      <c r="O46" t="s">
        <v>33</v>
      </c>
    </row>
    <row r="47" spans="1:16" x14ac:dyDescent="0.35">
      <c r="A47" t="s">
        <v>20</v>
      </c>
      <c r="B47">
        <v>17646</v>
      </c>
      <c r="C47" t="s">
        <v>666</v>
      </c>
      <c r="D47" t="s">
        <v>667</v>
      </c>
      <c r="E47" t="s">
        <v>2756</v>
      </c>
      <c r="F47" t="s">
        <v>791</v>
      </c>
      <c r="G47" t="s">
        <v>2873</v>
      </c>
      <c r="H47" t="s">
        <v>2874</v>
      </c>
      <c r="I47" t="s">
        <v>671</v>
      </c>
      <c r="O47" t="s">
        <v>33</v>
      </c>
    </row>
    <row r="48" spans="1:16" x14ac:dyDescent="0.35">
      <c r="A48" t="s">
        <v>20</v>
      </c>
      <c r="B48">
        <v>17646</v>
      </c>
      <c r="C48" t="s">
        <v>666</v>
      </c>
      <c r="D48" t="s">
        <v>667</v>
      </c>
      <c r="E48" t="s">
        <v>2838</v>
      </c>
      <c r="F48" t="s">
        <v>2875</v>
      </c>
      <c r="G48" t="s">
        <v>2876</v>
      </c>
      <c r="H48" t="s">
        <v>2877</v>
      </c>
      <c r="I48" t="s">
        <v>671</v>
      </c>
      <c r="O48" t="s">
        <v>33</v>
      </c>
    </row>
    <row r="49" spans="1:15" x14ac:dyDescent="0.35">
      <c r="A49" t="s">
        <v>20</v>
      </c>
      <c r="B49">
        <v>17646</v>
      </c>
      <c r="C49" t="s">
        <v>666</v>
      </c>
      <c r="D49" t="s">
        <v>667</v>
      </c>
      <c r="E49" t="s">
        <v>2766</v>
      </c>
      <c r="F49" t="s">
        <v>2878</v>
      </c>
      <c r="G49" t="s">
        <v>2879</v>
      </c>
      <c r="H49" t="s">
        <v>2880</v>
      </c>
      <c r="I49" t="s">
        <v>809</v>
      </c>
      <c r="O49" t="s">
        <v>33</v>
      </c>
    </row>
    <row r="50" spans="1:15" x14ac:dyDescent="0.35">
      <c r="A50" t="s">
        <v>20</v>
      </c>
      <c r="B50">
        <v>17646</v>
      </c>
      <c r="C50" t="s">
        <v>666</v>
      </c>
      <c r="D50" t="s">
        <v>667</v>
      </c>
      <c r="E50" t="s">
        <v>2770</v>
      </c>
      <c r="F50" t="s">
        <v>2881</v>
      </c>
      <c r="G50" t="s">
        <v>2882</v>
      </c>
      <c r="H50" t="s">
        <v>2883</v>
      </c>
      <c r="I50" t="s">
        <v>809</v>
      </c>
      <c r="O50" t="s">
        <v>33</v>
      </c>
    </row>
    <row r="51" spans="1:15" x14ac:dyDescent="0.35">
      <c r="A51" t="s">
        <v>20</v>
      </c>
      <c r="B51">
        <v>17646</v>
      </c>
      <c r="C51" t="s">
        <v>666</v>
      </c>
      <c r="D51" t="s">
        <v>667</v>
      </c>
      <c r="E51" t="s">
        <v>2774</v>
      </c>
      <c r="F51" t="s">
        <v>2884</v>
      </c>
      <c r="G51" t="s">
        <v>2885</v>
      </c>
      <c r="H51" t="s">
        <v>2886</v>
      </c>
      <c r="I51" t="s">
        <v>809</v>
      </c>
      <c r="O51" t="s">
        <v>33</v>
      </c>
    </row>
    <row r="52" spans="1:15" x14ac:dyDescent="0.35">
      <c r="A52" t="s">
        <v>20</v>
      </c>
      <c r="B52">
        <v>17646</v>
      </c>
      <c r="C52" t="s">
        <v>666</v>
      </c>
      <c r="D52" t="s">
        <v>667</v>
      </c>
      <c r="E52" t="s">
        <v>2778</v>
      </c>
      <c r="F52" t="s">
        <v>1623</v>
      </c>
      <c r="G52" t="s">
        <v>1624</v>
      </c>
      <c r="H52" t="s">
        <v>1625</v>
      </c>
      <c r="I52" t="s">
        <v>809</v>
      </c>
      <c r="O52" t="s">
        <v>33</v>
      </c>
    </row>
    <row r="53" spans="1:15" x14ac:dyDescent="0.35">
      <c r="A53" t="s">
        <v>20</v>
      </c>
      <c r="B53">
        <v>17646</v>
      </c>
      <c r="C53" t="s">
        <v>666</v>
      </c>
      <c r="D53" t="s">
        <v>667</v>
      </c>
      <c r="E53" t="s">
        <v>2782</v>
      </c>
      <c r="F53" t="s">
        <v>2887</v>
      </c>
      <c r="G53" t="s">
        <v>2888</v>
      </c>
      <c r="H53" t="s">
        <v>2889</v>
      </c>
      <c r="I53" t="s">
        <v>809</v>
      </c>
      <c r="O53" t="s">
        <v>33</v>
      </c>
    </row>
    <row r="54" spans="1:15" x14ac:dyDescent="0.35">
      <c r="A54" t="s">
        <v>20</v>
      </c>
      <c r="B54">
        <v>17646</v>
      </c>
      <c r="C54" t="s">
        <v>666</v>
      </c>
      <c r="D54" t="s">
        <v>667</v>
      </c>
      <c r="E54" t="s">
        <v>2786</v>
      </c>
      <c r="F54" t="s">
        <v>2890</v>
      </c>
      <c r="G54" t="s">
        <v>2891</v>
      </c>
      <c r="H54" t="s">
        <v>2892</v>
      </c>
      <c r="I54" t="s">
        <v>809</v>
      </c>
      <c r="O54" t="s">
        <v>33</v>
      </c>
    </row>
    <row r="55" spans="1:15" x14ac:dyDescent="0.35">
      <c r="A55" t="s">
        <v>20</v>
      </c>
      <c r="B55">
        <v>17646</v>
      </c>
      <c r="C55" t="s">
        <v>666</v>
      </c>
      <c r="D55" t="s">
        <v>667</v>
      </c>
      <c r="E55" t="s">
        <v>2787</v>
      </c>
      <c r="F55" t="s">
        <v>2893</v>
      </c>
      <c r="G55" t="s">
        <v>2894</v>
      </c>
      <c r="H55" t="s">
        <v>2895</v>
      </c>
      <c r="I55" t="s">
        <v>809</v>
      </c>
      <c r="O55" t="s">
        <v>33</v>
      </c>
    </row>
    <row r="56" spans="1:15" x14ac:dyDescent="0.35">
      <c r="A56" t="s">
        <v>20</v>
      </c>
      <c r="B56">
        <v>17646</v>
      </c>
      <c r="C56" t="s">
        <v>666</v>
      </c>
      <c r="D56" t="s">
        <v>667</v>
      </c>
      <c r="E56" t="s">
        <v>2791</v>
      </c>
      <c r="F56" t="s">
        <v>2896</v>
      </c>
      <c r="G56" t="s">
        <v>2897</v>
      </c>
      <c r="H56" t="s">
        <v>2898</v>
      </c>
      <c r="I56" t="s">
        <v>809</v>
      </c>
      <c r="O56" t="s">
        <v>33</v>
      </c>
    </row>
    <row r="57" spans="1:15" x14ac:dyDescent="0.35">
      <c r="A57" t="s">
        <v>20</v>
      </c>
      <c r="B57">
        <v>17646</v>
      </c>
      <c r="C57" t="s">
        <v>666</v>
      </c>
      <c r="D57" t="s">
        <v>667</v>
      </c>
      <c r="E57" t="s">
        <v>2795</v>
      </c>
      <c r="F57" t="s">
        <v>2899</v>
      </c>
      <c r="G57" t="s">
        <v>2900</v>
      </c>
      <c r="H57" t="s">
        <v>2901</v>
      </c>
      <c r="I57" t="s">
        <v>809</v>
      </c>
      <c r="O57" t="s">
        <v>33</v>
      </c>
    </row>
    <row r="58" spans="1:15" x14ac:dyDescent="0.35">
      <c r="A58" t="s">
        <v>20</v>
      </c>
      <c r="B58">
        <v>17646</v>
      </c>
      <c r="C58" t="s">
        <v>666</v>
      </c>
      <c r="D58" t="s">
        <v>667</v>
      </c>
      <c r="E58" t="s">
        <v>2902</v>
      </c>
      <c r="F58" t="s">
        <v>2903</v>
      </c>
      <c r="G58" t="s">
        <v>2904</v>
      </c>
      <c r="H58" t="s">
        <v>2905</v>
      </c>
      <c r="I58" t="s">
        <v>809</v>
      </c>
      <c r="O58" t="s">
        <v>33</v>
      </c>
    </row>
    <row r="59" spans="1:15" x14ac:dyDescent="0.35">
      <c r="A59" t="s">
        <v>20</v>
      </c>
      <c r="B59">
        <v>17646</v>
      </c>
      <c r="C59" t="s">
        <v>666</v>
      </c>
      <c r="D59" t="s">
        <v>667</v>
      </c>
      <c r="E59" t="s">
        <v>2906</v>
      </c>
      <c r="F59" t="s">
        <v>2907</v>
      </c>
      <c r="G59" t="s">
        <v>2908</v>
      </c>
      <c r="H59" t="s">
        <v>2909</v>
      </c>
      <c r="I59" t="s">
        <v>809</v>
      </c>
      <c r="O59" t="s">
        <v>33</v>
      </c>
    </row>
    <row r="60" spans="1:15" x14ac:dyDescent="0.35">
      <c r="A60" t="s">
        <v>20</v>
      </c>
      <c r="B60">
        <v>17646</v>
      </c>
      <c r="C60" t="s">
        <v>666</v>
      </c>
      <c r="D60" t="s">
        <v>667</v>
      </c>
      <c r="E60" t="s">
        <v>2910</v>
      </c>
      <c r="F60" t="s">
        <v>2911</v>
      </c>
      <c r="G60" t="s">
        <v>2912</v>
      </c>
      <c r="H60" t="s">
        <v>2913</v>
      </c>
      <c r="I60" t="s">
        <v>809</v>
      </c>
      <c r="O60" t="s">
        <v>33</v>
      </c>
    </row>
    <row r="61" spans="1:15" x14ac:dyDescent="0.35">
      <c r="A61" t="s">
        <v>20</v>
      </c>
      <c r="B61">
        <v>17646</v>
      </c>
      <c r="C61" t="s">
        <v>666</v>
      </c>
      <c r="D61" t="s">
        <v>667</v>
      </c>
      <c r="E61" t="s">
        <v>2914</v>
      </c>
      <c r="F61" t="s">
        <v>2915</v>
      </c>
      <c r="G61" t="s">
        <v>2916</v>
      </c>
      <c r="H61" t="s">
        <v>2917</v>
      </c>
      <c r="I61" t="s">
        <v>809</v>
      </c>
      <c r="O61" t="s">
        <v>33</v>
      </c>
    </row>
    <row r="62" spans="1:15" x14ac:dyDescent="0.35">
      <c r="A62" t="s">
        <v>20</v>
      </c>
      <c r="B62">
        <v>17646</v>
      </c>
      <c r="C62" t="s">
        <v>666</v>
      </c>
      <c r="D62" t="s">
        <v>667</v>
      </c>
      <c r="E62" t="s">
        <v>2918</v>
      </c>
      <c r="F62" t="s">
        <v>1627</v>
      </c>
      <c r="G62" t="s">
        <v>1628</v>
      </c>
      <c r="H62" t="s">
        <v>1629</v>
      </c>
      <c r="I62" t="s">
        <v>809</v>
      </c>
      <c r="O62" t="s">
        <v>33</v>
      </c>
    </row>
    <row r="63" spans="1:15" x14ac:dyDescent="0.35">
      <c r="A63" t="s">
        <v>20</v>
      </c>
      <c r="B63">
        <v>17645</v>
      </c>
      <c r="C63" t="s">
        <v>949</v>
      </c>
      <c r="D63" t="s">
        <v>950</v>
      </c>
      <c r="E63" t="s">
        <v>2732</v>
      </c>
      <c r="F63" t="s">
        <v>2919</v>
      </c>
      <c r="G63" t="s">
        <v>2920</v>
      </c>
      <c r="H63" t="s">
        <v>2921</v>
      </c>
      <c r="I63" t="s">
        <v>1090</v>
      </c>
      <c r="O63" t="s">
        <v>33</v>
      </c>
    </row>
    <row r="64" spans="1:15" x14ac:dyDescent="0.35">
      <c r="A64" t="s">
        <v>20</v>
      </c>
      <c r="B64">
        <v>17645</v>
      </c>
      <c r="C64" t="s">
        <v>949</v>
      </c>
      <c r="D64" t="s">
        <v>950</v>
      </c>
      <c r="E64" t="s">
        <v>2736</v>
      </c>
      <c r="F64" t="s">
        <v>2922</v>
      </c>
      <c r="G64" t="s">
        <v>2923</v>
      </c>
      <c r="H64" t="s">
        <v>2924</v>
      </c>
      <c r="I64" t="s">
        <v>1090</v>
      </c>
      <c r="J64" t="s">
        <v>1537</v>
      </c>
      <c r="O64" t="s">
        <v>33</v>
      </c>
    </row>
    <row r="65" spans="1:15" x14ac:dyDescent="0.35">
      <c r="A65" t="s">
        <v>20</v>
      </c>
      <c r="B65">
        <v>17645</v>
      </c>
      <c r="C65" t="s">
        <v>949</v>
      </c>
      <c r="D65" t="s">
        <v>950</v>
      </c>
      <c r="E65" t="s">
        <v>2744</v>
      </c>
      <c r="F65" t="s">
        <v>2925</v>
      </c>
      <c r="G65" t="s">
        <v>2926</v>
      </c>
      <c r="H65" t="s">
        <v>2927</v>
      </c>
      <c r="I65" t="s">
        <v>1090</v>
      </c>
      <c r="O65" t="s">
        <v>33</v>
      </c>
    </row>
    <row r="66" spans="1:15" x14ac:dyDescent="0.35">
      <c r="A66" t="s">
        <v>20</v>
      </c>
      <c r="B66">
        <v>17645</v>
      </c>
      <c r="C66" t="s">
        <v>949</v>
      </c>
      <c r="D66" t="s">
        <v>950</v>
      </c>
      <c r="E66" t="s">
        <v>2740</v>
      </c>
      <c r="F66" t="s">
        <v>1635</v>
      </c>
      <c r="G66" t="s">
        <v>1636</v>
      </c>
      <c r="H66" t="s">
        <v>1637</v>
      </c>
      <c r="I66" t="s">
        <v>1090</v>
      </c>
      <c r="J66" t="s">
        <v>1537</v>
      </c>
      <c r="O66" t="s">
        <v>33</v>
      </c>
    </row>
    <row r="67" spans="1:15" x14ac:dyDescent="0.35">
      <c r="A67" t="s">
        <v>20</v>
      </c>
      <c r="B67">
        <v>17645</v>
      </c>
      <c r="C67" t="s">
        <v>949</v>
      </c>
      <c r="D67" t="s">
        <v>950</v>
      </c>
      <c r="E67" t="s">
        <v>2748</v>
      </c>
      <c r="F67" t="s">
        <v>2928</v>
      </c>
      <c r="G67" t="s">
        <v>2929</v>
      </c>
      <c r="H67" t="s">
        <v>2930</v>
      </c>
      <c r="I67" t="s">
        <v>1090</v>
      </c>
      <c r="O67" t="s">
        <v>33</v>
      </c>
    </row>
    <row r="68" spans="1:15" x14ac:dyDescent="0.35">
      <c r="A68" t="s">
        <v>20</v>
      </c>
      <c r="B68">
        <v>17645</v>
      </c>
      <c r="C68" t="s">
        <v>949</v>
      </c>
      <c r="D68" t="s">
        <v>950</v>
      </c>
      <c r="E68" t="s">
        <v>2752</v>
      </c>
      <c r="F68" t="s">
        <v>1639</v>
      </c>
      <c r="G68" t="s">
        <v>1640</v>
      </c>
      <c r="H68" t="s">
        <v>1641</v>
      </c>
      <c r="I68" t="s">
        <v>1090</v>
      </c>
      <c r="J68" t="s">
        <v>1537</v>
      </c>
      <c r="O68" t="s">
        <v>33</v>
      </c>
    </row>
    <row r="69" spans="1:15" x14ac:dyDescent="0.35">
      <c r="A69" t="s">
        <v>20</v>
      </c>
      <c r="B69">
        <v>17645</v>
      </c>
      <c r="C69" t="s">
        <v>949</v>
      </c>
      <c r="D69" t="s">
        <v>950</v>
      </c>
      <c r="E69" t="s">
        <v>2760</v>
      </c>
      <c r="F69" t="s">
        <v>2931</v>
      </c>
      <c r="G69" t="s">
        <v>2932</v>
      </c>
      <c r="H69" t="s">
        <v>2933</v>
      </c>
      <c r="I69" t="s">
        <v>1090</v>
      </c>
      <c r="O69" t="s">
        <v>33</v>
      </c>
    </row>
    <row r="70" spans="1:15" x14ac:dyDescent="0.35">
      <c r="A70" t="s">
        <v>20</v>
      </c>
      <c r="B70">
        <v>17645</v>
      </c>
      <c r="C70" t="s">
        <v>949</v>
      </c>
      <c r="D70" t="s">
        <v>950</v>
      </c>
      <c r="E70" t="s">
        <v>2763</v>
      </c>
      <c r="F70" t="s">
        <v>2934</v>
      </c>
      <c r="G70" t="s">
        <v>2935</v>
      </c>
      <c r="H70" t="s">
        <v>2936</v>
      </c>
      <c r="I70" t="s">
        <v>1090</v>
      </c>
      <c r="O70" t="s">
        <v>33</v>
      </c>
    </row>
    <row r="71" spans="1:15" x14ac:dyDescent="0.35">
      <c r="A71" t="s">
        <v>20</v>
      </c>
      <c r="B71">
        <v>17645</v>
      </c>
      <c r="C71" t="s">
        <v>949</v>
      </c>
      <c r="D71" t="s">
        <v>950</v>
      </c>
      <c r="E71" t="s">
        <v>2756</v>
      </c>
      <c r="F71" t="s">
        <v>1643</v>
      </c>
      <c r="G71" t="s">
        <v>1644</v>
      </c>
      <c r="H71" t="s">
        <v>1645</v>
      </c>
      <c r="I71" t="s">
        <v>1090</v>
      </c>
      <c r="J71" t="s">
        <v>1537</v>
      </c>
      <c r="O71" t="s">
        <v>33</v>
      </c>
    </row>
    <row r="72" spans="1:15" x14ac:dyDescent="0.35">
      <c r="A72" t="s">
        <v>20</v>
      </c>
      <c r="B72">
        <v>17645</v>
      </c>
      <c r="C72" t="s">
        <v>949</v>
      </c>
      <c r="D72" t="s">
        <v>950</v>
      </c>
      <c r="E72" t="s">
        <v>2838</v>
      </c>
      <c r="F72" t="s">
        <v>1647</v>
      </c>
      <c r="G72" t="s">
        <v>1648</v>
      </c>
      <c r="H72" t="s">
        <v>1649</v>
      </c>
      <c r="I72" t="s">
        <v>1090</v>
      </c>
      <c r="J72" t="s">
        <v>1537</v>
      </c>
      <c r="O72" t="s">
        <v>33</v>
      </c>
    </row>
    <row r="73" spans="1:15" x14ac:dyDescent="0.35">
      <c r="A73" t="s">
        <v>20</v>
      </c>
      <c r="B73">
        <v>17645</v>
      </c>
      <c r="C73" t="s">
        <v>949</v>
      </c>
      <c r="D73" t="s">
        <v>950</v>
      </c>
      <c r="E73" t="s">
        <v>2846</v>
      </c>
      <c r="F73" t="s">
        <v>2937</v>
      </c>
      <c r="G73" t="s">
        <v>2938</v>
      </c>
      <c r="H73" t="s">
        <v>2939</v>
      </c>
      <c r="I73" t="s">
        <v>1090</v>
      </c>
      <c r="O73" t="s">
        <v>33</v>
      </c>
    </row>
    <row r="74" spans="1:15" x14ac:dyDescent="0.35">
      <c r="A74" t="s">
        <v>20</v>
      </c>
      <c r="B74">
        <v>17645</v>
      </c>
      <c r="C74" t="s">
        <v>949</v>
      </c>
      <c r="D74" t="s">
        <v>950</v>
      </c>
      <c r="E74" t="s">
        <v>2842</v>
      </c>
      <c r="F74" t="s">
        <v>1651</v>
      </c>
      <c r="G74" t="s">
        <v>1652</v>
      </c>
      <c r="H74" t="s">
        <v>1653</v>
      </c>
      <c r="I74" t="s">
        <v>1090</v>
      </c>
      <c r="J74" t="s">
        <v>1537</v>
      </c>
      <c r="O74" t="s">
        <v>33</v>
      </c>
    </row>
    <row r="75" spans="1:15" x14ac:dyDescent="0.35">
      <c r="A75" t="s">
        <v>20</v>
      </c>
      <c r="B75">
        <v>17645</v>
      </c>
      <c r="C75" t="s">
        <v>949</v>
      </c>
      <c r="D75" t="s">
        <v>950</v>
      </c>
      <c r="E75" t="s">
        <v>2940</v>
      </c>
      <c r="F75" t="s">
        <v>2941</v>
      </c>
      <c r="G75" t="s">
        <v>2942</v>
      </c>
      <c r="H75" t="s">
        <v>2943</v>
      </c>
      <c r="I75" t="s">
        <v>1090</v>
      </c>
      <c r="O75" t="s">
        <v>33</v>
      </c>
    </row>
    <row r="76" spans="1:15" x14ac:dyDescent="0.35">
      <c r="A76" t="s">
        <v>20</v>
      </c>
      <c r="B76">
        <v>17645</v>
      </c>
      <c r="C76" t="s">
        <v>949</v>
      </c>
      <c r="D76" t="s">
        <v>950</v>
      </c>
      <c r="E76" t="s">
        <v>2850</v>
      </c>
      <c r="F76" t="s">
        <v>1655</v>
      </c>
      <c r="G76" t="s">
        <v>1656</v>
      </c>
      <c r="H76" t="s">
        <v>1657</v>
      </c>
      <c r="I76" t="s">
        <v>1090</v>
      </c>
      <c r="J76" t="s">
        <v>1537</v>
      </c>
      <c r="O76" t="s">
        <v>33</v>
      </c>
    </row>
    <row r="77" spans="1:15" x14ac:dyDescent="0.35">
      <c r="A77" t="s">
        <v>20</v>
      </c>
      <c r="B77">
        <v>17645</v>
      </c>
      <c r="C77" t="s">
        <v>949</v>
      </c>
      <c r="D77" t="s">
        <v>950</v>
      </c>
      <c r="E77" t="s">
        <v>2944</v>
      </c>
      <c r="F77" t="s">
        <v>2945</v>
      </c>
      <c r="G77" t="s">
        <v>2946</v>
      </c>
      <c r="H77" t="s">
        <v>2947</v>
      </c>
      <c r="I77" t="s">
        <v>1090</v>
      </c>
      <c r="O77" t="s">
        <v>33</v>
      </c>
    </row>
    <row r="78" spans="1:15" x14ac:dyDescent="0.35">
      <c r="A78" t="s">
        <v>20</v>
      </c>
      <c r="B78">
        <v>17645</v>
      </c>
      <c r="C78" t="s">
        <v>949</v>
      </c>
      <c r="D78" t="s">
        <v>950</v>
      </c>
      <c r="E78" t="s">
        <v>2948</v>
      </c>
      <c r="F78" t="s">
        <v>2949</v>
      </c>
      <c r="G78" t="s">
        <v>2950</v>
      </c>
      <c r="H78" t="s">
        <v>2951</v>
      </c>
      <c r="I78" t="s">
        <v>1090</v>
      </c>
      <c r="O78" t="s">
        <v>33</v>
      </c>
    </row>
    <row r="79" spans="1:15" x14ac:dyDescent="0.35">
      <c r="A79" t="s">
        <v>20</v>
      </c>
      <c r="B79">
        <v>17645</v>
      </c>
      <c r="C79" t="s">
        <v>949</v>
      </c>
      <c r="D79" t="s">
        <v>950</v>
      </c>
      <c r="E79" t="s">
        <v>2766</v>
      </c>
      <c r="F79" t="s">
        <v>2952</v>
      </c>
      <c r="G79" t="s">
        <v>2953</v>
      </c>
      <c r="H79" t="s">
        <v>2954</v>
      </c>
      <c r="I79" t="s">
        <v>954</v>
      </c>
      <c r="O79" t="s">
        <v>33</v>
      </c>
    </row>
    <row r="80" spans="1:15" x14ac:dyDescent="0.35">
      <c r="A80" t="s">
        <v>20</v>
      </c>
      <c r="B80">
        <v>17645</v>
      </c>
      <c r="C80" t="s">
        <v>949</v>
      </c>
      <c r="D80" t="s">
        <v>950</v>
      </c>
      <c r="E80" t="s">
        <v>2770</v>
      </c>
      <c r="F80" t="s">
        <v>2955</v>
      </c>
      <c r="G80" t="s">
        <v>2956</v>
      </c>
      <c r="H80" t="s">
        <v>2957</v>
      </c>
      <c r="I80" t="s">
        <v>954</v>
      </c>
      <c r="O80" t="s">
        <v>33</v>
      </c>
    </row>
    <row r="81" spans="1:15" x14ac:dyDescent="0.35">
      <c r="A81" t="s">
        <v>20</v>
      </c>
      <c r="B81">
        <v>17645</v>
      </c>
      <c r="C81" t="s">
        <v>949</v>
      </c>
      <c r="D81" t="s">
        <v>950</v>
      </c>
      <c r="E81" t="s">
        <v>2774</v>
      </c>
      <c r="F81" t="s">
        <v>2958</v>
      </c>
      <c r="G81" t="s">
        <v>2959</v>
      </c>
      <c r="H81" t="s">
        <v>2960</v>
      </c>
      <c r="I81" t="s">
        <v>954</v>
      </c>
      <c r="O81" t="s">
        <v>33</v>
      </c>
    </row>
    <row r="82" spans="1:15" x14ac:dyDescent="0.35">
      <c r="A82" t="s">
        <v>20</v>
      </c>
      <c r="B82">
        <v>17645</v>
      </c>
      <c r="C82" t="s">
        <v>949</v>
      </c>
      <c r="D82" t="s">
        <v>950</v>
      </c>
      <c r="E82" t="s">
        <v>2778</v>
      </c>
      <c r="F82" t="s">
        <v>2961</v>
      </c>
      <c r="G82" t="s">
        <v>2962</v>
      </c>
      <c r="H82" t="s">
        <v>2963</v>
      </c>
      <c r="I82" t="s">
        <v>954</v>
      </c>
      <c r="O82" t="s">
        <v>33</v>
      </c>
    </row>
    <row r="83" spans="1:15" x14ac:dyDescent="0.35">
      <c r="A83" t="s">
        <v>20</v>
      </c>
      <c r="B83">
        <v>17645</v>
      </c>
      <c r="C83" t="s">
        <v>949</v>
      </c>
      <c r="D83" t="s">
        <v>950</v>
      </c>
      <c r="E83" t="s">
        <v>2782</v>
      </c>
      <c r="F83" t="s">
        <v>2964</v>
      </c>
      <c r="G83" t="s">
        <v>2965</v>
      </c>
      <c r="H83" t="s">
        <v>2966</v>
      </c>
      <c r="I83" t="s">
        <v>954</v>
      </c>
      <c r="O83" t="s">
        <v>33</v>
      </c>
    </row>
    <row r="84" spans="1:15" x14ac:dyDescent="0.35">
      <c r="A84" t="s">
        <v>20</v>
      </c>
      <c r="B84">
        <v>17645</v>
      </c>
      <c r="C84" t="s">
        <v>949</v>
      </c>
      <c r="D84" t="s">
        <v>950</v>
      </c>
      <c r="E84" t="s">
        <v>2786</v>
      </c>
      <c r="F84" t="s">
        <v>2967</v>
      </c>
      <c r="G84" t="s">
        <v>2968</v>
      </c>
      <c r="H84" t="s">
        <v>2969</v>
      </c>
      <c r="I84" t="s">
        <v>954</v>
      </c>
      <c r="O84" t="s">
        <v>33</v>
      </c>
    </row>
    <row r="85" spans="1:15" x14ac:dyDescent="0.35">
      <c r="A85" t="s">
        <v>20</v>
      </c>
      <c r="B85">
        <v>17645</v>
      </c>
      <c r="C85" t="s">
        <v>949</v>
      </c>
      <c r="D85" t="s">
        <v>950</v>
      </c>
      <c r="E85" t="s">
        <v>2791</v>
      </c>
      <c r="F85" t="s">
        <v>2970</v>
      </c>
      <c r="G85" t="s">
        <v>2971</v>
      </c>
      <c r="H85" t="s">
        <v>2972</v>
      </c>
      <c r="I85" t="s">
        <v>954</v>
      </c>
      <c r="O85" t="s">
        <v>33</v>
      </c>
    </row>
    <row r="86" spans="1:15" x14ac:dyDescent="0.35">
      <c r="A86" t="s">
        <v>20</v>
      </c>
      <c r="B86">
        <v>17645</v>
      </c>
      <c r="C86" t="s">
        <v>949</v>
      </c>
      <c r="D86" t="s">
        <v>950</v>
      </c>
      <c r="E86" t="s">
        <v>2787</v>
      </c>
      <c r="F86" t="s">
        <v>988</v>
      </c>
      <c r="G86" t="s">
        <v>989</v>
      </c>
      <c r="H86" t="s">
        <v>1631</v>
      </c>
      <c r="I86" t="s">
        <v>954</v>
      </c>
      <c r="J86" t="s">
        <v>1537</v>
      </c>
      <c r="O86" t="s">
        <v>33</v>
      </c>
    </row>
    <row r="87" spans="1:15" x14ac:dyDescent="0.35">
      <c r="A87" t="s">
        <v>20</v>
      </c>
      <c r="B87">
        <v>17645</v>
      </c>
      <c r="C87" t="s">
        <v>949</v>
      </c>
      <c r="D87" t="s">
        <v>950</v>
      </c>
      <c r="E87" t="s">
        <v>2795</v>
      </c>
      <c r="F87" t="s">
        <v>2973</v>
      </c>
      <c r="G87" t="s">
        <v>2974</v>
      </c>
      <c r="H87" t="s">
        <v>2975</v>
      </c>
      <c r="I87" t="s">
        <v>954</v>
      </c>
      <c r="O87" t="s">
        <v>33</v>
      </c>
    </row>
    <row r="88" spans="1:15" x14ac:dyDescent="0.35">
      <c r="A88" t="s">
        <v>20</v>
      </c>
      <c r="B88">
        <v>17645</v>
      </c>
      <c r="C88" t="s">
        <v>949</v>
      </c>
      <c r="D88" t="s">
        <v>950</v>
      </c>
      <c r="E88" t="s">
        <v>2902</v>
      </c>
      <c r="F88" t="s">
        <v>2976</v>
      </c>
      <c r="G88" t="s">
        <v>2977</v>
      </c>
      <c r="H88" t="s">
        <v>2978</v>
      </c>
      <c r="I88" t="s">
        <v>954</v>
      </c>
      <c r="O88" t="s">
        <v>33</v>
      </c>
    </row>
    <row r="89" spans="1:15" x14ac:dyDescent="0.35">
      <c r="A89" t="s">
        <v>20</v>
      </c>
      <c r="B89">
        <v>17645</v>
      </c>
      <c r="C89" t="s">
        <v>949</v>
      </c>
      <c r="D89" t="s">
        <v>950</v>
      </c>
      <c r="E89" t="s">
        <v>2906</v>
      </c>
      <c r="F89" t="s">
        <v>2979</v>
      </c>
      <c r="G89" t="s">
        <v>2980</v>
      </c>
      <c r="H89" t="s">
        <v>2981</v>
      </c>
      <c r="I89" t="s">
        <v>954</v>
      </c>
      <c r="O89" t="s">
        <v>33</v>
      </c>
    </row>
    <row r="90" spans="1:15" x14ac:dyDescent="0.35">
      <c r="A90" t="s">
        <v>20</v>
      </c>
      <c r="B90">
        <v>17645</v>
      </c>
      <c r="C90" t="s">
        <v>949</v>
      </c>
      <c r="D90" t="s">
        <v>950</v>
      </c>
      <c r="E90" t="s">
        <v>2914</v>
      </c>
      <c r="F90" t="s">
        <v>1632</v>
      </c>
      <c r="G90" t="s">
        <v>1633</v>
      </c>
      <c r="H90" t="s">
        <v>1634</v>
      </c>
      <c r="I90" t="s">
        <v>954</v>
      </c>
      <c r="J90" t="s">
        <v>1537</v>
      </c>
      <c r="O90" t="s">
        <v>33</v>
      </c>
    </row>
    <row r="91" spans="1:15" x14ac:dyDescent="0.35">
      <c r="A91" t="s">
        <v>20</v>
      </c>
      <c r="B91">
        <v>17645</v>
      </c>
      <c r="C91" t="s">
        <v>949</v>
      </c>
      <c r="D91" t="s">
        <v>950</v>
      </c>
      <c r="E91" t="s">
        <v>2918</v>
      </c>
      <c r="F91" t="s">
        <v>2982</v>
      </c>
      <c r="G91" t="s">
        <v>2983</v>
      </c>
      <c r="H91" t="s">
        <v>2984</v>
      </c>
      <c r="I91" t="s">
        <v>954</v>
      </c>
      <c r="O91" t="s">
        <v>33</v>
      </c>
    </row>
    <row r="92" spans="1:15" x14ac:dyDescent="0.35">
      <c r="A92" t="s">
        <v>20</v>
      </c>
      <c r="B92">
        <v>17645</v>
      </c>
      <c r="C92" t="s">
        <v>949</v>
      </c>
      <c r="D92" t="s">
        <v>950</v>
      </c>
      <c r="E92" t="s">
        <v>2910</v>
      </c>
      <c r="F92" t="s">
        <v>2985</v>
      </c>
      <c r="G92" t="s">
        <v>2986</v>
      </c>
      <c r="H92" t="s">
        <v>2987</v>
      </c>
      <c r="I92" t="s">
        <v>954</v>
      </c>
      <c r="O92" t="s">
        <v>33</v>
      </c>
    </row>
    <row r="93" spans="1:15" x14ac:dyDescent="0.35">
      <c r="A93" t="s">
        <v>20</v>
      </c>
      <c r="B93">
        <v>17645</v>
      </c>
      <c r="C93" t="s">
        <v>949</v>
      </c>
      <c r="D93" t="s">
        <v>950</v>
      </c>
      <c r="E93" t="s">
        <v>2988</v>
      </c>
      <c r="F93" t="s">
        <v>2989</v>
      </c>
      <c r="G93" t="s">
        <v>2990</v>
      </c>
      <c r="H93" t="s">
        <v>2991</v>
      </c>
      <c r="I93" t="s">
        <v>954</v>
      </c>
      <c r="O93" t="s">
        <v>33</v>
      </c>
    </row>
    <row r="94" spans="1:15" x14ac:dyDescent="0.35">
      <c r="A94" t="s">
        <v>20</v>
      </c>
      <c r="B94">
        <v>17645</v>
      </c>
      <c r="C94" t="s">
        <v>949</v>
      </c>
      <c r="D94" t="s">
        <v>950</v>
      </c>
      <c r="E94" t="s">
        <v>2992</v>
      </c>
      <c r="F94" t="s">
        <v>2993</v>
      </c>
      <c r="G94" t="s">
        <v>2994</v>
      </c>
      <c r="H94" t="s">
        <v>2995</v>
      </c>
      <c r="I94" t="s">
        <v>954</v>
      </c>
      <c r="O94" t="s">
        <v>33</v>
      </c>
    </row>
    <row r="95" spans="1:15" x14ac:dyDescent="0.35">
      <c r="A95" t="s">
        <v>20</v>
      </c>
      <c r="B95">
        <v>17645</v>
      </c>
      <c r="C95" t="s">
        <v>949</v>
      </c>
      <c r="D95" t="s">
        <v>950</v>
      </c>
      <c r="E95" t="s">
        <v>2996</v>
      </c>
      <c r="F95" t="s">
        <v>2997</v>
      </c>
      <c r="G95" t="s">
        <v>2998</v>
      </c>
      <c r="H95" t="s">
        <v>2999</v>
      </c>
      <c r="I95" t="s">
        <v>954</v>
      </c>
      <c r="O95" t="s">
        <v>33</v>
      </c>
    </row>
    <row r="96" spans="1:15" x14ac:dyDescent="0.35">
      <c r="A96" t="s">
        <v>20</v>
      </c>
      <c r="B96">
        <v>17645</v>
      </c>
      <c r="C96" t="s">
        <v>949</v>
      </c>
      <c r="D96" t="s">
        <v>950</v>
      </c>
      <c r="E96" t="s">
        <v>3000</v>
      </c>
      <c r="F96" t="s">
        <v>3001</v>
      </c>
      <c r="G96" t="s">
        <v>3002</v>
      </c>
      <c r="H96" t="s">
        <v>3003</v>
      </c>
      <c r="I96" t="s">
        <v>954</v>
      </c>
      <c r="O96" t="s">
        <v>33</v>
      </c>
    </row>
    <row r="97" spans="1:15" x14ac:dyDescent="0.35">
      <c r="A97" t="s">
        <v>20</v>
      </c>
      <c r="B97">
        <v>17647</v>
      </c>
      <c r="C97" t="s">
        <v>1252</v>
      </c>
      <c r="D97" t="s">
        <v>1253</v>
      </c>
      <c r="E97" t="s">
        <v>2766</v>
      </c>
      <c r="F97" t="s">
        <v>1658</v>
      </c>
      <c r="G97" t="s">
        <v>1659</v>
      </c>
      <c r="H97" t="s">
        <v>1660</v>
      </c>
      <c r="I97" t="s">
        <v>1257</v>
      </c>
      <c r="J97" t="s">
        <v>1607</v>
      </c>
      <c r="O97" t="s">
        <v>33</v>
      </c>
    </row>
    <row r="98" spans="1:15" x14ac:dyDescent="0.35">
      <c r="A98" t="s">
        <v>20</v>
      </c>
      <c r="B98">
        <v>17647</v>
      </c>
      <c r="C98" t="s">
        <v>1252</v>
      </c>
      <c r="D98" t="s">
        <v>1253</v>
      </c>
      <c r="E98" t="s">
        <v>2770</v>
      </c>
      <c r="F98" t="s">
        <v>3004</v>
      </c>
      <c r="G98" t="s">
        <v>3005</v>
      </c>
      <c r="H98" t="s">
        <v>3006</v>
      </c>
      <c r="I98" t="s">
        <v>1257</v>
      </c>
      <c r="O98" t="s">
        <v>33</v>
      </c>
    </row>
    <row r="99" spans="1:15" x14ac:dyDescent="0.35">
      <c r="A99" t="s">
        <v>20</v>
      </c>
      <c r="B99">
        <v>17647</v>
      </c>
      <c r="C99" t="s">
        <v>1252</v>
      </c>
      <c r="D99" t="s">
        <v>1253</v>
      </c>
      <c r="E99" t="s">
        <v>2774</v>
      </c>
      <c r="F99" t="s">
        <v>3007</v>
      </c>
      <c r="G99" t="s">
        <v>3008</v>
      </c>
      <c r="H99" t="s">
        <v>3009</v>
      </c>
      <c r="I99" t="s">
        <v>1257</v>
      </c>
      <c r="O99" t="s">
        <v>33</v>
      </c>
    </row>
    <row r="100" spans="1:15" x14ac:dyDescent="0.35">
      <c r="A100" t="s">
        <v>20</v>
      </c>
      <c r="B100">
        <v>17647</v>
      </c>
      <c r="C100" t="s">
        <v>1252</v>
      </c>
      <c r="D100" t="s">
        <v>1253</v>
      </c>
      <c r="E100" t="s">
        <v>2778</v>
      </c>
      <c r="F100" t="s">
        <v>3010</v>
      </c>
      <c r="G100" t="s">
        <v>3011</v>
      </c>
      <c r="H100" t="s">
        <v>3012</v>
      </c>
      <c r="I100" t="s">
        <v>1257</v>
      </c>
      <c r="O100" t="s">
        <v>33</v>
      </c>
    </row>
    <row r="101" spans="1:15" x14ac:dyDescent="0.35">
      <c r="A101" t="s">
        <v>20</v>
      </c>
      <c r="B101">
        <v>17647</v>
      </c>
      <c r="C101" t="s">
        <v>1252</v>
      </c>
      <c r="D101" t="s">
        <v>1253</v>
      </c>
      <c r="E101" t="s">
        <v>2782</v>
      </c>
      <c r="F101" t="s">
        <v>3013</v>
      </c>
      <c r="G101" t="s">
        <v>3014</v>
      </c>
      <c r="H101" t="s">
        <v>3015</v>
      </c>
      <c r="I101" t="s">
        <v>1257</v>
      </c>
      <c r="O101" t="s">
        <v>33</v>
      </c>
    </row>
    <row r="102" spans="1:15" x14ac:dyDescent="0.35">
      <c r="A102" t="s">
        <v>20</v>
      </c>
      <c r="B102">
        <v>17647</v>
      </c>
      <c r="C102" t="s">
        <v>1252</v>
      </c>
      <c r="D102" t="s">
        <v>1253</v>
      </c>
      <c r="E102" t="s">
        <v>2786</v>
      </c>
      <c r="F102" t="s">
        <v>3016</v>
      </c>
      <c r="G102" t="s">
        <v>3017</v>
      </c>
      <c r="H102" t="s">
        <v>3018</v>
      </c>
      <c r="I102" t="s">
        <v>1257</v>
      </c>
      <c r="O102" t="s">
        <v>33</v>
      </c>
    </row>
    <row r="103" spans="1:15" x14ac:dyDescent="0.35">
      <c r="A103" t="s">
        <v>20</v>
      </c>
      <c r="B103">
        <v>17647</v>
      </c>
      <c r="C103" t="s">
        <v>1252</v>
      </c>
      <c r="D103" t="s">
        <v>1253</v>
      </c>
      <c r="E103" t="s">
        <v>2787</v>
      </c>
      <c r="F103" t="s">
        <v>3019</v>
      </c>
      <c r="G103" t="s">
        <v>3020</v>
      </c>
      <c r="H103" t="s">
        <v>3021</v>
      </c>
      <c r="I103" t="s">
        <v>1257</v>
      </c>
      <c r="O103" t="s">
        <v>33</v>
      </c>
    </row>
    <row r="104" spans="1:15" x14ac:dyDescent="0.35">
      <c r="A104" t="s">
        <v>20</v>
      </c>
      <c r="B104">
        <v>17647</v>
      </c>
      <c r="C104" t="s">
        <v>1252</v>
      </c>
      <c r="D104" t="s">
        <v>1253</v>
      </c>
      <c r="E104" t="s">
        <v>2791</v>
      </c>
      <c r="F104" t="s">
        <v>3022</v>
      </c>
      <c r="G104" t="s">
        <v>3023</v>
      </c>
      <c r="H104" t="s">
        <v>3024</v>
      </c>
      <c r="I104" t="s">
        <v>1257</v>
      </c>
      <c r="O104" t="s">
        <v>33</v>
      </c>
    </row>
    <row r="105" spans="1:15" x14ac:dyDescent="0.35">
      <c r="A105" t="s">
        <v>20</v>
      </c>
      <c r="B105">
        <v>17647</v>
      </c>
      <c r="C105" t="s">
        <v>1252</v>
      </c>
      <c r="D105" t="s">
        <v>1253</v>
      </c>
      <c r="E105" t="s">
        <v>2902</v>
      </c>
      <c r="F105" t="s">
        <v>3025</v>
      </c>
      <c r="G105" t="s">
        <v>3026</v>
      </c>
      <c r="H105" t="s">
        <v>3027</v>
      </c>
      <c r="I105" t="s">
        <v>1257</v>
      </c>
      <c r="O105" t="s">
        <v>33</v>
      </c>
    </row>
    <row r="106" spans="1:15" x14ac:dyDescent="0.35">
      <c r="A106" t="s">
        <v>20</v>
      </c>
      <c r="B106">
        <v>17647</v>
      </c>
      <c r="C106" t="s">
        <v>1252</v>
      </c>
      <c r="D106" t="s">
        <v>1253</v>
      </c>
      <c r="E106" t="s">
        <v>2795</v>
      </c>
      <c r="F106" t="s">
        <v>1661</v>
      </c>
      <c r="G106" t="s">
        <v>1662</v>
      </c>
      <c r="H106" t="s">
        <v>1663</v>
      </c>
      <c r="I106" t="s">
        <v>1257</v>
      </c>
      <c r="O106" t="s">
        <v>33</v>
      </c>
    </row>
    <row r="107" spans="1:15" x14ac:dyDescent="0.35">
      <c r="A107" t="s">
        <v>20</v>
      </c>
      <c r="B107">
        <v>17647</v>
      </c>
      <c r="C107" t="s">
        <v>1252</v>
      </c>
      <c r="D107" t="s">
        <v>1253</v>
      </c>
      <c r="E107" t="s">
        <v>2906</v>
      </c>
      <c r="F107" t="s">
        <v>3028</v>
      </c>
      <c r="G107" t="s">
        <v>3029</v>
      </c>
      <c r="H107" t="s">
        <v>3030</v>
      </c>
      <c r="I107" t="s">
        <v>1257</v>
      </c>
      <c r="O107" t="s">
        <v>33</v>
      </c>
    </row>
    <row r="108" spans="1:15" x14ac:dyDescent="0.35">
      <c r="A108" t="s">
        <v>20</v>
      </c>
      <c r="B108">
        <v>17647</v>
      </c>
      <c r="C108" t="s">
        <v>1252</v>
      </c>
      <c r="D108" t="s">
        <v>1253</v>
      </c>
      <c r="E108" t="s">
        <v>2736</v>
      </c>
      <c r="F108" t="s">
        <v>3031</v>
      </c>
      <c r="G108" t="s">
        <v>3032</v>
      </c>
      <c r="H108" t="s">
        <v>3033</v>
      </c>
      <c r="I108" t="s">
        <v>1395</v>
      </c>
      <c r="O108" t="s">
        <v>33</v>
      </c>
    </row>
    <row r="109" spans="1:15" x14ac:dyDescent="0.35">
      <c r="A109" t="s">
        <v>20</v>
      </c>
      <c r="B109">
        <v>17647</v>
      </c>
      <c r="C109" t="s">
        <v>1252</v>
      </c>
      <c r="D109" t="s">
        <v>1253</v>
      </c>
      <c r="E109" t="s">
        <v>2732</v>
      </c>
      <c r="F109" t="s">
        <v>1664</v>
      </c>
      <c r="G109" t="s">
        <v>1665</v>
      </c>
      <c r="H109" t="s">
        <v>1666</v>
      </c>
      <c r="I109" t="s">
        <v>1395</v>
      </c>
      <c r="O109" t="s">
        <v>33</v>
      </c>
    </row>
    <row r="110" spans="1:15" x14ac:dyDescent="0.35">
      <c r="A110" t="s">
        <v>20</v>
      </c>
      <c r="B110">
        <v>17647</v>
      </c>
      <c r="C110" t="s">
        <v>1252</v>
      </c>
      <c r="D110" t="s">
        <v>1253</v>
      </c>
      <c r="E110" t="s">
        <v>2740</v>
      </c>
      <c r="F110" t="s">
        <v>3034</v>
      </c>
      <c r="G110" t="s">
        <v>3035</v>
      </c>
      <c r="H110" t="s">
        <v>3036</v>
      </c>
      <c r="I110" t="s">
        <v>1395</v>
      </c>
      <c r="O110" t="s">
        <v>33</v>
      </c>
    </row>
    <row r="111" spans="1:15" x14ac:dyDescent="0.35">
      <c r="A111" t="s">
        <v>20</v>
      </c>
      <c r="B111">
        <v>17647</v>
      </c>
      <c r="C111" t="s">
        <v>1252</v>
      </c>
      <c r="D111" t="s">
        <v>1253</v>
      </c>
      <c r="E111" t="s">
        <v>2744</v>
      </c>
      <c r="F111" t="s">
        <v>1667</v>
      </c>
      <c r="G111" t="s">
        <v>1668</v>
      </c>
      <c r="H111" t="s">
        <v>1669</v>
      </c>
      <c r="I111" t="s">
        <v>1395</v>
      </c>
      <c r="J111" t="s">
        <v>1670</v>
      </c>
      <c r="O111" t="s">
        <v>33</v>
      </c>
    </row>
    <row r="112" spans="1:15" x14ac:dyDescent="0.35">
      <c r="A112" t="s">
        <v>20</v>
      </c>
      <c r="B112">
        <v>17647</v>
      </c>
      <c r="C112" t="s">
        <v>1252</v>
      </c>
      <c r="D112" t="s">
        <v>1253</v>
      </c>
      <c r="E112" t="s">
        <v>2748</v>
      </c>
      <c r="F112" t="s">
        <v>3037</v>
      </c>
      <c r="G112" t="s">
        <v>3038</v>
      </c>
      <c r="H112" t="s">
        <v>3039</v>
      </c>
      <c r="I112" t="s">
        <v>1395</v>
      </c>
      <c r="O112" t="s">
        <v>33</v>
      </c>
    </row>
    <row r="113" spans="1:15" x14ac:dyDescent="0.35">
      <c r="A113" t="s">
        <v>20</v>
      </c>
      <c r="B113">
        <v>17647</v>
      </c>
      <c r="C113" t="s">
        <v>1252</v>
      </c>
      <c r="D113" t="s">
        <v>1253</v>
      </c>
      <c r="E113" t="s">
        <v>2752</v>
      </c>
      <c r="F113" t="s">
        <v>1671</v>
      </c>
      <c r="G113" t="s">
        <v>1672</v>
      </c>
      <c r="H113" t="s">
        <v>1673</v>
      </c>
      <c r="I113" t="s">
        <v>1395</v>
      </c>
      <c r="O113" t="s">
        <v>33</v>
      </c>
    </row>
    <row r="114" spans="1:15" x14ac:dyDescent="0.35">
      <c r="A114" t="s">
        <v>20</v>
      </c>
      <c r="B114">
        <v>17647</v>
      </c>
      <c r="C114" t="s">
        <v>1252</v>
      </c>
      <c r="D114" t="s">
        <v>1253</v>
      </c>
      <c r="E114" t="s">
        <v>2760</v>
      </c>
      <c r="F114" t="s">
        <v>3040</v>
      </c>
      <c r="G114" t="s">
        <v>3041</v>
      </c>
      <c r="H114" t="s">
        <v>3042</v>
      </c>
      <c r="I114" t="s">
        <v>1395</v>
      </c>
      <c r="O114" t="s">
        <v>33</v>
      </c>
    </row>
    <row r="115" spans="1:15" x14ac:dyDescent="0.35">
      <c r="A115" t="s">
        <v>20</v>
      </c>
      <c r="B115">
        <v>17647</v>
      </c>
      <c r="C115" t="s">
        <v>1252</v>
      </c>
      <c r="D115" t="s">
        <v>1253</v>
      </c>
      <c r="E115" t="s">
        <v>2763</v>
      </c>
      <c r="F115" t="s">
        <v>1674</v>
      </c>
      <c r="G115" t="s">
        <v>1675</v>
      </c>
      <c r="H115" t="s">
        <v>1676</v>
      </c>
      <c r="I115" t="s">
        <v>1395</v>
      </c>
      <c r="J115" t="s">
        <v>1670</v>
      </c>
      <c r="O115" t="s">
        <v>33</v>
      </c>
    </row>
    <row r="116" spans="1:15" x14ac:dyDescent="0.35">
      <c r="A116" t="s">
        <v>20</v>
      </c>
      <c r="B116">
        <v>17647</v>
      </c>
      <c r="C116" t="s">
        <v>1252</v>
      </c>
      <c r="D116" t="s">
        <v>1253</v>
      </c>
      <c r="E116" t="s">
        <v>2756</v>
      </c>
      <c r="F116" t="s">
        <v>3043</v>
      </c>
      <c r="G116" t="s">
        <v>3044</v>
      </c>
      <c r="H116" t="s">
        <v>3045</v>
      </c>
      <c r="I116" t="s">
        <v>1395</v>
      </c>
      <c r="O116" t="s">
        <v>33</v>
      </c>
    </row>
    <row r="117" spans="1:15" x14ac:dyDescent="0.35">
      <c r="A117" t="s">
        <v>20</v>
      </c>
      <c r="B117">
        <v>17647</v>
      </c>
      <c r="C117" t="s">
        <v>1252</v>
      </c>
      <c r="D117" t="s">
        <v>1253</v>
      </c>
      <c r="E117" t="s">
        <v>2838</v>
      </c>
      <c r="F117" t="s">
        <v>3046</v>
      </c>
      <c r="G117" t="s">
        <v>3047</v>
      </c>
      <c r="H117" t="s">
        <v>3048</v>
      </c>
      <c r="I117" t="s">
        <v>1395</v>
      </c>
      <c r="O117" t="s">
        <v>33</v>
      </c>
    </row>
    <row r="118" spans="1:15" x14ac:dyDescent="0.35">
      <c r="A118" t="s">
        <v>20</v>
      </c>
      <c r="B118">
        <v>17647</v>
      </c>
      <c r="C118" t="s">
        <v>1252</v>
      </c>
      <c r="D118" t="s">
        <v>1253</v>
      </c>
      <c r="E118" t="s">
        <v>2842</v>
      </c>
      <c r="F118" t="s">
        <v>3049</v>
      </c>
      <c r="G118" t="s">
        <v>3050</v>
      </c>
      <c r="H118" t="s">
        <v>3051</v>
      </c>
      <c r="I118" t="s">
        <v>1395</v>
      </c>
      <c r="O118" t="s">
        <v>33</v>
      </c>
    </row>
    <row r="119" spans="1:15" x14ac:dyDescent="0.35">
      <c r="A119" t="s">
        <v>20</v>
      </c>
      <c r="B119">
        <v>17643</v>
      </c>
      <c r="C119" t="s">
        <v>426</v>
      </c>
      <c r="D119" t="s">
        <v>427</v>
      </c>
      <c r="E119" t="s">
        <v>2766</v>
      </c>
      <c r="F119" t="s">
        <v>2799</v>
      </c>
      <c r="G119" t="s">
        <v>2800</v>
      </c>
      <c r="H119" t="s">
        <v>2801</v>
      </c>
      <c r="I119" t="s">
        <v>557</v>
      </c>
      <c r="O119" t="s">
        <v>33</v>
      </c>
    </row>
    <row r="120" spans="1:15" x14ac:dyDescent="0.35">
      <c r="A120" t="s">
        <v>20</v>
      </c>
      <c r="B120">
        <v>17643</v>
      </c>
      <c r="C120" t="s">
        <v>426</v>
      </c>
      <c r="D120" t="s">
        <v>427</v>
      </c>
      <c r="E120" t="s">
        <v>2770</v>
      </c>
      <c r="F120" t="s">
        <v>2802</v>
      </c>
      <c r="G120" t="s">
        <v>2803</v>
      </c>
      <c r="H120" t="s">
        <v>2804</v>
      </c>
      <c r="I120" t="s">
        <v>557</v>
      </c>
      <c r="O120" t="s">
        <v>33</v>
      </c>
    </row>
    <row r="121" spans="1:15" x14ac:dyDescent="0.35">
      <c r="A121" t="s">
        <v>20</v>
      </c>
      <c r="B121">
        <v>17643</v>
      </c>
      <c r="C121" t="s">
        <v>426</v>
      </c>
      <c r="D121" t="s">
        <v>427</v>
      </c>
      <c r="E121" t="s">
        <v>2774</v>
      </c>
      <c r="F121" t="s">
        <v>2805</v>
      </c>
      <c r="G121" t="s">
        <v>2806</v>
      </c>
      <c r="H121" t="s">
        <v>2807</v>
      </c>
      <c r="I121" t="s">
        <v>557</v>
      </c>
      <c r="O121" t="s">
        <v>33</v>
      </c>
    </row>
    <row r="122" spans="1:15" x14ac:dyDescent="0.35">
      <c r="A122" t="s">
        <v>20</v>
      </c>
      <c r="B122">
        <v>17643</v>
      </c>
      <c r="C122" t="s">
        <v>426</v>
      </c>
      <c r="D122" t="s">
        <v>427</v>
      </c>
      <c r="E122" t="s">
        <v>2778</v>
      </c>
      <c r="F122" t="s">
        <v>2808</v>
      </c>
      <c r="G122" t="s">
        <v>2809</v>
      </c>
      <c r="H122" t="s">
        <v>2810</v>
      </c>
      <c r="I122" t="s">
        <v>557</v>
      </c>
      <c r="O122" t="s">
        <v>33</v>
      </c>
    </row>
    <row r="123" spans="1:15" x14ac:dyDescent="0.35">
      <c r="A123" t="s">
        <v>20</v>
      </c>
      <c r="B123">
        <v>17643</v>
      </c>
      <c r="C123" t="s">
        <v>426</v>
      </c>
      <c r="D123" t="s">
        <v>427</v>
      </c>
      <c r="E123" t="s">
        <v>2782</v>
      </c>
      <c r="F123" t="s">
        <v>2495</v>
      </c>
      <c r="G123" t="s">
        <v>2811</v>
      </c>
      <c r="H123" t="s">
        <v>2497</v>
      </c>
      <c r="I123" t="s">
        <v>557</v>
      </c>
      <c r="O123" t="s">
        <v>33</v>
      </c>
    </row>
    <row r="124" spans="1:15" x14ac:dyDescent="0.35">
      <c r="A124" t="s">
        <v>20</v>
      </c>
      <c r="B124">
        <v>17643</v>
      </c>
      <c r="C124" t="s">
        <v>426</v>
      </c>
      <c r="D124" t="s">
        <v>427</v>
      </c>
      <c r="E124" t="s">
        <v>2786</v>
      </c>
      <c r="F124" t="s">
        <v>2812</v>
      </c>
      <c r="G124" t="s">
        <v>2813</v>
      </c>
      <c r="H124" t="s">
        <v>2814</v>
      </c>
      <c r="I124" t="s">
        <v>557</v>
      </c>
      <c r="O124" t="s">
        <v>33</v>
      </c>
    </row>
    <row r="125" spans="1:15" x14ac:dyDescent="0.35">
      <c r="A125" t="s">
        <v>20</v>
      </c>
      <c r="B125">
        <v>17643</v>
      </c>
      <c r="C125" t="s">
        <v>426</v>
      </c>
      <c r="D125" t="s">
        <v>427</v>
      </c>
      <c r="E125" t="s">
        <v>2732</v>
      </c>
      <c r="F125" t="s">
        <v>2815</v>
      </c>
      <c r="G125" t="s">
        <v>2816</v>
      </c>
      <c r="H125" t="s">
        <v>2817</v>
      </c>
      <c r="I125" t="s">
        <v>431</v>
      </c>
      <c r="O125" t="s">
        <v>33</v>
      </c>
    </row>
    <row r="126" spans="1:15" x14ac:dyDescent="0.35">
      <c r="A126" t="s">
        <v>20</v>
      </c>
      <c r="B126">
        <v>17643</v>
      </c>
      <c r="C126" t="s">
        <v>426</v>
      </c>
      <c r="D126" t="s">
        <v>427</v>
      </c>
      <c r="E126" t="s">
        <v>2736</v>
      </c>
      <c r="F126" t="s">
        <v>2818</v>
      </c>
      <c r="G126" t="s">
        <v>2819</v>
      </c>
      <c r="H126" t="s">
        <v>2820</v>
      </c>
      <c r="I126" t="s">
        <v>431</v>
      </c>
      <c r="O126" t="s">
        <v>33</v>
      </c>
    </row>
    <row r="127" spans="1:15" x14ac:dyDescent="0.35">
      <c r="A127" t="s">
        <v>20</v>
      </c>
      <c r="B127">
        <v>17643</v>
      </c>
      <c r="C127" t="s">
        <v>426</v>
      </c>
      <c r="D127" t="s">
        <v>427</v>
      </c>
      <c r="E127" t="s">
        <v>2740</v>
      </c>
      <c r="F127" t="s">
        <v>2821</v>
      </c>
      <c r="G127" t="s">
        <v>2822</v>
      </c>
      <c r="H127" t="s">
        <v>2823</v>
      </c>
      <c r="I127" t="s">
        <v>431</v>
      </c>
      <c r="O127" t="s">
        <v>33</v>
      </c>
    </row>
    <row r="128" spans="1:15" x14ac:dyDescent="0.35">
      <c r="A128" t="s">
        <v>20</v>
      </c>
      <c r="B128">
        <v>17643</v>
      </c>
      <c r="C128" t="s">
        <v>426</v>
      </c>
      <c r="D128" t="s">
        <v>427</v>
      </c>
      <c r="E128" t="s">
        <v>2744</v>
      </c>
      <c r="F128" t="s">
        <v>1620</v>
      </c>
      <c r="G128" t="s">
        <v>1621</v>
      </c>
      <c r="H128" t="s">
        <v>1622</v>
      </c>
      <c r="I128" t="s">
        <v>431</v>
      </c>
      <c r="J128" t="s">
        <v>1537</v>
      </c>
      <c r="O128" t="s">
        <v>33</v>
      </c>
    </row>
    <row r="129" spans="1:15" x14ac:dyDescent="0.35">
      <c r="A129" t="s">
        <v>20</v>
      </c>
      <c r="B129">
        <v>17643</v>
      </c>
      <c r="C129" t="s">
        <v>426</v>
      </c>
      <c r="D129" t="s">
        <v>427</v>
      </c>
      <c r="E129" t="s">
        <v>2748</v>
      </c>
      <c r="F129" t="s">
        <v>488</v>
      </c>
      <c r="G129" t="s">
        <v>2824</v>
      </c>
      <c r="H129" t="s">
        <v>2825</v>
      </c>
      <c r="I129" t="s">
        <v>431</v>
      </c>
      <c r="O129" t="s">
        <v>33</v>
      </c>
    </row>
    <row r="130" spans="1:15" x14ac:dyDescent="0.35">
      <c r="A130" t="s">
        <v>20</v>
      </c>
      <c r="B130">
        <v>17643</v>
      </c>
      <c r="C130" t="s">
        <v>426</v>
      </c>
      <c r="D130" t="s">
        <v>427</v>
      </c>
      <c r="E130" t="s">
        <v>2752</v>
      </c>
      <c r="F130" t="s">
        <v>2826</v>
      </c>
      <c r="G130" t="s">
        <v>2827</v>
      </c>
      <c r="H130" t="s">
        <v>2828</v>
      </c>
      <c r="I130" t="s">
        <v>431</v>
      </c>
      <c r="O130" t="s">
        <v>33</v>
      </c>
    </row>
    <row r="131" spans="1:15" x14ac:dyDescent="0.35">
      <c r="A131" t="s">
        <v>20</v>
      </c>
      <c r="B131">
        <v>17643</v>
      </c>
      <c r="C131" t="s">
        <v>426</v>
      </c>
      <c r="D131" t="s">
        <v>427</v>
      </c>
      <c r="E131" t="s">
        <v>2760</v>
      </c>
      <c r="F131" t="s">
        <v>2829</v>
      </c>
      <c r="G131" t="s">
        <v>2830</v>
      </c>
      <c r="H131" t="s">
        <v>2831</v>
      </c>
      <c r="I131" t="s">
        <v>431</v>
      </c>
      <c r="O131" t="s">
        <v>33</v>
      </c>
    </row>
    <row r="132" spans="1:15" x14ac:dyDescent="0.35">
      <c r="A132" t="s">
        <v>20</v>
      </c>
      <c r="B132">
        <v>17643</v>
      </c>
      <c r="C132" t="s">
        <v>426</v>
      </c>
      <c r="D132" t="s">
        <v>427</v>
      </c>
      <c r="E132" t="s">
        <v>2763</v>
      </c>
      <c r="F132" t="s">
        <v>2832</v>
      </c>
      <c r="G132" t="s">
        <v>2833</v>
      </c>
      <c r="H132" t="s">
        <v>2834</v>
      </c>
      <c r="I132" t="s">
        <v>431</v>
      </c>
      <c r="O132" t="s">
        <v>33</v>
      </c>
    </row>
    <row r="133" spans="1:15" x14ac:dyDescent="0.35">
      <c r="A133" t="s">
        <v>20</v>
      </c>
      <c r="B133">
        <v>17643</v>
      </c>
      <c r="C133" t="s">
        <v>426</v>
      </c>
      <c r="D133" t="s">
        <v>427</v>
      </c>
      <c r="E133" t="s">
        <v>2756</v>
      </c>
      <c r="F133" t="s">
        <v>2835</v>
      </c>
      <c r="G133" t="s">
        <v>2836</v>
      </c>
      <c r="H133" t="s">
        <v>2837</v>
      </c>
      <c r="I133" t="s">
        <v>431</v>
      </c>
      <c r="O133" t="s">
        <v>33</v>
      </c>
    </row>
    <row r="134" spans="1:15" x14ac:dyDescent="0.35">
      <c r="A134" t="s">
        <v>20</v>
      </c>
      <c r="B134">
        <v>17643</v>
      </c>
      <c r="C134" t="s">
        <v>426</v>
      </c>
      <c r="D134" t="s">
        <v>427</v>
      </c>
      <c r="E134" t="s">
        <v>2838</v>
      </c>
      <c r="F134" t="s">
        <v>2839</v>
      </c>
      <c r="G134" t="s">
        <v>2840</v>
      </c>
      <c r="H134" t="s">
        <v>2841</v>
      </c>
      <c r="I134" t="s">
        <v>431</v>
      </c>
      <c r="O134" t="s">
        <v>33</v>
      </c>
    </row>
    <row r="135" spans="1:15" x14ac:dyDescent="0.35">
      <c r="A135" t="s">
        <v>20</v>
      </c>
      <c r="B135">
        <v>17643</v>
      </c>
      <c r="C135" t="s">
        <v>426</v>
      </c>
      <c r="D135" t="s">
        <v>427</v>
      </c>
      <c r="E135" t="s">
        <v>2842</v>
      </c>
      <c r="F135" t="s">
        <v>2843</v>
      </c>
      <c r="G135" t="s">
        <v>2844</v>
      </c>
      <c r="H135" t="s">
        <v>2845</v>
      </c>
      <c r="I135" t="s">
        <v>431</v>
      </c>
      <c r="O135" t="s">
        <v>33</v>
      </c>
    </row>
    <row r="136" spans="1:15" x14ac:dyDescent="0.35">
      <c r="A136" t="s">
        <v>20</v>
      </c>
      <c r="B136">
        <v>17643</v>
      </c>
      <c r="C136" t="s">
        <v>426</v>
      </c>
      <c r="D136" t="s">
        <v>427</v>
      </c>
      <c r="E136" t="s">
        <v>2846</v>
      </c>
      <c r="F136" t="s">
        <v>2847</v>
      </c>
      <c r="G136" t="s">
        <v>2848</v>
      </c>
      <c r="H136" t="s">
        <v>2849</v>
      </c>
      <c r="I136" t="s">
        <v>431</v>
      </c>
      <c r="O136" t="s">
        <v>33</v>
      </c>
    </row>
    <row r="137" spans="1:15" x14ac:dyDescent="0.35">
      <c r="A137" t="s">
        <v>20</v>
      </c>
      <c r="B137">
        <v>17643</v>
      </c>
      <c r="C137" t="s">
        <v>426</v>
      </c>
      <c r="D137" t="s">
        <v>427</v>
      </c>
      <c r="E137" t="s">
        <v>2850</v>
      </c>
      <c r="F137" t="s">
        <v>2851</v>
      </c>
      <c r="G137" t="s">
        <v>2852</v>
      </c>
      <c r="H137" t="s">
        <v>2853</v>
      </c>
      <c r="I137" t="s">
        <v>431</v>
      </c>
      <c r="O137" t="s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opLeftCell="A43" workbookViewId="0">
      <selection activeCell="E47" sqref="E47:E48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2731</v>
      </c>
      <c r="M1" t="s">
        <v>14</v>
      </c>
      <c r="N1" t="s">
        <v>1528</v>
      </c>
      <c r="O1" t="s">
        <v>2009</v>
      </c>
      <c r="P1" t="s">
        <v>2010</v>
      </c>
      <c r="Q1" t="s">
        <v>15</v>
      </c>
      <c r="R1" t="s">
        <v>19</v>
      </c>
    </row>
    <row r="2" spans="1:18" x14ac:dyDescent="0.35">
      <c r="A2" t="s">
        <v>20</v>
      </c>
      <c r="B2">
        <v>17644</v>
      </c>
      <c r="C2" t="s">
        <v>21</v>
      </c>
      <c r="D2" t="s">
        <v>22</v>
      </c>
      <c r="E2" t="s">
        <v>3052</v>
      </c>
      <c r="F2" t="s">
        <v>3053</v>
      </c>
      <c r="G2" t="s">
        <v>3054</v>
      </c>
      <c r="H2" t="s">
        <v>3055</v>
      </c>
      <c r="I2" t="s">
        <v>27</v>
      </c>
      <c r="K2" t="s">
        <v>28</v>
      </c>
      <c r="M2" t="s">
        <v>32</v>
      </c>
      <c r="Q2" t="s">
        <v>33</v>
      </c>
    </row>
    <row r="3" spans="1:18" x14ac:dyDescent="0.35">
      <c r="A3" t="s">
        <v>20</v>
      </c>
      <c r="B3">
        <v>17644</v>
      </c>
      <c r="C3" t="s">
        <v>21</v>
      </c>
      <c r="D3" t="s">
        <v>22</v>
      </c>
      <c r="E3" t="s">
        <v>3056</v>
      </c>
      <c r="F3" t="s">
        <v>3057</v>
      </c>
      <c r="G3" t="s">
        <v>3058</v>
      </c>
      <c r="H3" t="s">
        <v>3059</v>
      </c>
      <c r="I3" t="s">
        <v>27</v>
      </c>
      <c r="K3" t="s">
        <v>46</v>
      </c>
      <c r="L3" t="s">
        <v>3060</v>
      </c>
      <c r="M3" t="s">
        <v>56</v>
      </c>
      <c r="N3" t="s">
        <v>3061</v>
      </c>
      <c r="O3">
        <v>0.42996130257009341</v>
      </c>
      <c r="P3">
        <v>0.55002893518518525</v>
      </c>
      <c r="Q3" t="s">
        <v>33</v>
      </c>
    </row>
    <row r="4" spans="1:18" x14ac:dyDescent="0.35">
      <c r="A4" t="s">
        <v>20</v>
      </c>
      <c r="B4">
        <v>17644</v>
      </c>
      <c r="C4" t="s">
        <v>21</v>
      </c>
      <c r="D4" t="s">
        <v>22</v>
      </c>
      <c r="E4" t="s">
        <v>3062</v>
      </c>
      <c r="F4" t="s">
        <v>3063</v>
      </c>
      <c r="G4" t="s">
        <v>3064</v>
      </c>
      <c r="H4" t="s">
        <v>3065</v>
      </c>
      <c r="I4" t="s">
        <v>27</v>
      </c>
      <c r="K4" t="s">
        <v>46</v>
      </c>
      <c r="L4" t="s">
        <v>3066</v>
      </c>
      <c r="M4" t="s">
        <v>56</v>
      </c>
      <c r="N4" t="s">
        <v>3061</v>
      </c>
      <c r="O4">
        <v>0.48479483060747658</v>
      </c>
      <c r="P4">
        <v>0.60170717592592593</v>
      </c>
      <c r="Q4" t="s">
        <v>33</v>
      </c>
    </row>
    <row r="5" spans="1:18" x14ac:dyDescent="0.35">
      <c r="A5" t="s">
        <v>20</v>
      </c>
      <c r="B5">
        <v>17644</v>
      </c>
      <c r="C5" t="s">
        <v>21</v>
      </c>
      <c r="D5" t="s">
        <v>22</v>
      </c>
      <c r="E5" t="s">
        <v>3067</v>
      </c>
      <c r="F5" t="s">
        <v>3068</v>
      </c>
      <c r="G5" t="s">
        <v>3069</v>
      </c>
      <c r="H5" t="s">
        <v>3070</v>
      </c>
      <c r="I5" t="s">
        <v>27</v>
      </c>
      <c r="K5" t="s">
        <v>28</v>
      </c>
      <c r="L5" t="s">
        <v>3066</v>
      </c>
      <c r="M5" t="s">
        <v>3071</v>
      </c>
      <c r="O5">
        <v>0.61572721962616817</v>
      </c>
      <c r="P5">
        <v>0.68721064814814814</v>
      </c>
      <c r="Q5" t="s">
        <v>33</v>
      </c>
    </row>
    <row r="6" spans="1:18" x14ac:dyDescent="0.35">
      <c r="A6" t="s">
        <v>20</v>
      </c>
      <c r="B6">
        <v>17644</v>
      </c>
      <c r="C6" t="s">
        <v>21</v>
      </c>
      <c r="D6" t="s">
        <v>22</v>
      </c>
      <c r="E6" t="s">
        <v>3072</v>
      </c>
      <c r="F6" t="s">
        <v>3073</v>
      </c>
      <c r="G6" t="s">
        <v>3074</v>
      </c>
      <c r="H6" t="s">
        <v>3075</v>
      </c>
      <c r="I6" t="s">
        <v>27</v>
      </c>
      <c r="K6" t="s">
        <v>46</v>
      </c>
      <c r="L6" t="s">
        <v>3066</v>
      </c>
      <c r="M6" t="s">
        <v>56</v>
      </c>
      <c r="N6" t="s">
        <v>3076</v>
      </c>
      <c r="O6">
        <v>0.63412675233644855</v>
      </c>
      <c r="P6">
        <v>0.45517939814814812</v>
      </c>
      <c r="Q6" t="s">
        <v>33</v>
      </c>
    </row>
    <row r="7" spans="1:18" x14ac:dyDescent="0.35">
      <c r="A7" t="s">
        <v>20</v>
      </c>
      <c r="B7">
        <v>17644</v>
      </c>
      <c r="C7" t="s">
        <v>21</v>
      </c>
      <c r="D7" t="s">
        <v>22</v>
      </c>
      <c r="E7" t="s">
        <v>3077</v>
      </c>
      <c r="F7" t="s">
        <v>3078</v>
      </c>
      <c r="G7" t="s">
        <v>3079</v>
      </c>
      <c r="H7" t="s">
        <v>3080</v>
      </c>
      <c r="I7" t="s">
        <v>27</v>
      </c>
      <c r="K7" t="s">
        <v>46</v>
      </c>
      <c r="L7" t="s">
        <v>3066</v>
      </c>
      <c r="M7" t="s">
        <v>56</v>
      </c>
      <c r="N7" t="s">
        <v>3061</v>
      </c>
      <c r="O7">
        <v>0.59256352219626163</v>
      </c>
      <c r="P7">
        <v>0.55844907407407396</v>
      </c>
      <c r="Q7" t="s">
        <v>33</v>
      </c>
    </row>
    <row r="8" spans="1:18" x14ac:dyDescent="0.35">
      <c r="A8" t="s">
        <v>20</v>
      </c>
      <c r="B8">
        <v>17643</v>
      </c>
      <c r="C8" t="s">
        <v>426</v>
      </c>
      <c r="D8" t="s">
        <v>427</v>
      </c>
      <c r="E8" t="s">
        <v>3052</v>
      </c>
      <c r="F8" t="s">
        <v>3081</v>
      </c>
      <c r="G8" t="s">
        <v>3082</v>
      </c>
      <c r="H8" t="s">
        <v>3083</v>
      </c>
      <c r="I8" t="s">
        <v>557</v>
      </c>
      <c r="K8" t="s">
        <v>46</v>
      </c>
      <c r="L8" t="s">
        <v>3060</v>
      </c>
      <c r="M8" t="s">
        <v>3071</v>
      </c>
      <c r="N8" t="s">
        <v>3060</v>
      </c>
      <c r="Q8" t="s">
        <v>33</v>
      </c>
      <c r="R8" t="s">
        <v>432</v>
      </c>
    </row>
    <row r="9" spans="1:18" x14ac:dyDescent="0.35">
      <c r="A9" t="s">
        <v>20</v>
      </c>
      <c r="B9">
        <v>17643</v>
      </c>
      <c r="C9" t="s">
        <v>426</v>
      </c>
      <c r="D9" t="s">
        <v>427</v>
      </c>
      <c r="E9" t="s">
        <v>3056</v>
      </c>
      <c r="F9" t="s">
        <v>3084</v>
      </c>
      <c r="G9" t="s">
        <v>3085</v>
      </c>
      <c r="H9" t="s">
        <v>3086</v>
      </c>
      <c r="I9" t="s">
        <v>557</v>
      </c>
      <c r="K9" t="s">
        <v>46</v>
      </c>
      <c r="L9" t="s">
        <v>3066</v>
      </c>
      <c r="M9" t="s">
        <v>3071</v>
      </c>
      <c r="N9" t="s">
        <v>3076</v>
      </c>
      <c r="O9">
        <v>0.49134783878504668</v>
      </c>
      <c r="P9">
        <v>0.91646412037037039</v>
      </c>
      <c r="Q9" t="s">
        <v>33</v>
      </c>
      <c r="R9" t="s">
        <v>432</v>
      </c>
    </row>
    <row r="10" spans="1:18" x14ac:dyDescent="0.35">
      <c r="A10" t="s">
        <v>20</v>
      </c>
      <c r="B10">
        <v>17643</v>
      </c>
      <c r="C10" t="s">
        <v>426</v>
      </c>
      <c r="D10" t="s">
        <v>427</v>
      </c>
      <c r="E10" t="s">
        <v>3062</v>
      </c>
      <c r="F10" t="s">
        <v>3087</v>
      </c>
      <c r="G10" t="s">
        <v>3088</v>
      </c>
      <c r="H10" t="s">
        <v>3089</v>
      </c>
      <c r="I10" t="s">
        <v>557</v>
      </c>
      <c r="K10" t="s">
        <v>61</v>
      </c>
      <c r="M10" t="s">
        <v>3071</v>
      </c>
      <c r="Q10" t="s">
        <v>33</v>
      </c>
      <c r="R10" t="s">
        <v>432</v>
      </c>
    </row>
    <row r="11" spans="1:18" x14ac:dyDescent="0.35">
      <c r="A11" t="s">
        <v>20</v>
      </c>
      <c r="B11">
        <v>17643</v>
      </c>
      <c r="C11" t="s">
        <v>426</v>
      </c>
      <c r="D11" t="s">
        <v>427</v>
      </c>
      <c r="E11" t="s">
        <v>3067</v>
      </c>
      <c r="F11" t="s">
        <v>3090</v>
      </c>
      <c r="G11" t="s">
        <v>3091</v>
      </c>
      <c r="H11" t="s">
        <v>3092</v>
      </c>
      <c r="I11" t="s">
        <v>557</v>
      </c>
      <c r="K11" t="s">
        <v>28</v>
      </c>
      <c r="L11" t="s">
        <v>3093</v>
      </c>
      <c r="M11" t="s">
        <v>56</v>
      </c>
      <c r="N11" t="s">
        <v>3061</v>
      </c>
      <c r="O11">
        <v>0.50511098130841114</v>
      </c>
      <c r="P11">
        <v>0.56521990740740735</v>
      </c>
      <c r="Q11" t="s">
        <v>33</v>
      </c>
      <c r="R11" t="s">
        <v>432</v>
      </c>
    </row>
    <row r="12" spans="1:18" x14ac:dyDescent="0.35">
      <c r="A12" t="s">
        <v>20</v>
      </c>
      <c r="B12">
        <v>17643</v>
      </c>
      <c r="C12" t="s">
        <v>426</v>
      </c>
      <c r="D12" t="s">
        <v>427</v>
      </c>
      <c r="E12" t="s">
        <v>3072</v>
      </c>
      <c r="F12" t="s">
        <v>3094</v>
      </c>
      <c r="G12" t="s">
        <v>3095</v>
      </c>
      <c r="H12" t="s">
        <v>3096</v>
      </c>
      <c r="I12" t="s">
        <v>557</v>
      </c>
      <c r="K12" t="s">
        <v>28</v>
      </c>
      <c r="L12" t="s">
        <v>3093</v>
      </c>
      <c r="M12" t="s">
        <v>56</v>
      </c>
      <c r="N12" t="s">
        <v>3076</v>
      </c>
      <c r="O12">
        <v>0.77785484813084116</v>
      </c>
      <c r="P12">
        <v>0.57427662037037031</v>
      </c>
      <c r="Q12" t="s">
        <v>33</v>
      </c>
      <c r="R12" t="s">
        <v>432</v>
      </c>
    </row>
    <row r="13" spans="1:18" x14ac:dyDescent="0.35">
      <c r="A13" t="s">
        <v>20</v>
      </c>
      <c r="B13">
        <v>17643</v>
      </c>
      <c r="C13" t="s">
        <v>426</v>
      </c>
      <c r="D13" t="s">
        <v>427</v>
      </c>
      <c r="E13" t="s">
        <v>3097</v>
      </c>
      <c r="F13" t="s">
        <v>3098</v>
      </c>
      <c r="G13" t="s">
        <v>3099</v>
      </c>
      <c r="H13" t="s">
        <v>3100</v>
      </c>
      <c r="I13" t="s">
        <v>557</v>
      </c>
      <c r="K13" t="s">
        <v>28</v>
      </c>
      <c r="L13" t="s">
        <v>3093</v>
      </c>
      <c r="M13" t="s">
        <v>56</v>
      </c>
      <c r="N13" t="s">
        <v>3076</v>
      </c>
      <c r="O13">
        <v>0.40374926985981302</v>
      </c>
      <c r="P13">
        <v>0.42766203703703698</v>
      </c>
      <c r="Q13" t="s">
        <v>33</v>
      </c>
      <c r="R13" t="s">
        <v>432</v>
      </c>
    </row>
    <row r="14" spans="1:18" x14ac:dyDescent="0.35">
      <c r="A14" t="s">
        <v>20</v>
      </c>
      <c r="B14">
        <v>17643</v>
      </c>
      <c r="C14" t="s">
        <v>426</v>
      </c>
      <c r="D14" t="s">
        <v>427</v>
      </c>
      <c r="E14" t="s">
        <v>3101</v>
      </c>
      <c r="F14" t="s">
        <v>3102</v>
      </c>
      <c r="G14" t="s">
        <v>3103</v>
      </c>
      <c r="H14" t="s">
        <v>3104</v>
      </c>
      <c r="I14" t="s">
        <v>557</v>
      </c>
      <c r="K14" t="s">
        <v>28</v>
      </c>
      <c r="L14" t="s">
        <v>3066</v>
      </c>
      <c r="M14" t="s">
        <v>32</v>
      </c>
      <c r="N14" t="s">
        <v>3076</v>
      </c>
      <c r="O14">
        <v>0.50746568341121501</v>
      </c>
      <c r="P14">
        <v>0.69950810185185186</v>
      </c>
      <c r="Q14" t="s">
        <v>33</v>
      </c>
      <c r="R14" t="s">
        <v>432</v>
      </c>
    </row>
    <row r="15" spans="1:18" x14ac:dyDescent="0.35">
      <c r="A15" t="s">
        <v>20</v>
      </c>
      <c r="B15">
        <v>17643</v>
      </c>
      <c r="C15" t="s">
        <v>426</v>
      </c>
      <c r="D15" t="s">
        <v>427</v>
      </c>
      <c r="E15" t="s">
        <v>3105</v>
      </c>
      <c r="F15" t="s">
        <v>3106</v>
      </c>
      <c r="G15" t="s">
        <v>3107</v>
      </c>
      <c r="H15" t="s">
        <v>3108</v>
      </c>
      <c r="I15" t="s">
        <v>557</v>
      </c>
      <c r="Q15" t="s">
        <v>33</v>
      </c>
      <c r="R15" t="s">
        <v>432</v>
      </c>
    </row>
    <row r="16" spans="1:18" x14ac:dyDescent="0.35">
      <c r="A16" t="s">
        <v>20</v>
      </c>
      <c r="B16">
        <v>17643</v>
      </c>
      <c r="C16" t="s">
        <v>426</v>
      </c>
      <c r="D16" t="s">
        <v>427</v>
      </c>
      <c r="E16" t="s">
        <v>3077</v>
      </c>
      <c r="F16" t="s">
        <v>3109</v>
      </c>
      <c r="G16" t="s">
        <v>3110</v>
      </c>
      <c r="H16" t="s">
        <v>3111</v>
      </c>
      <c r="I16" t="s">
        <v>431</v>
      </c>
      <c r="K16" t="s">
        <v>28</v>
      </c>
      <c r="L16" t="s">
        <v>3093</v>
      </c>
      <c r="M16" t="s">
        <v>56</v>
      </c>
      <c r="N16" t="s">
        <v>3061</v>
      </c>
      <c r="O16">
        <v>0.1872079439252336</v>
      </c>
      <c r="P16">
        <v>0.62740162037037028</v>
      </c>
      <c r="Q16" t="s">
        <v>33</v>
      </c>
      <c r="R16" t="s">
        <v>432</v>
      </c>
    </row>
    <row r="17" spans="1:18" x14ac:dyDescent="0.35">
      <c r="A17" t="s">
        <v>20</v>
      </c>
      <c r="B17">
        <v>17643</v>
      </c>
      <c r="C17" t="s">
        <v>426</v>
      </c>
      <c r="D17" t="s">
        <v>427</v>
      </c>
      <c r="E17" t="s">
        <v>3112</v>
      </c>
      <c r="F17" t="s">
        <v>3113</v>
      </c>
      <c r="G17" t="s">
        <v>3114</v>
      </c>
      <c r="H17" t="s">
        <v>3115</v>
      </c>
      <c r="I17" t="s">
        <v>431</v>
      </c>
      <c r="K17" t="s">
        <v>46</v>
      </c>
      <c r="L17" t="s">
        <v>3093</v>
      </c>
      <c r="M17" t="s">
        <v>76</v>
      </c>
      <c r="O17">
        <v>0.35048554322429909</v>
      </c>
      <c r="P17">
        <v>4.6903935185185097E-2</v>
      </c>
      <c r="Q17" t="s">
        <v>33</v>
      </c>
      <c r="R17" t="s">
        <v>432</v>
      </c>
    </row>
    <row r="18" spans="1:18" x14ac:dyDescent="0.35">
      <c r="A18" t="s">
        <v>20</v>
      </c>
      <c r="B18">
        <v>17643</v>
      </c>
      <c r="C18" t="s">
        <v>426</v>
      </c>
      <c r="D18" t="s">
        <v>427</v>
      </c>
      <c r="E18" t="s">
        <v>3116</v>
      </c>
      <c r="F18" t="s">
        <v>3117</v>
      </c>
      <c r="G18" t="s">
        <v>3118</v>
      </c>
      <c r="H18" t="s">
        <v>3119</v>
      </c>
      <c r="I18" t="s">
        <v>431</v>
      </c>
      <c r="K18" t="s">
        <v>46</v>
      </c>
      <c r="L18" t="s">
        <v>3093</v>
      </c>
      <c r="M18" t="s">
        <v>56</v>
      </c>
      <c r="O18">
        <v>0.50717362733644855</v>
      </c>
      <c r="P18">
        <v>0.50271990740740735</v>
      </c>
      <c r="Q18" t="s">
        <v>33</v>
      </c>
      <c r="R18" t="s">
        <v>432</v>
      </c>
    </row>
    <row r="19" spans="1:18" x14ac:dyDescent="0.35">
      <c r="A19" t="s">
        <v>20</v>
      </c>
      <c r="B19">
        <v>17643</v>
      </c>
      <c r="C19" t="s">
        <v>426</v>
      </c>
      <c r="D19" t="s">
        <v>427</v>
      </c>
      <c r="E19" t="s">
        <v>3120</v>
      </c>
      <c r="F19" t="s">
        <v>3121</v>
      </c>
      <c r="G19" t="s">
        <v>3122</v>
      </c>
      <c r="H19" t="s">
        <v>3123</v>
      </c>
      <c r="I19" t="s">
        <v>431</v>
      </c>
      <c r="K19" t="s">
        <v>28</v>
      </c>
      <c r="L19" t="s">
        <v>3093</v>
      </c>
      <c r="M19" t="s">
        <v>32</v>
      </c>
      <c r="N19" t="s">
        <v>3061</v>
      </c>
      <c r="O19">
        <v>0.4515734521028037</v>
      </c>
      <c r="P19">
        <v>0.75263310185185184</v>
      </c>
      <c r="Q19" t="s">
        <v>33</v>
      </c>
      <c r="R19" t="s">
        <v>432</v>
      </c>
    </row>
    <row r="20" spans="1:18" x14ac:dyDescent="0.35">
      <c r="A20" t="s">
        <v>20</v>
      </c>
      <c r="B20">
        <v>17643</v>
      </c>
      <c r="C20" t="s">
        <v>426</v>
      </c>
      <c r="D20" t="s">
        <v>427</v>
      </c>
      <c r="E20" t="s">
        <v>3124</v>
      </c>
      <c r="F20" t="s">
        <v>3125</v>
      </c>
      <c r="G20" t="s">
        <v>3126</v>
      </c>
      <c r="H20" t="s">
        <v>3127</v>
      </c>
      <c r="I20" t="s">
        <v>431</v>
      </c>
      <c r="K20" t="s">
        <v>38</v>
      </c>
      <c r="L20" t="s">
        <v>3093</v>
      </c>
      <c r="M20" t="s">
        <v>56</v>
      </c>
      <c r="N20" t="s">
        <v>3076</v>
      </c>
      <c r="O20">
        <v>0.11444947429906541</v>
      </c>
      <c r="P20">
        <v>0.558130787037037</v>
      </c>
      <c r="Q20" t="s">
        <v>33</v>
      </c>
      <c r="R20" t="s">
        <v>432</v>
      </c>
    </row>
    <row r="21" spans="1:18" x14ac:dyDescent="0.35">
      <c r="A21" t="s">
        <v>20</v>
      </c>
      <c r="B21">
        <v>17646</v>
      </c>
      <c r="C21" t="s">
        <v>666</v>
      </c>
      <c r="D21" t="s">
        <v>667</v>
      </c>
      <c r="E21" t="s">
        <v>3052</v>
      </c>
      <c r="F21" t="s">
        <v>3128</v>
      </c>
      <c r="G21" t="s">
        <v>3129</v>
      </c>
      <c r="H21" t="s">
        <v>3130</v>
      </c>
      <c r="I21" t="s">
        <v>809</v>
      </c>
      <c r="K21" t="s">
        <v>46</v>
      </c>
      <c r="L21" t="s">
        <v>3066</v>
      </c>
      <c r="M21" t="s">
        <v>56</v>
      </c>
      <c r="N21" t="s">
        <v>3076</v>
      </c>
      <c r="O21">
        <v>0.44642596378504668</v>
      </c>
      <c r="P21">
        <v>0.64050925925925917</v>
      </c>
      <c r="Q21" t="s">
        <v>33</v>
      </c>
    </row>
    <row r="22" spans="1:18" x14ac:dyDescent="0.35">
      <c r="A22" t="s">
        <v>20</v>
      </c>
      <c r="B22">
        <v>17646</v>
      </c>
      <c r="C22" t="s">
        <v>666</v>
      </c>
      <c r="D22" t="s">
        <v>667</v>
      </c>
      <c r="E22" t="s">
        <v>3056</v>
      </c>
      <c r="F22" t="s">
        <v>3131</v>
      </c>
      <c r="G22" t="s">
        <v>3132</v>
      </c>
      <c r="H22" t="s">
        <v>3133</v>
      </c>
      <c r="I22" t="s">
        <v>809</v>
      </c>
      <c r="K22" t="s">
        <v>46</v>
      </c>
      <c r="L22" t="s">
        <v>3093</v>
      </c>
      <c r="M22" t="s">
        <v>56</v>
      </c>
      <c r="N22" t="s">
        <v>3076</v>
      </c>
      <c r="O22">
        <v>0.48021320093457942</v>
      </c>
      <c r="P22">
        <v>0.57242476851851853</v>
      </c>
      <c r="Q22" t="s">
        <v>33</v>
      </c>
    </row>
    <row r="23" spans="1:18" x14ac:dyDescent="0.35">
      <c r="A23" t="s">
        <v>20</v>
      </c>
      <c r="B23">
        <v>17646</v>
      </c>
      <c r="C23" t="s">
        <v>666</v>
      </c>
      <c r="D23" t="s">
        <v>667</v>
      </c>
      <c r="E23" t="s">
        <v>3062</v>
      </c>
      <c r="F23" t="s">
        <v>3134</v>
      </c>
      <c r="G23" t="s">
        <v>3135</v>
      </c>
      <c r="H23" t="s">
        <v>3136</v>
      </c>
      <c r="I23" t="s">
        <v>809</v>
      </c>
      <c r="K23" t="s">
        <v>38</v>
      </c>
      <c r="L23" t="s">
        <v>3066</v>
      </c>
      <c r="M23" t="s">
        <v>56</v>
      </c>
      <c r="N23" t="s">
        <v>3060</v>
      </c>
      <c r="Q23" t="s">
        <v>33</v>
      </c>
    </row>
    <row r="24" spans="1:18" x14ac:dyDescent="0.35">
      <c r="A24" t="s">
        <v>20</v>
      </c>
      <c r="B24">
        <v>17646</v>
      </c>
      <c r="C24" t="s">
        <v>666</v>
      </c>
      <c r="D24" t="s">
        <v>667</v>
      </c>
      <c r="E24" t="s">
        <v>3067</v>
      </c>
      <c r="F24" t="s">
        <v>3137</v>
      </c>
      <c r="G24" t="s">
        <v>3138</v>
      </c>
      <c r="H24" t="s">
        <v>3139</v>
      </c>
      <c r="I24" t="s">
        <v>809</v>
      </c>
      <c r="K24" t="s">
        <v>28</v>
      </c>
      <c r="L24" t="s">
        <v>3093</v>
      </c>
      <c r="M24" t="s">
        <v>56</v>
      </c>
      <c r="N24" t="s">
        <v>148</v>
      </c>
      <c r="O24">
        <v>0.71462470794392519</v>
      </c>
      <c r="P24">
        <v>0.33940972222222221</v>
      </c>
      <c r="Q24" t="s">
        <v>33</v>
      </c>
    </row>
    <row r="25" spans="1:18" x14ac:dyDescent="0.35">
      <c r="A25" t="s">
        <v>20</v>
      </c>
      <c r="B25">
        <v>17646</v>
      </c>
      <c r="C25" t="s">
        <v>666</v>
      </c>
      <c r="D25" t="s">
        <v>667</v>
      </c>
      <c r="E25" t="s">
        <v>3072</v>
      </c>
      <c r="F25" t="s">
        <v>3140</v>
      </c>
      <c r="G25" t="s">
        <v>3141</v>
      </c>
      <c r="H25" t="s">
        <v>3142</v>
      </c>
      <c r="I25" t="s">
        <v>809</v>
      </c>
      <c r="K25" t="s">
        <v>61</v>
      </c>
      <c r="L25" t="s">
        <v>3093</v>
      </c>
      <c r="M25" t="s">
        <v>56</v>
      </c>
      <c r="N25" t="s">
        <v>3061</v>
      </c>
      <c r="O25">
        <v>0.89588200934579432</v>
      </c>
      <c r="P25">
        <v>0.44991319444444439</v>
      </c>
      <c r="Q25" t="s">
        <v>33</v>
      </c>
    </row>
    <row r="26" spans="1:18" x14ac:dyDescent="0.35">
      <c r="A26" t="s">
        <v>20</v>
      </c>
      <c r="B26">
        <v>17646</v>
      </c>
      <c r="C26" t="s">
        <v>666</v>
      </c>
      <c r="D26" t="s">
        <v>667</v>
      </c>
      <c r="E26" t="s">
        <v>3097</v>
      </c>
      <c r="F26" t="s">
        <v>3143</v>
      </c>
      <c r="G26" t="s">
        <v>3144</v>
      </c>
      <c r="H26" t="s">
        <v>3145</v>
      </c>
      <c r="I26" t="s">
        <v>809</v>
      </c>
      <c r="K26" t="s">
        <v>46</v>
      </c>
      <c r="L26" t="s">
        <v>3060</v>
      </c>
      <c r="M26" t="s">
        <v>56</v>
      </c>
      <c r="N26" t="s">
        <v>3060</v>
      </c>
      <c r="O26">
        <v>0.48216632593457942</v>
      </c>
      <c r="P26">
        <v>0.55619212962962961</v>
      </c>
      <c r="Q26" t="s">
        <v>33</v>
      </c>
    </row>
    <row r="27" spans="1:18" x14ac:dyDescent="0.35">
      <c r="A27" t="s">
        <v>20</v>
      </c>
      <c r="B27">
        <v>17646</v>
      </c>
      <c r="C27" t="s">
        <v>666</v>
      </c>
      <c r="D27" t="s">
        <v>667</v>
      </c>
      <c r="E27" t="s">
        <v>3101</v>
      </c>
      <c r="F27" t="s">
        <v>3146</v>
      </c>
      <c r="G27" t="s">
        <v>3147</v>
      </c>
      <c r="H27" t="s">
        <v>3148</v>
      </c>
      <c r="I27" t="s">
        <v>809</v>
      </c>
      <c r="K27" t="s">
        <v>28</v>
      </c>
      <c r="L27" t="s">
        <v>3066</v>
      </c>
      <c r="M27" t="s">
        <v>56</v>
      </c>
      <c r="N27" t="s">
        <v>148</v>
      </c>
      <c r="O27">
        <v>0.29231162383177572</v>
      </c>
      <c r="P27">
        <v>0.47824074074074069</v>
      </c>
      <c r="Q27" t="s">
        <v>33</v>
      </c>
    </row>
    <row r="28" spans="1:18" x14ac:dyDescent="0.35">
      <c r="A28" t="s">
        <v>20</v>
      </c>
      <c r="B28">
        <v>17646</v>
      </c>
      <c r="C28" t="s">
        <v>666</v>
      </c>
      <c r="D28" t="s">
        <v>667</v>
      </c>
      <c r="E28" t="s">
        <v>3105</v>
      </c>
      <c r="F28" t="s">
        <v>3149</v>
      </c>
      <c r="G28" t="s">
        <v>3150</v>
      </c>
      <c r="H28" t="s">
        <v>3151</v>
      </c>
      <c r="I28" t="s">
        <v>809</v>
      </c>
      <c r="K28" t="s">
        <v>46</v>
      </c>
      <c r="L28" t="s">
        <v>3093</v>
      </c>
      <c r="M28" t="s">
        <v>3071</v>
      </c>
      <c r="N28" t="s">
        <v>3076</v>
      </c>
      <c r="O28">
        <v>0.56626022196261683</v>
      </c>
      <c r="P28">
        <v>0.44568865740740737</v>
      </c>
      <c r="Q28" t="s">
        <v>33</v>
      </c>
    </row>
    <row r="29" spans="1:18" x14ac:dyDescent="0.35">
      <c r="A29" t="s">
        <v>20</v>
      </c>
      <c r="B29">
        <v>17646</v>
      </c>
      <c r="C29" t="s">
        <v>666</v>
      </c>
      <c r="D29" t="s">
        <v>667</v>
      </c>
      <c r="E29" t="s">
        <v>3077</v>
      </c>
      <c r="F29" t="s">
        <v>3152</v>
      </c>
      <c r="G29" t="s">
        <v>3153</v>
      </c>
      <c r="H29" t="s">
        <v>3154</v>
      </c>
      <c r="I29" t="s">
        <v>671</v>
      </c>
      <c r="L29" t="s">
        <v>3066</v>
      </c>
      <c r="M29" t="s">
        <v>56</v>
      </c>
      <c r="N29" t="s">
        <v>3061</v>
      </c>
      <c r="O29">
        <v>0.43049065420560739</v>
      </c>
      <c r="P29">
        <v>0.61354166666666665</v>
      </c>
      <c r="Q29" t="s">
        <v>33</v>
      </c>
    </row>
    <row r="30" spans="1:18" x14ac:dyDescent="0.35">
      <c r="A30" t="s">
        <v>20</v>
      </c>
      <c r="B30">
        <v>17646</v>
      </c>
      <c r="C30" t="s">
        <v>666</v>
      </c>
      <c r="D30" t="s">
        <v>667</v>
      </c>
      <c r="E30" t="s">
        <v>3112</v>
      </c>
      <c r="F30" t="s">
        <v>3155</v>
      </c>
      <c r="G30" t="s">
        <v>3156</v>
      </c>
      <c r="H30" t="s">
        <v>3157</v>
      </c>
      <c r="I30" t="s">
        <v>671</v>
      </c>
      <c r="K30" t="s">
        <v>28</v>
      </c>
      <c r="L30" t="s">
        <v>3060</v>
      </c>
      <c r="M30" t="s">
        <v>56</v>
      </c>
      <c r="N30" t="s">
        <v>3076</v>
      </c>
      <c r="O30">
        <v>0.50728314836448596</v>
      </c>
      <c r="P30">
        <v>0.31860532407407399</v>
      </c>
      <c r="Q30" t="s">
        <v>33</v>
      </c>
    </row>
    <row r="31" spans="1:18" x14ac:dyDescent="0.35">
      <c r="A31" t="s">
        <v>20</v>
      </c>
      <c r="B31">
        <v>17646</v>
      </c>
      <c r="C31" t="s">
        <v>666</v>
      </c>
      <c r="D31" t="s">
        <v>667</v>
      </c>
      <c r="E31" t="s">
        <v>3116</v>
      </c>
      <c r="F31" t="s">
        <v>3158</v>
      </c>
      <c r="G31" t="s">
        <v>3159</v>
      </c>
      <c r="H31" t="s">
        <v>3160</v>
      </c>
      <c r="I31" t="s">
        <v>671</v>
      </c>
      <c r="K31" t="s">
        <v>46</v>
      </c>
      <c r="L31" t="s">
        <v>3066</v>
      </c>
      <c r="M31" t="s">
        <v>56</v>
      </c>
      <c r="N31" t="s">
        <v>3076</v>
      </c>
      <c r="O31">
        <v>0.65141282126168221</v>
      </c>
      <c r="P31">
        <v>0.73049768518518521</v>
      </c>
      <c r="Q31" t="s">
        <v>33</v>
      </c>
    </row>
    <row r="32" spans="1:18" x14ac:dyDescent="0.35">
      <c r="A32" t="s">
        <v>20</v>
      </c>
      <c r="B32">
        <v>17646</v>
      </c>
      <c r="C32" t="s">
        <v>666</v>
      </c>
      <c r="D32" t="s">
        <v>667</v>
      </c>
      <c r="E32" t="s">
        <v>3120</v>
      </c>
      <c r="F32" t="s">
        <v>3161</v>
      </c>
      <c r="G32" t="s">
        <v>3162</v>
      </c>
      <c r="H32" t="s">
        <v>3163</v>
      </c>
      <c r="I32" t="s">
        <v>671</v>
      </c>
      <c r="K32" t="s">
        <v>28</v>
      </c>
      <c r="L32" t="s">
        <v>3093</v>
      </c>
      <c r="M32" t="s">
        <v>56</v>
      </c>
      <c r="N32" t="s">
        <v>3076</v>
      </c>
      <c r="O32">
        <v>0.21170414719626171</v>
      </c>
      <c r="P32">
        <v>0.58680555555555558</v>
      </c>
      <c r="Q32" t="s">
        <v>33</v>
      </c>
    </row>
    <row r="33" spans="1:17" x14ac:dyDescent="0.35">
      <c r="A33" t="s">
        <v>20</v>
      </c>
      <c r="B33">
        <v>17646</v>
      </c>
      <c r="C33" t="s">
        <v>666</v>
      </c>
      <c r="D33" t="s">
        <v>667</v>
      </c>
      <c r="E33" t="s">
        <v>3124</v>
      </c>
      <c r="F33" t="s">
        <v>3164</v>
      </c>
      <c r="G33" t="s">
        <v>3165</v>
      </c>
      <c r="H33" t="s">
        <v>3166</v>
      </c>
      <c r="I33" t="s">
        <v>671</v>
      </c>
      <c r="K33" t="s">
        <v>28</v>
      </c>
      <c r="L33" t="s">
        <v>3066</v>
      </c>
      <c r="M33" t="s">
        <v>56</v>
      </c>
      <c r="N33" t="s">
        <v>3076</v>
      </c>
      <c r="O33">
        <v>0.39292494158878499</v>
      </c>
      <c r="P33">
        <v>0.47957175925925921</v>
      </c>
      <c r="Q33" t="s">
        <v>33</v>
      </c>
    </row>
    <row r="34" spans="1:17" x14ac:dyDescent="0.35">
      <c r="A34" t="s">
        <v>20</v>
      </c>
      <c r="B34">
        <v>17646</v>
      </c>
      <c r="C34" t="s">
        <v>666</v>
      </c>
      <c r="D34" t="s">
        <v>667</v>
      </c>
      <c r="E34" t="s">
        <v>3167</v>
      </c>
      <c r="F34" t="s">
        <v>3168</v>
      </c>
      <c r="G34" t="s">
        <v>3169</v>
      </c>
      <c r="H34" t="s">
        <v>3170</v>
      </c>
      <c r="I34" t="s">
        <v>671</v>
      </c>
      <c r="K34" t="s">
        <v>46</v>
      </c>
      <c r="L34" t="s">
        <v>3060</v>
      </c>
      <c r="M34" t="s">
        <v>56</v>
      </c>
      <c r="N34" t="s">
        <v>3060</v>
      </c>
      <c r="O34">
        <v>0.45055125584112149</v>
      </c>
      <c r="P34">
        <v>0.38072916666666662</v>
      </c>
      <c r="Q34" t="s">
        <v>33</v>
      </c>
    </row>
    <row r="35" spans="1:17" x14ac:dyDescent="0.35">
      <c r="A35" t="s">
        <v>20</v>
      </c>
      <c r="B35">
        <v>17645</v>
      </c>
      <c r="C35" t="s">
        <v>949</v>
      </c>
      <c r="D35" t="s">
        <v>950</v>
      </c>
      <c r="E35" t="s">
        <v>3052</v>
      </c>
      <c r="F35" t="s">
        <v>3171</v>
      </c>
      <c r="G35" t="s">
        <v>3172</v>
      </c>
      <c r="H35" t="s">
        <v>3173</v>
      </c>
      <c r="I35" t="s">
        <v>954</v>
      </c>
      <c r="K35" t="s">
        <v>28</v>
      </c>
      <c r="L35" t="s">
        <v>3093</v>
      </c>
      <c r="M35" t="s">
        <v>56</v>
      </c>
      <c r="N35" t="s">
        <v>3061</v>
      </c>
      <c r="O35">
        <v>0.78075715537383172</v>
      </c>
      <c r="P35">
        <v>0.70011574074074079</v>
      </c>
      <c r="Q35" t="s">
        <v>33</v>
      </c>
    </row>
    <row r="36" spans="1:17" x14ac:dyDescent="0.35">
      <c r="A36" t="s">
        <v>20</v>
      </c>
      <c r="B36">
        <v>17645</v>
      </c>
      <c r="C36" t="s">
        <v>949</v>
      </c>
      <c r="D36" t="s">
        <v>950</v>
      </c>
      <c r="E36" t="s">
        <v>3077</v>
      </c>
      <c r="F36" t="s">
        <v>3174</v>
      </c>
      <c r="G36" t="s">
        <v>3175</v>
      </c>
      <c r="H36" t="s">
        <v>3176</v>
      </c>
      <c r="I36" t="s">
        <v>1090</v>
      </c>
      <c r="K36" t="s">
        <v>38</v>
      </c>
      <c r="L36" t="s">
        <v>3066</v>
      </c>
      <c r="M36" t="s">
        <v>56</v>
      </c>
      <c r="N36" t="s">
        <v>3061</v>
      </c>
      <c r="O36">
        <v>0.4027453271028037</v>
      </c>
      <c r="P36">
        <v>0.39918981481481491</v>
      </c>
      <c r="Q36" t="s">
        <v>33</v>
      </c>
    </row>
    <row r="37" spans="1:17" x14ac:dyDescent="0.35">
      <c r="A37" t="s">
        <v>20</v>
      </c>
      <c r="B37">
        <v>17645</v>
      </c>
      <c r="C37" t="s">
        <v>949</v>
      </c>
      <c r="D37" t="s">
        <v>950</v>
      </c>
      <c r="E37" t="s">
        <v>3112</v>
      </c>
      <c r="F37" t="s">
        <v>3177</v>
      </c>
      <c r="G37" t="s">
        <v>3178</v>
      </c>
      <c r="H37" t="s">
        <v>3179</v>
      </c>
      <c r="I37" t="s">
        <v>1090</v>
      </c>
      <c r="K37" t="s">
        <v>28</v>
      </c>
      <c r="L37" t="s">
        <v>3066</v>
      </c>
      <c r="M37" t="s">
        <v>76</v>
      </c>
      <c r="N37" t="s">
        <v>3076</v>
      </c>
      <c r="O37">
        <v>0.41809652453271029</v>
      </c>
      <c r="P37">
        <v>0.15755208333333329</v>
      </c>
      <c r="Q37" t="s">
        <v>33</v>
      </c>
    </row>
    <row r="38" spans="1:17" x14ac:dyDescent="0.35">
      <c r="A38" t="s">
        <v>20</v>
      </c>
      <c r="B38">
        <v>17645</v>
      </c>
      <c r="C38" t="s">
        <v>949</v>
      </c>
      <c r="D38" t="s">
        <v>950</v>
      </c>
      <c r="E38" t="s">
        <v>3116</v>
      </c>
      <c r="F38" t="s">
        <v>3180</v>
      </c>
      <c r="G38" t="s">
        <v>3181</v>
      </c>
      <c r="H38" t="s">
        <v>3182</v>
      </c>
      <c r="I38" t="s">
        <v>1090</v>
      </c>
      <c r="K38" t="s">
        <v>46</v>
      </c>
      <c r="L38" t="s">
        <v>3093</v>
      </c>
      <c r="M38" t="s">
        <v>76</v>
      </c>
      <c r="N38" t="s">
        <v>3061</v>
      </c>
      <c r="O38">
        <v>0.39148291471962621</v>
      </c>
      <c r="P38">
        <v>5.6047453703703683E-2</v>
      </c>
      <c r="Q38" t="s">
        <v>33</v>
      </c>
    </row>
    <row r="39" spans="1:17" x14ac:dyDescent="0.35">
      <c r="A39" t="s">
        <v>20</v>
      </c>
      <c r="B39">
        <v>17647</v>
      </c>
      <c r="C39" t="s">
        <v>1252</v>
      </c>
      <c r="D39" t="s">
        <v>1253</v>
      </c>
      <c r="E39" t="s">
        <v>3052</v>
      </c>
      <c r="F39" t="s">
        <v>1341</v>
      </c>
      <c r="G39" t="s">
        <v>3183</v>
      </c>
      <c r="H39" t="s">
        <v>3184</v>
      </c>
      <c r="I39" t="s">
        <v>1257</v>
      </c>
      <c r="K39" t="s">
        <v>28</v>
      </c>
      <c r="L39" t="s">
        <v>3060</v>
      </c>
      <c r="M39" t="s">
        <v>56</v>
      </c>
      <c r="N39" t="s">
        <v>3060</v>
      </c>
      <c r="O39">
        <v>0.24193195093457939</v>
      </c>
      <c r="P39">
        <v>0.19328703703703701</v>
      </c>
      <c r="Q39" t="s">
        <v>33</v>
      </c>
    </row>
    <row r="40" spans="1:17" x14ac:dyDescent="0.35">
      <c r="A40" t="s">
        <v>20</v>
      </c>
      <c r="B40">
        <v>17647</v>
      </c>
      <c r="C40" t="s">
        <v>1252</v>
      </c>
      <c r="D40" t="s">
        <v>1253</v>
      </c>
      <c r="E40" t="s">
        <v>3056</v>
      </c>
      <c r="F40" t="s">
        <v>3185</v>
      </c>
      <c r="G40" t="s">
        <v>3186</v>
      </c>
      <c r="H40" t="s">
        <v>3187</v>
      </c>
      <c r="I40" t="s">
        <v>1257</v>
      </c>
      <c r="L40" t="s">
        <v>3066</v>
      </c>
      <c r="M40" t="s">
        <v>3071</v>
      </c>
      <c r="O40">
        <v>3.12317464953271E-2</v>
      </c>
      <c r="P40">
        <v>0.17769097222222219</v>
      </c>
      <c r="Q40" t="s">
        <v>33</v>
      </c>
    </row>
    <row r="41" spans="1:17" x14ac:dyDescent="0.35">
      <c r="A41" t="s">
        <v>20</v>
      </c>
      <c r="B41">
        <v>17647</v>
      </c>
      <c r="C41" t="s">
        <v>1252</v>
      </c>
      <c r="D41" t="s">
        <v>1253</v>
      </c>
      <c r="E41" t="s">
        <v>3062</v>
      </c>
      <c r="F41" t="s">
        <v>3188</v>
      </c>
      <c r="G41" t="s">
        <v>3189</v>
      </c>
      <c r="H41" t="s">
        <v>3190</v>
      </c>
      <c r="I41" t="s">
        <v>1257</v>
      </c>
      <c r="K41" t="s">
        <v>46</v>
      </c>
      <c r="L41" t="s">
        <v>3066</v>
      </c>
      <c r="N41" t="s">
        <v>3076</v>
      </c>
      <c r="O41">
        <v>0.55333674065420557</v>
      </c>
      <c r="P41">
        <v>0.89311342592592591</v>
      </c>
      <c r="Q41" t="s">
        <v>33</v>
      </c>
    </row>
    <row r="42" spans="1:17" x14ac:dyDescent="0.35">
      <c r="A42" t="s">
        <v>20</v>
      </c>
      <c r="B42">
        <v>17647</v>
      </c>
      <c r="C42" t="s">
        <v>1252</v>
      </c>
      <c r="D42" t="s">
        <v>1253</v>
      </c>
      <c r="E42" t="s">
        <v>3067</v>
      </c>
      <c r="F42" t="s">
        <v>3191</v>
      </c>
      <c r="G42" t="s">
        <v>3192</v>
      </c>
      <c r="H42" t="s">
        <v>3193</v>
      </c>
      <c r="I42" t="s">
        <v>1257</v>
      </c>
      <c r="K42" t="s">
        <v>28</v>
      </c>
      <c r="L42" t="s">
        <v>3093</v>
      </c>
      <c r="M42" t="s">
        <v>3071</v>
      </c>
      <c r="N42" t="s">
        <v>3060</v>
      </c>
      <c r="O42">
        <v>0.40959039135514019</v>
      </c>
      <c r="P42">
        <v>9.3026620370370239E-2</v>
      </c>
      <c r="Q42" t="s">
        <v>33</v>
      </c>
    </row>
    <row r="43" spans="1:17" x14ac:dyDescent="0.35">
      <c r="A43" t="s">
        <v>20</v>
      </c>
      <c r="B43">
        <v>17647</v>
      </c>
      <c r="C43" t="s">
        <v>1252</v>
      </c>
      <c r="D43" t="s">
        <v>1253</v>
      </c>
      <c r="E43" t="s">
        <v>3077</v>
      </c>
      <c r="F43" t="s">
        <v>3194</v>
      </c>
      <c r="G43" t="s">
        <v>3195</v>
      </c>
      <c r="H43" t="s">
        <v>3196</v>
      </c>
      <c r="I43" t="s">
        <v>1395</v>
      </c>
      <c r="K43" t="s">
        <v>28</v>
      </c>
      <c r="L43" t="s">
        <v>3066</v>
      </c>
      <c r="M43" t="s">
        <v>56</v>
      </c>
      <c r="N43" t="s">
        <v>3076</v>
      </c>
      <c r="O43">
        <v>0.29499488901869159</v>
      </c>
      <c r="P43">
        <v>0.56073495370370363</v>
      </c>
      <c r="Q43" t="s">
        <v>33</v>
      </c>
    </row>
    <row r="44" spans="1:17" x14ac:dyDescent="0.35">
      <c r="A44" t="s">
        <v>20</v>
      </c>
      <c r="B44">
        <v>17647</v>
      </c>
      <c r="C44" t="s">
        <v>1252</v>
      </c>
      <c r="D44" t="s">
        <v>1253</v>
      </c>
      <c r="E44" t="s">
        <v>3112</v>
      </c>
      <c r="F44" t="s">
        <v>3197</v>
      </c>
      <c r="G44" t="s">
        <v>3198</v>
      </c>
      <c r="H44" t="s">
        <v>3199</v>
      </c>
      <c r="I44" t="s">
        <v>1395</v>
      </c>
      <c r="K44" t="s">
        <v>61</v>
      </c>
      <c r="L44" t="s">
        <v>3093</v>
      </c>
      <c r="M44" t="s">
        <v>56</v>
      </c>
      <c r="N44" t="s">
        <v>3076</v>
      </c>
      <c r="O44">
        <v>8.6667640186915876E-2</v>
      </c>
      <c r="P44">
        <v>0.53880208333333335</v>
      </c>
      <c r="Q44" t="s">
        <v>33</v>
      </c>
    </row>
    <row r="45" spans="1:17" x14ac:dyDescent="0.35">
      <c r="A45" t="s">
        <v>20</v>
      </c>
      <c r="B45">
        <v>17647</v>
      </c>
      <c r="C45" t="s">
        <v>1252</v>
      </c>
      <c r="D45" t="s">
        <v>1253</v>
      </c>
      <c r="E45" t="s">
        <v>3116</v>
      </c>
      <c r="F45" t="s">
        <v>3200</v>
      </c>
      <c r="G45" t="s">
        <v>3201</v>
      </c>
      <c r="H45" t="s">
        <v>3202</v>
      </c>
      <c r="I45" t="s">
        <v>1395</v>
      </c>
      <c r="K45" t="s">
        <v>46</v>
      </c>
      <c r="L45" t="s">
        <v>3093</v>
      </c>
      <c r="M45" t="s">
        <v>56</v>
      </c>
      <c r="N45" t="s">
        <v>3076</v>
      </c>
      <c r="O45">
        <v>0.50731965537383172</v>
      </c>
      <c r="P45">
        <v>0.43628472222222209</v>
      </c>
      <c r="Q45" t="s">
        <v>33</v>
      </c>
    </row>
    <row r="46" spans="1:17" x14ac:dyDescent="0.35">
      <c r="A46" t="s">
        <v>20</v>
      </c>
      <c r="B46">
        <v>17647</v>
      </c>
      <c r="C46" t="s">
        <v>1252</v>
      </c>
      <c r="D46" t="s">
        <v>1253</v>
      </c>
      <c r="E46" t="s">
        <v>3120</v>
      </c>
      <c r="F46" t="s">
        <v>3203</v>
      </c>
      <c r="G46" t="s">
        <v>3204</v>
      </c>
      <c r="H46" t="s">
        <v>3205</v>
      </c>
      <c r="I46" t="s">
        <v>1395</v>
      </c>
      <c r="K46" t="s">
        <v>28</v>
      </c>
      <c r="L46" t="s">
        <v>3093</v>
      </c>
      <c r="M46" t="s">
        <v>56</v>
      </c>
      <c r="O46">
        <v>0.60963054906542058</v>
      </c>
      <c r="P46">
        <v>0.57424768518518521</v>
      </c>
      <c r="Q46" t="s">
        <v>33</v>
      </c>
    </row>
    <row r="47" spans="1:17" x14ac:dyDescent="0.35">
      <c r="A47" t="s">
        <v>20</v>
      </c>
      <c r="B47">
        <v>17643</v>
      </c>
      <c r="C47" t="s">
        <v>426</v>
      </c>
      <c r="D47" t="s">
        <v>427</v>
      </c>
      <c r="E47" t="s">
        <v>3052</v>
      </c>
      <c r="F47" t="s">
        <v>3081</v>
      </c>
      <c r="G47" t="s">
        <v>3082</v>
      </c>
      <c r="H47" t="s">
        <v>3083</v>
      </c>
      <c r="I47" t="s">
        <v>557</v>
      </c>
      <c r="K47" t="s">
        <v>46</v>
      </c>
      <c r="L47" t="s">
        <v>3060</v>
      </c>
      <c r="M47" t="s">
        <v>3071</v>
      </c>
      <c r="N47" t="s">
        <v>3060</v>
      </c>
      <c r="Q47" t="s">
        <v>33</v>
      </c>
    </row>
    <row r="48" spans="1:17" x14ac:dyDescent="0.35">
      <c r="A48" t="s">
        <v>20</v>
      </c>
      <c r="B48">
        <v>17643</v>
      </c>
      <c r="C48" t="s">
        <v>426</v>
      </c>
      <c r="D48" t="s">
        <v>427</v>
      </c>
      <c r="E48" t="s">
        <v>3056</v>
      </c>
      <c r="F48" t="s">
        <v>3084</v>
      </c>
      <c r="G48" t="s">
        <v>3085</v>
      </c>
      <c r="H48" t="s">
        <v>3086</v>
      </c>
      <c r="I48" t="s">
        <v>557</v>
      </c>
      <c r="K48" t="s">
        <v>46</v>
      </c>
      <c r="L48" t="s">
        <v>3066</v>
      </c>
      <c r="M48" t="s">
        <v>3071</v>
      </c>
      <c r="N48" t="s">
        <v>3076</v>
      </c>
      <c r="O48">
        <v>0.49134783878504668</v>
      </c>
      <c r="P48">
        <v>0.91646412037037039</v>
      </c>
      <c r="Q48" t="s">
        <v>33</v>
      </c>
    </row>
    <row r="49" spans="1:17" x14ac:dyDescent="0.35">
      <c r="A49" t="s">
        <v>20</v>
      </c>
      <c r="B49">
        <v>17643</v>
      </c>
      <c r="C49" t="s">
        <v>426</v>
      </c>
      <c r="D49" t="s">
        <v>427</v>
      </c>
      <c r="E49" t="s">
        <v>3062</v>
      </c>
      <c r="F49" t="s">
        <v>3087</v>
      </c>
      <c r="G49" t="s">
        <v>3088</v>
      </c>
      <c r="H49" t="s">
        <v>3089</v>
      </c>
      <c r="I49" t="s">
        <v>557</v>
      </c>
      <c r="K49" t="s">
        <v>61</v>
      </c>
      <c r="M49" t="s">
        <v>3071</v>
      </c>
      <c r="Q49" t="s">
        <v>33</v>
      </c>
    </row>
    <row r="50" spans="1:17" x14ac:dyDescent="0.35">
      <c r="A50" t="s">
        <v>20</v>
      </c>
      <c r="B50">
        <v>17643</v>
      </c>
      <c r="C50" t="s">
        <v>426</v>
      </c>
      <c r="D50" t="s">
        <v>427</v>
      </c>
      <c r="E50" t="s">
        <v>3067</v>
      </c>
      <c r="F50" t="s">
        <v>3090</v>
      </c>
      <c r="G50" t="s">
        <v>3091</v>
      </c>
      <c r="H50" t="s">
        <v>3092</v>
      </c>
      <c r="I50" t="s">
        <v>557</v>
      </c>
      <c r="K50" t="s">
        <v>28</v>
      </c>
      <c r="L50" t="s">
        <v>3093</v>
      </c>
      <c r="M50" t="s">
        <v>56</v>
      </c>
      <c r="N50" t="s">
        <v>3061</v>
      </c>
      <c r="O50">
        <v>0.50511098130841114</v>
      </c>
      <c r="P50">
        <v>0.56521990740740735</v>
      </c>
      <c r="Q50" t="s">
        <v>33</v>
      </c>
    </row>
    <row r="51" spans="1:17" x14ac:dyDescent="0.35">
      <c r="A51" t="s">
        <v>20</v>
      </c>
      <c r="B51">
        <v>17643</v>
      </c>
      <c r="C51" t="s">
        <v>426</v>
      </c>
      <c r="D51" t="s">
        <v>427</v>
      </c>
      <c r="E51" t="s">
        <v>3072</v>
      </c>
      <c r="F51" t="s">
        <v>3094</v>
      </c>
      <c r="G51" t="s">
        <v>3095</v>
      </c>
      <c r="H51" t="s">
        <v>3096</v>
      </c>
      <c r="I51" t="s">
        <v>557</v>
      </c>
      <c r="K51" t="s">
        <v>28</v>
      </c>
      <c r="L51" t="s">
        <v>3093</v>
      </c>
      <c r="M51" t="s">
        <v>56</v>
      </c>
      <c r="N51" t="s">
        <v>3076</v>
      </c>
      <c r="O51">
        <v>0.77785484813084116</v>
      </c>
      <c r="P51">
        <v>0.57427662037037031</v>
      </c>
      <c r="Q51" t="s">
        <v>33</v>
      </c>
    </row>
    <row r="52" spans="1:17" x14ac:dyDescent="0.35">
      <c r="A52" t="s">
        <v>20</v>
      </c>
      <c r="B52">
        <v>17643</v>
      </c>
      <c r="C52" t="s">
        <v>426</v>
      </c>
      <c r="D52" t="s">
        <v>427</v>
      </c>
      <c r="E52" t="s">
        <v>3097</v>
      </c>
      <c r="F52" t="s">
        <v>3098</v>
      </c>
      <c r="G52" t="s">
        <v>3099</v>
      </c>
      <c r="H52" t="s">
        <v>3100</v>
      </c>
      <c r="I52" t="s">
        <v>557</v>
      </c>
      <c r="K52" t="s">
        <v>28</v>
      </c>
      <c r="L52" t="s">
        <v>3093</v>
      </c>
      <c r="M52" t="s">
        <v>56</v>
      </c>
      <c r="N52" t="s">
        <v>3076</v>
      </c>
      <c r="O52">
        <v>0.40374926985981302</v>
      </c>
      <c r="P52">
        <v>0.42766203703703698</v>
      </c>
      <c r="Q52" t="s">
        <v>33</v>
      </c>
    </row>
    <row r="53" spans="1:17" x14ac:dyDescent="0.35">
      <c r="A53" t="s">
        <v>20</v>
      </c>
      <c r="B53">
        <v>17643</v>
      </c>
      <c r="C53" t="s">
        <v>426</v>
      </c>
      <c r="D53" t="s">
        <v>427</v>
      </c>
      <c r="E53" t="s">
        <v>3101</v>
      </c>
      <c r="F53" t="s">
        <v>3102</v>
      </c>
      <c r="G53" t="s">
        <v>3103</v>
      </c>
      <c r="H53" t="s">
        <v>3104</v>
      </c>
      <c r="I53" t="s">
        <v>557</v>
      </c>
      <c r="K53" t="s">
        <v>28</v>
      </c>
      <c r="L53" t="s">
        <v>3066</v>
      </c>
      <c r="M53" t="s">
        <v>32</v>
      </c>
      <c r="N53" t="s">
        <v>3076</v>
      </c>
      <c r="O53">
        <v>0.50746568341121501</v>
      </c>
      <c r="P53">
        <v>0.69950810185185186</v>
      </c>
      <c r="Q53" t="s">
        <v>33</v>
      </c>
    </row>
    <row r="54" spans="1:17" x14ac:dyDescent="0.35">
      <c r="A54" t="s">
        <v>20</v>
      </c>
      <c r="B54">
        <v>17643</v>
      </c>
      <c r="C54" t="s">
        <v>426</v>
      </c>
      <c r="D54" t="s">
        <v>427</v>
      </c>
      <c r="E54" t="s">
        <v>3105</v>
      </c>
      <c r="F54" t="s">
        <v>3106</v>
      </c>
      <c r="G54" t="s">
        <v>3107</v>
      </c>
      <c r="H54" t="s">
        <v>3108</v>
      </c>
      <c r="I54" t="s">
        <v>557</v>
      </c>
      <c r="Q54" t="s">
        <v>33</v>
      </c>
    </row>
    <row r="55" spans="1:17" x14ac:dyDescent="0.35">
      <c r="A55" t="s">
        <v>20</v>
      </c>
      <c r="B55">
        <v>17643</v>
      </c>
      <c r="C55" t="s">
        <v>426</v>
      </c>
      <c r="D55" t="s">
        <v>427</v>
      </c>
      <c r="E55" t="s">
        <v>3077</v>
      </c>
      <c r="F55" t="s">
        <v>3109</v>
      </c>
      <c r="G55" t="s">
        <v>3110</v>
      </c>
      <c r="H55" t="s">
        <v>3111</v>
      </c>
      <c r="I55" t="s">
        <v>431</v>
      </c>
      <c r="K55" t="s">
        <v>28</v>
      </c>
      <c r="L55" t="s">
        <v>3093</v>
      </c>
      <c r="M55" t="s">
        <v>56</v>
      </c>
      <c r="N55" t="s">
        <v>3061</v>
      </c>
      <c r="O55">
        <v>0.1872079439252336</v>
      </c>
      <c r="P55">
        <v>0.62740162037037028</v>
      </c>
      <c r="Q55" t="s">
        <v>33</v>
      </c>
    </row>
    <row r="56" spans="1:17" x14ac:dyDescent="0.35">
      <c r="A56" t="s">
        <v>20</v>
      </c>
      <c r="B56">
        <v>17643</v>
      </c>
      <c r="C56" t="s">
        <v>426</v>
      </c>
      <c r="D56" t="s">
        <v>427</v>
      </c>
      <c r="E56" t="s">
        <v>3112</v>
      </c>
      <c r="F56" t="s">
        <v>3113</v>
      </c>
      <c r="G56" t="s">
        <v>3114</v>
      </c>
      <c r="H56" t="s">
        <v>3115</v>
      </c>
      <c r="I56" t="s">
        <v>431</v>
      </c>
      <c r="K56" t="s">
        <v>46</v>
      </c>
      <c r="L56" t="s">
        <v>3093</v>
      </c>
      <c r="M56" t="s">
        <v>76</v>
      </c>
      <c r="O56">
        <v>0.35048554322429909</v>
      </c>
      <c r="P56">
        <v>4.6903935185185097E-2</v>
      </c>
      <c r="Q56" t="s">
        <v>33</v>
      </c>
    </row>
    <row r="57" spans="1:17" x14ac:dyDescent="0.35">
      <c r="A57" t="s">
        <v>20</v>
      </c>
      <c r="B57">
        <v>17643</v>
      </c>
      <c r="C57" t="s">
        <v>426</v>
      </c>
      <c r="D57" t="s">
        <v>427</v>
      </c>
      <c r="E57" t="s">
        <v>3116</v>
      </c>
      <c r="F57" t="s">
        <v>3117</v>
      </c>
      <c r="G57" t="s">
        <v>3118</v>
      </c>
      <c r="H57" t="s">
        <v>3119</v>
      </c>
      <c r="I57" t="s">
        <v>431</v>
      </c>
      <c r="K57" t="s">
        <v>46</v>
      </c>
      <c r="L57" t="s">
        <v>3093</v>
      </c>
      <c r="M57" t="s">
        <v>56</v>
      </c>
      <c r="O57">
        <v>0.50717362733644855</v>
      </c>
      <c r="P57">
        <v>0.50271990740740735</v>
      </c>
      <c r="Q57" t="s">
        <v>33</v>
      </c>
    </row>
    <row r="58" spans="1:17" x14ac:dyDescent="0.35">
      <c r="A58" t="s">
        <v>20</v>
      </c>
      <c r="B58">
        <v>17643</v>
      </c>
      <c r="C58" t="s">
        <v>426</v>
      </c>
      <c r="D58" t="s">
        <v>427</v>
      </c>
      <c r="E58" t="s">
        <v>3120</v>
      </c>
      <c r="F58" t="s">
        <v>3121</v>
      </c>
      <c r="G58" t="s">
        <v>3122</v>
      </c>
      <c r="H58" t="s">
        <v>3123</v>
      </c>
      <c r="I58" t="s">
        <v>431</v>
      </c>
      <c r="K58" t="s">
        <v>28</v>
      </c>
      <c r="L58" t="s">
        <v>3093</v>
      </c>
      <c r="M58" t="s">
        <v>32</v>
      </c>
      <c r="N58" t="s">
        <v>3061</v>
      </c>
      <c r="O58">
        <v>0.4515734521028037</v>
      </c>
      <c r="P58">
        <v>0.75263310185185184</v>
      </c>
      <c r="Q58" t="s">
        <v>33</v>
      </c>
    </row>
    <row r="59" spans="1:17" x14ac:dyDescent="0.35">
      <c r="A59" t="s">
        <v>20</v>
      </c>
      <c r="B59">
        <v>17643</v>
      </c>
      <c r="C59" t="s">
        <v>426</v>
      </c>
      <c r="D59" t="s">
        <v>427</v>
      </c>
      <c r="E59" t="s">
        <v>3124</v>
      </c>
      <c r="F59" t="s">
        <v>3125</v>
      </c>
      <c r="G59" t="s">
        <v>3126</v>
      </c>
      <c r="H59" t="s">
        <v>3127</v>
      </c>
      <c r="I59" t="s">
        <v>431</v>
      </c>
      <c r="K59" t="s">
        <v>38</v>
      </c>
      <c r="L59" t="s">
        <v>3093</v>
      </c>
      <c r="M59" t="s">
        <v>56</v>
      </c>
      <c r="N59" t="s">
        <v>3076</v>
      </c>
      <c r="O59">
        <v>0.11444947429906541</v>
      </c>
      <c r="P59">
        <v>0.558130787037037</v>
      </c>
      <c r="Q59" t="s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1"/>
  <sheetViews>
    <sheetView topLeftCell="A211" workbookViewId="0">
      <selection activeCell="I25" sqref="I25:I4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2548</v>
      </c>
      <c r="L1" t="s">
        <v>14</v>
      </c>
      <c r="M1" t="s">
        <v>15</v>
      </c>
      <c r="N1" t="s">
        <v>19</v>
      </c>
    </row>
    <row r="2" spans="1:14" x14ac:dyDescent="0.35">
      <c r="A2" t="s">
        <v>20</v>
      </c>
      <c r="B2">
        <v>17644</v>
      </c>
      <c r="C2" t="s">
        <v>21</v>
      </c>
      <c r="D2" t="s">
        <v>22</v>
      </c>
      <c r="E2" t="s">
        <v>3206</v>
      </c>
      <c r="F2" t="s">
        <v>3207</v>
      </c>
      <c r="G2" t="s">
        <v>3208</v>
      </c>
      <c r="H2" t="s">
        <v>3209</v>
      </c>
      <c r="I2" t="s">
        <v>238</v>
      </c>
      <c r="K2" t="s">
        <v>3210</v>
      </c>
      <c r="L2" t="s">
        <v>76</v>
      </c>
      <c r="M2" t="s">
        <v>33</v>
      </c>
    </row>
    <row r="3" spans="1:14" x14ac:dyDescent="0.35">
      <c r="A3" t="s">
        <v>20</v>
      </c>
      <c r="B3">
        <v>17644</v>
      </c>
      <c r="C3" t="s">
        <v>21</v>
      </c>
      <c r="D3" t="s">
        <v>22</v>
      </c>
      <c r="E3" t="s">
        <v>3211</v>
      </c>
      <c r="F3" t="s">
        <v>3212</v>
      </c>
      <c r="G3" t="s">
        <v>3213</v>
      </c>
      <c r="H3" t="s">
        <v>3214</v>
      </c>
      <c r="I3" t="s">
        <v>238</v>
      </c>
      <c r="K3" t="s">
        <v>85</v>
      </c>
      <c r="L3" t="s">
        <v>76</v>
      </c>
      <c r="M3" t="s">
        <v>33</v>
      </c>
    </row>
    <row r="4" spans="1:14" x14ac:dyDescent="0.35">
      <c r="A4" t="s">
        <v>20</v>
      </c>
      <c r="B4">
        <v>17644</v>
      </c>
      <c r="C4" t="s">
        <v>21</v>
      </c>
      <c r="D4" t="s">
        <v>22</v>
      </c>
      <c r="E4" t="s">
        <v>3215</v>
      </c>
      <c r="F4" t="s">
        <v>3216</v>
      </c>
      <c r="G4" t="s">
        <v>3217</v>
      </c>
      <c r="H4" t="s">
        <v>3218</v>
      </c>
      <c r="I4" t="s">
        <v>238</v>
      </c>
      <c r="K4" t="s">
        <v>3210</v>
      </c>
      <c r="L4" t="s">
        <v>32</v>
      </c>
      <c r="M4" t="s">
        <v>33</v>
      </c>
    </row>
    <row r="5" spans="1:14" x14ac:dyDescent="0.35">
      <c r="A5" t="s">
        <v>20</v>
      </c>
      <c r="B5">
        <v>17644</v>
      </c>
      <c r="C5" t="s">
        <v>21</v>
      </c>
      <c r="D5" t="s">
        <v>22</v>
      </c>
      <c r="E5" t="s">
        <v>3219</v>
      </c>
      <c r="F5" t="s">
        <v>3220</v>
      </c>
      <c r="G5" t="s">
        <v>3221</v>
      </c>
      <c r="H5" t="s">
        <v>3222</v>
      </c>
      <c r="I5" t="s">
        <v>238</v>
      </c>
      <c r="K5" t="s">
        <v>3223</v>
      </c>
      <c r="L5" t="s">
        <v>56</v>
      </c>
      <c r="M5" t="s">
        <v>33</v>
      </c>
    </row>
    <row r="6" spans="1:14" x14ac:dyDescent="0.35">
      <c r="A6" t="s">
        <v>20</v>
      </c>
      <c r="B6">
        <v>17644</v>
      </c>
      <c r="C6" t="s">
        <v>21</v>
      </c>
      <c r="D6" t="s">
        <v>22</v>
      </c>
      <c r="E6" t="s">
        <v>3224</v>
      </c>
      <c r="F6" t="s">
        <v>3225</v>
      </c>
      <c r="G6" t="s">
        <v>3226</v>
      </c>
      <c r="H6" t="s">
        <v>3227</v>
      </c>
      <c r="I6" t="s">
        <v>238</v>
      </c>
      <c r="K6" t="s">
        <v>3223</v>
      </c>
      <c r="L6" t="s">
        <v>56</v>
      </c>
      <c r="M6" t="s">
        <v>33</v>
      </c>
    </row>
    <row r="7" spans="1:14" x14ac:dyDescent="0.35">
      <c r="A7" t="s">
        <v>20</v>
      </c>
      <c r="B7">
        <v>17644</v>
      </c>
      <c r="C7" t="s">
        <v>21</v>
      </c>
      <c r="D7" t="s">
        <v>22</v>
      </c>
      <c r="E7" t="s">
        <v>3228</v>
      </c>
      <c r="F7" t="s">
        <v>3229</v>
      </c>
      <c r="G7" t="s">
        <v>3230</v>
      </c>
      <c r="H7" t="s">
        <v>3231</v>
      </c>
      <c r="I7" t="s">
        <v>238</v>
      </c>
      <c r="K7" t="s">
        <v>3232</v>
      </c>
      <c r="L7" t="s">
        <v>76</v>
      </c>
      <c r="M7" t="s">
        <v>33</v>
      </c>
    </row>
    <row r="8" spans="1:14" x14ac:dyDescent="0.35">
      <c r="A8" t="s">
        <v>20</v>
      </c>
      <c r="B8">
        <v>17644</v>
      </c>
      <c r="C8" t="s">
        <v>21</v>
      </c>
      <c r="D8" t="s">
        <v>22</v>
      </c>
      <c r="E8" t="s">
        <v>3233</v>
      </c>
      <c r="F8" t="s">
        <v>3234</v>
      </c>
      <c r="G8" t="s">
        <v>3235</v>
      </c>
      <c r="H8" t="s">
        <v>3236</v>
      </c>
      <c r="I8" t="s">
        <v>238</v>
      </c>
      <c r="K8" t="s">
        <v>3210</v>
      </c>
      <c r="L8" t="s">
        <v>56</v>
      </c>
      <c r="M8" t="s">
        <v>33</v>
      </c>
    </row>
    <row r="9" spans="1:14" x14ac:dyDescent="0.35">
      <c r="A9" t="s">
        <v>20</v>
      </c>
      <c r="B9">
        <v>17644</v>
      </c>
      <c r="C9" t="s">
        <v>21</v>
      </c>
      <c r="D9" t="s">
        <v>22</v>
      </c>
      <c r="E9" t="s">
        <v>3237</v>
      </c>
      <c r="F9" t="s">
        <v>319</v>
      </c>
      <c r="G9" t="s">
        <v>3238</v>
      </c>
      <c r="H9" t="s">
        <v>3239</v>
      </c>
      <c r="I9" t="s">
        <v>238</v>
      </c>
      <c r="K9" t="s">
        <v>3210</v>
      </c>
      <c r="L9" t="s">
        <v>56</v>
      </c>
      <c r="M9" t="s">
        <v>33</v>
      </c>
    </row>
    <row r="10" spans="1:14" x14ac:dyDescent="0.35">
      <c r="A10" t="s">
        <v>20</v>
      </c>
      <c r="B10">
        <v>17644</v>
      </c>
      <c r="C10" t="s">
        <v>21</v>
      </c>
      <c r="D10" t="s">
        <v>22</v>
      </c>
      <c r="E10" t="s">
        <v>3240</v>
      </c>
      <c r="F10" t="s">
        <v>3241</v>
      </c>
      <c r="G10" t="s">
        <v>3242</v>
      </c>
      <c r="H10" t="s">
        <v>3243</v>
      </c>
      <c r="I10" t="s">
        <v>238</v>
      </c>
      <c r="K10" t="s">
        <v>3244</v>
      </c>
      <c r="L10" t="s">
        <v>56</v>
      </c>
      <c r="M10" t="s">
        <v>33</v>
      </c>
    </row>
    <row r="11" spans="1:14" x14ac:dyDescent="0.35">
      <c r="A11" t="s">
        <v>20</v>
      </c>
      <c r="B11">
        <v>17644</v>
      </c>
      <c r="C11" t="s">
        <v>21</v>
      </c>
      <c r="D11" t="s">
        <v>22</v>
      </c>
      <c r="E11" t="s">
        <v>3245</v>
      </c>
      <c r="F11" t="s">
        <v>3246</v>
      </c>
      <c r="G11" t="s">
        <v>3247</v>
      </c>
      <c r="H11" t="s">
        <v>3248</v>
      </c>
      <c r="I11" t="s">
        <v>238</v>
      </c>
      <c r="K11" t="s">
        <v>3232</v>
      </c>
      <c r="L11" t="s">
        <v>76</v>
      </c>
      <c r="M11" t="s">
        <v>33</v>
      </c>
    </row>
    <row r="12" spans="1:14" x14ac:dyDescent="0.35">
      <c r="A12" t="s">
        <v>20</v>
      </c>
      <c r="B12">
        <v>17644</v>
      </c>
      <c r="C12" t="s">
        <v>21</v>
      </c>
      <c r="D12" t="s">
        <v>22</v>
      </c>
      <c r="E12" t="s">
        <v>3249</v>
      </c>
      <c r="F12" t="s">
        <v>3250</v>
      </c>
      <c r="G12" t="s">
        <v>3251</v>
      </c>
      <c r="H12" t="s">
        <v>3252</v>
      </c>
      <c r="I12" t="s">
        <v>238</v>
      </c>
      <c r="K12" t="s">
        <v>3244</v>
      </c>
      <c r="L12" t="s">
        <v>56</v>
      </c>
      <c r="M12" t="s">
        <v>33</v>
      </c>
    </row>
    <row r="13" spans="1:14" x14ac:dyDescent="0.35">
      <c r="A13" t="s">
        <v>20</v>
      </c>
      <c r="B13">
        <v>17644</v>
      </c>
      <c r="C13" t="s">
        <v>21</v>
      </c>
      <c r="D13" t="s">
        <v>22</v>
      </c>
      <c r="E13" t="s">
        <v>3253</v>
      </c>
      <c r="F13" t="s">
        <v>3254</v>
      </c>
      <c r="G13" t="s">
        <v>3255</v>
      </c>
      <c r="H13" t="s">
        <v>3256</v>
      </c>
      <c r="I13" t="s">
        <v>238</v>
      </c>
      <c r="K13" t="s">
        <v>85</v>
      </c>
      <c r="M13" t="s">
        <v>33</v>
      </c>
    </row>
    <row r="14" spans="1:14" x14ac:dyDescent="0.35">
      <c r="A14" t="s">
        <v>20</v>
      </c>
      <c r="B14">
        <v>17644</v>
      </c>
      <c r="C14" t="s">
        <v>21</v>
      </c>
      <c r="D14" t="s">
        <v>22</v>
      </c>
      <c r="E14" t="s">
        <v>3257</v>
      </c>
      <c r="F14" t="s">
        <v>3258</v>
      </c>
      <c r="G14" t="s">
        <v>3259</v>
      </c>
      <c r="H14" t="s">
        <v>3260</v>
      </c>
      <c r="I14" t="s">
        <v>238</v>
      </c>
      <c r="K14" t="s">
        <v>3244</v>
      </c>
      <c r="L14" t="s">
        <v>56</v>
      </c>
      <c r="M14" t="s">
        <v>33</v>
      </c>
    </row>
    <row r="15" spans="1:14" x14ac:dyDescent="0.35">
      <c r="A15" t="s">
        <v>20</v>
      </c>
      <c r="B15">
        <v>17644</v>
      </c>
      <c r="C15" t="s">
        <v>21</v>
      </c>
      <c r="D15" t="s">
        <v>22</v>
      </c>
      <c r="E15" t="s">
        <v>3261</v>
      </c>
      <c r="F15" t="s">
        <v>3262</v>
      </c>
      <c r="G15" t="s">
        <v>3263</v>
      </c>
      <c r="H15" t="s">
        <v>3264</v>
      </c>
      <c r="I15" t="s">
        <v>238</v>
      </c>
      <c r="K15" t="s">
        <v>3210</v>
      </c>
      <c r="L15" t="s">
        <v>56</v>
      </c>
      <c r="M15" t="s">
        <v>33</v>
      </c>
    </row>
    <row r="16" spans="1:14" x14ac:dyDescent="0.35">
      <c r="A16" t="s">
        <v>20</v>
      </c>
      <c r="B16">
        <v>17644</v>
      </c>
      <c r="C16" t="s">
        <v>21</v>
      </c>
      <c r="D16" t="s">
        <v>22</v>
      </c>
      <c r="E16" t="s">
        <v>3265</v>
      </c>
      <c r="F16" t="s">
        <v>3266</v>
      </c>
      <c r="G16" t="s">
        <v>3267</v>
      </c>
      <c r="H16" t="s">
        <v>3268</v>
      </c>
      <c r="I16" t="s">
        <v>238</v>
      </c>
      <c r="K16" t="s">
        <v>2119</v>
      </c>
      <c r="L16" t="s">
        <v>76</v>
      </c>
      <c r="M16" t="s">
        <v>33</v>
      </c>
    </row>
    <row r="17" spans="1:13" x14ac:dyDescent="0.35">
      <c r="A17" t="s">
        <v>20</v>
      </c>
      <c r="B17">
        <v>17644</v>
      </c>
      <c r="C17" t="s">
        <v>21</v>
      </c>
      <c r="D17" t="s">
        <v>22</v>
      </c>
      <c r="E17" t="s">
        <v>3269</v>
      </c>
      <c r="F17" t="s">
        <v>3270</v>
      </c>
      <c r="G17" t="s">
        <v>3271</v>
      </c>
      <c r="H17" t="s">
        <v>3272</v>
      </c>
      <c r="I17" t="s">
        <v>238</v>
      </c>
      <c r="K17" t="s">
        <v>3244</v>
      </c>
      <c r="L17" t="s">
        <v>76</v>
      </c>
      <c r="M17" t="s">
        <v>33</v>
      </c>
    </row>
    <row r="18" spans="1:13" x14ac:dyDescent="0.35">
      <c r="A18" t="s">
        <v>20</v>
      </c>
      <c r="B18">
        <v>17644</v>
      </c>
      <c r="C18" t="s">
        <v>21</v>
      </c>
      <c r="D18" t="s">
        <v>22</v>
      </c>
      <c r="E18" t="s">
        <v>3273</v>
      </c>
      <c r="F18" t="s">
        <v>3274</v>
      </c>
      <c r="G18" t="s">
        <v>3275</v>
      </c>
      <c r="H18" t="s">
        <v>3276</v>
      </c>
      <c r="I18" t="s">
        <v>238</v>
      </c>
      <c r="K18" t="s">
        <v>3277</v>
      </c>
      <c r="L18" t="s">
        <v>56</v>
      </c>
      <c r="M18" t="s">
        <v>33</v>
      </c>
    </row>
    <row r="19" spans="1:13" x14ac:dyDescent="0.35">
      <c r="A19" t="s">
        <v>20</v>
      </c>
      <c r="B19">
        <v>17644</v>
      </c>
      <c r="C19" t="s">
        <v>21</v>
      </c>
      <c r="D19" t="s">
        <v>22</v>
      </c>
      <c r="E19" t="s">
        <v>3278</v>
      </c>
      <c r="F19" t="s">
        <v>3279</v>
      </c>
      <c r="G19" t="s">
        <v>3280</v>
      </c>
      <c r="H19" t="s">
        <v>3281</v>
      </c>
      <c r="I19" t="s">
        <v>238</v>
      </c>
      <c r="K19" t="s">
        <v>3210</v>
      </c>
      <c r="L19" t="s">
        <v>56</v>
      </c>
      <c r="M19" t="s">
        <v>33</v>
      </c>
    </row>
    <row r="20" spans="1:13" x14ac:dyDescent="0.35">
      <c r="A20" t="s">
        <v>20</v>
      </c>
      <c r="B20">
        <v>17644</v>
      </c>
      <c r="C20" t="s">
        <v>21</v>
      </c>
      <c r="D20" t="s">
        <v>22</v>
      </c>
      <c r="E20" t="s">
        <v>3282</v>
      </c>
      <c r="F20" t="s">
        <v>3283</v>
      </c>
      <c r="G20" t="s">
        <v>3284</v>
      </c>
      <c r="H20" t="s">
        <v>3285</v>
      </c>
      <c r="I20" t="s">
        <v>238</v>
      </c>
      <c r="K20" t="s">
        <v>3076</v>
      </c>
      <c r="L20" t="s">
        <v>32</v>
      </c>
      <c r="M20" t="s">
        <v>33</v>
      </c>
    </row>
    <row r="21" spans="1:13" x14ac:dyDescent="0.35">
      <c r="A21" t="s">
        <v>20</v>
      </c>
      <c r="B21">
        <v>17644</v>
      </c>
      <c r="C21" t="s">
        <v>21</v>
      </c>
      <c r="D21" t="s">
        <v>22</v>
      </c>
      <c r="E21" t="s">
        <v>3286</v>
      </c>
      <c r="F21" t="s">
        <v>3287</v>
      </c>
      <c r="G21" t="s">
        <v>3288</v>
      </c>
      <c r="H21" t="s">
        <v>3289</v>
      </c>
      <c r="I21" t="s">
        <v>238</v>
      </c>
      <c r="K21" t="s">
        <v>85</v>
      </c>
      <c r="L21" t="s">
        <v>76</v>
      </c>
      <c r="M21" t="s">
        <v>33</v>
      </c>
    </row>
    <row r="22" spans="1:13" x14ac:dyDescent="0.35">
      <c r="A22" t="s">
        <v>20</v>
      </c>
      <c r="B22">
        <v>17644</v>
      </c>
      <c r="C22" t="s">
        <v>21</v>
      </c>
      <c r="D22" t="s">
        <v>22</v>
      </c>
      <c r="E22" t="s">
        <v>3290</v>
      </c>
      <c r="F22" t="s">
        <v>3291</v>
      </c>
      <c r="G22" t="s">
        <v>3292</v>
      </c>
      <c r="H22" t="s">
        <v>3293</v>
      </c>
      <c r="I22" t="s">
        <v>238</v>
      </c>
      <c r="K22" t="s">
        <v>85</v>
      </c>
      <c r="L22" t="s">
        <v>76</v>
      </c>
      <c r="M22" t="s">
        <v>33</v>
      </c>
    </row>
    <row r="23" spans="1:13" x14ac:dyDescent="0.35">
      <c r="A23" t="s">
        <v>20</v>
      </c>
      <c r="B23">
        <v>17644</v>
      </c>
      <c r="C23" t="s">
        <v>21</v>
      </c>
      <c r="D23" t="s">
        <v>22</v>
      </c>
      <c r="E23" t="s">
        <v>3294</v>
      </c>
      <c r="F23" t="s">
        <v>3295</v>
      </c>
      <c r="G23" t="s">
        <v>3296</v>
      </c>
      <c r="H23" t="s">
        <v>3297</v>
      </c>
      <c r="I23" t="s">
        <v>238</v>
      </c>
      <c r="K23" t="s">
        <v>3232</v>
      </c>
      <c r="L23" t="s">
        <v>76</v>
      </c>
      <c r="M23" t="s">
        <v>33</v>
      </c>
    </row>
    <row r="24" spans="1:13" x14ac:dyDescent="0.35">
      <c r="A24" t="s">
        <v>20</v>
      </c>
      <c r="B24">
        <v>17644</v>
      </c>
      <c r="C24" t="s">
        <v>21</v>
      </c>
      <c r="D24" t="s">
        <v>22</v>
      </c>
      <c r="E24" t="s">
        <v>3298</v>
      </c>
      <c r="F24" t="s">
        <v>3299</v>
      </c>
      <c r="G24" t="s">
        <v>3300</v>
      </c>
      <c r="H24" t="s">
        <v>3301</v>
      </c>
      <c r="I24" t="s">
        <v>238</v>
      </c>
      <c r="K24" t="s">
        <v>3302</v>
      </c>
      <c r="L24" t="s">
        <v>56</v>
      </c>
      <c r="M24" t="s">
        <v>33</v>
      </c>
    </row>
    <row r="25" spans="1:13" x14ac:dyDescent="0.35">
      <c r="A25" t="s">
        <v>20</v>
      </c>
      <c r="B25">
        <v>17644</v>
      </c>
      <c r="C25" t="s">
        <v>21</v>
      </c>
      <c r="D25" t="s">
        <v>22</v>
      </c>
      <c r="E25" t="s">
        <v>3303</v>
      </c>
      <c r="F25" t="s">
        <v>53</v>
      </c>
      <c r="G25" t="s">
        <v>3304</v>
      </c>
      <c r="H25" t="s">
        <v>3305</v>
      </c>
      <c r="I25" t="s">
        <v>27</v>
      </c>
      <c r="K25" t="s">
        <v>2119</v>
      </c>
      <c r="L25" t="s">
        <v>56</v>
      </c>
      <c r="M25" t="s">
        <v>33</v>
      </c>
    </row>
    <row r="26" spans="1:13" x14ac:dyDescent="0.35">
      <c r="A26" t="s">
        <v>20</v>
      </c>
      <c r="B26">
        <v>17644</v>
      </c>
      <c r="C26" t="s">
        <v>21</v>
      </c>
      <c r="D26" t="s">
        <v>22</v>
      </c>
      <c r="E26" t="s">
        <v>3306</v>
      </c>
      <c r="F26" t="s">
        <v>3307</v>
      </c>
      <c r="G26" t="s">
        <v>3308</v>
      </c>
      <c r="H26" t="s">
        <v>3309</v>
      </c>
      <c r="I26" t="s">
        <v>27</v>
      </c>
      <c r="K26" t="s">
        <v>3210</v>
      </c>
      <c r="L26" t="s">
        <v>56</v>
      </c>
      <c r="M26" t="s">
        <v>33</v>
      </c>
    </row>
    <row r="27" spans="1:13" x14ac:dyDescent="0.35">
      <c r="A27" t="s">
        <v>20</v>
      </c>
      <c r="B27">
        <v>17644</v>
      </c>
      <c r="C27" t="s">
        <v>21</v>
      </c>
      <c r="D27" t="s">
        <v>22</v>
      </c>
      <c r="E27" t="s">
        <v>3310</v>
      </c>
      <c r="F27" t="s">
        <v>3311</v>
      </c>
      <c r="G27" t="s">
        <v>3312</v>
      </c>
      <c r="H27" t="s">
        <v>3313</v>
      </c>
      <c r="I27" t="s">
        <v>27</v>
      </c>
      <c r="K27" t="s">
        <v>3060</v>
      </c>
      <c r="L27" t="s">
        <v>32</v>
      </c>
      <c r="M27" t="s">
        <v>33</v>
      </c>
    </row>
    <row r="28" spans="1:13" x14ac:dyDescent="0.35">
      <c r="A28" t="s">
        <v>20</v>
      </c>
      <c r="B28">
        <v>17644</v>
      </c>
      <c r="C28" t="s">
        <v>21</v>
      </c>
      <c r="D28" t="s">
        <v>22</v>
      </c>
      <c r="E28" t="s">
        <v>3314</v>
      </c>
      <c r="F28" t="s">
        <v>3315</v>
      </c>
      <c r="G28" t="s">
        <v>3316</v>
      </c>
      <c r="H28" t="s">
        <v>3317</v>
      </c>
      <c r="I28" t="s">
        <v>27</v>
      </c>
      <c r="K28" t="s">
        <v>3076</v>
      </c>
      <c r="L28" t="s">
        <v>56</v>
      </c>
      <c r="M28" t="s">
        <v>33</v>
      </c>
    </row>
    <row r="29" spans="1:13" x14ac:dyDescent="0.35">
      <c r="A29" t="s">
        <v>20</v>
      </c>
      <c r="B29">
        <v>17644</v>
      </c>
      <c r="C29" t="s">
        <v>21</v>
      </c>
      <c r="D29" t="s">
        <v>22</v>
      </c>
      <c r="E29" t="s">
        <v>3318</v>
      </c>
      <c r="F29" t="s">
        <v>3319</v>
      </c>
      <c r="G29" t="s">
        <v>3320</v>
      </c>
      <c r="H29" t="s">
        <v>3321</v>
      </c>
      <c r="I29" t="s">
        <v>27</v>
      </c>
      <c r="K29" t="s">
        <v>2119</v>
      </c>
      <c r="L29" t="s">
        <v>76</v>
      </c>
      <c r="M29" t="s">
        <v>33</v>
      </c>
    </row>
    <row r="30" spans="1:13" x14ac:dyDescent="0.35">
      <c r="A30" t="s">
        <v>20</v>
      </c>
      <c r="B30">
        <v>17644</v>
      </c>
      <c r="C30" t="s">
        <v>21</v>
      </c>
      <c r="D30" t="s">
        <v>22</v>
      </c>
      <c r="E30" t="s">
        <v>3322</v>
      </c>
      <c r="F30" t="s">
        <v>3323</v>
      </c>
      <c r="G30" t="s">
        <v>3324</v>
      </c>
      <c r="H30" t="s">
        <v>3325</v>
      </c>
      <c r="I30" t="s">
        <v>27</v>
      </c>
      <c r="K30" t="s">
        <v>3326</v>
      </c>
      <c r="L30" t="s">
        <v>32</v>
      </c>
      <c r="M30" t="s">
        <v>33</v>
      </c>
    </row>
    <row r="31" spans="1:13" x14ac:dyDescent="0.35">
      <c r="A31" t="s">
        <v>20</v>
      </c>
      <c r="B31">
        <v>17644</v>
      </c>
      <c r="C31" t="s">
        <v>21</v>
      </c>
      <c r="D31" t="s">
        <v>22</v>
      </c>
      <c r="E31" t="s">
        <v>3327</v>
      </c>
      <c r="F31" t="s">
        <v>3328</v>
      </c>
      <c r="G31" t="s">
        <v>3329</v>
      </c>
      <c r="H31" t="s">
        <v>3330</v>
      </c>
      <c r="I31" t="s">
        <v>27</v>
      </c>
      <c r="K31" t="s">
        <v>3210</v>
      </c>
      <c r="L31" t="s">
        <v>32</v>
      </c>
      <c r="M31" t="s">
        <v>33</v>
      </c>
    </row>
    <row r="32" spans="1:13" x14ac:dyDescent="0.35">
      <c r="A32" t="s">
        <v>20</v>
      </c>
      <c r="B32">
        <v>17644</v>
      </c>
      <c r="C32" t="s">
        <v>21</v>
      </c>
      <c r="D32" t="s">
        <v>22</v>
      </c>
      <c r="E32" t="s">
        <v>3331</v>
      </c>
      <c r="F32" t="s">
        <v>3332</v>
      </c>
      <c r="G32" t="s">
        <v>3333</v>
      </c>
      <c r="H32" t="s">
        <v>3334</v>
      </c>
      <c r="I32" t="s">
        <v>27</v>
      </c>
      <c r="K32" t="s">
        <v>3210</v>
      </c>
      <c r="L32" t="s">
        <v>56</v>
      </c>
      <c r="M32" t="s">
        <v>33</v>
      </c>
    </row>
    <row r="33" spans="1:14" x14ac:dyDescent="0.35">
      <c r="A33" t="s">
        <v>20</v>
      </c>
      <c r="B33">
        <v>17644</v>
      </c>
      <c r="C33" t="s">
        <v>21</v>
      </c>
      <c r="D33" t="s">
        <v>22</v>
      </c>
      <c r="E33" t="s">
        <v>3335</v>
      </c>
      <c r="F33" t="s">
        <v>3336</v>
      </c>
      <c r="G33" t="s">
        <v>3337</v>
      </c>
      <c r="H33" t="s">
        <v>3338</v>
      </c>
      <c r="I33" t="s">
        <v>27</v>
      </c>
      <c r="K33" t="s">
        <v>3060</v>
      </c>
      <c r="L33" t="s">
        <v>56</v>
      </c>
      <c r="M33" t="s">
        <v>33</v>
      </c>
    </row>
    <row r="34" spans="1:14" x14ac:dyDescent="0.35">
      <c r="A34" t="s">
        <v>20</v>
      </c>
      <c r="B34">
        <v>17644</v>
      </c>
      <c r="C34" t="s">
        <v>21</v>
      </c>
      <c r="D34" t="s">
        <v>22</v>
      </c>
      <c r="E34" t="s">
        <v>3339</v>
      </c>
      <c r="F34" t="s">
        <v>3340</v>
      </c>
      <c r="G34" t="s">
        <v>3341</v>
      </c>
      <c r="H34" t="s">
        <v>3342</v>
      </c>
      <c r="I34" t="s">
        <v>27</v>
      </c>
      <c r="K34" t="s">
        <v>3210</v>
      </c>
      <c r="L34" t="s">
        <v>56</v>
      </c>
      <c r="M34" t="s">
        <v>33</v>
      </c>
    </row>
    <row r="35" spans="1:14" x14ac:dyDescent="0.35">
      <c r="A35" t="s">
        <v>20</v>
      </c>
      <c r="B35">
        <v>17644</v>
      </c>
      <c r="C35" t="s">
        <v>21</v>
      </c>
      <c r="D35" t="s">
        <v>22</v>
      </c>
      <c r="E35" t="s">
        <v>3343</v>
      </c>
      <c r="F35" t="s">
        <v>3344</v>
      </c>
      <c r="G35" t="s">
        <v>3345</v>
      </c>
      <c r="H35" t="s">
        <v>3346</v>
      </c>
      <c r="I35" t="s">
        <v>27</v>
      </c>
      <c r="K35" t="s">
        <v>2119</v>
      </c>
      <c r="L35" t="s">
        <v>32</v>
      </c>
      <c r="M35" t="s">
        <v>33</v>
      </c>
    </row>
    <row r="36" spans="1:14" x14ac:dyDescent="0.35">
      <c r="A36" t="s">
        <v>20</v>
      </c>
      <c r="B36">
        <v>17644</v>
      </c>
      <c r="C36" t="s">
        <v>21</v>
      </c>
      <c r="D36" t="s">
        <v>22</v>
      </c>
      <c r="E36" t="s">
        <v>3347</v>
      </c>
      <c r="F36" t="s">
        <v>3348</v>
      </c>
      <c r="G36" t="s">
        <v>3349</v>
      </c>
      <c r="H36" t="s">
        <v>3350</v>
      </c>
      <c r="I36" t="s">
        <v>27</v>
      </c>
      <c r="K36" t="s">
        <v>3326</v>
      </c>
      <c r="L36" t="s">
        <v>32</v>
      </c>
      <c r="M36" t="s">
        <v>33</v>
      </c>
    </row>
    <row r="37" spans="1:14" x14ac:dyDescent="0.35">
      <c r="A37" t="s">
        <v>20</v>
      </c>
      <c r="B37">
        <v>17644</v>
      </c>
      <c r="C37" t="s">
        <v>21</v>
      </c>
      <c r="D37" t="s">
        <v>22</v>
      </c>
      <c r="E37" t="s">
        <v>3351</v>
      </c>
      <c r="F37" t="s">
        <v>3352</v>
      </c>
      <c r="G37" t="s">
        <v>3353</v>
      </c>
      <c r="H37" t="s">
        <v>3354</v>
      </c>
      <c r="I37" t="s">
        <v>27</v>
      </c>
      <c r="K37" t="s">
        <v>3244</v>
      </c>
      <c r="L37" t="s">
        <v>56</v>
      </c>
      <c r="M37" t="s">
        <v>33</v>
      </c>
    </row>
    <row r="38" spans="1:14" x14ac:dyDescent="0.35">
      <c r="A38" t="s">
        <v>20</v>
      </c>
      <c r="B38">
        <v>17644</v>
      </c>
      <c r="C38" t="s">
        <v>21</v>
      </c>
      <c r="D38" t="s">
        <v>22</v>
      </c>
      <c r="E38" t="s">
        <v>3355</v>
      </c>
      <c r="F38" t="s">
        <v>3356</v>
      </c>
      <c r="G38" t="s">
        <v>3357</v>
      </c>
      <c r="H38" t="s">
        <v>3358</v>
      </c>
      <c r="I38" t="s">
        <v>27</v>
      </c>
      <c r="K38" t="s">
        <v>3359</v>
      </c>
      <c r="L38" t="s">
        <v>56</v>
      </c>
      <c r="M38" t="s">
        <v>33</v>
      </c>
    </row>
    <row r="39" spans="1:14" x14ac:dyDescent="0.35">
      <c r="A39" t="s">
        <v>20</v>
      </c>
      <c r="B39">
        <v>17644</v>
      </c>
      <c r="C39" t="s">
        <v>21</v>
      </c>
      <c r="D39" t="s">
        <v>22</v>
      </c>
      <c r="E39" t="s">
        <v>3360</v>
      </c>
      <c r="F39" t="s">
        <v>3361</v>
      </c>
      <c r="G39" t="s">
        <v>3362</v>
      </c>
      <c r="H39" t="s">
        <v>3363</v>
      </c>
      <c r="I39" t="s">
        <v>27</v>
      </c>
      <c r="K39" t="s">
        <v>3359</v>
      </c>
      <c r="L39" t="s">
        <v>76</v>
      </c>
      <c r="M39" t="s">
        <v>33</v>
      </c>
    </row>
    <row r="40" spans="1:14" x14ac:dyDescent="0.35">
      <c r="A40" t="s">
        <v>20</v>
      </c>
      <c r="B40">
        <v>17644</v>
      </c>
      <c r="C40" t="s">
        <v>21</v>
      </c>
      <c r="D40" t="s">
        <v>22</v>
      </c>
      <c r="E40" t="s">
        <v>3364</v>
      </c>
      <c r="F40" t="s">
        <v>3365</v>
      </c>
      <c r="G40" t="s">
        <v>3366</v>
      </c>
      <c r="H40" t="s">
        <v>3367</v>
      </c>
      <c r="I40" t="s">
        <v>27</v>
      </c>
      <c r="K40" t="s">
        <v>3210</v>
      </c>
      <c r="L40" t="s">
        <v>56</v>
      </c>
      <c r="M40" t="s">
        <v>33</v>
      </c>
    </row>
    <row r="41" spans="1:14" x14ac:dyDescent="0.35">
      <c r="A41" t="s">
        <v>20</v>
      </c>
      <c r="B41">
        <v>17644</v>
      </c>
      <c r="C41" t="s">
        <v>21</v>
      </c>
      <c r="D41" t="s">
        <v>22</v>
      </c>
      <c r="E41" t="s">
        <v>3368</v>
      </c>
      <c r="F41" t="s">
        <v>3369</v>
      </c>
      <c r="G41" t="s">
        <v>3370</v>
      </c>
      <c r="H41" t="s">
        <v>3371</v>
      </c>
      <c r="I41" t="s">
        <v>27</v>
      </c>
      <c r="K41" t="s">
        <v>2119</v>
      </c>
      <c r="L41" t="s">
        <v>32</v>
      </c>
      <c r="M41" t="s">
        <v>33</v>
      </c>
    </row>
    <row r="42" spans="1:14" x14ac:dyDescent="0.35">
      <c r="A42" t="s">
        <v>20</v>
      </c>
      <c r="B42">
        <v>17643</v>
      </c>
      <c r="C42" t="s">
        <v>426</v>
      </c>
      <c r="D42" t="s">
        <v>427</v>
      </c>
      <c r="E42" t="s">
        <v>3303</v>
      </c>
      <c r="F42" t="s">
        <v>3372</v>
      </c>
      <c r="G42" t="s">
        <v>3373</v>
      </c>
      <c r="H42" t="s">
        <v>3374</v>
      </c>
      <c r="I42" t="s">
        <v>557</v>
      </c>
      <c r="K42" t="s">
        <v>3210</v>
      </c>
      <c r="L42" t="s">
        <v>32</v>
      </c>
      <c r="M42" t="s">
        <v>33</v>
      </c>
      <c r="N42" t="s">
        <v>432</v>
      </c>
    </row>
    <row r="43" spans="1:14" x14ac:dyDescent="0.35">
      <c r="A43" t="s">
        <v>20</v>
      </c>
      <c r="B43">
        <v>17643</v>
      </c>
      <c r="C43" t="s">
        <v>426</v>
      </c>
      <c r="D43" t="s">
        <v>427</v>
      </c>
      <c r="E43" t="s">
        <v>3306</v>
      </c>
      <c r="F43" t="s">
        <v>3375</v>
      </c>
      <c r="G43" t="s">
        <v>3376</v>
      </c>
      <c r="H43" t="s">
        <v>3377</v>
      </c>
      <c r="I43" t="s">
        <v>557</v>
      </c>
      <c r="K43" t="s">
        <v>3326</v>
      </c>
      <c r="L43" t="s">
        <v>56</v>
      </c>
      <c r="M43" t="s">
        <v>33</v>
      </c>
      <c r="N43" t="s">
        <v>432</v>
      </c>
    </row>
    <row r="44" spans="1:14" x14ac:dyDescent="0.35">
      <c r="A44" t="s">
        <v>20</v>
      </c>
      <c r="B44">
        <v>17643</v>
      </c>
      <c r="C44" t="s">
        <v>426</v>
      </c>
      <c r="D44" t="s">
        <v>427</v>
      </c>
      <c r="E44" t="s">
        <v>3310</v>
      </c>
      <c r="F44" t="s">
        <v>3378</v>
      </c>
      <c r="G44" t="s">
        <v>3379</v>
      </c>
      <c r="H44" t="s">
        <v>3380</v>
      </c>
      <c r="I44" t="s">
        <v>557</v>
      </c>
      <c r="K44" t="s">
        <v>3244</v>
      </c>
      <c r="L44" t="s">
        <v>32</v>
      </c>
      <c r="M44" t="s">
        <v>33</v>
      </c>
      <c r="N44" t="s">
        <v>432</v>
      </c>
    </row>
    <row r="45" spans="1:14" x14ac:dyDescent="0.35">
      <c r="A45" t="s">
        <v>20</v>
      </c>
      <c r="B45">
        <v>17643</v>
      </c>
      <c r="C45" t="s">
        <v>426</v>
      </c>
      <c r="D45" t="s">
        <v>427</v>
      </c>
      <c r="E45" t="s">
        <v>3314</v>
      </c>
      <c r="F45" t="s">
        <v>3381</v>
      </c>
      <c r="G45" t="s">
        <v>3382</v>
      </c>
      <c r="H45" t="s">
        <v>3383</v>
      </c>
      <c r="I45" t="s">
        <v>557</v>
      </c>
      <c r="K45" t="s">
        <v>3210</v>
      </c>
      <c r="L45" t="s">
        <v>56</v>
      </c>
      <c r="M45" t="s">
        <v>33</v>
      </c>
      <c r="N45" t="s">
        <v>432</v>
      </c>
    </row>
    <row r="46" spans="1:14" x14ac:dyDescent="0.35">
      <c r="A46" t="s">
        <v>20</v>
      </c>
      <c r="B46">
        <v>17643</v>
      </c>
      <c r="C46" t="s">
        <v>426</v>
      </c>
      <c r="D46" t="s">
        <v>427</v>
      </c>
      <c r="E46" t="s">
        <v>3318</v>
      </c>
      <c r="F46" t="s">
        <v>3384</v>
      </c>
      <c r="G46" t="s">
        <v>3385</v>
      </c>
      <c r="H46" t="s">
        <v>3386</v>
      </c>
      <c r="I46" t="s">
        <v>557</v>
      </c>
      <c r="K46" t="s">
        <v>3210</v>
      </c>
      <c r="L46" t="s">
        <v>32</v>
      </c>
      <c r="M46" t="s">
        <v>33</v>
      </c>
      <c r="N46" t="s">
        <v>432</v>
      </c>
    </row>
    <row r="47" spans="1:14" x14ac:dyDescent="0.35">
      <c r="A47" t="s">
        <v>20</v>
      </c>
      <c r="B47">
        <v>17643</v>
      </c>
      <c r="C47" t="s">
        <v>426</v>
      </c>
      <c r="D47" t="s">
        <v>427</v>
      </c>
      <c r="E47" t="s">
        <v>3327</v>
      </c>
      <c r="F47" t="s">
        <v>3387</v>
      </c>
      <c r="G47" t="s">
        <v>3388</v>
      </c>
      <c r="H47" t="s">
        <v>3389</v>
      </c>
      <c r="I47" t="s">
        <v>557</v>
      </c>
      <c r="K47" t="s">
        <v>3210</v>
      </c>
      <c r="L47" t="s">
        <v>32</v>
      </c>
      <c r="M47" t="s">
        <v>33</v>
      </c>
      <c r="N47" t="s">
        <v>432</v>
      </c>
    </row>
    <row r="48" spans="1:14" x14ac:dyDescent="0.35">
      <c r="A48" t="s">
        <v>20</v>
      </c>
      <c r="B48">
        <v>17643</v>
      </c>
      <c r="C48" t="s">
        <v>426</v>
      </c>
      <c r="D48" t="s">
        <v>427</v>
      </c>
      <c r="E48" t="s">
        <v>3322</v>
      </c>
      <c r="F48" t="s">
        <v>3390</v>
      </c>
      <c r="G48" t="s">
        <v>3391</v>
      </c>
      <c r="H48" t="s">
        <v>3392</v>
      </c>
      <c r="I48" t="s">
        <v>557</v>
      </c>
      <c r="K48" t="s">
        <v>3210</v>
      </c>
      <c r="L48" t="s">
        <v>32</v>
      </c>
      <c r="M48" t="s">
        <v>33</v>
      </c>
      <c r="N48" t="s">
        <v>432</v>
      </c>
    </row>
    <row r="49" spans="1:14" x14ac:dyDescent="0.35">
      <c r="A49" t="s">
        <v>20</v>
      </c>
      <c r="B49">
        <v>17643</v>
      </c>
      <c r="C49" t="s">
        <v>426</v>
      </c>
      <c r="D49" t="s">
        <v>427</v>
      </c>
      <c r="E49" t="s">
        <v>3331</v>
      </c>
      <c r="F49" t="s">
        <v>3393</v>
      </c>
      <c r="G49" t="s">
        <v>3394</v>
      </c>
      <c r="H49" t="s">
        <v>3395</v>
      </c>
      <c r="I49" t="s">
        <v>557</v>
      </c>
      <c r="K49" t="s">
        <v>3359</v>
      </c>
      <c r="L49" t="s">
        <v>32</v>
      </c>
      <c r="M49" t="s">
        <v>33</v>
      </c>
      <c r="N49" t="s">
        <v>432</v>
      </c>
    </row>
    <row r="50" spans="1:14" x14ac:dyDescent="0.35">
      <c r="A50" t="s">
        <v>20</v>
      </c>
      <c r="B50">
        <v>17643</v>
      </c>
      <c r="C50" t="s">
        <v>426</v>
      </c>
      <c r="D50" t="s">
        <v>427</v>
      </c>
      <c r="E50" t="s">
        <v>3335</v>
      </c>
      <c r="F50" t="s">
        <v>3396</v>
      </c>
      <c r="G50" t="s">
        <v>3397</v>
      </c>
      <c r="H50" t="s">
        <v>3398</v>
      </c>
      <c r="I50" t="s">
        <v>557</v>
      </c>
      <c r="K50" t="s">
        <v>2119</v>
      </c>
      <c r="L50" t="s">
        <v>76</v>
      </c>
      <c r="M50" t="s">
        <v>33</v>
      </c>
      <c r="N50" t="s">
        <v>432</v>
      </c>
    </row>
    <row r="51" spans="1:14" x14ac:dyDescent="0.35">
      <c r="A51" t="s">
        <v>20</v>
      </c>
      <c r="B51">
        <v>17643</v>
      </c>
      <c r="C51" t="s">
        <v>426</v>
      </c>
      <c r="D51" t="s">
        <v>427</v>
      </c>
      <c r="E51" t="s">
        <v>3339</v>
      </c>
      <c r="F51" t="s">
        <v>3399</v>
      </c>
      <c r="G51" t="s">
        <v>3400</v>
      </c>
      <c r="H51" t="s">
        <v>3401</v>
      </c>
      <c r="I51" t="s">
        <v>557</v>
      </c>
      <c r="J51" t="s">
        <v>1568</v>
      </c>
      <c r="K51" t="s">
        <v>3302</v>
      </c>
      <c r="L51" t="s">
        <v>76</v>
      </c>
      <c r="M51" t="s">
        <v>33</v>
      </c>
      <c r="N51" t="s">
        <v>432</v>
      </c>
    </row>
    <row r="52" spans="1:14" x14ac:dyDescent="0.35">
      <c r="A52" t="s">
        <v>20</v>
      </c>
      <c r="B52">
        <v>17643</v>
      </c>
      <c r="C52" t="s">
        <v>426</v>
      </c>
      <c r="D52" t="s">
        <v>427</v>
      </c>
      <c r="E52" t="s">
        <v>3343</v>
      </c>
      <c r="F52" t="s">
        <v>3402</v>
      </c>
      <c r="G52" t="s">
        <v>3403</v>
      </c>
      <c r="H52" t="s">
        <v>3404</v>
      </c>
      <c r="I52" t="s">
        <v>557</v>
      </c>
      <c r="K52" t="s">
        <v>3232</v>
      </c>
      <c r="L52" t="s">
        <v>32</v>
      </c>
      <c r="M52" t="s">
        <v>33</v>
      </c>
      <c r="N52" t="s">
        <v>432</v>
      </c>
    </row>
    <row r="53" spans="1:14" x14ac:dyDescent="0.35">
      <c r="A53" t="s">
        <v>20</v>
      </c>
      <c r="B53">
        <v>17643</v>
      </c>
      <c r="C53" t="s">
        <v>426</v>
      </c>
      <c r="D53" t="s">
        <v>427</v>
      </c>
      <c r="E53" t="s">
        <v>3347</v>
      </c>
      <c r="F53" t="s">
        <v>3405</v>
      </c>
      <c r="G53" t="s">
        <v>3406</v>
      </c>
      <c r="H53" t="s">
        <v>3407</v>
      </c>
      <c r="I53" t="s">
        <v>557</v>
      </c>
      <c r="K53" t="s">
        <v>3210</v>
      </c>
      <c r="L53" t="s">
        <v>56</v>
      </c>
      <c r="M53" t="s">
        <v>33</v>
      </c>
      <c r="N53" t="s">
        <v>432</v>
      </c>
    </row>
    <row r="54" spans="1:14" x14ac:dyDescent="0.35">
      <c r="A54" t="s">
        <v>20</v>
      </c>
      <c r="B54">
        <v>17643</v>
      </c>
      <c r="C54" t="s">
        <v>426</v>
      </c>
      <c r="D54" t="s">
        <v>427</v>
      </c>
      <c r="E54" t="s">
        <v>3351</v>
      </c>
      <c r="F54" t="s">
        <v>3408</v>
      </c>
      <c r="G54" t="s">
        <v>3409</v>
      </c>
      <c r="H54" t="s">
        <v>3410</v>
      </c>
      <c r="I54" t="s">
        <v>557</v>
      </c>
      <c r="K54" t="s">
        <v>2119</v>
      </c>
      <c r="L54" t="s">
        <v>32</v>
      </c>
      <c r="M54" t="s">
        <v>33</v>
      </c>
      <c r="N54" t="s">
        <v>432</v>
      </c>
    </row>
    <row r="55" spans="1:14" x14ac:dyDescent="0.35">
      <c r="A55" t="s">
        <v>20</v>
      </c>
      <c r="B55">
        <v>17643</v>
      </c>
      <c r="C55" t="s">
        <v>426</v>
      </c>
      <c r="D55" t="s">
        <v>427</v>
      </c>
      <c r="E55" t="s">
        <v>3355</v>
      </c>
      <c r="F55" t="s">
        <v>3411</v>
      </c>
      <c r="G55" t="s">
        <v>3412</v>
      </c>
      <c r="H55" t="s">
        <v>3413</v>
      </c>
      <c r="I55" t="s">
        <v>557</v>
      </c>
      <c r="K55" t="s">
        <v>2119</v>
      </c>
      <c r="L55" t="s">
        <v>76</v>
      </c>
      <c r="M55" t="s">
        <v>33</v>
      </c>
      <c r="N55" t="s">
        <v>432</v>
      </c>
    </row>
    <row r="56" spans="1:14" x14ac:dyDescent="0.35">
      <c r="A56" t="s">
        <v>20</v>
      </c>
      <c r="B56">
        <v>17643</v>
      </c>
      <c r="C56" t="s">
        <v>426</v>
      </c>
      <c r="D56" t="s">
        <v>427</v>
      </c>
      <c r="E56" t="s">
        <v>3206</v>
      </c>
      <c r="F56" t="s">
        <v>3414</v>
      </c>
      <c r="G56" t="s">
        <v>3415</v>
      </c>
      <c r="H56" t="s">
        <v>3416</v>
      </c>
      <c r="I56" t="s">
        <v>431</v>
      </c>
      <c r="K56" t="s">
        <v>3210</v>
      </c>
      <c r="L56" t="s">
        <v>76</v>
      </c>
      <c r="M56" t="s">
        <v>33</v>
      </c>
      <c r="N56" t="s">
        <v>432</v>
      </c>
    </row>
    <row r="57" spans="1:14" x14ac:dyDescent="0.35">
      <c r="A57" t="s">
        <v>20</v>
      </c>
      <c r="B57">
        <v>17643</v>
      </c>
      <c r="C57" t="s">
        <v>426</v>
      </c>
      <c r="D57" t="s">
        <v>427</v>
      </c>
      <c r="E57" t="s">
        <v>3211</v>
      </c>
      <c r="F57" t="s">
        <v>3417</v>
      </c>
      <c r="G57" t="s">
        <v>3418</v>
      </c>
      <c r="H57" t="s">
        <v>3419</v>
      </c>
      <c r="I57" t="s">
        <v>431</v>
      </c>
      <c r="K57" t="s">
        <v>3210</v>
      </c>
      <c r="L57" t="s">
        <v>56</v>
      </c>
      <c r="M57" t="s">
        <v>33</v>
      </c>
      <c r="N57" t="s">
        <v>432</v>
      </c>
    </row>
    <row r="58" spans="1:14" x14ac:dyDescent="0.35">
      <c r="A58" t="s">
        <v>20</v>
      </c>
      <c r="B58">
        <v>17643</v>
      </c>
      <c r="C58" t="s">
        <v>426</v>
      </c>
      <c r="D58" t="s">
        <v>427</v>
      </c>
      <c r="E58" t="s">
        <v>3215</v>
      </c>
      <c r="F58" t="s">
        <v>3420</v>
      </c>
      <c r="G58" t="s">
        <v>3421</v>
      </c>
      <c r="H58" t="s">
        <v>3422</v>
      </c>
      <c r="I58" t="s">
        <v>431</v>
      </c>
      <c r="K58" t="s">
        <v>3244</v>
      </c>
      <c r="L58" t="s">
        <v>56</v>
      </c>
      <c r="M58" t="s">
        <v>33</v>
      </c>
      <c r="N58" t="s">
        <v>432</v>
      </c>
    </row>
    <row r="59" spans="1:14" x14ac:dyDescent="0.35">
      <c r="A59" t="s">
        <v>20</v>
      </c>
      <c r="B59">
        <v>17643</v>
      </c>
      <c r="C59" t="s">
        <v>426</v>
      </c>
      <c r="D59" t="s">
        <v>427</v>
      </c>
      <c r="E59" t="s">
        <v>3219</v>
      </c>
      <c r="F59" t="s">
        <v>3423</v>
      </c>
      <c r="G59" t="s">
        <v>3424</v>
      </c>
      <c r="H59" t="s">
        <v>3425</v>
      </c>
      <c r="I59" t="s">
        <v>431</v>
      </c>
      <c r="K59" t="s">
        <v>3210</v>
      </c>
      <c r="L59" t="s">
        <v>76</v>
      </c>
      <c r="M59" t="s">
        <v>33</v>
      </c>
      <c r="N59" t="s">
        <v>432</v>
      </c>
    </row>
    <row r="60" spans="1:14" x14ac:dyDescent="0.35">
      <c r="A60" t="s">
        <v>20</v>
      </c>
      <c r="B60">
        <v>17643</v>
      </c>
      <c r="C60" t="s">
        <v>426</v>
      </c>
      <c r="D60" t="s">
        <v>427</v>
      </c>
      <c r="E60" t="s">
        <v>3224</v>
      </c>
      <c r="F60" t="s">
        <v>3426</v>
      </c>
      <c r="G60" t="s">
        <v>3427</v>
      </c>
      <c r="H60" t="s">
        <v>3428</v>
      </c>
      <c r="I60" t="s">
        <v>431</v>
      </c>
      <c r="K60" t="s">
        <v>2119</v>
      </c>
      <c r="L60" t="s">
        <v>76</v>
      </c>
      <c r="M60" t="s">
        <v>33</v>
      </c>
      <c r="N60" t="s">
        <v>432</v>
      </c>
    </row>
    <row r="61" spans="1:14" x14ac:dyDescent="0.35">
      <c r="A61" t="s">
        <v>20</v>
      </c>
      <c r="B61">
        <v>17643</v>
      </c>
      <c r="C61" t="s">
        <v>426</v>
      </c>
      <c r="D61" t="s">
        <v>427</v>
      </c>
      <c r="E61" t="s">
        <v>3228</v>
      </c>
      <c r="F61" t="s">
        <v>3429</v>
      </c>
      <c r="G61" t="s">
        <v>3430</v>
      </c>
      <c r="H61" t="s">
        <v>3431</v>
      </c>
      <c r="I61" t="s">
        <v>431</v>
      </c>
      <c r="K61" t="s">
        <v>3210</v>
      </c>
      <c r="L61" t="s">
        <v>56</v>
      </c>
      <c r="M61" t="s">
        <v>33</v>
      </c>
      <c r="N61" t="s">
        <v>432</v>
      </c>
    </row>
    <row r="62" spans="1:14" x14ac:dyDescent="0.35">
      <c r="A62" t="s">
        <v>20</v>
      </c>
      <c r="B62">
        <v>17643</v>
      </c>
      <c r="C62" t="s">
        <v>426</v>
      </c>
      <c r="D62" t="s">
        <v>427</v>
      </c>
      <c r="E62" t="s">
        <v>3233</v>
      </c>
      <c r="F62" t="s">
        <v>3432</v>
      </c>
      <c r="G62" t="s">
        <v>3433</v>
      </c>
      <c r="H62" t="s">
        <v>3434</v>
      </c>
      <c r="I62" t="s">
        <v>431</v>
      </c>
      <c r="K62" t="s">
        <v>3244</v>
      </c>
      <c r="L62" t="s">
        <v>56</v>
      </c>
      <c r="M62" t="s">
        <v>33</v>
      </c>
      <c r="N62" t="s">
        <v>432</v>
      </c>
    </row>
    <row r="63" spans="1:14" x14ac:dyDescent="0.35">
      <c r="A63" t="s">
        <v>20</v>
      </c>
      <c r="B63">
        <v>17643</v>
      </c>
      <c r="C63" t="s">
        <v>426</v>
      </c>
      <c r="D63" t="s">
        <v>427</v>
      </c>
      <c r="E63" t="s">
        <v>3237</v>
      </c>
      <c r="F63" t="s">
        <v>3435</v>
      </c>
      <c r="G63" t="s">
        <v>3436</v>
      </c>
      <c r="H63" t="s">
        <v>3437</v>
      </c>
      <c r="I63" t="s">
        <v>431</v>
      </c>
      <c r="K63" t="s">
        <v>2119</v>
      </c>
      <c r="L63" t="s">
        <v>32</v>
      </c>
      <c r="M63" t="s">
        <v>33</v>
      </c>
      <c r="N63" t="s">
        <v>432</v>
      </c>
    </row>
    <row r="64" spans="1:14" x14ac:dyDescent="0.35">
      <c r="A64" t="s">
        <v>20</v>
      </c>
      <c r="B64">
        <v>17643</v>
      </c>
      <c r="C64" t="s">
        <v>426</v>
      </c>
      <c r="D64" t="s">
        <v>427</v>
      </c>
      <c r="E64" t="s">
        <v>3240</v>
      </c>
      <c r="F64" t="s">
        <v>3438</v>
      </c>
      <c r="G64" t="s">
        <v>3439</v>
      </c>
      <c r="H64" t="s">
        <v>3440</v>
      </c>
      <c r="I64" t="s">
        <v>431</v>
      </c>
      <c r="K64" t="s">
        <v>3076</v>
      </c>
      <c r="L64" t="s">
        <v>56</v>
      </c>
      <c r="M64" t="s">
        <v>33</v>
      </c>
      <c r="N64" t="s">
        <v>432</v>
      </c>
    </row>
    <row r="65" spans="1:14" x14ac:dyDescent="0.35">
      <c r="A65" t="s">
        <v>20</v>
      </c>
      <c r="B65">
        <v>17643</v>
      </c>
      <c r="C65" t="s">
        <v>426</v>
      </c>
      <c r="D65" t="s">
        <v>427</v>
      </c>
      <c r="E65" t="s">
        <v>3245</v>
      </c>
      <c r="F65" t="s">
        <v>3441</v>
      </c>
      <c r="G65" t="s">
        <v>3442</v>
      </c>
      <c r="H65" t="s">
        <v>3443</v>
      </c>
      <c r="I65" t="s">
        <v>431</v>
      </c>
      <c r="K65" t="s">
        <v>2119</v>
      </c>
      <c r="L65" t="s">
        <v>76</v>
      </c>
      <c r="M65" t="s">
        <v>33</v>
      </c>
      <c r="N65" t="s">
        <v>432</v>
      </c>
    </row>
    <row r="66" spans="1:14" x14ac:dyDescent="0.35">
      <c r="A66" t="s">
        <v>20</v>
      </c>
      <c r="B66">
        <v>17643</v>
      </c>
      <c r="C66" t="s">
        <v>426</v>
      </c>
      <c r="D66" t="s">
        <v>427</v>
      </c>
      <c r="E66" t="s">
        <v>3249</v>
      </c>
      <c r="F66" t="s">
        <v>3444</v>
      </c>
      <c r="G66" t="s">
        <v>3445</v>
      </c>
      <c r="H66" t="s">
        <v>3446</v>
      </c>
      <c r="I66" t="s">
        <v>431</v>
      </c>
      <c r="K66" t="s">
        <v>2119</v>
      </c>
      <c r="L66" t="s">
        <v>76</v>
      </c>
      <c r="M66" t="s">
        <v>33</v>
      </c>
      <c r="N66" t="s">
        <v>432</v>
      </c>
    </row>
    <row r="67" spans="1:14" x14ac:dyDescent="0.35">
      <c r="A67" t="s">
        <v>20</v>
      </c>
      <c r="B67">
        <v>17643</v>
      </c>
      <c r="C67" t="s">
        <v>426</v>
      </c>
      <c r="D67" t="s">
        <v>427</v>
      </c>
      <c r="E67" t="s">
        <v>3253</v>
      </c>
      <c r="F67" t="s">
        <v>3447</v>
      </c>
      <c r="G67" t="s">
        <v>3448</v>
      </c>
      <c r="H67" t="s">
        <v>3449</v>
      </c>
      <c r="I67" t="s">
        <v>431</v>
      </c>
      <c r="K67" t="s">
        <v>3060</v>
      </c>
      <c r="L67" t="s">
        <v>56</v>
      </c>
      <c r="M67" t="s">
        <v>33</v>
      </c>
      <c r="N67" t="s">
        <v>432</v>
      </c>
    </row>
    <row r="68" spans="1:14" x14ac:dyDescent="0.35">
      <c r="A68" t="s">
        <v>20</v>
      </c>
      <c r="B68">
        <v>17643</v>
      </c>
      <c r="C68" t="s">
        <v>426</v>
      </c>
      <c r="D68" t="s">
        <v>427</v>
      </c>
      <c r="E68" t="s">
        <v>3257</v>
      </c>
      <c r="F68" t="s">
        <v>3450</v>
      </c>
      <c r="G68" t="s">
        <v>3451</v>
      </c>
      <c r="H68" t="s">
        <v>3452</v>
      </c>
      <c r="I68" t="s">
        <v>431</v>
      </c>
      <c r="K68" t="s">
        <v>85</v>
      </c>
      <c r="L68" t="s">
        <v>76</v>
      </c>
      <c r="M68" t="s">
        <v>33</v>
      </c>
      <c r="N68" t="s">
        <v>432</v>
      </c>
    </row>
    <row r="69" spans="1:14" x14ac:dyDescent="0.35">
      <c r="A69" t="s">
        <v>20</v>
      </c>
      <c r="B69">
        <v>17643</v>
      </c>
      <c r="C69" t="s">
        <v>426</v>
      </c>
      <c r="D69" t="s">
        <v>427</v>
      </c>
      <c r="E69" t="s">
        <v>3261</v>
      </c>
      <c r="F69" t="s">
        <v>3453</v>
      </c>
      <c r="G69" t="s">
        <v>3454</v>
      </c>
      <c r="H69" t="s">
        <v>3455</v>
      </c>
      <c r="I69" t="s">
        <v>431</v>
      </c>
      <c r="K69" t="s">
        <v>85</v>
      </c>
      <c r="L69" t="s">
        <v>56</v>
      </c>
      <c r="M69" t="s">
        <v>33</v>
      </c>
      <c r="N69" t="s">
        <v>432</v>
      </c>
    </row>
    <row r="70" spans="1:14" x14ac:dyDescent="0.35">
      <c r="A70" t="s">
        <v>20</v>
      </c>
      <c r="B70">
        <v>17643</v>
      </c>
      <c r="C70" t="s">
        <v>426</v>
      </c>
      <c r="D70" t="s">
        <v>427</v>
      </c>
      <c r="E70" t="s">
        <v>3265</v>
      </c>
      <c r="F70" t="s">
        <v>3456</v>
      </c>
      <c r="G70" t="s">
        <v>3457</v>
      </c>
      <c r="H70" t="s">
        <v>3458</v>
      </c>
      <c r="I70" t="s">
        <v>431</v>
      </c>
      <c r="K70" t="s">
        <v>3210</v>
      </c>
      <c r="L70" t="s">
        <v>76</v>
      </c>
      <c r="M70" t="s">
        <v>33</v>
      </c>
      <c r="N70" t="s">
        <v>432</v>
      </c>
    </row>
    <row r="71" spans="1:14" x14ac:dyDescent="0.35">
      <c r="A71" t="s">
        <v>20</v>
      </c>
      <c r="B71">
        <v>17643</v>
      </c>
      <c r="C71" t="s">
        <v>426</v>
      </c>
      <c r="D71" t="s">
        <v>427</v>
      </c>
      <c r="E71" t="s">
        <v>3269</v>
      </c>
      <c r="F71" t="s">
        <v>3459</v>
      </c>
      <c r="G71" t="s">
        <v>3460</v>
      </c>
      <c r="H71" t="s">
        <v>3461</v>
      </c>
      <c r="I71" t="s">
        <v>431</v>
      </c>
      <c r="K71" t="s">
        <v>3076</v>
      </c>
      <c r="L71" t="s">
        <v>76</v>
      </c>
      <c r="M71" t="s">
        <v>33</v>
      </c>
      <c r="N71" t="s">
        <v>432</v>
      </c>
    </row>
    <row r="72" spans="1:14" x14ac:dyDescent="0.35">
      <c r="A72" t="s">
        <v>20</v>
      </c>
      <c r="B72">
        <v>17643</v>
      </c>
      <c r="C72" t="s">
        <v>426</v>
      </c>
      <c r="D72" t="s">
        <v>427</v>
      </c>
      <c r="E72" t="s">
        <v>3273</v>
      </c>
      <c r="F72" t="s">
        <v>3462</v>
      </c>
      <c r="G72" t="s">
        <v>3463</v>
      </c>
      <c r="H72" t="s">
        <v>3464</v>
      </c>
      <c r="I72" t="s">
        <v>431</v>
      </c>
      <c r="K72" t="s">
        <v>85</v>
      </c>
      <c r="L72" t="s">
        <v>56</v>
      </c>
      <c r="M72" t="s">
        <v>33</v>
      </c>
      <c r="N72" t="s">
        <v>432</v>
      </c>
    </row>
    <row r="73" spans="1:14" x14ac:dyDescent="0.35">
      <c r="A73" t="s">
        <v>20</v>
      </c>
      <c r="B73">
        <v>17643</v>
      </c>
      <c r="C73" t="s">
        <v>426</v>
      </c>
      <c r="D73" t="s">
        <v>427</v>
      </c>
      <c r="E73" t="s">
        <v>3278</v>
      </c>
      <c r="F73" t="s">
        <v>3465</v>
      </c>
      <c r="G73" t="s">
        <v>3466</v>
      </c>
      <c r="H73" t="s">
        <v>3467</v>
      </c>
      <c r="I73" t="s">
        <v>431</v>
      </c>
      <c r="K73" t="s">
        <v>85</v>
      </c>
      <c r="L73" t="s">
        <v>76</v>
      </c>
      <c r="M73" t="s">
        <v>33</v>
      </c>
      <c r="N73" t="s">
        <v>432</v>
      </c>
    </row>
    <row r="74" spans="1:14" x14ac:dyDescent="0.35">
      <c r="A74" t="s">
        <v>20</v>
      </c>
      <c r="B74">
        <v>17643</v>
      </c>
      <c r="C74" t="s">
        <v>426</v>
      </c>
      <c r="D74" t="s">
        <v>427</v>
      </c>
      <c r="E74" t="s">
        <v>3282</v>
      </c>
      <c r="F74" t="s">
        <v>3468</v>
      </c>
      <c r="G74" t="s">
        <v>3469</v>
      </c>
      <c r="H74" t="s">
        <v>3470</v>
      </c>
      <c r="I74" t="s">
        <v>431</v>
      </c>
      <c r="K74" t="s">
        <v>3210</v>
      </c>
      <c r="L74" t="s">
        <v>76</v>
      </c>
      <c r="M74" t="s">
        <v>33</v>
      </c>
      <c r="N74" t="s">
        <v>432</v>
      </c>
    </row>
    <row r="75" spans="1:14" x14ac:dyDescent="0.35">
      <c r="A75" t="s">
        <v>20</v>
      </c>
      <c r="B75">
        <v>17646</v>
      </c>
      <c r="C75" t="s">
        <v>666</v>
      </c>
      <c r="D75" t="s">
        <v>667</v>
      </c>
      <c r="E75" t="s">
        <v>3303</v>
      </c>
      <c r="F75" t="s">
        <v>3471</v>
      </c>
      <c r="G75" t="s">
        <v>3472</v>
      </c>
      <c r="H75" t="s">
        <v>3473</v>
      </c>
      <c r="I75" t="s">
        <v>809</v>
      </c>
      <c r="K75" t="s">
        <v>3326</v>
      </c>
      <c r="L75" t="s">
        <v>76</v>
      </c>
      <c r="M75" t="s">
        <v>33</v>
      </c>
    </row>
    <row r="76" spans="1:14" x14ac:dyDescent="0.35">
      <c r="A76" t="s">
        <v>20</v>
      </c>
      <c r="B76">
        <v>17646</v>
      </c>
      <c r="C76" t="s">
        <v>666</v>
      </c>
      <c r="D76" t="s">
        <v>667</v>
      </c>
      <c r="E76" t="s">
        <v>3306</v>
      </c>
      <c r="F76" t="s">
        <v>3474</v>
      </c>
      <c r="G76" t="s">
        <v>3475</v>
      </c>
      <c r="H76" t="s">
        <v>3476</v>
      </c>
      <c r="I76" t="s">
        <v>809</v>
      </c>
      <c r="K76" t="s">
        <v>3076</v>
      </c>
      <c r="L76" t="s">
        <v>76</v>
      </c>
      <c r="M76" t="s">
        <v>33</v>
      </c>
    </row>
    <row r="77" spans="1:14" x14ac:dyDescent="0.35">
      <c r="A77" t="s">
        <v>20</v>
      </c>
      <c r="B77">
        <v>17646</v>
      </c>
      <c r="C77" t="s">
        <v>666</v>
      </c>
      <c r="D77" t="s">
        <v>667</v>
      </c>
      <c r="E77" t="s">
        <v>3310</v>
      </c>
      <c r="F77" t="s">
        <v>820</v>
      </c>
      <c r="G77" t="s">
        <v>3477</v>
      </c>
      <c r="H77" t="s">
        <v>3478</v>
      </c>
      <c r="I77" t="s">
        <v>809</v>
      </c>
      <c r="K77" t="s">
        <v>3210</v>
      </c>
      <c r="L77" t="s">
        <v>56</v>
      </c>
      <c r="M77" t="s">
        <v>33</v>
      </c>
    </row>
    <row r="78" spans="1:14" x14ac:dyDescent="0.35">
      <c r="A78" t="s">
        <v>20</v>
      </c>
      <c r="B78">
        <v>17646</v>
      </c>
      <c r="C78" t="s">
        <v>666</v>
      </c>
      <c r="D78" t="s">
        <v>667</v>
      </c>
      <c r="E78" t="s">
        <v>3314</v>
      </c>
      <c r="F78" t="s">
        <v>3479</v>
      </c>
      <c r="G78" t="s">
        <v>3480</v>
      </c>
      <c r="H78" t="s">
        <v>3481</v>
      </c>
      <c r="I78" t="s">
        <v>809</v>
      </c>
      <c r="K78" t="s">
        <v>3232</v>
      </c>
      <c r="L78" t="s">
        <v>32</v>
      </c>
      <c r="M78" t="s">
        <v>33</v>
      </c>
    </row>
    <row r="79" spans="1:14" x14ac:dyDescent="0.35">
      <c r="A79" t="s">
        <v>20</v>
      </c>
      <c r="B79">
        <v>17646</v>
      </c>
      <c r="C79" t="s">
        <v>666</v>
      </c>
      <c r="D79" t="s">
        <v>667</v>
      </c>
      <c r="E79" t="s">
        <v>3318</v>
      </c>
      <c r="F79" t="s">
        <v>3482</v>
      </c>
      <c r="G79" t="s">
        <v>3483</v>
      </c>
      <c r="H79" t="s">
        <v>3484</v>
      </c>
      <c r="I79" t="s">
        <v>809</v>
      </c>
      <c r="K79" t="s">
        <v>3223</v>
      </c>
      <c r="L79" t="s">
        <v>32</v>
      </c>
      <c r="M79" t="s">
        <v>33</v>
      </c>
    </row>
    <row r="80" spans="1:14" x14ac:dyDescent="0.35">
      <c r="A80" t="s">
        <v>20</v>
      </c>
      <c r="B80">
        <v>17646</v>
      </c>
      <c r="C80" t="s">
        <v>666</v>
      </c>
      <c r="D80" t="s">
        <v>667</v>
      </c>
      <c r="E80" t="s">
        <v>3322</v>
      </c>
      <c r="F80" t="s">
        <v>3485</v>
      </c>
      <c r="G80" t="s">
        <v>3486</v>
      </c>
      <c r="H80" t="s">
        <v>3487</v>
      </c>
      <c r="I80" t="s">
        <v>809</v>
      </c>
      <c r="K80" t="s">
        <v>3076</v>
      </c>
      <c r="L80" t="s">
        <v>32</v>
      </c>
      <c r="M80" t="s">
        <v>33</v>
      </c>
    </row>
    <row r="81" spans="1:13" x14ac:dyDescent="0.35">
      <c r="A81" t="s">
        <v>20</v>
      </c>
      <c r="B81">
        <v>17646</v>
      </c>
      <c r="C81" t="s">
        <v>666</v>
      </c>
      <c r="D81" t="s">
        <v>667</v>
      </c>
      <c r="E81" t="s">
        <v>3327</v>
      </c>
      <c r="F81" t="s">
        <v>3488</v>
      </c>
      <c r="G81" t="s">
        <v>3489</v>
      </c>
      <c r="H81" t="s">
        <v>3490</v>
      </c>
      <c r="I81" t="s">
        <v>809</v>
      </c>
      <c r="K81" t="s">
        <v>3210</v>
      </c>
      <c r="L81" t="s">
        <v>56</v>
      </c>
      <c r="M81" t="s">
        <v>33</v>
      </c>
    </row>
    <row r="82" spans="1:13" x14ac:dyDescent="0.35">
      <c r="A82" t="s">
        <v>20</v>
      </c>
      <c r="B82">
        <v>17646</v>
      </c>
      <c r="C82" t="s">
        <v>666</v>
      </c>
      <c r="D82" t="s">
        <v>667</v>
      </c>
      <c r="E82" t="s">
        <v>3331</v>
      </c>
      <c r="F82" t="s">
        <v>3491</v>
      </c>
      <c r="G82" t="s">
        <v>3492</v>
      </c>
      <c r="H82" t="s">
        <v>3493</v>
      </c>
      <c r="I82" t="s">
        <v>809</v>
      </c>
      <c r="K82" t="s">
        <v>2119</v>
      </c>
      <c r="L82" t="s">
        <v>32</v>
      </c>
      <c r="M82" t="s">
        <v>33</v>
      </c>
    </row>
    <row r="83" spans="1:13" x14ac:dyDescent="0.35">
      <c r="A83" t="s">
        <v>20</v>
      </c>
      <c r="B83">
        <v>17646</v>
      </c>
      <c r="C83" t="s">
        <v>666</v>
      </c>
      <c r="D83" t="s">
        <v>667</v>
      </c>
      <c r="E83" t="s">
        <v>3335</v>
      </c>
      <c r="F83" t="s">
        <v>3494</v>
      </c>
      <c r="G83" t="s">
        <v>3495</v>
      </c>
      <c r="H83" t="s">
        <v>3496</v>
      </c>
      <c r="I83" t="s">
        <v>809</v>
      </c>
      <c r="K83" t="s">
        <v>3076</v>
      </c>
      <c r="L83" t="s">
        <v>56</v>
      </c>
      <c r="M83" t="s">
        <v>33</v>
      </c>
    </row>
    <row r="84" spans="1:13" x14ac:dyDescent="0.35">
      <c r="A84" t="s">
        <v>20</v>
      </c>
      <c r="B84">
        <v>17646</v>
      </c>
      <c r="C84" t="s">
        <v>666</v>
      </c>
      <c r="D84" t="s">
        <v>667</v>
      </c>
      <c r="E84" t="s">
        <v>3339</v>
      </c>
      <c r="F84" t="s">
        <v>3497</v>
      </c>
      <c r="G84" t="s">
        <v>3498</v>
      </c>
      <c r="H84" t="s">
        <v>3499</v>
      </c>
      <c r="I84" t="s">
        <v>809</v>
      </c>
      <c r="K84" t="s">
        <v>3210</v>
      </c>
      <c r="L84" t="s">
        <v>76</v>
      </c>
      <c r="M84" t="s">
        <v>33</v>
      </c>
    </row>
    <row r="85" spans="1:13" x14ac:dyDescent="0.35">
      <c r="A85" t="s">
        <v>20</v>
      </c>
      <c r="B85">
        <v>17646</v>
      </c>
      <c r="C85" t="s">
        <v>666</v>
      </c>
      <c r="D85" t="s">
        <v>667</v>
      </c>
      <c r="E85" t="s">
        <v>3343</v>
      </c>
      <c r="F85" t="s">
        <v>3500</v>
      </c>
      <c r="G85" t="s">
        <v>3501</v>
      </c>
      <c r="H85" t="s">
        <v>3502</v>
      </c>
      <c r="I85" t="s">
        <v>809</v>
      </c>
      <c r="K85" t="s">
        <v>3326</v>
      </c>
      <c r="L85" t="s">
        <v>56</v>
      </c>
      <c r="M85" t="s">
        <v>33</v>
      </c>
    </row>
    <row r="86" spans="1:13" x14ac:dyDescent="0.35">
      <c r="A86" t="s">
        <v>20</v>
      </c>
      <c r="B86">
        <v>17646</v>
      </c>
      <c r="C86" t="s">
        <v>666</v>
      </c>
      <c r="D86" t="s">
        <v>667</v>
      </c>
      <c r="E86" t="s">
        <v>3347</v>
      </c>
      <c r="F86" t="s">
        <v>3503</v>
      </c>
      <c r="G86" t="s">
        <v>3504</v>
      </c>
      <c r="H86" t="s">
        <v>3505</v>
      </c>
      <c r="I86" t="s">
        <v>809</v>
      </c>
      <c r="K86" t="s">
        <v>3076</v>
      </c>
      <c r="L86" t="s">
        <v>56</v>
      </c>
      <c r="M86" t="s">
        <v>33</v>
      </c>
    </row>
    <row r="87" spans="1:13" x14ac:dyDescent="0.35">
      <c r="A87" t="s">
        <v>20</v>
      </c>
      <c r="B87">
        <v>17646</v>
      </c>
      <c r="C87" t="s">
        <v>666</v>
      </c>
      <c r="D87" t="s">
        <v>667</v>
      </c>
      <c r="E87" t="s">
        <v>3351</v>
      </c>
      <c r="F87" t="s">
        <v>3506</v>
      </c>
      <c r="G87" t="s">
        <v>3507</v>
      </c>
      <c r="H87" t="s">
        <v>3508</v>
      </c>
      <c r="I87" t="s">
        <v>809</v>
      </c>
      <c r="K87" t="s">
        <v>3210</v>
      </c>
      <c r="L87" t="s">
        <v>56</v>
      </c>
      <c r="M87" t="s">
        <v>33</v>
      </c>
    </row>
    <row r="88" spans="1:13" x14ac:dyDescent="0.35">
      <c r="A88" t="s">
        <v>20</v>
      </c>
      <c r="B88">
        <v>17646</v>
      </c>
      <c r="C88" t="s">
        <v>666</v>
      </c>
      <c r="D88" t="s">
        <v>667</v>
      </c>
      <c r="E88" t="s">
        <v>3355</v>
      </c>
      <c r="F88" t="s">
        <v>3509</v>
      </c>
      <c r="G88" t="s">
        <v>3510</v>
      </c>
      <c r="H88" t="s">
        <v>3511</v>
      </c>
      <c r="I88" t="s">
        <v>809</v>
      </c>
      <c r="K88" t="s">
        <v>3076</v>
      </c>
      <c r="L88" t="s">
        <v>56</v>
      </c>
      <c r="M88" t="s">
        <v>33</v>
      </c>
    </row>
    <row r="89" spans="1:13" x14ac:dyDescent="0.35">
      <c r="A89" t="s">
        <v>20</v>
      </c>
      <c r="B89">
        <v>17646</v>
      </c>
      <c r="C89" t="s">
        <v>666</v>
      </c>
      <c r="D89" t="s">
        <v>667</v>
      </c>
      <c r="E89" t="s">
        <v>3360</v>
      </c>
      <c r="F89" t="s">
        <v>3512</v>
      </c>
      <c r="G89" t="s">
        <v>3513</v>
      </c>
      <c r="H89" t="s">
        <v>3514</v>
      </c>
      <c r="I89" t="s">
        <v>809</v>
      </c>
      <c r="K89" t="s">
        <v>3302</v>
      </c>
      <c r="L89" t="s">
        <v>56</v>
      </c>
      <c r="M89" t="s">
        <v>33</v>
      </c>
    </row>
    <row r="90" spans="1:13" x14ac:dyDescent="0.35">
      <c r="A90" t="s">
        <v>20</v>
      </c>
      <c r="B90">
        <v>17646</v>
      </c>
      <c r="C90" t="s">
        <v>666</v>
      </c>
      <c r="D90" t="s">
        <v>667</v>
      </c>
      <c r="E90" t="s">
        <v>3364</v>
      </c>
      <c r="F90" t="s">
        <v>3515</v>
      </c>
      <c r="G90" t="s">
        <v>3516</v>
      </c>
      <c r="H90" t="s">
        <v>3517</v>
      </c>
      <c r="I90" t="s">
        <v>809</v>
      </c>
      <c r="K90" t="s">
        <v>3359</v>
      </c>
      <c r="L90" t="s">
        <v>56</v>
      </c>
      <c r="M90" t="s">
        <v>33</v>
      </c>
    </row>
    <row r="91" spans="1:13" x14ac:dyDescent="0.35">
      <c r="A91" t="s">
        <v>20</v>
      </c>
      <c r="B91">
        <v>17646</v>
      </c>
      <c r="C91" t="s">
        <v>666</v>
      </c>
      <c r="D91" t="s">
        <v>667</v>
      </c>
      <c r="E91" t="s">
        <v>3368</v>
      </c>
      <c r="F91" t="s">
        <v>3518</v>
      </c>
      <c r="G91" t="s">
        <v>3519</v>
      </c>
      <c r="H91" t="s">
        <v>3520</v>
      </c>
      <c r="I91" t="s">
        <v>809</v>
      </c>
      <c r="K91" t="s">
        <v>3232</v>
      </c>
      <c r="L91" t="s">
        <v>76</v>
      </c>
      <c r="M91" t="s">
        <v>33</v>
      </c>
    </row>
    <row r="92" spans="1:13" x14ac:dyDescent="0.35">
      <c r="A92" t="s">
        <v>20</v>
      </c>
      <c r="B92">
        <v>17646</v>
      </c>
      <c r="C92" t="s">
        <v>666</v>
      </c>
      <c r="D92" t="s">
        <v>667</v>
      </c>
      <c r="E92" t="s">
        <v>3521</v>
      </c>
      <c r="F92" t="s">
        <v>3522</v>
      </c>
      <c r="G92" t="s">
        <v>3523</v>
      </c>
      <c r="H92" t="s">
        <v>3524</v>
      </c>
      <c r="I92" t="s">
        <v>809</v>
      </c>
      <c r="K92" t="s">
        <v>3210</v>
      </c>
      <c r="L92" t="s">
        <v>32</v>
      </c>
      <c r="M92" t="s">
        <v>33</v>
      </c>
    </row>
    <row r="93" spans="1:13" x14ac:dyDescent="0.35">
      <c r="A93" t="s">
        <v>20</v>
      </c>
      <c r="B93">
        <v>17646</v>
      </c>
      <c r="C93" t="s">
        <v>666</v>
      </c>
      <c r="D93" t="s">
        <v>667</v>
      </c>
      <c r="E93" t="s">
        <v>3525</v>
      </c>
      <c r="F93" t="s">
        <v>3526</v>
      </c>
      <c r="G93" t="s">
        <v>3527</v>
      </c>
      <c r="H93" t="s">
        <v>3528</v>
      </c>
      <c r="I93" t="s">
        <v>809</v>
      </c>
      <c r="K93" t="s">
        <v>3326</v>
      </c>
      <c r="L93" t="s">
        <v>56</v>
      </c>
      <c r="M93" t="s">
        <v>33</v>
      </c>
    </row>
    <row r="94" spans="1:13" x14ac:dyDescent="0.35">
      <c r="A94" t="s">
        <v>20</v>
      </c>
      <c r="B94">
        <v>17646</v>
      </c>
      <c r="C94" t="s">
        <v>666</v>
      </c>
      <c r="D94" t="s">
        <v>667</v>
      </c>
      <c r="E94" t="s">
        <v>3206</v>
      </c>
      <c r="F94" t="s">
        <v>3529</v>
      </c>
      <c r="G94" t="s">
        <v>3530</v>
      </c>
      <c r="H94" t="s">
        <v>3531</v>
      </c>
      <c r="I94" t="s">
        <v>671</v>
      </c>
      <c r="K94" t="s">
        <v>3210</v>
      </c>
      <c r="L94" t="s">
        <v>32</v>
      </c>
      <c r="M94" t="s">
        <v>33</v>
      </c>
    </row>
    <row r="95" spans="1:13" x14ac:dyDescent="0.35">
      <c r="A95" t="s">
        <v>20</v>
      </c>
      <c r="B95">
        <v>17646</v>
      </c>
      <c r="C95" t="s">
        <v>666</v>
      </c>
      <c r="D95" t="s">
        <v>667</v>
      </c>
      <c r="E95" t="s">
        <v>3211</v>
      </c>
      <c r="F95" t="s">
        <v>3532</v>
      </c>
      <c r="G95" t="s">
        <v>3533</v>
      </c>
      <c r="H95" t="s">
        <v>3534</v>
      </c>
      <c r="I95" t="s">
        <v>671</v>
      </c>
      <c r="K95" t="s">
        <v>3210</v>
      </c>
      <c r="M95" t="s">
        <v>33</v>
      </c>
    </row>
    <row r="96" spans="1:13" x14ac:dyDescent="0.35">
      <c r="A96" t="s">
        <v>20</v>
      </c>
      <c r="B96">
        <v>17646</v>
      </c>
      <c r="C96" t="s">
        <v>666</v>
      </c>
      <c r="D96" t="s">
        <v>667</v>
      </c>
      <c r="E96" t="s">
        <v>3215</v>
      </c>
      <c r="F96" t="s">
        <v>3535</v>
      </c>
      <c r="G96" t="s">
        <v>3536</v>
      </c>
      <c r="H96" t="s">
        <v>3537</v>
      </c>
      <c r="I96" t="s">
        <v>671</v>
      </c>
      <c r="K96" t="s">
        <v>3232</v>
      </c>
      <c r="L96" t="s">
        <v>76</v>
      </c>
      <c r="M96" t="s">
        <v>33</v>
      </c>
    </row>
    <row r="97" spans="1:13" x14ac:dyDescent="0.35">
      <c r="A97" t="s">
        <v>20</v>
      </c>
      <c r="B97">
        <v>17646</v>
      </c>
      <c r="C97" t="s">
        <v>666</v>
      </c>
      <c r="D97" t="s">
        <v>667</v>
      </c>
      <c r="E97" t="s">
        <v>3219</v>
      </c>
      <c r="F97" t="s">
        <v>3538</v>
      </c>
      <c r="G97" t="s">
        <v>3539</v>
      </c>
      <c r="H97" t="s">
        <v>3540</v>
      </c>
      <c r="I97" t="s">
        <v>671</v>
      </c>
      <c r="K97" t="s">
        <v>85</v>
      </c>
      <c r="L97" t="s">
        <v>56</v>
      </c>
      <c r="M97" t="s">
        <v>33</v>
      </c>
    </row>
    <row r="98" spans="1:13" x14ac:dyDescent="0.35">
      <c r="A98" t="s">
        <v>20</v>
      </c>
      <c r="B98">
        <v>17646</v>
      </c>
      <c r="C98" t="s">
        <v>666</v>
      </c>
      <c r="D98" t="s">
        <v>667</v>
      </c>
      <c r="E98" t="s">
        <v>3224</v>
      </c>
      <c r="F98" t="s">
        <v>3541</v>
      </c>
      <c r="G98" t="s">
        <v>3542</v>
      </c>
      <c r="H98" t="s">
        <v>3543</v>
      </c>
      <c r="I98" t="s">
        <v>671</v>
      </c>
      <c r="K98" t="s">
        <v>85</v>
      </c>
      <c r="L98" t="s">
        <v>56</v>
      </c>
      <c r="M98" t="s">
        <v>33</v>
      </c>
    </row>
    <row r="99" spans="1:13" x14ac:dyDescent="0.35">
      <c r="A99" t="s">
        <v>20</v>
      </c>
      <c r="B99">
        <v>17646</v>
      </c>
      <c r="C99" t="s">
        <v>666</v>
      </c>
      <c r="D99" t="s">
        <v>667</v>
      </c>
      <c r="E99" t="s">
        <v>3228</v>
      </c>
      <c r="F99" t="s">
        <v>3544</v>
      </c>
      <c r="G99" t="s">
        <v>3545</v>
      </c>
      <c r="H99" t="s">
        <v>3546</v>
      </c>
      <c r="I99" t="s">
        <v>671</v>
      </c>
      <c r="K99" t="s">
        <v>2119</v>
      </c>
      <c r="L99" t="s">
        <v>56</v>
      </c>
      <c r="M99" t="s">
        <v>33</v>
      </c>
    </row>
    <row r="100" spans="1:13" x14ac:dyDescent="0.35">
      <c r="A100" t="s">
        <v>20</v>
      </c>
      <c r="B100">
        <v>17646</v>
      </c>
      <c r="C100" t="s">
        <v>666</v>
      </c>
      <c r="D100" t="s">
        <v>667</v>
      </c>
      <c r="E100" t="s">
        <v>3233</v>
      </c>
      <c r="F100" t="s">
        <v>3547</v>
      </c>
      <c r="G100" t="s">
        <v>3548</v>
      </c>
      <c r="H100" t="s">
        <v>3549</v>
      </c>
      <c r="I100" t="s">
        <v>671</v>
      </c>
      <c r="K100" t="s">
        <v>85</v>
      </c>
      <c r="L100" t="s">
        <v>76</v>
      </c>
      <c r="M100" t="s">
        <v>33</v>
      </c>
    </row>
    <row r="101" spans="1:13" x14ac:dyDescent="0.35">
      <c r="A101" t="s">
        <v>20</v>
      </c>
      <c r="B101">
        <v>17646</v>
      </c>
      <c r="C101" t="s">
        <v>666</v>
      </c>
      <c r="D101" t="s">
        <v>667</v>
      </c>
      <c r="E101" t="s">
        <v>3237</v>
      </c>
      <c r="F101" t="s">
        <v>3550</v>
      </c>
      <c r="G101" t="s">
        <v>3551</v>
      </c>
      <c r="H101" t="s">
        <v>3552</v>
      </c>
      <c r="I101" t="s">
        <v>671</v>
      </c>
      <c r="K101" t="s">
        <v>3244</v>
      </c>
      <c r="L101" t="s">
        <v>32</v>
      </c>
      <c r="M101" t="s">
        <v>33</v>
      </c>
    </row>
    <row r="102" spans="1:13" x14ac:dyDescent="0.35">
      <c r="A102" t="s">
        <v>20</v>
      </c>
      <c r="B102">
        <v>17646</v>
      </c>
      <c r="C102" t="s">
        <v>666</v>
      </c>
      <c r="D102" t="s">
        <v>667</v>
      </c>
      <c r="E102" t="s">
        <v>3240</v>
      </c>
      <c r="F102" t="s">
        <v>3553</v>
      </c>
      <c r="G102" t="s">
        <v>3554</v>
      </c>
      <c r="H102" t="s">
        <v>3555</v>
      </c>
      <c r="I102" t="s">
        <v>671</v>
      </c>
      <c r="K102" t="s">
        <v>3244</v>
      </c>
      <c r="L102" t="s">
        <v>56</v>
      </c>
      <c r="M102" t="s">
        <v>33</v>
      </c>
    </row>
    <row r="103" spans="1:13" x14ac:dyDescent="0.35">
      <c r="A103" t="s">
        <v>20</v>
      </c>
      <c r="B103">
        <v>17646</v>
      </c>
      <c r="C103" t="s">
        <v>666</v>
      </c>
      <c r="D103" t="s">
        <v>667</v>
      </c>
      <c r="E103" t="s">
        <v>3245</v>
      </c>
      <c r="F103" t="s">
        <v>3556</v>
      </c>
      <c r="G103" t="s">
        <v>3557</v>
      </c>
      <c r="H103" t="s">
        <v>3558</v>
      </c>
      <c r="I103" t="s">
        <v>671</v>
      </c>
      <c r="K103" t="s">
        <v>3210</v>
      </c>
      <c r="L103" t="s">
        <v>56</v>
      </c>
      <c r="M103" t="s">
        <v>33</v>
      </c>
    </row>
    <row r="104" spans="1:13" x14ac:dyDescent="0.35">
      <c r="A104" t="s">
        <v>20</v>
      </c>
      <c r="B104">
        <v>17646</v>
      </c>
      <c r="C104" t="s">
        <v>666</v>
      </c>
      <c r="D104" t="s">
        <v>667</v>
      </c>
      <c r="E104" t="s">
        <v>3249</v>
      </c>
      <c r="F104" t="s">
        <v>3559</v>
      </c>
      <c r="G104" t="s">
        <v>3560</v>
      </c>
      <c r="H104" t="s">
        <v>3561</v>
      </c>
      <c r="I104" t="s">
        <v>671</v>
      </c>
      <c r="K104" t="s">
        <v>3210</v>
      </c>
      <c r="L104" t="s">
        <v>56</v>
      </c>
      <c r="M104" t="s">
        <v>33</v>
      </c>
    </row>
    <row r="105" spans="1:13" x14ac:dyDescent="0.35">
      <c r="A105" t="s">
        <v>20</v>
      </c>
      <c r="B105">
        <v>17646</v>
      </c>
      <c r="C105" t="s">
        <v>666</v>
      </c>
      <c r="D105" t="s">
        <v>667</v>
      </c>
      <c r="E105" t="s">
        <v>3253</v>
      </c>
      <c r="F105" t="s">
        <v>3562</v>
      </c>
      <c r="G105" t="s">
        <v>3563</v>
      </c>
      <c r="H105" t="s">
        <v>3564</v>
      </c>
      <c r="I105" t="s">
        <v>671</v>
      </c>
      <c r="K105" t="s">
        <v>3210</v>
      </c>
      <c r="L105" t="s">
        <v>76</v>
      </c>
      <c r="M105" t="s">
        <v>33</v>
      </c>
    </row>
    <row r="106" spans="1:13" x14ac:dyDescent="0.35">
      <c r="A106" t="s">
        <v>20</v>
      </c>
      <c r="B106">
        <v>17646</v>
      </c>
      <c r="C106" t="s">
        <v>666</v>
      </c>
      <c r="D106" t="s">
        <v>667</v>
      </c>
      <c r="E106" t="s">
        <v>3257</v>
      </c>
      <c r="F106" t="s">
        <v>3565</v>
      </c>
      <c r="G106" t="s">
        <v>3566</v>
      </c>
      <c r="H106" t="s">
        <v>3567</v>
      </c>
      <c r="I106" t="s">
        <v>671</v>
      </c>
      <c r="K106" t="s">
        <v>3076</v>
      </c>
      <c r="L106" t="s">
        <v>56</v>
      </c>
      <c r="M106" t="s">
        <v>33</v>
      </c>
    </row>
    <row r="107" spans="1:13" x14ac:dyDescent="0.35">
      <c r="A107" t="s">
        <v>20</v>
      </c>
      <c r="B107">
        <v>17646</v>
      </c>
      <c r="C107" t="s">
        <v>666</v>
      </c>
      <c r="D107" t="s">
        <v>667</v>
      </c>
      <c r="E107" t="s">
        <v>3261</v>
      </c>
      <c r="F107" t="s">
        <v>3568</v>
      </c>
      <c r="G107" t="s">
        <v>3569</v>
      </c>
      <c r="H107" t="s">
        <v>3570</v>
      </c>
      <c r="I107" t="s">
        <v>671</v>
      </c>
      <c r="K107" t="s">
        <v>3210</v>
      </c>
      <c r="L107" t="s">
        <v>56</v>
      </c>
      <c r="M107" t="s">
        <v>33</v>
      </c>
    </row>
    <row r="108" spans="1:13" x14ac:dyDescent="0.35">
      <c r="A108" t="s">
        <v>20</v>
      </c>
      <c r="B108">
        <v>17646</v>
      </c>
      <c r="C108" t="s">
        <v>666</v>
      </c>
      <c r="D108" t="s">
        <v>667</v>
      </c>
      <c r="E108" t="s">
        <v>3265</v>
      </c>
      <c r="F108" t="s">
        <v>3571</v>
      </c>
      <c r="G108" t="s">
        <v>3572</v>
      </c>
      <c r="H108" t="s">
        <v>3573</v>
      </c>
      <c r="I108" t="s">
        <v>671</v>
      </c>
      <c r="K108" t="s">
        <v>3210</v>
      </c>
      <c r="L108" t="s">
        <v>76</v>
      </c>
      <c r="M108" t="s">
        <v>33</v>
      </c>
    </row>
    <row r="109" spans="1:13" x14ac:dyDescent="0.35">
      <c r="A109" t="s">
        <v>20</v>
      </c>
      <c r="B109">
        <v>17646</v>
      </c>
      <c r="C109" t="s">
        <v>666</v>
      </c>
      <c r="D109" t="s">
        <v>667</v>
      </c>
      <c r="E109" t="s">
        <v>3269</v>
      </c>
      <c r="F109" t="s">
        <v>3574</v>
      </c>
      <c r="G109" t="s">
        <v>3575</v>
      </c>
      <c r="H109" t="s">
        <v>3576</v>
      </c>
      <c r="I109" t="s">
        <v>671</v>
      </c>
      <c r="K109" t="s">
        <v>3210</v>
      </c>
      <c r="L109" t="s">
        <v>56</v>
      </c>
      <c r="M109" t="s">
        <v>33</v>
      </c>
    </row>
    <row r="110" spans="1:13" x14ac:dyDescent="0.35">
      <c r="A110" t="s">
        <v>20</v>
      </c>
      <c r="B110">
        <v>17646</v>
      </c>
      <c r="C110" t="s">
        <v>666</v>
      </c>
      <c r="D110" t="s">
        <v>667</v>
      </c>
      <c r="E110" t="s">
        <v>3273</v>
      </c>
      <c r="F110" t="s">
        <v>3577</v>
      </c>
      <c r="G110" t="s">
        <v>3578</v>
      </c>
      <c r="H110" t="s">
        <v>3579</v>
      </c>
      <c r="I110" t="s">
        <v>671</v>
      </c>
      <c r="K110" t="s">
        <v>3223</v>
      </c>
      <c r="L110" t="s">
        <v>56</v>
      </c>
      <c r="M110" t="s">
        <v>33</v>
      </c>
    </row>
    <row r="111" spans="1:13" x14ac:dyDescent="0.35">
      <c r="A111" t="s">
        <v>20</v>
      </c>
      <c r="B111">
        <v>17646</v>
      </c>
      <c r="C111" t="s">
        <v>666</v>
      </c>
      <c r="D111" t="s">
        <v>667</v>
      </c>
      <c r="E111" t="s">
        <v>3278</v>
      </c>
      <c r="F111" t="s">
        <v>3580</v>
      </c>
      <c r="G111" t="s">
        <v>3581</v>
      </c>
      <c r="H111" t="s">
        <v>3582</v>
      </c>
      <c r="I111" t="s">
        <v>671</v>
      </c>
      <c r="K111" t="s">
        <v>3210</v>
      </c>
      <c r="L111" t="s">
        <v>32</v>
      </c>
      <c r="M111" t="s">
        <v>33</v>
      </c>
    </row>
    <row r="112" spans="1:13" x14ac:dyDescent="0.35">
      <c r="A112" t="s">
        <v>20</v>
      </c>
      <c r="B112">
        <v>17645</v>
      </c>
      <c r="C112" t="s">
        <v>949</v>
      </c>
      <c r="D112" t="s">
        <v>950</v>
      </c>
      <c r="E112" t="s">
        <v>3303</v>
      </c>
      <c r="F112" t="s">
        <v>3583</v>
      </c>
      <c r="G112" t="s">
        <v>3584</v>
      </c>
      <c r="H112" t="s">
        <v>3585</v>
      </c>
      <c r="I112" t="s">
        <v>954</v>
      </c>
      <c r="K112" t="s">
        <v>3210</v>
      </c>
      <c r="L112" t="s">
        <v>56</v>
      </c>
      <c r="M112" t="s">
        <v>33</v>
      </c>
    </row>
    <row r="113" spans="1:13" x14ac:dyDescent="0.35">
      <c r="A113" t="s">
        <v>20</v>
      </c>
      <c r="B113">
        <v>17645</v>
      </c>
      <c r="C113" t="s">
        <v>949</v>
      </c>
      <c r="D113" t="s">
        <v>950</v>
      </c>
      <c r="E113" t="s">
        <v>3306</v>
      </c>
      <c r="F113" t="s">
        <v>955</v>
      </c>
      <c r="G113" t="s">
        <v>3586</v>
      </c>
      <c r="H113" t="s">
        <v>3587</v>
      </c>
      <c r="I113" t="s">
        <v>954</v>
      </c>
      <c r="K113" t="s">
        <v>3210</v>
      </c>
      <c r="L113" t="s">
        <v>76</v>
      </c>
      <c r="M113" t="s">
        <v>33</v>
      </c>
    </row>
    <row r="114" spans="1:13" x14ac:dyDescent="0.35">
      <c r="A114" t="s">
        <v>20</v>
      </c>
      <c r="B114">
        <v>17645</v>
      </c>
      <c r="C114" t="s">
        <v>949</v>
      </c>
      <c r="D114" t="s">
        <v>950</v>
      </c>
      <c r="E114" t="s">
        <v>3310</v>
      </c>
      <c r="F114" t="s">
        <v>3588</v>
      </c>
      <c r="G114" t="s">
        <v>3589</v>
      </c>
      <c r="H114" t="s">
        <v>3590</v>
      </c>
      <c r="I114" t="s">
        <v>954</v>
      </c>
      <c r="K114" t="s">
        <v>3210</v>
      </c>
      <c r="L114" t="s">
        <v>56</v>
      </c>
      <c r="M114" t="s">
        <v>33</v>
      </c>
    </row>
    <row r="115" spans="1:13" x14ac:dyDescent="0.35">
      <c r="A115" t="s">
        <v>20</v>
      </c>
      <c r="B115">
        <v>17645</v>
      </c>
      <c r="C115" t="s">
        <v>949</v>
      </c>
      <c r="D115" t="s">
        <v>950</v>
      </c>
      <c r="E115" t="s">
        <v>3314</v>
      </c>
      <c r="F115" t="s">
        <v>3591</v>
      </c>
      <c r="G115" t="s">
        <v>3592</v>
      </c>
      <c r="H115" t="s">
        <v>3593</v>
      </c>
      <c r="I115" t="s">
        <v>954</v>
      </c>
      <c r="K115" t="s">
        <v>3326</v>
      </c>
      <c r="L115" t="s">
        <v>32</v>
      </c>
      <c r="M115" t="s">
        <v>33</v>
      </c>
    </row>
    <row r="116" spans="1:13" x14ac:dyDescent="0.35">
      <c r="A116" t="s">
        <v>20</v>
      </c>
      <c r="B116">
        <v>17645</v>
      </c>
      <c r="C116" t="s">
        <v>949</v>
      </c>
      <c r="D116" t="s">
        <v>950</v>
      </c>
      <c r="E116" t="s">
        <v>3318</v>
      </c>
      <c r="F116" t="s">
        <v>3594</v>
      </c>
      <c r="G116" t="s">
        <v>3595</v>
      </c>
      <c r="H116" t="s">
        <v>3596</v>
      </c>
      <c r="I116" t="s">
        <v>954</v>
      </c>
      <c r="K116" t="s">
        <v>3223</v>
      </c>
      <c r="L116" t="s">
        <v>76</v>
      </c>
      <c r="M116" t="s">
        <v>33</v>
      </c>
    </row>
    <row r="117" spans="1:13" x14ac:dyDescent="0.35">
      <c r="A117" t="s">
        <v>20</v>
      </c>
      <c r="B117">
        <v>17645</v>
      </c>
      <c r="C117" t="s">
        <v>949</v>
      </c>
      <c r="D117" t="s">
        <v>950</v>
      </c>
      <c r="E117" t="s">
        <v>3322</v>
      </c>
      <c r="F117" t="s">
        <v>3597</v>
      </c>
      <c r="G117" t="s">
        <v>3598</v>
      </c>
      <c r="H117" t="s">
        <v>3599</v>
      </c>
      <c r="I117" t="s">
        <v>954</v>
      </c>
      <c r="K117" t="s">
        <v>3244</v>
      </c>
      <c r="L117" t="s">
        <v>76</v>
      </c>
      <c r="M117" t="s">
        <v>33</v>
      </c>
    </row>
    <row r="118" spans="1:13" x14ac:dyDescent="0.35">
      <c r="A118" t="s">
        <v>20</v>
      </c>
      <c r="B118">
        <v>17645</v>
      </c>
      <c r="C118" t="s">
        <v>949</v>
      </c>
      <c r="D118" t="s">
        <v>950</v>
      </c>
      <c r="E118" t="s">
        <v>3327</v>
      </c>
      <c r="F118" t="s">
        <v>3600</v>
      </c>
      <c r="G118" t="s">
        <v>3601</v>
      </c>
      <c r="H118" t="s">
        <v>3602</v>
      </c>
      <c r="I118" t="s">
        <v>954</v>
      </c>
      <c r="K118" t="s">
        <v>2119</v>
      </c>
      <c r="L118" t="s">
        <v>32</v>
      </c>
      <c r="M118" t="s">
        <v>33</v>
      </c>
    </row>
    <row r="119" spans="1:13" x14ac:dyDescent="0.35">
      <c r="A119" t="s">
        <v>20</v>
      </c>
      <c r="B119">
        <v>17645</v>
      </c>
      <c r="C119" t="s">
        <v>949</v>
      </c>
      <c r="D119" t="s">
        <v>950</v>
      </c>
      <c r="E119" t="s">
        <v>3331</v>
      </c>
      <c r="F119" t="s">
        <v>3603</v>
      </c>
      <c r="G119" t="s">
        <v>3604</v>
      </c>
      <c r="H119" t="s">
        <v>3605</v>
      </c>
      <c r="I119" t="s">
        <v>954</v>
      </c>
      <c r="K119" t="s">
        <v>3326</v>
      </c>
      <c r="L119" t="s">
        <v>76</v>
      </c>
      <c r="M119" t="s">
        <v>33</v>
      </c>
    </row>
    <row r="120" spans="1:13" x14ac:dyDescent="0.35">
      <c r="A120" t="s">
        <v>20</v>
      </c>
      <c r="B120">
        <v>17645</v>
      </c>
      <c r="C120" t="s">
        <v>949</v>
      </c>
      <c r="D120" t="s">
        <v>950</v>
      </c>
      <c r="E120" t="s">
        <v>3335</v>
      </c>
      <c r="F120" t="s">
        <v>3606</v>
      </c>
      <c r="G120" t="s">
        <v>3607</v>
      </c>
      <c r="H120" t="s">
        <v>3608</v>
      </c>
      <c r="I120" t="s">
        <v>954</v>
      </c>
      <c r="K120" t="s">
        <v>3210</v>
      </c>
      <c r="L120" t="s">
        <v>32</v>
      </c>
      <c r="M120" t="s">
        <v>33</v>
      </c>
    </row>
    <row r="121" spans="1:13" x14ac:dyDescent="0.35">
      <c r="A121" t="s">
        <v>20</v>
      </c>
      <c r="B121">
        <v>17645</v>
      </c>
      <c r="C121" t="s">
        <v>949</v>
      </c>
      <c r="D121" t="s">
        <v>950</v>
      </c>
      <c r="E121" t="s">
        <v>3339</v>
      </c>
      <c r="F121" t="s">
        <v>3609</v>
      </c>
      <c r="G121" t="s">
        <v>3610</v>
      </c>
      <c r="H121" t="s">
        <v>3611</v>
      </c>
      <c r="I121" t="s">
        <v>954</v>
      </c>
      <c r="K121" t="s">
        <v>3210</v>
      </c>
      <c r="L121" t="s">
        <v>56</v>
      </c>
      <c r="M121" t="s">
        <v>33</v>
      </c>
    </row>
    <row r="122" spans="1:13" x14ac:dyDescent="0.35">
      <c r="A122" t="s">
        <v>20</v>
      </c>
      <c r="B122">
        <v>17645</v>
      </c>
      <c r="C122" t="s">
        <v>949</v>
      </c>
      <c r="D122" t="s">
        <v>950</v>
      </c>
      <c r="E122" t="s">
        <v>3343</v>
      </c>
      <c r="F122" t="s">
        <v>3612</v>
      </c>
      <c r="G122" t="s">
        <v>3613</v>
      </c>
      <c r="H122" t="s">
        <v>3614</v>
      </c>
      <c r="I122" t="s">
        <v>954</v>
      </c>
      <c r="K122" t="s">
        <v>3232</v>
      </c>
      <c r="L122" t="s">
        <v>32</v>
      </c>
      <c r="M122" t="s">
        <v>33</v>
      </c>
    </row>
    <row r="123" spans="1:13" x14ac:dyDescent="0.35">
      <c r="A123" t="s">
        <v>20</v>
      </c>
      <c r="B123">
        <v>17645</v>
      </c>
      <c r="C123" t="s">
        <v>949</v>
      </c>
      <c r="D123" t="s">
        <v>950</v>
      </c>
      <c r="E123" t="s">
        <v>3347</v>
      </c>
      <c r="F123" t="s">
        <v>3615</v>
      </c>
      <c r="G123" t="s">
        <v>3616</v>
      </c>
      <c r="H123" t="s">
        <v>3617</v>
      </c>
      <c r="I123" t="s">
        <v>954</v>
      </c>
      <c r="K123" t="s">
        <v>3326</v>
      </c>
      <c r="L123" t="s">
        <v>76</v>
      </c>
      <c r="M123" t="s">
        <v>33</v>
      </c>
    </row>
    <row r="124" spans="1:13" x14ac:dyDescent="0.35">
      <c r="A124" t="s">
        <v>20</v>
      </c>
      <c r="B124">
        <v>17645</v>
      </c>
      <c r="C124" t="s">
        <v>949</v>
      </c>
      <c r="D124" t="s">
        <v>950</v>
      </c>
      <c r="E124" t="s">
        <v>3351</v>
      </c>
      <c r="F124" t="s">
        <v>3618</v>
      </c>
      <c r="G124" t="s">
        <v>3619</v>
      </c>
      <c r="H124" t="s">
        <v>3620</v>
      </c>
      <c r="I124" t="s">
        <v>954</v>
      </c>
      <c r="K124" t="s">
        <v>2119</v>
      </c>
      <c r="L124" t="s">
        <v>76</v>
      </c>
      <c r="M124" t="s">
        <v>33</v>
      </c>
    </row>
    <row r="125" spans="1:13" x14ac:dyDescent="0.35">
      <c r="A125" t="s">
        <v>20</v>
      </c>
      <c r="B125">
        <v>17645</v>
      </c>
      <c r="C125" t="s">
        <v>949</v>
      </c>
      <c r="D125" t="s">
        <v>950</v>
      </c>
      <c r="E125" t="s">
        <v>3355</v>
      </c>
      <c r="F125" t="s">
        <v>3621</v>
      </c>
      <c r="G125" t="s">
        <v>3622</v>
      </c>
      <c r="H125" t="s">
        <v>3623</v>
      </c>
      <c r="I125" t="s">
        <v>954</v>
      </c>
      <c r="K125" t="s">
        <v>3210</v>
      </c>
      <c r="L125" t="s">
        <v>56</v>
      </c>
      <c r="M125" t="s">
        <v>33</v>
      </c>
    </row>
    <row r="126" spans="1:13" x14ac:dyDescent="0.35">
      <c r="A126" t="s">
        <v>20</v>
      </c>
      <c r="B126">
        <v>17645</v>
      </c>
      <c r="C126" t="s">
        <v>949</v>
      </c>
      <c r="D126" t="s">
        <v>950</v>
      </c>
      <c r="E126" t="s">
        <v>3360</v>
      </c>
      <c r="F126" t="s">
        <v>1225</v>
      </c>
      <c r="G126" t="s">
        <v>3624</v>
      </c>
      <c r="H126" t="s">
        <v>3625</v>
      </c>
      <c r="I126" t="s">
        <v>954</v>
      </c>
      <c r="K126" t="s">
        <v>2119</v>
      </c>
      <c r="L126" t="s">
        <v>76</v>
      </c>
      <c r="M126" t="s">
        <v>33</v>
      </c>
    </row>
    <row r="127" spans="1:13" x14ac:dyDescent="0.35">
      <c r="A127" t="s">
        <v>20</v>
      </c>
      <c r="B127">
        <v>17645</v>
      </c>
      <c r="C127" t="s">
        <v>949</v>
      </c>
      <c r="D127" t="s">
        <v>950</v>
      </c>
      <c r="E127" t="s">
        <v>3364</v>
      </c>
      <c r="F127" t="s">
        <v>3626</v>
      </c>
      <c r="G127" t="s">
        <v>3627</v>
      </c>
      <c r="H127" t="s">
        <v>3628</v>
      </c>
      <c r="I127" t="s">
        <v>954</v>
      </c>
      <c r="K127" t="s">
        <v>3326</v>
      </c>
      <c r="L127" t="s">
        <v>32</v>
      </c>
      <c r="M127" t="s">
        <v>33</v>
      </c>
    </row>
    <row r="128" spans="1:13" x14ac:dyDescent="0.35">
      <c r="A128" t="s">
        <v>20</v>
      </c>
      <c r="B128">
        <v>17645</v>
      </c>
      <c r="C128" t="s">
        <v>949</v>
      </c>
      <c r="D128" t="s">
        <v>950</v>
      </c>
      <c r="E128" t="s">
        <v>3368</v>
      </c>
      <c r="F128" t="s">
        <v>3629</v>
      </c>
      <c r="G128" t="s">
        <v>3630</v>
      </c>
      <c r="H128" t="s">
        <v>3631</v>
      </c>
      <c r="I128" t="s">
        <v>954</v>
      </c>
      <c r="K128" t="s">
        <v>2119</v>
      </c>
      <c r="L128" t="s">
        <v>32</v>
      </c>
      <c r="M128" t="s">
        <v>33</v>
      </c>
    </row>
    <row r="129" spans="1:13" x14ac:dyDescent="0.35">
      <c r="A129" t="s">
        <v>20</v>
      </c>
      <c r="B129">
        <v>17645</v>
      </c>
      <c r="C129" t="s">
        <v>949</v>
      </c>
      <c r="D129" t="s">
        <v>950</v>
      </c>
      <c r="E129" t="s">
        <v>3521</v>
      </c>
      <c r="F129" t="s">
        <v>3632</v>
      </c>
      <c r="G129" t="s">
        <v>3633</v>
      </c>
      <c r="H129" t="s">
        <v>3634</v>
      </c>
      <c r="I129" t="s">
        <v>954</v>
      </c>
      <c r="K129" t="s">
        <v>3076</v>
      </c>
      <c r="L129" t="s">
        <v>56</v>
      </c>
      <c r="M129" t="s">
        <v>33</v>
      </c>
    </row>
    <row r="130" spans="1:13" x14ac:dyDescent="0.35">
      <c r="A130" t="s">
        <v>20</v>
      </c>
      <c r="B130">
        <v>17645</v>
      </c>
      <c r="C130" t="s">
        <v>949</v>
      </c>
      <c r="D130" t="s">
        <v>950</v>
      </c>
      <c r="E130" t="s">
        <v>3635</v>
      </c>
      <c r="F130" t="s">
        <v>3636</v>
      </c>
      <c r="G130" t="s">
        <v>3637</v>
      </c>
      <c r="H130" t="s">
        <v>3638</v>
      </c>
      <c r="I130" t="s">
        <v>954</v>
      </c>
      <c r="K130" t="s">
        <v>3210</v>
      </c>
      <c r="L130" t="s">
        <v>56</v>
      </c>
      <c r="M130" t="s">
        <v>33</v>
      </c>
    </row>
    <row r="131" spans="1:13" x14ac:dyDescent="0.35">
      <c r="A131" t="s">
        <v>20</v>
      </c>
      <c r="B131">
        <v>17645</v>
      </c>
      <c r="C131" t="s">
        <v>949</v>
      </c>
      <c r="D131" t="s">
        <v>950</v>
      </c>
      <c r="E131" t="s">
        <v>3206</v>
      </c>
      <c r="F131" t="s">
        <v>3639</v>
      </c>
      <c r="G131" t="s">
        <v>3640</v>
      </c>
      <c r="H131" t="s">
        <v>3641</v>
      </c>
      <c r="I131" t="s">
        <v>1090</v>
      </c>
      <c r="K131" t="s">
        <v>3210</v>
      </c>
      <c r="L131" t="s">
        <v>56</v>
      </c>
      <c r="M131" t="s">
        <v>33</v>
      </c>
    </row>
    <row r="132" spans="1:13" x14ac:dyDescent="0.35">
      <c r="A132" t="s">
        <v>20</v>
      </c>
      <c r="B132">
        <v>17645</v>
      </c>
      <c r="C132" t="s">
        <v>949</v>
      </c>
      <c r="D132" t="s">
        <v>950</v>
      </c>
      <c r="E132" t="s">
        <v>3211</v>
      </c>
      <c r="F132" t="s">
        <v>3642</v>
      </c>
      <c r="G132" t="s">
        <v>3643</v>
      </c>
      <c r="H132" t="s">
        <v>3644</v>
      </c>
      <c r="I132" t="s">
        <v>1090</v>
      </c>
      <c r="K132" t="s">
        <v>2119</v>
      </c>
      <c r="L132" t="s">
        <v>56</v>
      </c>
      <c r="M132" t="s">
        <v>33</v>
      </c>
    </row>
    <row r="133" spans="1:13" x14ac:dyDescent="0.35">
      <c r="A133" t="s">
        <v>20</v>
      </c>
      <c r="B133">
        <v>17645</v>
      </c>
      <c r="C133" t="s">
        <v>949</v>
      </c>
      <c r="D133" t="s">
        <v>950</v>
      </c>
      <c r="E133" t="s">
        <v>3215</v>
      </c>
      <c r="F133" t="s">
        <v>3645</v>
      </c>
      <c r="G133" t="s">
        <v>3646</v>
      </c>
      <c r="H133" t="s">
        <v>3647</v>
      </c>
      <c r="I133" t="s">
        <v>1090</v>
      </c>
      <c r="K133" t="s">
        <v>3210</v>
      </c>
      <c r="L133" t="s">
        <v>76</v>
      </c>
      <c r="M133" t="s">
        <v>33</v>
      </c>
    </row>
    <row r="134" spans="1:13" x14ac:dyDescent="0.35">
      <c r="A134" t="s">
        <v>20</v>
      </c>
      <c r="B134">
        <v>17645</v>
      </c>
      <c r="C134" t="s">
        <v>949</v>
      </c>
      <c r="D134" t="s">
        <v>950</v>
      </c>
      <c r="E134" t="s">
        <v>3219</v>
      </c>
      <c r="F134" t="s">
        <v>3648</v>
      </c>
      <c r="G134" t="s">
        <v>3649</v>
      </c>
      <c r="H134" t="s">
        <v>3650</v>
      </c>
      <c r="I134" t="s">
        <v>1090</v>
      </c>
      <c r="K134" t="s">
        <v>3210</v>
      </c>
      <c r="L134" t="s">
        <v>76</v>
      </c>
      <c r="M134" t="s">
        <v>33</v>
      </c>
    </row>
    <row r="135" spans="1:13" x14ac:dyDescent="0.35">
      <c r="A135" t="s">
        <v>20</v>
      </c>
      <c r="B135">
        <v>17645</v>
      </c>
      <c r="C135" t="s">
        <v>949</v>
      </c>
      <c r="D135" t="s">
        <v>950</v>
      </c>
      <c r="E135" t="s">
        <v>3224</v>
      </c>
      <c r="F135" t="s">
        <v>3651</v>
      </c>
      <c r="G135" t="s">
        <v>3652</v>
      </c>
      <c r="H135" t="s">
        <v>3653</v>
      </c>
      <c r="I135" t="s">
        <v>1090</v>
      </c>
      <c r="K135" t="s">
        <v>2119</v>
      </c>
      <c r="L135" t="s">
        <v>56</v>
      </c>
      <c r="M135" t="s">
        <v>33</v>
      </c>
    </row>
    <row r="136" spans="1:13" x14ac:dyDescent="0.35">
      <c r="A136" t="s">
        <v>20</v>
      </c>
      <c r="B136">
        <v>17645</v>
      </c>
      <c r="C136" t="s">
        <v>949</v>
      </c>
      <c r="D136" t="s">
        <v>950</v>
      </c>
      <c r="E136" t="s">
        <v>3228</v>
      </c>
      <c r="F136" t="s">
        <v>3654</v>
      </c>
      <c r="G136" t="s">
        <v>3655</v>
      </c>
      <c r="H136" t="s">
        <v>3656</v>
      </c>
      <c r="I136" t="s">
        <v>1090</v>
      </c>
      <c r="K136" t="s">
        <v>3210</v>
      </c>
      <c r="L136" t="s">
        <v>76</v>
      </c>
      <c r="M136" t="s">
        <v>33</v>
      </c>
    </row>
    <row r="137" spans="1:13" x14ac:dyDescent="0.35">
      <c r="A137" t="s">
        <v>20</v>
      </c>
      <c r="B137">
        <v>17645</v>
      </c>
      <c r="C137" t="s">
        <v>949</v>
      </c>
      <c r="D137" t="s">
        <v>950</v>
      </c>
      <c r="E137" t="s">
        <v>3233</v>
      </c>
      <c r="F137" t="s">
        <v>3657</v>
      </c>
      <c r="G137" t="s">
        <v>3658</v>
      </c>
      <c r="H137" t="s">
        <v>3659</v>
      </c>
      <c r="I137" t="s">
        <v>1090</v>
      </c>
      <c r="K137" t="s">
        <v>3210</v>
      </c>
      <c r="L137" t="s">
        <v>56</v>
      </c>
      <c r="M137" t="s">
        <v>33</v>
      </c>
    </row>
    <row r="138" spans="1:13" x14ac:dyDescent="0.35">
      <c r="A138" t="s">
        <v>20</v>
      </c>
      <c r="B138">
        <v>17645</v>
      </c>
      <c r="C138" t="s">
        <v>949</v>
      </c>
      <c r="D138" t="s">
        <v>950</v>
      </c>
      <c r="E138" t="s">
        <v>3237</v>
      </c>
      <c r="F138" t="s">
        <v>3660</v>
      </c>
      <c r="G138" t="s">
        <v>3661</v>
      </c>
      <c r="H138" t="s">
        <v>3662</v>
      </c>
      <c r="I138" t="s">
        <v>1090</v>
      </c>
      <c r="K138" t="s">
        <v>3232</v>
      </c>
      <c r="L138" t="s">
        <v>76</v>
      </c>
      <c r="M138" t="s">
        <v>33</v>
      </c>
    </row>
    <row r="139" spans="1:13" x14ac:dyDescent="0.35">
      <c r="A139" t="s">
        <v>20</v>
      </c>
      <c r="B139">
        <v>17645</v>
      </c>
      <c r="C139" t="s">
        <v>949</v>
      </c>
      <c r="D139" t="s">
        <v>950</v>
      </c>
      <c r="E139" t="s">
        <v>3240</v>
      </c>
      <c r="F139" t="s">
        <v>3663</v>
      </c>
      <c r="G139" t="s">
        <v>3664</v>
      </c>
      <c r="H139" t="s">
        <v>3665</v>
      </c>
      <c r="I139" t="s">
        <v>1090</v>
      </c>
      <c r="K139" t="s">
        <v>85</v>
      </c>
      <c r="L139" t="s">
        <v>56</v>
      </c>
      <c r="M139" t="s">
        <v>33</v>
      </c>
    </row>
    <row r="140" spans="1:13" x14ac:dyDescent="0.35">
      <c r="A140" t="s">
        <v>20</v>
      </c>
      <c r="B140">
        <v>17645</v>
      </c>
      <c r="C140" t="s">
        <v>949</v>
      </c>
      <c r="D140" t="s">
        <v>950</v>
      </c>
      <c r="E140" t="s">
        <v>3245</v>
      </c>
      <c r="F140" t="s">
        <v>3666</v>
      </c>
      <c r="G140" t="s">
        <v>3667</v>
      </c>
      <c r="H140" t="s">
        <v>3668</v>
      </c>
      <c r="I140" t="s">
        <v>1090</v>
      </c>
      <c r="K140" t="s">
        <v>3210</v>
      </c>
      <c r="L140" t="s">
        <v>56</v>
      </c>
      <c r="M140" t="s">
        <v>33</v>
      </c>
    </row>
    <row r="141" spans="1:13" x14ac:dyDescent="0.35">
      <c r="A141" t="s">
        <v>20</v>
      </c>
      <c r="B141">
        <v>17645</v>
      </c>
      <c r="C141" t="s">
        <v>949</v>
      </c>
      <c r="D141" t="s">
        <v>950</v>
      </c>
      <c r="E141" t="s">
        <v>3249</v>
      </c>
      <c r="F141" t="s">
        <v>3669</v>
      </c>
      <c r="G141" t="s">
        <v>3670</v>
      </c>
      <c r="H141" t="s">
        <v>3671</v>
      </c>
      <c r="I141" t="s">
        <v>1090</v>
      </c>
      <c r="K141" t="s">
        <v>3210</v>
      </c>
      <c r="L141" t="s">
        <v>32</v>
      </c>
      <c r="M141" t="s">
        <v>33</v>
      </c>
    </row>
    <row r="142" spans="1:13" x14ac:dyDescent="0.35">
      <c r="A142" t="s">
        <v>20</v>
      </c>
      <c r="B142">
        <v>17645</v>
      </c>
      <c r="C142" t="s">
        <v>949</v>
      </c>
      <c r="D142" t="s">
        <v>950</v>
      </c>
      <c r="E142" t="s">
        <v>3253</v>
      </c>
      <c r="F142" t="s">
        <v>3672</v>
      </c>
      <c r="G142" t="s">
        <v>3673</v>
      </c>
      <c r="H142" t="s">
        <v>3674</v>
      </c>
      <c r="I142" t="s">
        <v>1090</v>
      </c>
      <c r="K142" t="s">
        <v>3244</v>
      </c>
      <c r="L142" t="s">
        <v>76</v>
      </c>
      <c r="M142" t="s">
        <v>33</v>
      </c>
    </row>
    <row r="143" spans="1:13" x14ac:dyDescent="0.35">
      <c r="A143" t="s">
        <v>20</v>
      </c>
      <c r="B143">
        <v>17645</v>
      </c>
      <c r="C143" t="s">
        <v>949</v>
      </c>
      <c r="D143" t="s">
        <v>950</v>
      </c>
      <c r="E143" t="s">
        <v>3257</v>
      </c>
      <c r="F143" t="s">
        <v>3675</v>
      </c>
      <c r="G143" t="s">
        <v>3676</v>
      </c>
      <c r="H143" t="s">
        <v>3677</v>
      </c>
      <c r="I143" t="s">
        <v>1090</v>
      </c>
      <c r="K143" t="s">
        <v>85</v>
      </c>
      <c r="L143" t="s">
        <v>56</v>
      </c>
      <c r="M143" t="s">
        <v>33</v>
      </c>
    </row>
    <row r="144" spans="1:13" x14ac:dyDescent="0.35">
      <c r="A144" t="s">
        <v>20</v>
      </c>
      <c r="B144">
        <v>17645</v>
      </c>
      <c r="C144" t="s">
        <v>949</v>
      </c>
      <c r="D144" t="s">
        <v>950</v>
      </c>
      <c r="E144" t="s">
        <v>3261</v>
      </c>
      <c r="F144" t="s">
        <v>3678</v>
      </c>
      <c r="G144" t="s">
        <v>3679</v>
      </c>
      <c r="H144" t="s">
        <v>3680</v>
      </c>
      <c r="I144" t="s">
        <v>1090</v>
      </c>
      <c r="K144" t="s">
        <v>3210</v>
      </c>
      <c r="L144" t="s">
        <v>56</v>
      </c>
      <c r="M144" t="s">
        <v>33</v>
      </c>
    </row>
    <row r="145" spans="1:13" x14ac:dyDescent="0.35">
      <c r="A145" t="s">
        <v>20</v>
      </c>
      <c r="B145">
        <v>17645</v>
      </c>
      <c r="C145" t="s">
        <v>949</v>
      </c>
      <c r="D145" t="s">
        <v>950</v>
      </c>
      <c r="E145" t="s">
        <v>3265</v>
      </c>
      <c r="F145" t="s">
        <v>3681</v>
      </c>
      <c r="G145" t="s">
        <v>3682</v>
      </c>
      <c r="H145" t="s">
        <v>3683</v>
      </c>
      <c r="I145" t="s">
        <v>1090</v>
      </c>
      <c r="K145" t="s">
        <v>3232</v>
      </c>
      <c r="L145" t="s">
        <v>76</v>
      </c>
      <c r="M145" t="s">
        <v>33</v>
      </c>
    </row>
    <row r="146" spans="1:13" x14ac:dyDescent="0.35">
      <c r="A146" t="s">
        <v>20</v>
      </c>
      <c r="B146">
        <v>17647</v>
      </c>
      <c r="C146" t="s">
        <v>1252</v>
      </c>
      <c r="D146" t="s">
        <v>1253</v>
      </c>
      <c r="E146" t="s">
        <v>3303</v>
      </c>
      <c r="F146" t="s">
        <v>3684</v>
      </c>
      <c r="G146" t="s">
        <v>3685</v>
      </c>
      <c r="H146" t="s">
        <v>3686</v>
      </c>
      <c r="I146" t="s">
        <v>1257</v>
      </c>
      <c r="K146" t="s">
        <v>2119</v>
      </c>
      <c r="L146" t="s">
        <v>32</v>
      </c>
      <c r="M146" t="s">
        <v>33</v>
      </c>
    </row>
    <row r="147" spans="1:13" x14ac:dyDescent="0.35">
      <c r="A147" t="s">
        <v>20</v>
      </c>
      <c r="B147">
        <v>17647</v>
      </c>
      <c r="C147" t="s">
        <v>1252</v>
      </c>
      <c r="D147" t="s">
        <v>1253</v>
      </c>
      <c r="E147" t="s">
        <v>3306</v>
      </c>
      <c r="F147" t="s">
        <v>3687</v>
      </c>
      <c r="G147" t="s">
        <v>3688</v>
      </c>
      <c r="H147" t="s">
        <v>3689</v>
      </c>
      <c r="I147" t="s">
        <v>1257</v>
      </c>
      <c r="K147" t="s">
        <v>2119</v>
      </c>
      <c r="L147" t="s">
        <v>76</v>
      </c>
      <c r="M147" t="s">
        <v>33</v>
      </c>
    </row>
    <row r="148" spans="1:13" x14ac:dyDescent="0.35">
      <c r="A148" t="s">
        <v>20</v>
      </c>
      <c r="B148">
        <v>17647</v>
      </c>
      <c r="C148" t="s">
        <v>1252</v>
      </c>
      <c r="D148" t="s">
        <v>1253</v>
      </c>
      <c r="E148" t="s">
        <v>3310</v>
      </c>
      <c r="F148" t="s">
        <v>3690</v>
      </c>
      <c r="G148" t="s">
        <v>3691</v>
      </c>
      <c r="H148" t="s">
        <v>3692</v>
      </c>
      <c r="I148" t="s">
        <v>1257</v>
      </c>
      <c r="K148" t="s">
        <v>3210</v>
      </c>
      <c r="L148" t="s">
        <v>32</v>
      </c>
      <c r="M148" t="s">
        <v>33</v>
      </c>
    </row>
    <row r="149" spans="1:13" x14ac:dyDescent="0.35">
      <c r="A149" t="s">
        <v>20</v>
      </c>
      <c r="B149">
        <v>17647</v>
      </c>
      <c r="C149" t="s">
        <v>1252</v>
      </c>
      <c r="D149" t="s">
        <v>1253</v>
      </c>
      <c r="E149" t="s">
        <v>3314</v>
      </c>
      <c r="F149" t="s">
        <v>3693</v>
      </c>
      <c r="G149" t="s">
        <v>3694</v>
      </c>
      <c r="H149" t="s">
        <v>3695</v>
      </c>
      <c r="I149" t="s">
        <v>1257</v>
      </c>
      <c r="K149" t="s">
        <v>2119</v>
      </c>
      <c r="L149" t="s">
        <v>76</v>
      </c>
      <c r="M149" t="s">
        <v>33</v>
      </c>
    </row>
    <row r="150" spans="1:13" x14ac:dyDescent="0.35">
      <c r="A150" t="s">
        <v>20</v>
      </c>
      <c r="B150">
        <v>17647</v>
      </c>
      <c r="C150" t="s">
        <v>1252</v>
      </c>
      <c r="D150" t="s">
        <v>1253</v>
      </c>
      <c r="E150" t="s">
        <v>3318</v>
      </c>
      <c r="F150" t="s">
        <v>3696</v>
      </c>
      <c r="G150" t="s">
        <v>3697</v>
      </c>
      <c r="H150" t="s">
        <v>3698</v>
      </c>
      <c r="I150" t="s">
        <v>1257</v>
      </c>
      <c r="K150" t="s">
        <v>3210</v>
      </c>
      <c r="L150" t="s">
        <v>56</v>
      </c>
      <c r="M150" t="s">
        <v>33</v>
      </c>
    </row>
    <row r="151" spans="1:13" x14ac:dyDescent="0.35">
      <c r="A151" t="s">
        <v>20</v>
      </c>
      <c r="B151">
        <v>17647</v>
      </c>
      <c r="C151" t="s">
        <v>1252</v>
      </c>
      <c r="D151" t="s">
        <v>1253</v>
      </c>
      <c r="E151" t="s">
        <v>3322</v>
      </c>
      <c r="F151" t="s">
        <v>3699</v>
      </c>
      <c r="G151" t="s">
        <v>3700</v>
      </c>
      <c r="H151" t="s">
        <v>3701</v>
      </c>
      <c r="I151" t="s">
        <v>1257</v>
      </c>
      <c r="K151" t="s">
        <v>3210</v>
      </c>
      <c r="L151" t="s">
        <v>32</v>
      </c>
      <c r="M151" t="s">
        <v>33</v>
      </c>
    </row>
    <row r="152" spans="1:13" x14ac:dyDescent="0.35">
      <c r="A152" t="s">
        <v>20</v>
      </c>
      <c r="B152">
        <v>17647</v>
      </c>
      <c r="C152" t="s">
        <v>1252</v>
      </c>
      <c r="D152" t="s">
        <v>1253</v>
      </c>
      <c r="E152" t="s">
        <v>3327</v>
      </c>
      <c r="F152" t="s">
        <v>3702</v>
      </c>
      <c r="G152" t="s">
        <v>3703</v>
      </c>
      <c r="H152" t="s">
        <v>3704</v>
      </c>
      <c r="I152" t="s">
        <v>1257</v>
      </c>
      <c r="K152" t="s">
        <v>3302</v>
      </c>
      <c r="L152" t="s">
        <v>56</v>
      </c>
      <c r="M152" t="s">
        <v>33</v>
      </c>
    </row>
    <row r="153" spans="1:13" x14ac:dyDescent="0.35">
      <c r="A153" t="s">
        <v>20</v>
      </c>
      <c r="B153">
        <v>17647</v>
      </c>
      <c r="C153" t="s">
        <v>1252</v>
      </c>
      <c r="D153" t="s">
        <v>1253</v>
      </c>
      <c r="E153" t="s">
        <v>3331</v>
      </c>
      <c r="F153" t="s">
        <v>3705</v>
      </c>
      <c r="G153" t="s">
        <v>3706</v>
      </c>
      <c r="H153" t="s">
        <v>3707</v>
      </c>
      <c r="I153" t="s">
        <v>1257</v>
      </c>
      <c r="K153" t="s">
        <v>3326</v>
      </c>
      <c r="L153" t="s">
        <v>56</v>
      </c>
      <c r="M153" t="s">
        <v>33</v>
      </c>
    </row>
    <row r="154" spans="1:13" x14ac:dyDescent="0.35">
      <c r="A154" t="s">
        <v>20</v>
      </c>
      <c r="B154">
        <v>17647</v>
      </c>
      <c r="C154" t="s">
        <v>1252</v>
      </c>
      <c r="D154" t="s">
        <v>1253</v>
      </c>
      <c r="E154" t="s">
        <v>3335</v>
      </c>
      <c r="F154" t="s">
        <v>3708</v>
      </c>
      <c r="G154" t="s">
        <v>3709</v>
      </c>
      <c r="H154" t="s">
        <v>3710</v>
      </c>
      <c r="I154" t="s">
        <v>1257</v>
      </c>
      <c r="K154" t="s">
        <v>3302</v>
      </c>
      <c r="L154" t="s">
        <v>76</v>
      </c>
      <c r="M154" t="s">
        <v>33</v>
      </c>
    </row>
    <row r="155" spans="1:13" x14ac:dyDescent="0.35">
      <c r="A155" t="s">
        <v>20</v>
      </c>
      <c r="B155">
        <v>17647</v>
      </c>
      <c r="C155" t="s">
        <v>1252</v>
      </c>
      <c r="D155" t="s">
        <v>1253</v>
      </c>
      <c r="E155" t="s">
        <v>3339</v>
      </c>
      <c r="F155" t="s">
        <v>3711</v>
      </c>
      <c r="G155" t="s">
        <v>3712</v>
      </c>
      <c r="H155" t="s">
        <v>3713</v>
      </c>
      <c r="I155" t="s">
        <v>1257</v>
      </c>
      <c r="K155" t="s">
        <v>3326</v>
      </c>
      <c r="L155" t="s">
        <v>32</v>
      </c>
      <c r="M155" t="s">
        <v>33</v>
      </c>
    </row>
    <row r="156" spans="1:13" x14ac:dyDescent="0.35">
      <c r="A156" t="s">
        <v>20</v>
      </c>
      <c r="B156">
        <v>17647</v>
      </c>
      <c r="C156" t="s">
        <v>1252</v>
      </c>
      <c r="D156" t="s">
        <v>1253</v>
      </c>
      <c r="E156" t="s">
        <v>3343</v>
      </c>
      <c r="F156" t="s">
        <v>3714</v>
      </c>
      <c r="G156" t="s">
        <v>3715</v>
      </c>
      <c r="H156" t="s">
        <v>3716</v>
      </c>
      <c r="I156" t="s">
        <v>1257</v>
      </c>
      <c r="K156" t="s">
        <v>3326</v>
      </c>
      <c r="L156" t="s">
        <v>56</v>
      </c>
      <c r="M156" t="s">
        <v>33</v>
      </c>
    </row>
    <row r="157" spans="1:13" x14ac:dyDescent="0.35">
      <c r="A157" t="s">
        <v>20</v>
      </c>
      <c r="B157">
        <v>17647</v>
      </c>
      <c r="C157" t="s">
        <v>1252</v>
      </c>
      <c r="D157" t="s">
        <v>1253</v>
      </c>
      <c r="E157" t="s">
        <v>3347</v>
      </c>
      <c r="F157" t="s">
        <v>3717</v>
      </c>
      <c r="G157" t="s">
        <v>3718</v>
      </c>
      <c r="H157" t="s">
        <v>3719</v>
      </c>
      <c r="I157" t="s">
        <v>1257</v>
      </c>
      <c r="K157" t="s">
        <v>2119</v>
      </c>
      <c r="L157" t="s">
        <v>76</v>
      </c>
      <c r="M157" t="s">
        <v>33</v>
      </c>
    </row>
    <row r="158" spans="1:13" x14ac:dyDescent="0.35">
      <c r="A158" t="s">
        <v>20</v>
      </c>
      <c r="B158">
        <v>17647</v>
      </c>
      <c r="C158" t="s">
        <v>1252</v>
      </c>
      <c r="D158" t="s">
        <v>1253</v>
      </c>
      <c r="E158" t="s">
        <v>3351</v>
      </c>
      <c r="F158" t="s">
        <v>3720</v>
      </c>
      <c r="G158" t="s">
        <v>3721</v>
      </c>
      <c r="H158" t="s">
        <v>3722</v>
      </c>
      <c r="I158" t="s">
        <v>1257</v>
      </c>
      <c r="K158" t="s">
        <v>3326</v>
      </c>
      <c r="L158" t="s">
        <v>56</v>
      </c>
      <c r="M158" t="s">
        <v>33</v>
      </c>
    </row>
    <row r="159" spans="1:13" x14ac:dyDescent="0.35">
      <c r="A159" t="s">
        <v>20</v>
      </c>
      <c r="B159">
        <v>17647</v>
      </c>
      <c r="C159" t="s">
        <v>1252</v>
      </c>
      <c r="D159" t="s">
        <v>1253</v>
      </c>
      <c r="E159" t="s">
        <v>3206</v>
      </c>
      <c r="F159" t="s">
        <v>3723</v>
      </c>
      <c r="G159" t="s">
        <v>3724</v>
      </c>
      <c r="H159" t="s">
        <v>3725</v>
      </c>
      <c r="I159" t="s">
        <v>1395</v>
      </c>
      <c r="K159" t="s">
        <v>85</v>
      </c>
      <c r="L159" t="s">
        <v>56</v>
      </c>
      <c r="M159" t="s">
        <v>33</v>
      </c>
    </row>
    <row r="160" spans="1:13" x14ac:dyDescent="0.35">
      <c r="A160" t="s">
        <v>20</v>
      </c>
      <c r="B160">
        <v>17647</v>
      </c>
      <c r="C160" t="s">
        <v>1252</v>
      </c>
      <c r="D160" t="s">
        <v>1253</v>
      </c>
      <c r="E160" t="s">
        <v>3211</v>
      </c>
      <c r="F160" t="s">
        <v>3726</v>
      </c>
      <c r="G160" t="s">
        <v>3727</v>
      </c>
      <c r="H160" t="s">
        <v>3728</v>
      </c>
      <c r="I160" t="s">
        <v>1395</v>
      </c>
      <c r="K160" t="s">
        <v>85</v>
      </c>
      <c r="L160" t="s">
        <v>32</v>
      </c>
      <c r="M160" t="s">
        <v>33</v>
      </c>
    </row>
    <row r="161" spans="1:13" x14ac:dyDescent="0.35">
      <c r="A161" t="s">
        <v>20</v>
      </c>
      <c r="B161">
        <v>17647</v>
      </c>
      <c r="C161" t="s">
        <v>1252</v>
      </c>
      <c r="D161" t="s">
        <v>1253</v>
      </c>
      <c r="E161" t="s">
        <v>3215</v>
      </c>
      <c r="F161" t="s">
        <v>3729</v>
      </c>
      <c r="G161" t="s">
        <v>3730</v>
      </c>
      <c r="H161" t="s">
        <v>3731</v>
      </c>
      <c r="I161" t="s">
        <v>1395</v>
      </c>
      <c r="K161" t="s">
        <v>3223</v>
      </c>
      <c r="L161" t="s">
        <v>56</v>
      </c>
      <c r="M161" t="s">
        <v>33</v>
      </c>
    </row>
    <row r="162" spans="1:13" x14ac:dyDescent="0.35">
      <c r="A162" t="s">
        <v>20</v>
      </c>
      <c r="B162">
        <v>17647</v>
      </c>
      <c r="C162" t="s">
        <v>1252</v>
      </c>
      <c r="D162" t="s">
        <v>1253</v>
      </c>
      <c r="E162" t="s">
        <v>3219</v>
      </c>
      <c r="F162" t="s">
        <v>3732</v>
      </c>
      <c r="G162" t="s">
        <v>3733</v>
      </c>
      <c r="H162" t="s">
        <v>3734</v>
      </c>
      <c r="I162" t="s">
        <v>1395</v>
      </c>
      <c r="K162" t="s">
        <v>85</v>
      </c>
      <c r="L162" t="s">
        <v>56</v>
      </c>
      <c r="M162" t="s">
        <v>33</v>
      </c>
    </row>
    <row r="163" spans="1:13" x14ac:dyDescent="0.35">
      <c r="A163" t="s">
        <v>20</v>
      </c>
      <c r="B163">
        <v>17647</v>
      </c>
      <c r="C163" t="s">
        <v>1252</v>
      </c>
      <c r="D163" t="s">
        <v>1253</v>
      </c>
      <c r="E163" t="s">
        <v>3224</v>
      </c>
      <c r="F163" t="s">
        <v>3735</v>
      </c>
      <c r="G163" t="s">
        <v>3736</v>
      </c>
      <c r="H163" t="s">
        <v>3737</v>
      </c>
      <c r="I163" t="s">
        <v>1395</v>
      </c>
      <c r="K163" t="s">
        <v>3244</v>
      </c>
      <c r="L163" t="s">
        <v>56</v>
      </c>
      <c r="M163" t="s">
        <v>33</v>
      </c>
    </row>
    <row r="164" spans="1:13" x14ac:dyDescent="0.35">
      <c r="A164" t="s">
        <v>20</v>
      </c>
      <c r="B164">
        <v>17647</v>
      </c>
      <c r="C164" t="s">
        <v>1252</v>
      </c>
      <c r="D164" t="s">
        <v>1253</v>
      </c>
      <c r="E164" t="s">
        <v>3228</v>
      </c>
      <c r="F164" t="s">
        <v>3738</v>
      </c>
      <c r="G164" t="s">
        <v>3739</v>
      </c>
      <c r="H164" t="s">
        <v>3740</v>
      </c>
      <c r="I164" t="s">
        <v>1395</v>
      </c>
      <c r="K164" t="s">
        <v>85</v>
      </c>
      <c r="L164" t="s">
        <v>76</v>
      </c>
      <c r="M164" t="s">
        <v>33</v>
      </c>
    </row>
    <row r="165" spans="1:13" x14ac:dyDescent="0.35">
      <c r="A165" t="s">
        <v>20</v>
      </c>
      <c r="B165">
        <v>17647</v>
      </c>
      <c r="C165" t="s">
        <v>1252</v>
      </c>
      <c r="D165" t="s">
        <v>1253</v>
      </c>
      <c r="E165" t="s">
        <v>3233</v>
      </c>
      <c r="F165" t="s">
        <v>3741</v>
      </c>
      <c r="G165" t="s">
        <v>3742</v>
      </c>
      <c r="H165" t="s">
        <v>3743</v>
      </c>
      <c r="I165" t="s">
        <v>1395</v>
      </c>
      <c r="K165" t="s">
        <v>2119</v>
      </c>
      <c r="L165" t="s">
        <v>56</v>
      </c>
      <c r="M165" t="s">
        <v>33</v>
      </c>
    </row>
    <row r="166" spans="1:13" x14ac:dyDescent="0.35">
      <c r="A166" t="s">
        <v>20</v>
      </c>
      <c r="B166">
        <v>17647</v>
      </c>
      <c r="C166" t="s">
        <v>1252</v>
      </c>
      <c r="D166" t="s">
        <v>1253</v>
      </c>
      <c r="E166" t="s">
        <v>3237</v>
      </c>
      <c r="F166" t="s">
        <v>3744</v>
      </c>
      <c r="G166" t="s">
        <v>3745</v>
      </c>
      <c r="H166" t="s">
        <v>3746</v>
      </c>
      <c r="I166" t="s">
        <v>1395</v>
      </c>
      <c r="K166" t="s">
        <v>2119</v>
      </c>
      <c r="L166" t="s">
        <v>32</v>
      </c>
      <c r="M166" t="s">
        <v>33</v>
      </c>
    </row>
    <row r="167" spans="1:13" x14ac:dyDescent="0.35">
      <c r="A167" t="s">
        <v>20</v>
      </c>
      <c r="B167">
        <v>17647</v>
      </c>
      <c r="C167" t="s">
        <v>1252</v>
      </c>
      <c r="D167" t="s">
        <v>1253</v>
      </c>
      <c r="E167" t="s">
        <v>3240</v>
      </c>
      <c r="F167" t="s">
        <v>3747</v>
      </c>
      <c r="G167" t="s">
        <v>3748</v>
      </c>
      <c r="H167" t="s">
        <v>3749</v>
      </c>
      <c r="I167" t="s">
        <v>1395</v>
      </c>
      <c r="K167" t="s">
        <v>3210</v>
      </c>
      <c r="L167" t="s">
        <v>56</v>
      </c>
      <c r="M167" t="s">
        <v>33</v>
      </c>
    </row>
    <row r="168" spans="1:13" x14ac:dyDescent="0.35">
      <c r="A168" t="s">
        <v>20</v>
      </c>
      <c r="B168">
        <v>17647</v>
      </c>
      <c r="C168" t="s">
        <v>1252</v>
      </c>
      <c r="D168" t="s">
        <v>1253</v>
      </c>
      <c r="E168" t="s">
        <v>3245</v>
      </c>
      <c r="F168" t="s">
        <v>3750</v>
      </c>
      <c r="G168" t="s">
        <v>3751</v>
      </c>
      <c r="H168" t="s">
        <v>3752</v>
      </c>
      <c r="I168" t="s">
        <v>1395</v>
      </c>
      <c r="K168" t="s">
        <v>2119</v>
      </c>
      <c r="L168" t="s">
        <v>32</v>
      </c>
      <c r="M168" t="s">
        <v>33</v>
      </c>
    </row>
    <row r="169" spans="1:13" x14ac:dyDescent="0.35">
      <c r="A169" t="s">
        <v>20</v>
      </c>
      <c r="B169">
        <v>17647</v>
      </c>
      <c r="C169" t="s">
        <v>1252</v>
      </c>
      <c r="D169" t="s">
        <v>1253</v>
      </c>
      <c r="E169" t="s">
        <v>3249</v>
      </c>
      <c r="F169" t="s">
        <v>3753</v>
      </c>
      <c r="G169" t="s">
        <v>3754</v>
      </c>
      <c r="H169" t="s">
        <v>3755</v>
      </c>
      <c r="I169" t="s">
        <v>1395</v>
      </c>
      <c r="K169" t="s">
        <v>3223</v>
      </c>
      <c r="L169" t="s">
        <v>32</v>
      </c>
      <c r="M169" t="s">
        <v>33</v>
      </c>
    </row>
    <row r="170" spans="1:13" x14ac:dyDescent="0.35">
      <c r="A170" t="s">
        <v>20</v>
      </c>
      <c r="B170">
        <v>17647</v>
      </c>
      <c r="C170" t="s">
        <v>1252</v>
      </c>
      <c r="D170" t="s">
        <v>1253</v>
      </c>
      <c r="E170" t="s">
        <v>3253</v>
      </c>
      <c r="F170" t="s">
        <v>3756</v>
      </c>
      <c r="G170" t="s">
        <v>3757</v>
      </c>
      <c r="H170" t="s">
        <v>3758</v>
      </c>
      <c r="I170" t="s">
        <v>1395</v>
      </c>
      <c r="K170" t="s">
        <v>3302</v>
      </c>
      <c r="L170" t="s">
        <v>56</v>
      </c>
      <c r="M170" t="s">
        <v>33</v>
      </c>
    </row>
    <row r="171" spans="1:13" x14ac:dyDescent="0.35">
      <c r="A171" t="s">
        <v>20</v>
      </c>
      <c r="B171">
        <v>17647</v>
      </c>
      <c r="C171" t="s">
        <v>1252</v>
      </c>
      <c r="D171" t="s">
        <v>1253</v>
      </c>
      <c r="E171" t="s">
        <v>3257</v>
      </c>
      <c r="F171" t="s">
        <v>3759</v>
      </c>
      <c r="G171" t="s">
        <v>3760</v>
      </c>
      <c r="H171" t="s">
        <v>3761</v>
      </c>
      <c r="I171" t="s">
        <v>1395</v>
      </c>
      <c r="K171" t="s">
        <v>2119</v>
      </c>
      <c r="L171" t="s">
        <v>76</v>
      </c>
      <c r="M171" t="s">
        <v>33</v>
      </c>
    </row>
    <row r="172" spans="1:13" x14ac:dyDescent="0.35">
      <c r="A172" t="s">
        <v>20</v>
      </c>
      <c r="B172">
        <v>17647</v>
      </c>
      <c r="C172" t="s">
        <v>1252</v>
      </c>
      <c r="D172" t="s">
        <v>1253</v>
      </c>
      <c r="E172" t="s">
        <v>3261</v>
      </c>
      <c r="F172" t="s">
        <v>3762</v>
      </c>
      <c r="G172" t="s">
        <v>3763</v>
      </c>
      <c r="H172" t="s">
        <v>3764</v>
      </c>
      <c r="I172" t="s">
        <v>1395</v>
      </c>
      <c r="K172" t="s">
        <v>3232</v>
      </c>
      <c r="L172" t="s">
        <v>76</v>
      </c>
      <c r="M172" t="s">
        <v>33</v>
      </c>
    </row>
    <row r="173" spans="1:13" x14ac:dyDescent="0.35">
      <c r="A173" t="s">
        <v>20</v>
      </c>
      <c r="B173">
        <v>17647</v>
      </c>
      <c r="C173" t="s">
        <v>1252</v>
      </c>
      <c r="D173" t="s">
        <v>1253</v>
      </c>
      <c r="E173" t="s">
        <v>3265</v>
      </c>
      <c r="F173" t="s">
        <v>3765</v>
      </c>
      <c r="G173" t="s">
        <v>3766</v>
      </c>
      <c r="H173" t="s">
        <v>3767</v>
      </c>
      <c r="I173" t="s">
        <v>1395</v>
      </c>
      <c r="K173" t="s">
        <v>3210</v>
      </c>
      <c r="L173" t="s">
        <v>56</v>
      </c>
      <c r="M173" t="s">
        <v>33</v>
      </c>
    </row>
    <row r="174" spans="1:13" x14ac:dyDescent="0.35">
      <c r="A174" t="s">
        <v>20</v>
      </c>
      <c r="B174">
        <v>17647</v>
      </c>
      <c r="C174" t="s">
        <v>1252</v>
      </c>
      <c r="D174" t="s">
        <v>1253</v>
      </c>
      <c r="E174" t="s">
        <v>3269</v>
      </c>
      <c r="F174" t="s">
        <v>3768</v>
      </c>
      <c r="G174" t="s">
        <v>3769</v>
      </c>
      <c r="H174" t="s">
        <v>3770</v>
      </c>
      <c r="I174" t="s">
        <v>1395</v>
      </c>
      <c r="K174" t="s">
        <v>3210</v>
      </c>
      <c r="L174" t="s">
        <v>56</v>
      </c>
      <c r="M174" t="s">
        <v>33</v>
      </c>
    </row>
    <row r="175" spans="1:13" x14ac:dyDescent="0.35">
      <c r="A175" t="s">
        <v>20</v>
      </c>
      <c r="B175">
        <v>17647</v>
      </c>
      <c r="C175" t="s">
        <v>1252</v>
      </c>
      <c r="D175" t="s">
        <v>1253</v>
      </c>
      <c r="E175" t="s">
        <v>3273</v>
      </c>
      <c r="F175" t="s">
        <v>3771</v>
      </c>
      <c r="G175" t="s">
        <v>3772</v>
      </c>
      <c r="H175" t="s">
        <v>3773</v>
      </c>
      <c r="I175" t="s">
        <v>1395</v>
      </c>
      <c r="K175" t="s">
        <v>3210</v>
      </c>
      <c r="L175" t="s">
        <v>56</v>
      </c>
      <c r="M175" t="s">
        <v>33</v>
      </c>
    </row>
    <row r="176" spans="1:13" x14ac:dyDescent="0.35">
      <c r="A176" t="s">
        <v>20</v>
      </c>
      <c r="B176">
        <v>17647</v>
      </c>
      <c r="C176" t="s">
        <v>1252</v>
      </c>
      <c r="D176" t="s">
        <v>1253</v>
      </c>
      <c r="E176" t="s">
        <v>3278</v>
      </c>
      <c r="F176" t="s">
        <v>3774</v>
      </c>
      <c r="G176" t="s">
        <v>3775</v>
      </c>
      <c r="H176" t="s">
        <v>3776</v>
      </c>
      <c r="I176" t="s">
        <v>1395</v>
      </c>
      <c r="K176" t="s">
        <v>3076</v>
      </c>
      <c r="L176" t="s">
        <v>56</v>
      </c>
      <c r="M176" t="s">
        <v>33</v>
      </c>
    </row>
    <row r="177" spans="1:13" x14ac:dyDescent="0.35">
      <c r="A177" t="s">
        <v>20</v>
      </c>
      <c r="B177">
        <v>17647</v>
      </c>
      <c r="C177" t="s">
        <v>1252</v>
      </c>
      <c r="D177" t="s">
        <v>1253</v>
      </c>
      <c r="E177" t="s">
        <v>3282</v>
      </c>
      <c r="F177" t="s">
        <v>3777</v>
      </c>
      <c r="G177" t="s">
        <v>3778</v>
      </c>
      <c r="H177" t="s">
        <v>3779</v>
      </c>
      <c r="I177" t="s">
        <v>1395</v>
      </c>
      <c r="K177" t="s">
        <v>3210</v>
      </c>
      <c r="L177" t="s">
        <v>56</v>
      </c>
      <c r="M177" t="s">
        <v>33</v>
      </c>
    </row>
    <row r="178" spans="1:13" x14ac:dyDescent="0.35">
      <c r="A178" t="s">
        <v>20</v>
      </c>
      <c r="B178">
        <v>17647</v>
      </c>
      <c r="C178" t="s">
        <v>1252</v>
      </c>
      <c r="D178" t="s">
        <v>1253</v>
      </c>
      <c r="E178" t="s">
        <v>3286</v>
      </c>
      <c r="F178" t="s">
        <v>3780</v>
      </c>
      <c r="G178" t="s">
        <v>3781</v>
      </c>
      <c r="H178" t="s">
        <v>3782</v>
      </c>
      <c r="I178" t="s">
        <v>1395</v>
      </c>
      <c r="K178" t="s">
        <v>85</v>
      </c>
      <c r="L178" t="s">
        <v>56</v>
      </c>
      <c r="M178" t="s">
        <v>33</v>
      </c>
    </row>
    <row r="179" spans="1:13" x14ac:dyDescent="0.35">
      <c r="A179" t="s">
        <v>20</v>
      </c>
      <c r="B179">
        <v>17643</v>
      </c>
      <c r="C179" t="s">
        <v>426</v>
      </c>
      <c r="D179" t="s">
        <v>427</v>
      </c>
      <c r="E179" t="s">
        <v>3303</v>
      </c>
      <c r="F179" t="s">
        <v>3372</v>
      </c>
      <c r="G179" t="s">
        <v>3373</v>
      </c>
      <c r="H179" t="s">
        <v>3374</v>
      </c>
      <c r="I179" t="s">
        <v>557</v>
      </c>
      <c r="K179" t="s">
        <v>3210</v>
      </c>
      <c r="L179" t="s">
        <v>32</v>
      </c>
      <c r="M179" t="s">
        <v>33</v>
      </c>
    </row>
    <row r="180" spans="1:13" x14ac:dyDescent="0.35">
      <c r="A180" t="s">
        <v>20</v>
      </c>
      <c r="B180">
        <v>17643</v>
      </c>
      <c r="C180" t="s">
        <v>426</v>
      </c>
      <c r="D180" t="s">
        <v>427</v>
      </c>
      <c r="E180" t="s">
        <v>3306</v>
      </c>
      <c r="F180" t="s">
        <v>3375</v>
      </c>
      <c r="G180" t="s">
        <v>3376</v>
      </c>
      <c r="H180" t="s">
        <v>3377</v>
      </c>
      <c r="I180" t="s">
        <v>557</v>
      </c>
      <c r="K180" t="s">
        <v>3326</v>
      </c>
      <c r="L180" t="s">
        <v>56</v>
      </c>
      <c r="M180" t="s">
        <v>33</v>
      </c>
    </row>
    <row r="181" spans="1:13" x14ac:dyDescent="0.35">
      <c r="A181" t="s">
        <v>20</v>
      </c>
      <c r="B181">
        <v>17643</v>
      </c>
      <c r="C181" t="s">
        <v>426</v>
      </c>
      <c r="D181" t="s">
        <v>427</v>
      </c>
      <c r="E181" t="s">
        <v>3310</v>
      </c>
      <c r="F181" t="s">
        <v>3378</v>
      </c>
      <c r="G181" t="s">
        <v>3379</v>
      </c>
      <c r="H181" t="s">
        <v>3380</v>
      </c>
      <c r="I181" t="s">
        <v>557</v>
      </c>
      <c r="K181" t="s">
        <v>3244</v>
      </c>
      <c r="L181" t="s">
        <v>32</v>
      </c>
      <c r="M181" t="s">
        <v>33</v>
      </c>
    </row>
    <row r="182" spans="1:13" x14ac:dyDescent="0.35">
      <c r="A182" t="s">
        <v>20</v>
      </c>
      <c r="B182">
        <v>17643</v>
      </c>
      <c r="C182" t="s">
        <v>426</v>
      </c>
      <c r="D182" t="s">
        <v>427</v>
      </c>
      <c r="E182" t="s">
        <v>3314</v>
      </c>
      <c r="F182" t="s">
        <v>3381</v>
      </c>
      <c r="G182" t="s">
        <v>3382</v>
      </c>
      <c r="H182" t="s">
        <v>3383</v>
      </c>
      <c r="I182" t="s">
        <v>557</v>
      </c>
      <c r="K182" t="s">
        <v>3210</v>
      </c>
      <c r="L182" t="s">
        <v>56</v>
      </c>
      <c r="M182" t="s">
        <v>33</v>
      </c>
    </row>
    <row r="183" spans="1:13" x14ac:dyDescent="0.35">
      <c r="A183" t="s">
        <v>20</v>
      </c>
      <c r="B183">
        <v>17643</v>
      </c>
      <c r="C183" t="s">
        <v>426</v>
      </c>
      <c r="D183" t="s">
        <v>427</v>
      </c>
      <c r="E183" t="s">
        <v>3318</v>
      </c>
      <c r="F183" t="s">
        <v>3384</v>
      </c>
      <c r="G183" t="s">
        <v>3385</v>
      </c>
      <c r="H183" t="s">
        <v>3386</v>
      </c>
      <c r="I183" t="s">
        <v>557</v>
      </c>
      <c r="K183" t="s">
        <v>3210</v>
      </c>
      <c r="L183" t="s">
        <v>32</v>
      </c>
      <c r="M183" t="s">
        <v>33</v>
      </c>
    </row>
    <row r="184" spans="1:13" x14ac:dyDescent="0.35">
      <c r="A184" t="s">
        <v>20</v>
      </c>
      <c r="B184">
        <v>17643</v>
      </c>
      <c r="C184" t="s">
        <v>426</v>
      </c>
      <c r="D184" t="s">
        <v>427</v>
      </c>
      <c r="E184" t="s">
        <v>3327</v>
      </c>
      <c r="F184" t="s">
        <v>3387</v>
      </c>
      <c r="G184" t="s">
        <v>3388</v>
      </c>
      <c r="H184" t="s">
        <v>3389</v>
      </c>
      <c r="I184" t="s">
        <v>557</v>
      </c>
      <c r="K184" t="s">
        <v>3210</v>
      </c>
      <c r="L184" t="s">
        <v>32</v>
      </c>
      <c r="M184" t="s">
        <v>33</v>
      </c>
    </row>
    <row r="185" spans="1:13" x14ac:dyDescent="0.35">
      <c r="A185" t="s">
        <v>20</v>
      </c>
      <c r="B185">
        <v>17643</v>
      </c>
      <c r="C185" t="s">
        <v>426</v>
      </c>
      <c r="D185" t="s">
        <v>427</v>
      </c>
      <c r="E185" t="s">
        <v>3322</v>
      </c>
      <c r="F185" t="s">
        <v>3390</v>
      </c>
      <c r="G185" t="s">
        <v>3391</v>
      </c>
      <c r="H185" t="s">
        <v>3392</v>
      </c>
      <c r="I185" t="s">
        <v>557</v>
      </c>
      <c r="K185" t="s">
        <v>3210</v>
      </c>
      <c r="L185" t="s">
        <v>32</v>
      </c>
      <c r="M185" t="s">
        <v>33</v>
      </c>
    </row>
    <row r="186" spans="1:13" x14ac:dyDescent="0.35">
      <c r="A186" t="s">
        <v>20</v>
      </c>
      <c r="B186">
        <v>17643</v>
      </c>
      <c r="C186" t="s">
        <v>426</v>
      </c>
      <c r="D186" t="s">
        <v>427</v>
      </c>
      <c r="E186" t="s">
        <v>3331</v>
      </c>
      <c r="F186" t="s">
        <v>3393</v>
      </c>
      <c r="G186" t="s">
        <v>3394</v>
      </c>
      <c r="H186" t="s">
        <v>3395</v>
      </c>
      <c r="I186" t="s">
        <v>557</v>
      </c>
      <c r="K186" t="s">
        <v>3359</v>
      </c>
      <c r="L186" t="s">
        <v>32</v>
      </c>
      <c r="M186" t="s">
        <v>33</v>
      </c>
    </row>
    <row r="187" spans="1:13" x14ac:dyDescent="0.35">
      <c r="A187" t="s">
        <v>20</v>
      </c>
      <c r="B187">
        <v>17643</v>
      </c>
      <c r="C187" t="s">
        <v>426</v>
      </c>
      <c r="D187" t="s">
        <v>427</v>
      </c>
      <c r="E187" t="s">
        <v>3335</v>
      </c>
      <c r="F187" t="s">
        <v>3396</v>
      </c>
      <c r="G187" t="s">
        <v>3397</v>
      </c>
      <c r="H187" t="s">
        <v>3398</v>
      </c>
      <c r="I187" t="s">
        <v>557</v>
      </c>
      <c r="K187" t="s">
        <v>2119</v>
      </c>
      <c r="L187" t="s">
        <v>76</v>
      </c>
      <c r="M187" t="s">
        <v>33</v>
      </c>
    </row>
    <row r="188" spans="1:13" x14ac:dyDescent="0.35">
      <c r="A188" t="s">
        <v>20</v>
      </c>
      <c r="B188">
        <v>17643</v>
      </c>
      <c r="C188" t="s">
        <v>426</v>
      </c>
      <c r="D188" t="s">
        <v>427</v>
      </c>
      <c r="E188" t="s">
        <v>3339</v>
      </c>
      <c r="F188" t="s">
        <v>3399</v>
      </c>
      <c r="G188" t="s">
        <v>3400</v>
      </c>
      <c r="H188" t="s">
        <v>3401</v>
      </c>
      <c r="I188" t="s">
        <v>557</v>
      </c>
      <c r="J188" t="s">
        <v>1568</v>
      </c>
      <c r="K188" t="s">
        <v>3302</v>
      </c>
      <c r="L188" t="s">
        <v>76</v>
      </c>
      <c r="M188" t="s">
        <v>33</v>
      </c>
    </row>
    <row r="189" spans="1:13" x14ac:dyDescent="0.35">
      <c r="A189" t="s">
        <v>20</v>
      </c>
      <c r="B189">
        <v>17643</v>
      </c>
      <c r="C189" t="s">
        <v>426</v>
      </c>
      <c r="D189" t="s">
        <v>427</v>
      </c>
      <c r="E189" t="s">
        <v>3343</v>
      </c>
      <c r="F189" t="s">
        <v>3402</v>
      </c>
      <c r="G189" t="s">
        <v>3403</v>
      </c>
      <c r="H189" t="s">
        <v>3404</v>
      </c>
      <c r="I189" t="s">
        <v>557</v>
      </c>
      <c r="K189" t="s">
        <v>3232</v>
      </c>
      <c r="L189" t="s">
        <v>32</v>
      </c>
      <c r="M189" t="s">
        <v>33</v>
      </c>
    </row>
    <row r="190" spans="1:13" x14ac:dyDescent="0.35">
      <c r="A190" t="s">
        <v>20</v>
      </c>
      <c r="B190">
        <v>17643</v>
      </c>
      <c r="C190" t="s">
        <v>426</v>
      </c>
      <c r="D190" t="s">
        <v>427</v>
      </c>
      <c r="E190" t="s">
        <v>3347</v>
      </c>
      <c r="F190" t="s">
        <v>3405</v>
      </c>
      <c r="G190" t="s">
        <v>3406</v>
      </c>
      <c r="H190" t="s">
        <v>3407</v>
      </c>
      <c r="I190" t="s">
        <v>557</v>
      </c>
      <c r="K190" t="s">
        <v>3210</v>
      </c>
      <c r="L190" t="s">
        <v>56</v>
      </c>
      <c r="M190" t="s">
        <v>33</v>
      </c>
    </row>
    <row r="191" spans="1:13" x14ac:dyDescent="0.35">
      <c r="A191" t="s">
        <v>20</v>
      </c>
      <c r="B191">
        <v>17643</v>
      </c>
      <c r="C191" t="s">
        <v>426</v>
      </c>
      <c r="D191" t="s">
        <v>427</v>
      </c>
      <c r="E191" t="s">
        <v>3351</v>
      </c>
      <c r="F191" t="s">
        <v>3408</v>
      </c>
      <c r="G191" t="s">
        <v>3409</v>
      </c>
      <c r="H191" t="s">
        <v>3410</v>
      </c>
      <c r="I191" t="s">
        <v>557</v>
      </c>
      <c r="K191" t="s">
        <v>2119</v>
      </c>
      <c r="L191" t="s">
        <v>32</v>
      </c>
      <c r="M191" t="s">
        <v>33</v>
      </c>
    </row>
    <row r="192" spans="1:13" x14ac:dyDescent="0.35">
      <c r="A192" t="s">
        <v>20</v>
      </c>
      <c r="B192">
        <v>17643</v>
      </c>
      <c r="C192" t="s">
        <v>426</v>
      </c>
      <c r="D192" t="s">
        <v>427</v>
      </c>
      <c r="E192" t="s">
        <v>3355</v>
      </c>
      <c r="F192" t="s">
        <v>3411</v>
      </c>
      <c r="G192" t="s">
        <v>3412</v>
      </c>
      <c r="H192" t="s">
        <v>3413</v>
      </c>
      <c r="I192" t="s">
        <v>557</v>
      </c>
      <c r="K192" t="s">
        <v>2119</v>
      </c>
      <c r="L192" t="s">
        <v>76</v>
      </c>
      <c r="M192" t="s">
        <v>33</v>
      </c>
    </row>
    <row r="193" spans="1:13" x14ac:dyDescent="0.35">
      <c r="A193" t="s">
        <v>20</v>
      </c>
      <c r="B193">
        <v>17643</v>
      </c>
      <c r="C193" t="s">
        <v>426</v>
      </c>
      <c r="D193" t="s">
        <v>427</v>
      </c>
      <c r="E193" t="s">
        <v>3206</v>
      </c>
      <c r="F193" t="s">
        <v>3414</v>
      </c>
      <c r="G193" t="s">
        <v>3415</v>
      </c>
      <c r="H193" t="s">
        <v>3416</v>
      </c>
      <c r="I193" t="s">
        <v>431</v>
      </c>
      <c r="K193" t="s">
        <v>3210</v>
      </c>
      <c r="L193" t="s">
        <v>76</v>
      </c>
      <c r="M193" t="s">
        <v>33</v>
      </c>
    </row>
    <row r="194" spans="1:13" x14ac:dyDescent="0.35">
      <c r="A194" t="s">
        <v>20</v>
      </c>
      <c r="B194">
        <v>17643</v>
      </c>
      <c r="C194" t="s">
        <v>426</v>
      </c>
      <c r="D194" t="s">
        <v>427</v>
      </c>
      <c r="E194" t="s">
        <v>3211</v>
      </c>
      <c r="F194" t="s">
        <v>3417</v>
      </c>
      <c r="G194" t="s">
        <v>3418</v>
      </c>
      <c r="H194" t="s">
        <v>3419</v>
      </c>
      <c r="I194" t="s">
        <v>431</v>
      </c>
      <c r="K194" t="s">
        <v>3210</v>
      </c>
      <c r="L194" t="s">
        <v>56</v>
      </c>
      <c r="M194" t="s">
        <v>33</v>
      </c>
    </row>
    <row r="195" spans="1:13" x14ac:dyDescent="0.35">
      <c r="A195" t="s">
        <v>20</v>
      </c>
      <c r="B195">
        <v>17643</v>
      </c>
      <c r="C195" t="s">
        <v>426</v>
      </c>
      <c r="D195" t="s">
        <v>427</v>
      </c>
      <c r="E195" t="s">
        <v>3215</v>
      </c>
      <c r="F195" t="s">
        <v>3420</v>
      </c>
      <c r="G195" t="s">
        <v>3421</v>
      </c>
      <c r="H195" t="s">
        <v>3422</v>
      </c>
      <c r="I195" t="s">
        <v>431</v>
      </c>
      <c r="K195" t="s">
        <v>3244</v>
      </c>
      <c r="L195" t="s">
        <v>56</v>
      </c>
      <c r="M195" t="s">
        <v>33</v>
      </c>
    </row>
    <row r="196" spans="1:13" x14ac:dyDescent="0.35">
      <c r="A196" t="s">
        <v>20</v>
      </c>
      <c r="B196">
        <v>17643</v>
      </c>
      <c r="C196" t="s">
        <v>426</v>
      </c>
      <c r="D196" t="s">
        <v>427</v>
      </c>
      <c r="E196" t="s">
        <v>3219</v>
      </c>
      <c r="F196" t="s">
        <v>3423</v>
      </c>
      <c r="G196" t="s">
        <v>3424</v>
      </c>
      <c r="H196" t="s">
        <v>3425</v>
      </c>
      <c r="I196" t="s">
        <v>431</v>
      </c>
      <c r="K196" t="s">
        <v>3210</v>
      </c>
      <c r="L196" t="s">
        <v>76</v>
      </c>
      <c r="M196" t="s">
        <v>33</v>
      </c>
    </row>
    <row r="197" spans="1:13" x14ac:dyDescent="0.35">
      <c r="A197" t="s">
        <v>20</v>
      </c>
      <c r="B197">
        <v>17643</v>
      </c>
      <c r="C197" t="s">
        <v>426</v>
      </c>
      <c r="D197" t="s">
        <v>427</v>
      </c>
      <c r="E197" t="s">
        <v>3224</v>
      </c>
      <c r="F197" t="s">
        <v>3426</v>
      </c>
      <c r="G197" t="s">
        <v>3427</v>
      </c>
      <c r="H197" t="s">
        <v>3428</v>
      </c>
      <c r="I197" t="s">
        <v>431</v>
      </c>
      <c r="K197" t="s">
        <v>2119</v>
      </c>
      <c r="L197" t="s">
        <v>76</v>
      </c>
      <c r="M197" t="s">
        <v>33</v>
      </c>
    </row>
    <row r="198" spans="1:13" x14ac:dyDescent="0.35">
      <c r="A198" t="s">
        <v>20</v>
      </c>
      <c r="B198">
        <v>17643</v>
      </c>
      <c r="C198" t="s">
        <v>426</v>
      </c>
      <c r="D198" t="s">
        <v>427</v>
      </c>
      <c r="E198" t="s">
        <v>3228</v>
      </c>
      <c r="F198" t="s">
        <v>3429</v>
      </c>
      <c r="G198" t="s">
        <v>3430</v>
      </c>
      <c r="H198" t="s">
        <v>3431</v>
      </c>
      <c r="I198" t="s">
        <v>431</v>
      </c>
      <c r="K198" t="s">
        <v>3210</v>
      </c>
      <c r="L198" t="s">
        <v>56</v>
      </c>
      <c r="M198" t="s">
        <v>33</v>
      </c>
    </row>
    <row r="199" spans="1:13" x14ac:dyDescent="0.35">
      <c r="A199" t="s">
        <v>20</v>
      </c>
      <c r="B199">
        <v>17643</v>
      </c>
      <c r="C199" t="s">
        <v>426</v>
      </c>
      <c r="D199" t="s">
        <v>427</v>
      </c>
      <c r="E199" t="s">
        <v>3233</v>
      </c>
      <c r="F199" t="s">
        <v>3432</v>
      </c>
      <c r="G199" t="s">
        <v>3433</v>
      </c>
      <c r="H199" t="s">
        <v>3434</v>
      </c>
      <c r="I199" t="s">
        <v>431</v>
      </c>
      <c r="K199" t="s">
        <v>3244</v>
      </c>
      <c r="L199" t="s">
        <v>56</v>
      </c>
      <c r="M199" t="s">
        <v>33</v>
      </c>
    </row>
    <row r="200" spans="1:13" x14ac:dyDescent="0.35">
      <c r="A200" t="s">
        <v>20</v>
      </c>
      <c r="B200">
        <v>17643</v>
      </c>
      <c r="C200" t="s">
        <v>426</v>
      </c>
      <c r="D200" t="s">
        <v>427</v>
      </c>
      <c r="E200" t="s">
        <v>3237</v>
      </c>
      <c r="F200" t="s">
        <v>3435</v>
      </c>
      <c r="G200" t="s">
        <v>3436</v>
      </c>
      <c r="H200" t="s">
        <v>3437</v>
      </c>
      <c r="I200" t="s">
        <v>431</v>
      </c>
      <c r="K200" t="s">
        <v>2119</v>
      </c>
      <c r="L200" t="s">
        <v>32</v>
      </c>
      <c r="M200" t="s">
        <v>33</v>
      </c>
    </row>
    <row r="201" spans="1:13" x14ac:dyDescent="0.35">
      <c r="A201" t="s">
        <v>20</v>
      </c>
      <c r="B201">
        <v>17643</v>
      </c>
      <c r="C201" t="s">
        <v>426</v>
      </c>
      <c r="D201" t="s">
        <v>427</v>
      </c>
      <c r="E201" t="s">
        <v>3240</v>
      </c>
      <c r="F201" t="s">
        <v>3438</v>
      </c>
      <c r="G201" t="s">
        <v>3439</v>
      </c>
      <c r="H201" t="s">
        <v>3440</v>
      </c>
      <c r="I201" t="s">
        <v>431</v>
      </c>
      <c r="K201" t="s">
        <v>3076</v>
      </c>
      <c r="L201" t="s">
        <v>56</v>
      </c>
      <c r="M201" t="s">
        <v>33</v>
      </c>
    </row>
    <row r="202" spans="1:13" x14ac:dyDescent="0.35">
      <c r="A202" t="s">
        <v>20</v>
      </c>
      <c r="B202">
        <v>17643</v>
      </c>
      <c r="C202" t="s">
        <v>426</v>
      </c>
      <c r="D202" t="s">
        <v>427</v>
      </c>
      <c r="E202" t="s">
        <v>3245</v>
      </c>
      <c r="F202" t="s">
        <v>3441</v>
      </c>
      <c r="G202" t="s">
        <v>3442</v>
      </c>
      <c r="H202" t="s">
        <v>3443</v>
      </c>
      <c r="I202" t="s">
        <v>431</v>
      </c>
      <c r="K202" t="s">
        <v>2119</v>
      </c>
      <c r="L202" t="s">
        <v>76</v>
      </c>
      <c r="M202" t="s">
        <v>33</v>
      </c>
    </row>
    <row r="203" spans="1:13" x14ac:dyDescent="0.35">
      <c r="A203" t="s">
        <v>20</v>
      </c>
      <c r="B203">
        <v>17643</v>
      </c>
      <c r="C203" t="s">
        <v>426</v>
      </c>
      <c r="D203" t="s">
        <v>427</v>
      </c>
      <c r="E203" t="s">
        <v>3249</v>
      </c>
      <c r="F203" t="s">
        <v>3444</v>
      </c>
      <c r="G203" t="s">
        <v>3445</v>
      </c>
      <c r="H203" t="s">
        <v>3446</v>
      </c>
      <c r="I203" t="s">
        <v>431</v>
      </c>
      <c r="K203" t="s">
        <v>2119</v>
      </c>
      <c r="L203" t="s">
        <v>76</v>
      </c>
      <c r="M203" t="s">
        <v>33</v>
      </c>
    </row>
    <row r="204" spans="1:13" x14ac:dyDescent="0.35">
      <c r="A204" t="s">
        <v>20</v>
      </c>
      <c r="B204">
        <v>17643</v>
      </c>
      <c r="C204" t="s">
        <v>426</v>
      </c>
      <c r="D204" t="s">
        <v>427</v>
      </c>
      <c r="E204" t="s">
        <v>3253</v>
      </c>
      <c r="F204" t="s">
        <v>3447</v>
      </c>
      <c r="G204" t="s">
        <v>3448</v>
      </c>
      <c r="H204" t="s">
        <v>3449</v>
      </c>
      <c r="I204" t="s">
        <v>431</v>
      </c>
      <c r="K204" t="s">
        <v>3060</v>
      </c>
      <c r="L204" t="s">
        <v>56</v>
      </c>
      <c r="M204" t="s">
        <v>33</v>
      </c>
    </row>
    <row r="205" spans="1:13" x14ac:dyDescent="0.35">
      <c r="A205" t="s">
        <v>20</v>
      </c>
      <c r="B205">
        <v>17643</v>
      </c>
      <c r="C205" t="s">
        <v>426</v>
      </c>
      <c r="D205" t="s">
        <v>427</v>
      </c>
      <c r="E205" t="s">
        <v>3257</v>
      </c>
      <c r="F205" t="s">
        <v>3450</v>
      </c>
      <c r="G205" t="s">
        <v>3451</v>
      </c>
      <c r="H205" t="s">
        <v>3452</v>
      </c>
      <c r="I205" t="s">
        <v>431</v>
      </c>
      <c r="K205" t="s">
        <v>85</v>
      </c>
      <c r="L205" t="s">
        <v>76</v>
      </c>
      <c r="M205" t="s">
        <v>33</v>
      </c>
    </row>
    <row r="206" spans="1:13" x14ac:dyDescent="0.35">
      <c r="A206" t="s">
        <v>20</v>
      </c>
      <c r="B206">
        <v>17643</v>
      </c>
      <c r="C206" t="s">
        <v>426</v>
      </c>
      <c r="D206" t="s">
        <v>427</v>
      </c>
      <c r="E206" t="s">
        <v>3261</v>
      </c>
      <c r="F206" t="s">
        <v>3453</v>
      </c>
      <c r="G206" t="s">
        <v>3454</v>
      </c>
      <c r="H206" t="s">
        <v>3455</v>
      </c>
      <c r="I206" t="s">
        <v>431</v>
      </c>
      <c r="K206" t="s">
        <v>85</v>
      </c>
      <c r="L206" t="s">
        <v>56</v>
      </c>
      <c r="M206" t="s">
        <v>33</v>
      </c>
    </row>
    <row r="207" spans="1:13" x14ac:dyDescent="0.35">
      <c r="A207" t="s">
        <v>20</v>
      </c>
      <c r="B207">
        <v>17643</v>
      </c>
      <c r="C207" t="s">
        <v>426</v>
      </c>
      <c r="D207" t="s">
        <v>427</v>
      </c>
      <c r="E207" t="s">
        <v>3265</v>
      </c>
      <c r="F207" t="s">
        <v>3456</v>
      </c>
      <c r="G207" t="s">
        <v>3457</v>
      </c>
      <c r="H207" t="s">
        <v>3458</v>
      </c>
      <c r="I207" t="s">
        <v>431</v>
      </c>
      <c r="K207" t="s">
        <v>3210</v>
      </c>
      <c r="L207" t="s">
        <v>76</v>
      </c>
      <c r="M207" t="s">
        <v>33</v>
      </c>
    </row>
    <row r="208" spans="1:13" x14ac:dyDescent="0.35">
      <c r="A208" t="s">
        <v>20</v>
      </c>
      <c r="B208">
        <v>17643</v>
      </c>
      <c r="C208" t="s">
        <v>426</v>
      </c>
      <c r="D208" t="s">
        <v>427</v>
      </c>
      <c r="E208" t="s">
        <v>3269</v>
      </c>
      <c r="F208" t="s">
        <v>3459</v>
      </c>
      <c r="G208" t="s">
        <v>3460</v>
      </c>
      <c r="H208" t="s">
        <v>3461</v>
      </c>
      <c r="I208" t="s">
        <v>431</v>
      </c>
      <c r="K208" t="s">
        <v>3076</v>
      </c>
      <c r="L208" t="s">
        <v>76</v>
      </c>
      <c r="M208" t="s">
        <v>33</v>
      </c>
    </row>
    <row r="209" spans="1:13" x14ac:dyDescent="0.35">
      <c r="A209" t="s">
        <v>20</v>
      </c>
      <c r="B209">
        <v>17643</v>
      </c>
      <c r="C209" t="s">
        <v>426</v>
      </c>
      <c r="D209" t="s">
        <v>427</v>
      </c>
      <c r="E209" t="s">
        <v>3273</v>
      </c>
      <c r="F209" t="s">
        <v>3462</v>
      </c>
      <c r="G209" t="s">
        <v>3463</v>
      </c>
      <c r="H209" t="s">
        <v>3464</v>
      </c>
      <c r="I209" t="s">
        <v>431</v>
      </c>
      <c r="K209" t="s">
        <v>85</v>
      </c>
      <c r="L209" t="s">
        <v>56</v>
      </c>
      <c r="M209" t="s">
        <v>33</v>
      </c>
    </row>
    <row r="210" spans="1:13" x14ac:dyDescent="0.35">
      <c r="A210" t="s">
        <v>20</v>
      </c>
      <c r="B210">
        <v>17643</v>
      </c>
      <c r="C210" t="s">
        <v>426</v>
      </c>
      <c r="D210" t="s">
        <v>427</v>
      </c>
      <c r="E210" t="s">
        <v>3278</v>
      </c>
      <c r="F210" t="s">
        <v>3465</v>
      </c>
      <c r="G210" t="s">
        <v>3466</v>
      </c>
      <c r="H210" t="s">
        <v>3467</v>
      </c>
      <c r="I210" t="s">
        <v>431</v>
      </c>
      <c r="K210" t="s">
        <v>85</v>
      </c>
      <c r="L210" t="s">
        <v>76</v>
      </c>
      <c r="M210" t="s">
        <v>33</v>
      </c>
    </row>
    <row r="211" spans="1:13" x14ac:dyDescent="0.35">
      <c r="A211" t="s">
        <v>20</v>
      </c>
      <c r="B211">
        <v>17643</v>
      </c>
      <c r="C211" t="s">
        <v>426</v>
      </c>
      <c r="D211" t="s">
        <v>427</v>
      </c>
      <c r="E211" t="s">
        <v>3282</v>
      </c>
      <c r="F211" t="s">
        <v>3468</v>
      </c>
      <c r="G211" t="s">
        <v>3469</v>
      </c>
      <c r="H211" t="s">
        <v>3470</v>
      </c>
      <c r="I211" t="s">
        <v>431</v>
      </c>
      <c r="K211" t="s">
        <v>3210</v>
      </c>
      <c r="L211" t="s">
        <v>76</v>
      </c>
      <c r="M211" t="s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0"/>
  <sheetViews>
    <sheetView topLeftCell="G47" workbookViewId="0">
      <selection activeCell="N59" sqref="N59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15</v>
      </c>
      <c r="M1" t="s">
        <v>17</v>
      </c>
      <c r="N1" t="s">
        <v>3783</v>
      </c>
      <c r="O1" t="s">
        <v>3784</v>
      </c>
      <c r="P1" t="s">
        <v>19</v>
      </c>
    </row>
    <row r="2" spans="1:16" x14ac:dyDescent="0.35">
      <c r="A2" t="s">
        <v>20</v>
      </c>
      <c r="B2">
        <v>17644</v>
      </c>
      <c r="C2" t="s">
        <v>21</v>
      </c>
      <c r="D2" t="s">
        <v>22</v>
      </c>
      <c r="E2" t="s">
        <v>3785</v>
      </c>
      <c r="F2" t="s">
        <v>3786</v>
      </c>
      <c r="G2" t="s">
        <v>3786</v>
      </c>
      <c r="H2" t="s">
        <v>3787</v>
      </c>
      <c r="L2" t="s">
        <v>33</v>
      </c>
      <c r="M2" s="1">
        <v>7.9861111111111116E-4</v>
      </c>
      <c r="N2" t="s">
        <v>27</v>
      </c>
      <c r="O2" t="s">
        <v>238</v>
      </c>
    </row>
    <row r="3" spans="1:16" x14ac:dyDescent="0.35">
      <c r="A3" t="s">
        <v>20</v>
      </c>
      <c r="B3">
        <v>17644</v>
      </c>
      <c r="C3" t="s">
        <v>21</v>
      </c>
      <c r="D3" t="s">
        <v>22</v>
      </c>
      <c r="E3" t="s">
        <v>3788</v>
      </c>
      <c r="F3" t="s">
        <v>3789</v>
      </c>
      <c r="G3" t="s">
        <v>3789</v>
      </c>
      <c r="H3" t="s">
        <v>51</v>
      </c>
      <c r="L3" t="s">
        <v>33</v>
      </c>
      <c r="M3" s="1">
        <v>4.5138888888888892E-4</v>
      </c>
      <c r="N3" t="s">
        <v>27</v>
      </c>
      <c r="O3" t="s">
        <v>238</v>
      </c>
    </row>
    <row r="4" spans="1:16" x14ac:dyDescent="0.35">
      <c r="A4" t="s">
        <v>20</v>
      </c>
      <c r="B4">
        <v>17644</v>
      </c>
      <c r="C4" t="s">
        <v>21</v>
      </c>
      <c r="D4" t="s">
        <v>22</v>
      </c>
      <c r="E4" t="s">
        <v>3790</v>
      </c>
      <c r="F4" t="s">
        <v>3791</v>
      </c>
      <c r="G4" t="s">
        <v>3791</v>
      </c>
      <c r="H4" t="s">
        <v>248</v>
      </c>
      <c r="L4" t="s">
        <v>33</v>
      </c>
      <c r="M4" s="1">
        <v>4.3981481481481481E-4</v>
      </c>
      <c r="N4" t="s">
        <v>27</v>
      </c>
      <c r="O4" t="s">
        <v>238</v>
      </c>
    </row>
    <row r="5" spans="1:16" x14ac:dyDescent="0.35">
      <c r="A5" t="s">
        <v>20</v>
      </c>
      <c r="B5">
        <v>17644</v>
      </c>
      <c r="C5" t="s">
        <v>21</v>
      </c>
      <c r="D5" t="s">
        <v>22</v>
      </c>
      <c r="E5" t="s">
        <v>3792</v>
      </c>
      <c r="F5" t="s">
        <v>3793</v>
      </c>
      <c r="G5" t="s">
        <v>3793</v>
      </c>
      <c r="H5" t="s">
        <v>3794</v>
      </c>
      <c r="L5" t="s">
        <v>33</v>
      </c>
      <c r="M5" s="1">
        <v>7.1759259259259259E-4</v>
      </c>
      <c r="N5" t="s">
        <v>27</v>
      </c>
      <c r="O5" t="s">
        <v>238</v>
      </c>
    </row>
    <row r="6" spans="1:16" x14ac:dyDescent="0.35">
      <c r="A6" t="s">
        <v>20</v>
      </c>
      <c r="B6">
        <v>17644</v>
      </c>
      <c r="C6" t="s">
        <v>21</v>
      </c>
      <c r="D6" t="s">
        <v>22</v>
      </c>
      <c r="E6" t="s">
        <v>3795</v>
      </c>
      <c r="F6" t="s">
        <v>3796</v>
      </c>
      <c r="G6" t="s">
        <v>3796</v>
      </c>
      <c r="H6" t="s">
        <v>58</v>
      </c>
      <c r="L6" t="s">
        <v>33</v>
      </c>
      <c r="M6" s="1">
        <v>5.4398148148148144E-4</v>
      </c>
      <c r="N6" t="s">
        <v>27</v>
      </c>
      <c r="O6" t="s">
        <v>238</v>
      </c>
    </row>
    <row r="7" spans="1:16" x14ac:dyDescent="0.35">
      <c r="A7" t="s">
        <v>20</v>
      </c>
      <c r="B7">
        <v>17644</v>
      </c>
      <c r="C7" t="s">
        <v>21</v>
      </c>
      <c r="D7" t="s">
        <v>22</v>
      </c>
      <c r="E7" t="s">
        <v>3797</v>
      </c>
      <c r="F7" t="s">
        <v>3798</v>
      </c>
      <c r="G7" t="s">
        <v>3798</v>
      </c>
      <c r="H7" t="s">
        <v>3799</v>
      </c>
      <c r="L7" t="s">
        <v>33</v>
      </c>
      <c r="M7" s="1">
        <v>8.4490740740740739E-4</v>
      </c>
      <c r="N7" t="s">
        <v>27</v>
      </c>
      <c r="O7" t="s">
        <v>238</v>
      </c>
    </row>
    <row r="8" spans="1:16" x14ac:dyDescent="0.35">
      <c r="A8" t="s">
        <v>20</v>
      </c>
      <c r="B8">
        <v>17644</v>
      </c>
      <c r="C8" t="s">
        <v>21</v>
      </c>
      <c r="D8" t="s">
        <v>22</v>
      </c>
      <c r="E8" t="s">
        <v>3800</v>
      </c>
      <c r="F8" t="s">
        <v>3801</v>
      </c>
      <c r="G8" t="s">
        <v>3801</v>
      </c>
      <c r="H8" t="s">
        <v>69</v>
      </c>
      <c r="L8" t="s">
        <v>33</v>
      </c>
      <c r="M8" s="1">
        <v>4.3981481481481481E-4</v>
      </c>
      <c r="N8" t="s">
        <v>27</v>
      </c>
      <c r="O8" t="s">
        <v>238</v>
      </c>
    </row>
    <row r="9" spans="1:16" x14ac:dyDescent="0.35">
      <c r="A9" t="s">
        <v>20</v>
      </c>
      <c r="B9">
        <v>17644</v>
      </c>
      <c r="C9" t="s">
        <v>21</v>
      </c>
      <c r="D9" t="s">
        <v>22</v>
      </c>
      <c r="E9" t="s">
        <v>3802</v>
      </c>
      <c r="F9" t="s">
        <v>3803</v>
      </c>
      <c r="G9" t="s">
        <v>3803</v>
      </c>
      <c r="H9" t="s">
        <v>3804</v>
      </c>
      <c r="L9" t="s">
        <v>33</v>
      </c>
      <c r="M9" s="1">
        <v>1.4004629629629629E-3</v>
      </c>
      <c r="N9" t="s">
        <v>27</v>
      </c>
      <c r="O9" t="s">
        <v>238</v>
      </c>
    </row>
    <row r="10" spans="1:16" x14ac:dyDescent="0.35">
      <c r="A10" t="s">
        <v>20</v>
      </c>
      <c r="B10">
        <v>17644</v>
      </c>
      <c r="C10" t="s">
        <v>21</v>
      </c>
      <c r="D10" t="s">
        <v>22</v>
      </c>
      <c r="E10" t="s">
        <v>3805</v>
      </c>
      <c r="F10" t="s">
        <v>3806</v>
      </c>
      <c r="G10" t="s">
        <v>3806</v>
      </c>
      <c r="H10" t="s">
        <v>3807</v>
      </c>
      <c r="L10" t="s">
        <v>33</v>
      </c>
      <c r="M10" s="1">
        <v>4.6296296296296287E-5</v>
      </c>
      <c r="N10" t="s">
        <v>27</v>
      </c>
      <c r="O10" t="s">
        <v>238</v>
      </c>
    </row>
    <row r="11" spans="1:16" x14ac:dyDescent="0.35">
      <c r="A11" t="s">
        <v>20</v>
      </c>
      <c r="B11">
        <v>17644</v>
      </c>
      <c r="C11" t="s">
        <v>21</v>
      </c>
      <c r="D11" t="s">
        <v>22</v>
      </c>
      <c r="E11" t="s">
        <v>3808</v>
      </c>
      <c r="F11" t="s">
        <v>3809</v>
      </c>
      <c r="G11" t="s">
        <v>3809</v>
      </c>
      <c r="H11" t="s">
        <v>260</v>
      </c>
      <c r="L11" t="s">
        <v>33</v>
      </c>
      <c r="M11" s="1">
        <v>6.5972222222222224E-4</v>
      </c>
      <c r="N11" t="s">
        <v>27</v>
      </c>
      <c r="O11" t="s">
        <v>238</v>
      </c>
    </row>
    <row r="12" spans="1:16" x14ac:dyDescent="0.35">
      <c r="A12" t="s">
        <v>20</v>
      </c>
      <c r="B12">
        <v>17644</v>
      </c>
      <c r="C12" t="s">
        <v>21</v>
      </c>
      <c r="D12" t="s">
        <v>22</v>
      </c>
      <c r="E12" t="s">
        <v>3810</v>
      </c>
      <c r="F12" t="s">
        <v>3811</v>
      </c>
      <c r="G12" t="s">
        <v>3811</v>
      </c>
      <c r="H12" t="s">
        <v>264</v>
      </c>
      <c r="L12" t="s">
        <v>33</v>
      </c>
      <c r="M12" s="1">
        <v>1.4004629629629629E-3</v>
      </c>
      <c r="N12" t="s">
        <v>27</v>
      </c>
      <c r="O12" t="s">
        <v>238</v>
      </c>
    </row>
    <row r="13" spans="1:16" x14ac:dyDescent="0.35">
      <c r="A13" t="s">
        <v>20</v>
      </c>
      <c r="B13">
        <v>17644</v>
      </c>
      <c r="C13" t="s">
        <v>21</v>
      </c>
      <c r="D13" t="s">
        <v>22</v>
      </c>
      <c r="E13" t="s">
        <v>3812</v>
      </c>
      <c r="F13" t="s">
        <v>3813</v>
      </c>
      <c r="G13" t="s">
        <v>3814</v>
      </c>
      <c r="H13" t="s">
        <v>3815</v>
      </c>
      <c r="L13" t="s">
        <v>33</v>
      </c>
      <c r="M13" s="1">
        <v>7.6388888888888893E-4</v>
      </c>
      <c r="N13" t="s">
        <v>27</v>
      </c>
      <c r="O13" t="s">
        <v>238</v>
      </c>
    </row>
    <row r="14" spans="1:16" x14ac:dyDescent="0.35">
      <c r="A14" t="s">
        <v>20</v>
      </c>
      <c r="B14">
        <v>17644</v>
      </c>
      <c r="C14" t="s">
        <v>21</v>
      </c>
      <c r="D14" t="s">
        <v>22</v>
      </c>
      <c r="E14" t="s">
        <v>3816</v>
      </c>
      <c r="F14" t="s">
        <v>3817</v>
      </c>
      <c r="G14" t="s">
        <v>3817</v>
      </c>
      <c r="H14" t="s">
        <v>3818</v>
      </c>
      <c r="L14" t="s">
        <v>33</v>
      </c>
      <c r="M14" s="1">
        <v>5.2083333333333333E-4</v>
      </c>
      <c r="N14" t="s">
        <v>27</v>
      </c>
      <c r="O14" t="s">
        <v>238</v>
      </c>
    </row>
    <row r="15" spans="1:16" x14ac:dyDescent="0.35">
      <c r="A15" t="s">
        <v>20</v>
      </c>
      <c r="B15">
        <v>17644</v>
      </c>
      <c r="C15" t="s">
        <v>21</v>
      </c>
      <c r="D15" t="s">
        <v>22</v>
      </c>
      <c r="E15" t="s">
        <v>3819</v>
      </c>
      <c r="F15" t="s">
        <v>3820</v>
      </c>
      <c r="G15" t="s">
        <v>3820</v>
      </c>
      <c r="H15" t="s">
        <v>87</v>
      </c>
      <c r="L15" t="s">
        <v>33</v>
      </c>
      <c r="M15" s="1">
        <v>1.006944444444444E-3</v>
      </c>
      <c r="N15" t="s">
        <v>27</v>
      </c>
      <c r="O15" t="s">
        <v>238</v>
      </c>
    </row>
    <row r="16" spans="1:16" x14ac:dyDescent="0.35">
      <c r="A16" t="s">
        <v>20</v>
      </c>
      <c r="B16">
        <v>17644</v>
      </c>
      <c r="C16" t="s">
        <v>21</v>
      </c>
      <c r="D16" t="s">
        <v>22</v>
      </c>
      <c r="E16" t="s">
        <v>3821</v>
      </c>
      <c r="F16" t="s">
        <v>3822</v>
      </c>
      <c r="G16" t="s">
        <v>3822</v>
      </c>
      <c r="H16" t="s">
        <v>272</v>
      </c>
      <c r="L16" t="s">
        <v>33</v>
      </c>
      <c r="M16" s="1">
        <v>1.3888888888888889E-4</v>
      </c>
      <c r="N16" t="s">
        <v>27</v>
      </c>
      <c r="O16" t="s">
        <v>238</v>
      </c>
    </row>
    <row r="17" spans="1:15" x14ac:dyDescent="0.35">
      <c r="A17" t="s">
        <v>20</v>
      </c>
      <c r="B17">
        <v>17644</v>
      </c>
      <c r="C17" t="s">
        <v>21</v>
      </c>
      <c r="D17" t="s">
        <v>22</v>
      </c>
      <c r="E17" t="s">
        <v>3823</v>
      </c>
      <c r="F17" t="s">
        <v>3824</v>
      </c>
      <c r="G17" t="s">
        <v>3824</v>
      </c>
      <c r="H17" t="s">
        <v>276</v>
      </c>
      <c r="L17" t="s">
        <v>33</v>
      </c>
      <c r="M17" s="1">
        <v>5.7870370370370367E-4</v>
      </c>
      <c r="N17" t="s">
        <v>27</v>
      </c>
      <c r="O17" t="s">
        <v>238</v>
      </c>
    </row>
    <row r="18" spans="1:15" x14ac:dyDescent="0.35">
      <c r="A18" t="s">
        <v>20</v>
      </c>
      <c r="B18">
        <v>17644</v>
      </c>
      <c r="C18" t="s">
        <v>21</v>
      </c>
      <c r="D18" t="s">
        <v>22</v>
      </c>
      <c r="E18" t="s">
        <v>3825</v>
      </c>
      <c r="F18" t="s">
        <v>3826</v>
      </c>
      <c r="G18" t="s">
        <v>3826</v>
      </c>
      <c r="H18" t="s">
        <v>280</v>
      </c>
      <c r="L18" t="s">
        <v>33</v>
      </c>
      <c r="M18" s="1">
        <v>6.018518518518519E-4</v>
      </c>
      <c r="N18" t="s">
        <v>27</v>
      </c>
      <c r="O18" t="s">
        <v>238</v>
      </c>
    </row>
    <row r="19" spans="1:15" x14ac:dyDescent="0.35">
      <c r="A19" t="s">
        <v>20</v>
      </c>
      <c r="B19">
        <v>17644</v>
      </c>
      <c r="C19" t="s">
        <v>21</v>
      </c>
      <c r="D19" t="s">
        <v>22</v>
      </c>
      <c r="E19" t="s">
        <v>3827</v>
      </c>
      <c r="F19" t="s">
        <v>3828</v>
      </c>
      <c r="G19" t="s">
        <v>3828</v>
      </c>
      <c r="H19" t="s">
        <v>3829</v>
      </c>
      <c r="L19" t="s">
        <v>33</v>
      </c>
      <c r="M19" s="1">
        <v>1.666666666666667E-3</v>
      </c>
      <c r="N19" t="s">
        <v>27</v>
      </c>
      <c r="O19" t="s">
        <v>238</v>
      </c>
    </row>
    <row r="20" spans="1:15" x14ac:dyDescent="0.35">
      <c r="A20" t="s">
        <v>20</v>
      </c>
      <c r="B20">
        <v>17644</v>
      </c>
      <c r="C20" t="s">
        <v>21</v>
      </c>
      <c r="D20" t="s">
        <v>22</v>
      </c>
      <c r="E20" t="s">
        <v>3830</v>
      </c>
      <c r="F20" t="s">
        <v>3831</v>
      </c>
      <c r="G20" t="s">
        <v>3831</v>
      </c>
      <c r="H20" t="s">
        <v>92</v>
      </c>
      <c r="L20" t="s">
        <v>33</v>
      </c>
      <c r="M20" s="1">
        <v>5.9027777777777778E-4</v>
      </c>
      <c r="N20" t="s">
        <v>27</v>
      </c>
      <c r="O20" t="s">
        <v>238</v>
      </c>
    </row>
    <row r="21" spans="1:15" x14ac:dyDescent="0.35">
      <c r="A21" t="s">
        <v>20</v>
      </c>
      <c r="B21">
        <v>17644</v>
      </c>
      <c r="C21" t="s">
        <v>21</v>
      </c>
      <c r="D21" t="s">
        <v>22</v>
      </c>
      <c r="E21" t="s">
        <v>3832</v>
      </c>
      <c r="F21" t="s">
        <v>3833</v>
      </c>
      <c r="G21" t="s">
        <v>3833</v>
      </c>
      <c r="H21" t="s">
        <v>96</v>
      </c>
      <c r="L21" t="s">
        <v>33</v>
      </c>
      <c r="M21" s="1">
        <v>5.7870370370370367E-4</v>
      </c>
      <c r="N21" t="s">
        <v>27</v>
      </c>
      <c r="O21" t="s">
        <v>238</v>
      </c>
    </row>
    <row r="22" spans="1:15" x14ac:dyDescent="0.35">
      <c r="A22" t="s">
        <v>20</v>
      </c>
      <c r="B22">
        <v>17644</v>
      </c>
      <c r="C22" t="s">
        <v>21</v>
      </c>
      <c r="D22" t="s">
        <v>22</v>
      </c>
      <c r="E22" t="s">
        <v>3834</v>
      </c>
      <c r="F22" t="s">
        <v>3835</v>
      </c>
      <c r="G22" t="s">
        <v>3835</v>
      </c>
      <c r="H22" t="s">
        <v>289</v>
      </c>
      <c r="L22" t="s">
        <v>33</v>
      </c>
      <c r="M22" s="1">
        <v>8.4490740740740739E-4</v>
      </c>
      <c r="N22" t="s">
        <v>27</v>
      </c>
      <c r="O22" t="s">
        <v>238</v>
      </c>
    </row>
    <row r="23" spans="1:15" x14ac:dyDescent="0.35">
      <c r="A23" t="s">
        <v>20</v>
      </c>
      <c r="B23">
        <v>17644</v>
      </c>
      <c r="C23" t="s">
        <v>21</v>
      </c>
      <c r="D23" t="s">
        <v>22</v>
      </c>
      <c r="E23" t="s">
        <v>3836</v>
      </c>
      <c r="F23" t="s">
        <v>3837</v>
      </c>
      <c r="G23" t="s">
        <v>3837</v>
      </c>
      <c r="H23" t="s">
        <v>100</v>
      </c>
      <c r="L23" t="s">
        <v>33</v>
      </c>
      <c r="M23" s="1">
        <v>4.1666666666666669E-4</v>
      </c>
      <c r="N23" t="s">
        <v>27</v>
      </c>
      <c r="O23" t="s">
        <v>238</v>
      </c>
    </row>
    <row r="24" spans="1:15" x14ac:dyDescent="0.35">
      <c r="A24" t="s">
        <v>20</v>
      </c>
      <c r="B24">
        <v>17644</v>
      </c>
      <c r="C24" t="s">
        <v>21</v>
      </c>
      <c r="D24" t="s">
        <v>22</v>
      </c>
      <c r="E24" t="s">
        <v>3838</v>
      </c>
      <c r="F24" t="s">
        <v>3839</v>
      </c>
      <c r="G24" t="s">
        <v>3839</v>
      </c>
      <c r="H24" t="s">
        <v>108</v>
      </c>
      <c r="L24" t="s">
        <v>33</v>
      </c>
      <c r="M24" s="1">
        <v>4.0509259259259258E-4</v>
      </c>
      <c r="N24" t="s">
        <v>27</v>
      </c>
      <c r="O24" t="s">
        <v>238</v>
      </c>
    </row>
    <row r="25" spans="1:15" x14ac:dyDescent="0.35">
      <c r="A25" t="s">
        <v>20</v>
      </c>
      <c r="B25">
        <v>17644</v>
      </c>
      <c r="C25" t="s">
        <v>21</v>
      </c>
      <c r="D25" t="s">
        <v>22</v>
      </c>
      <c r="E25" t="s">
        <v>3840</v>
      </c>
      <c r="F25" t="s">
        <v>3841</v>
      </c>
      <c r="G25" t="s">
        <v>3841</v>
      </c>
      <c r="H25" t="s">
        <v>3842</v>
      </c>
      <c r="L25" t="s">
        <v>33</v>
      </c>
      <c r="M25" s="1">
        <v>6.9444444444444444E-5</v>
      </c>
      <c r="N25" t="s">
        <v>27</v>
      </c>
      <c r="O25" t="s">
        <v>238</v>
      </c>
    </row>
    <row r="26" spans="1:15" x14ac:dyDescent="0.35">
      <c r="A26" t="s">
        <v>20</v>
      </c>
      <c r="B26">
        <v>17644</v>
      </c>
      <c r="C26" t="s">
        <v>21</v>
      </c>
      <c r="D26" t="s">
        <v>22</v>
      </c>
      <c r="E26" t="s">
        <v>3843</v>
      </c>
      <c r="F26" t="s">
        <v>3844</v>
      </c>
      <c r="G26" t="s">
        <v>3844</v>
      </c>
      <c r="H26" t="s">
        <v>3845</v>
      </c>
      <c r="L26" t="s">
        <v>33</v>
      </c>
      <c r="M26" s="1">
        <v>1.19212962962963E-3</v>
      </c>
      <c r="N26" t="s">
        <v>27</v>
      </c>
      <c r="O26" t="s">
        <v>238</v>
      </c>
    </row>
    <row r="27" spans="1:15" x14ac:dyDescent="0.35">
      <c r="A27" t="s">
        <v>20</v>
      </c>
      <c r="B27">
        <v>17644</v>
      </c>
      <c r="C27" t="s">
        <v>21</v>
      </c>
      <c r="D27" t="s">
        <v>22</v>
      </c>
      <c r="E27" t="s">
        <v>3846</v>
      </c>
      <c r="F27" t="s">
        <v>3847</v>
      </c>
      <c r="G27" t="s">
        <v>3847</v>
      </c>
      <c r="H27" t="s">
        <v>309</v>
      </c>
      <c r="L27" t="s">
        <v>33</v>
      </c>
      <c r="M27" s="1">
        <v>4.1666666666666669E-4</v>
      </c>
      <c r="N27" t="s">
        <v>27</v>
      </c>
      <c r="O27" t="s">
        <v>238</v>
      </c>
    </row>
    <row r="28" spans="1:15" x14ac:dyDescent="0.35">
      <c r="A28" t="s">
        <v>20</v>
      </c>
      <c r="B28">
        <v>17644</v>
      </c>
      <c r="C28" t="s">
        <v>21</v>
      </c>
      <c r="D28" t="s">
        <v>22</v>
      </c>
      <c r="E28" t="s">
        <v>3848</v>
      </c>
      <c r="F28" t="s">
        <v>3849</v>
      </c>
      <c r="G28" t="s">
        <v>3849</v>
      </c>
      <c r="H28" t="s">
        <v>3850</v>
      </c>
      <c r="L28" t="s">
        <v>33</v>
      </c>
      <c r="M28" s="1">
        <v>2.314814814814815E-5</v>
      </c>
      <c r="N28" t="s">
        <v>27</v>
      </c>
      <c r="O28" t="s">
        <v>238</v>
      </c>
    </row>
    <row r="29" spans="1:15" x14ac:dyDescent="0.35">
      <c r="A29" t="s">
        <v>20</v>
      </c>
      <c r="B29">
        <v>17644</v>
      </c>
      <c r="C29" t="s">
        <v>21</v>
      </c>
      <c r="D29" t="s">
        <v>22</v>
      </c>
      <c r="E29" t="s">
        <v>3851</v>
      </c>
      <c r="F29" t="s">
        <v>3852</v>
      </c>
      <c r="G29" t="s">
        <v>3852</v>
      </c>
      <c r="H29" t="s">
        <v>317</v>
      </c>
      <c r="L29" t="s">
        <v>33</v>
      </c>
      <c r="M29" s="1">
        <v>3.7037037037037041E-4</v>
      </c>
      <c r="N29" t="s">
        <v>27</v>
      </c>
      <c r="O29" t="s">
        <v>238</v>
      </c>
    </row>
    <row r="30" spans="1:15" x14ac:dyDescent="0.35">
      <c r="A30" t="s">
        <v>20</v>
      </c>
      <c r="B30">
        <v>17644</v>
      </c>
      <c r="C30" t="s">
        <v>21</v>
      </c>
      <c r="D30" t="s">
        <v>22</v>
      </c>
      <c r="E30" t="s">
        <v>3853</v>
      </c>
      <c r="F30" t="s">
        <v>3854</v>
      </c>
      <c r="G30" t="s">
        <v>3854</v>
      </c>
      <c r="H30" t="s">
        <v>133</v>
      </c>
      <c r="L30" t="s">
        <v>33</v>
      </c>
      <c r="M30" s="1">
        <v>4.861111111111111E-4</v>
      </c>
      <c r="N30" t="s">
        <v>27</v>
      </c>
      <c r="O30" t="s">
        <v>238</v>
      </c>
    </row>
    <row r="31" spans="1:15" x14ac:dyDescent="0.35">
      <c r="A31" t="s">
        <v>20</v>
      </c>
      <c r="B31">
        <v>17644</v>
      </c>
      <c r="C31" t="s">
        <v>21</v>
      </c>
      <c r="D31" t="s">
        <v>22</v>
      </c>
      <c r="E31" t="s">
        <v>3855</v>
      </c>
      <c r="F31" t="s">
        <v>3856</v>
      </c>
      <c r="G31" t="s">
        <v>3856</v>
      </c>
      <c r="H31" t="s">
        <v>329</v>
      </c>
      <c r="L31" t="s">
        <v>33</v>
      </c>
      <c r="M31" s="1">
        <v>4.3981481481481481E-4</v>
      </c>
      <c r="N31" t="s">
        <v>27</v>
      </c>
      <c r="O31" t="s">
        <v>238</v>
      </c>
    </row>
    <row r="32" spans="1:15" x14ac:dyDescent="0.35">
      <c r="A32" t="s">
        <v>20</v>
      </c>
      <c r="B32">
        <v>17644</v>
      </c>
      <c r="C32" t="s">
        <v>21</v>
      </c>
      <c r="D32" t="s">
        <v>22</v>
      </c>
      <c r="E32" t="s">
        <v>3857</v>
      </c>
      <c r="F32" t="s">
        <v>3858</v>
      </c>
      <c r="G32" t="s">
        <v>3858</v>
      </c>
      <c r="H32" t="s">
        <v>3859</v>
      </c>
      <c r="L32" t="s">
        <v>33</v>
      </c>
      <c r="M32" s="1">
        <v>1.1574074074074069E-3</v>
      </c>
      <c r="N32" t="s">
        <v>27</v>
      </c>
      <c r="O32" t="s">
        <v>238</v>
      </c>
    </row>
    <row r="33" spans="1:15" x14ac:dyDescent="0.35">
      <c r="A33" t="s">
        <v>20</v>
      </c>
      <c r="B33">
        <v>17644</v>
      </c>
      <c r="C33" t="s">
        <v>21</v>
      </c>
      <c r="D33" t="s">
        <v>22</v>
      </c>
      <c r="E33" t="s">
        <v>3860</v>
      </c>
      <c r="F33" t="s">
        <v>3861</v>
      </c>
      <c r="G33" t="s">
        <v>3861</v>
      </c>
      <c r="H33" t="s">
        <v>3862</v>
      </c>
      <c r="L33" t="s">
        <v>33</v>
      </c>
      <c r="M33" s="1">
        <v>5.5555555555555556E-4</v>
      </c>
      <c r="N33" t="s">
        <v>27</v>
      </c>
      <c r="O33" t="s">
        <v>238</v>
      </c>
    </row>
    <row r="34" spans="1:15" x14ac:dyDescent="0.35">
      <c r="A34" t="s">
        <v>20</v>
      </c>
      <c r="B34">
        <v>17644</v>
      </c>
      <c r="C34" t="s">
        <v>21</v>
      </c>
      <c r="D34" t="s">
        <v>22</v>
      </c>
      <c r="E34" t="s">
        <v>3863</v>
      </c>
      <c r="F34" t="s">
        <v>3864</v>
      </c>
      <c r="G34" t="s">
        <v>3864</v>
      </c>
      <c r="H34" t="s">
        <v>3865</v>
      </c>
      <c r="L34" t="s">
        <v>33</v>
      </c>
      <c r="M34" s="1">
        <v>6.5972222222222224E-4</v>
      </c>
      <c r="N34" t="s">
        <v>27</v>
      </c>
      <c r="O34" t="s">
        <v>238</v>
      </c>
    </row>
    <row r="35" spans="1:15" x14ac:dyDescent="0.35">
      <c r="A35" t="s">
        <v>20</v>
      </c>
      <c r="B35">
        <v>17644</v>
      </c>
      <c r="C35" t="s">
        <v>21</v>
      </c>
      <c r="D35" t="s">
        <v>22</v>
      </c>
      <c r="E35" t="s">
        <v>3866</v>
      </c>
      <c r="F35" t="s">
        <v>3867</v>
      </c>
      <c r="G35" t="s">
        <v>3867</v>
      </c>
      <c r="H35" t="s">
        <v>3868</v>
      </c>
      <c r="L35" t="s">
        <v>33</v>
      </c>
      <c r="M35" s="1">
        <v>3.4722222222222218E-4</v>
      </c>
      <c r="N35" t="s">
        <v>27</v>
      </c>
      <c r="O35" t="s">
        <v>238</v>
      </c>
    </row>
    <row r="36" spans="1:15" x14ac:dyDescent="0.35">
      <c r="A36" t="s">
        <v>20</v>
      </c>
      <c r="B36">
        <v>17644</v>
      </c>
      <c r="C36" t="s">
        <v>21</v>
      </c>
      <c r="D36" t="s">
        <v>22</v>
      </c>
      <c r="E36" t="s">
        <v>3869</v>
      </c>
      <c r="F36" t="s">
        <v>3870</v>
      </c>
      <c r="G36" t="s">
        <v>3870</v>
      </c>
      <c r="H36" t="s">
        <v>3871</v>
      </c>
      <c r="L36" t="s">
        <v>33</v>
      </c>
      <c r="M36" s="1">
        <v>1.851851851851852E-4</v>
      </c>
      <c r="N36" t="s">
        <v>27</v>
      </c>
      <c r="O36" t="s">
        <v>238</v>
      </c>
    </row>
    <row r="37" spans="1:15" x14ac:dyDescent="0.35">
      <c r="A37" t="s">
        <v>20</v>
      </c>
      <c r="B37">
        <v>17644</v>
      </c>
      <c r="C37" t="s">
        <v>21</v>
      </c>
      <c r="D37" t="s">
        <v>22</v>
      </c>
      <c r="E37" t="s">
        <v>3872</v>
      </c>
      <c r="F37" t="s">
        <v>3873</v>
      </c>
      <c r="G37" t="s">
        <v>3873</v>
      </c>
      <c r="H37" t="s">
        <v>154</v>
      </c>
      <c r="L37" t="s">
        <v>33</v>
      </c>
      <c r="M37" s="1">
        <v>3.3564814814814812E-4</v>
      </c>
      <c r="N37" t="s">
        <v>27</v>
      </c>
      <c r="O37" t="s">
        <v>238</v>
      </c>
    </row>
    <row r="38" spans="1:15" x14ac:dyDescent="0.35">
      <c r="A38" t="s">
        <v>20</v>
      </c>
      <c r="B38">
        <v>17644</v>
      </c>
      <c r="C38" t="s">
        <v>21</v>
      </c>
      <c r="D38" t="s">
        <v>22</v>
      </c>
      <c r="E38" t="s">
        <v>3874</v>
      </c>
      <c r="F38" t="s">
        <v>3875</v>
      </c>
      <c r="G38" t="s">
        <v>3875</v>
      </c>
      <c r="H38" t="s">
        <v>158</v>
      </c>
      <c r="L38" t="s">
        <v>33</v>
      </c>
      <c r="M38" s="1">
        <v>1.168981481481482E-3</v>
      </c>
      <c r="N38" t="s">
        <v>27</v>
      </c>
      <c r="O38" t="s">
        <v>238</v>
      </c>
    </row>
    <row r="39" spans="1:15" x14ac:dyDescent="0.35">
      <c r="A39" t="s">
        <v>20</v>
      </c>
      <c r="B39">
        <v>17644</v>
      </c>
      <c r="C39" t="s">
        <v>21</v>
      </c>
      <c r="D39" t="s">
        <v>22</v>
      </c>
      <c r="E39" t="s">
        <v>3876</v>
      </c>
      <c r="F39" t="s">
        <v>3877</v>
      </c>
      <c r="G39" t="s">
        <v>3877</v>
      </c>
      <c r="H39" t="s">
        <v>349</v>
      </c>
      <c r="L39" t="s">
        <v>33</v>
      </c>
      <c r="M39" s="1">
        <v>4.6296296296296298E-4</v>
      </c>
      <c r="N39" t="s">
        <v>27</v>
      </c>
      <c r="O39" t="s">
        <v>238</v>
      </c>
    </row>
    <row r="40" spans="1:15" x14ac:dyDescent="0.35">
      <c r="A40" t="s">
        <v>20</v>
      </c>
      <c r="B40">
        <v>17644</v>
      </c>
      <c r="C40" t="s">
        <v>21</v>
      </c>
      <c r="D40" t="s">
        <v>22</v>
      </c>
      <c r="E40" t="s">
        <v>3878</v>
      </c>
      <c r="F40" t="s">
        <v>3879</v>
      </c>
      <c r="G40" t="s">
        <v>3879</v>
      </c>
      <c r="H40" t="s">
        <v>353</v>
      </c>
      <c r="L40" t="s">
        <v>33</v>
      </c>
      <c r="M40" s="1">
        <v>7.0601851851851847E-4</v>
      </c>
      <c r="N40" t="s">
        <v>27</v>
      </c>
      <c r="O40" t="s">
        <v>238</v>
      </c>
    </row>
    <row r="41" spans="1:15" x14ac:dyDescent="0.35">
      <c r="A41" t="s">
        <v>20</v>
      </c>
      <c r="B41">
        <v>17644</v>
      </c>
      <c r="C41" t="s">
        <v>21</v>
      </c>
      <c r="D41" t="s">
        <v>22</v>
      </c>
      <c r="E41" t="s">
        <v>3880</v>
      </c>
      <c r="F41" t="s">
        <v>3881</v>
      </c>
      <c r="G41" t="s">
        <v>3881</v>
      </c>
      <c r="H41" t="s">
        <v>166</v>
      </c>
      <c r="L41" t="s">
        <v>33</v>
      </c>
      <c r="M41" s="1">
        <v>1.4930555555555561E-3</v>
      </c>
      <c r="N41" t="s">
        <v>27</v>
      </c>
      <c r="O41" t="s">
        <v>238</v>
      </c>
    </row>
    <row r="42" spans="1:15" x14ac:dyDescent="0.35">
      <c r="A42" t="s">
        <v>20</v>
      </c>
      <c r="B42">
        <v>17644</v>
      </c>
      <c r="C42" t="s">
        <v>21</v>
      </c>
      <c r="D42" t="s">
        <v>22</v>
      </c>
      <c r="E42" t="s">
        <v>3882</v>
      </c>
      <c r="F42" t="s">
        <v>3883</v>
      </c>
      <c r="G42" t="s">
        <v>3883</v>
      </c>
      <c r="H42" t="s">
        <v>357</v>
      </c>
      <c r="L42" t="s">
        <v>33</v>
      </c>
      <c r="M42" s="1">
        <v>3.9351851851851852E-4</v>
      </c>
      <c r="N42" t="s">
        <v>27</v>
      </c>
      <c r="O42" t="s">
        <v>238</v>
      </c>
    </row>
    <row r="43" spans="1:15" x14ac:dyDescent="0.35">
      <c r="A43" t="s">
        <v>20</v>
      </c>
      <c r="B43">
        <v>17644</v>
      </c>
      <c r="C43" t="s">
        <v>21</v>
      </c>
      <c r="D43" t="s">
        <v>22</v>
      </c>
      <c r="E43" t="s">
        <v>3884</v>
      </c>
      <c r="F43" t="s">
        <v>3885</v>
      </c>
      <c r="G43" t="s">
        <v>3885</v>
      </c>
      <c r="H43" t="s">
        <v>3886</v>
      </c>
      <c r="L43" t="s">
        <v>33</v>
      </c>
      <c r="M43" s="1">
        <v>5.0925925925925921E-4</v>
      </c>
      <c r="N43" t="s">
        <v>27</v>
      </c>
      <c r="O43" t="s">
        <v>238</v>
      </c>
    </row>
    <row r="44" spans="1:15" x14ac:dyDescent="0.35">
      <c r="A44" t="s">
        <v>20</v>
      </c>
      <c r="B44">
        <v>17644</v>
      </c>
      <c r="C44" t="s">
        <v>21</v>
      </c>
      <c r="D44" t="s">
        <v>22</v>
      </c>
      <c r="E44" t="s">
        <v>3887</v>
      </c>
      <c r="F44" t="s">
        <v>3888</v>
      </c>
      <c r="G44" t="s">
        <v>3888</v>
      </c>
      <c r="H44" t="s">
        <v>174</v>
      </c>
      <c r="L44" t="s">
        <v>33</v>
      </c>
      <c r="M44" s="1">
        <v>4.861111111111111E-4</v>
      </c>
      <c r="N44" t="s">
        <v>27</v>
      </c>
      <c r="O44" t="s">
        <v>238</v>
      </c>
    </row>
    <row r="45" spans="1:15" x14ac:dyDescent="0.35">
      <c r="A45" t="s">
        <v>20</v>
      </c>
      <c r="B45">
        <v>17644</v>
      </c>
      <c r="C45" t="s">
        <v>21</v>
      </c>
      <c r="D45" t="s">
        <v>22</v>
      </c>
      <c r="E45" t="s">
        <v>3889</v>
      </c>
      <c r="F45" t="s">
        <v>3890</v>
      </c>
      <c r="G45" t="s">
        <v>3890</v>
      </c>
      <c r="H45" t="s">
        <v>365</v>
      </c>
      <c r="L45" t="s">
        <v>33</v>
      </c>
      <c r="M45" s="1">
        <v>2.8935185185185178E-4</v>
      </c>
      <c r="N45" t="s">
        <v>27</v>
      </c>
      <c r="O45" t="s">
        <v>238</v>
      </c>
    </row>
    <row r="46" spans="1:15" x14ac:dyDescent="0.35">
      <c r="A46" t="s">
        <v>20</v>
      </c>
      <c r="B46">
        <v>17644</v>
      </c>
      <c r="C46" t="s">
        <v>21</v>
      </c>
      <c r="D46" t="s">
        <v>22</v>
      </c>
      <c r="E46" t="s">
        <v>3891</v>
      </c>
      <c r="F46" t="s">
        <v>3892</v>
      </c>
      <c r="G46" t="s">
        <v>3892</v>
      </c>
      <c r="H46" t="s">
        <v>369</v>
      </c>
      <c r="L46" t="s">
        <v>33</v>
      </c>
      <c r="M46" s="1">
        <v>4.9768518518518521E-4</v>
      </c>
      <c r="N46" t="s">
        <v>27</v>
      </c>
      <c r="O46" t="s">
        <v>238</v>
      </c>
    </row>
    <row r="47" spans="1:15" x14ac:dyDescent="0.35">
      <c r="A47" t="s">
        <v>20</v>
      </c>
      <c r="B47">
        <v>17644</v>
      </c>
      <c r="C47" t="s">
        <v>21</v>
      </c>
      <c r="D47" t="s">
        <v>22</v>
      </c>
      <c r="E47" t="s">
        <v>3893</v>
      </c>
      <c r="F47" t="s">
        <v>3894</v>
      </c>
      <c r="G47" t="s">
        <v>3894</v>
      </c>
      <c r="H47" t="s">
        <v>183</v>
      </c>
      <c r="L47" t="s">
        <v>33</v>
      </c>
      <c r="M47" s="1">
        <v>3.5879629629629629E-4</v>
      </c>
      <c r="N47" t="s">
        <v>27</v>
      </c>
      <c r="O47" t="s">
        <v>238</v>
      </c>
    </row>
    <row r="48" spans="1:15" x14ac:dyDescent="0.35">
      <c r="A48" t="s">
        <v>20</v>
      </c>
      <c r="B48">
        <v>17644</v>
      </c>
      <c r="C48" t="s">
        <v>21</v>
      </c>
      <c r="D48" t="s">
        <v>22</v>
      </c>
      <c r="E48" t="s">
        <v>3895</v>
      </c>
      <c r="F48" t="s">
        <v>3896</v>
      </c>
      <c r="G48" t="s">
        <v>3896</v>
      </c>
      <c r="H48" t="s">
        <v>191</v>
      </c>
      <c r="L48" t="s">
        <v>33</v>
      </c>
      <c r="M48" s="1">
        <v>1.215277777777778E-3</v>
      </c>
      <c r="N48" t="s">
        <v>27</v>
      </c>
      <c r="O48" t="s">
        <v>238</v>
      </c>
    </row>
    <row r="49" spans="1:15" x14ac:dyDescent="0.35">
      <c r="A49" t="s">
        <v>20</v>
      </c>
      <c r="B49">
        <v>17644</v>
      </c>
      <c r="C49" t="s">
        <v>21</v>
      </c>
      <c r="D49" t="s">
        <v>22</v>
      </c>
      <c r="E49" t="s">
        <v>3897</v>
      </c>
      <c r="F49" t="s">
        <v>3898</v>
      </c>
      <c r="G49" t="s">
        <v>3898</v>
      </c>
      <c r="H49" t="s">
        <v>195</v>
      </c>
      <c r="L49" t="s">
        <v>33</v>
      </c>
      <c r="M49" s="1">
        <v>3.3564814814814812E-4</v>
      </c>
      <c r="N49" t="s">
        <v>27</v>
      </c>
      <c r="O49" t="s">
        <v>238</v>
      </c>
    </row>
    <row r="50" spans="1:15" x14ac:dyDescent="0.35">
      <c r="A50" t="s">
        <v>20</v>
      </c>
      <c r="B50">
        <v>17644</v>
      </c>
      <c r="C50" t="s">
        <v>21</v>
      </c>
      <c r="D50" t="s">
        <v>22</v>
      </c>
      <c r="E50" t="s">
        <v>3899</v>
      </c>
      <c r="F50" t="s">
        <v>3900</v>
      </c>
      <c r="G50" t="s">
        <v>3900</v>
      </c>
      <c r="H50" t="s">
        <v>388</v>
      </c>
      <c r="L50" t="s">
        <v>33</v>
      </c>
      <c r="M50" s="1">
        <v>7.7546296296296293E-4</v>
      </c>
      <c r="N50" t="s">
        <v>27</v>
      </c>
      <c r="O50" t="s">
        <v>238</v>
      </c>
    </row>
    <row r="51" spans="1:15" x14ac:dyDescent="0.35">
      <c r="A51" t="s">
        <v>20</v>
      </c>
      <c r="B51">
        <v>17644</v>
      </c>
      <c r="C51" t="s">
        <v>21</v>
      </c>
      <c r="D51" t="s">
        <v>22</v>
      </c>
      <c r="E51" t="s">
        <v>3901</v>
      </c>
      <c r="F51" t="s">
        <v>3902</v>
      </c>
      <c r="G51" t="s">
        <v>3902</v>
      </c>
      <c r="H51" t="s">
        <v>203</v>
      </c>
      <c r="L51" t="s">
        <v>33</v>
      </c>
      <c r="M51" s="1">
        <v>3.1250000000000001E-4</v>
      </c>
      <c r="N51" t="s">
        <v>27</v>
      </c>
      <c r="O51" t="s">
        <v>238</v>
      </c>
    </row>
    <row r="52" spans="1:15" x14ac:dyDescent="0.35">
      <c r="A52" t="s">
        <v>20</v>
      </c>
      <c r="B52">
        <v>17644</v>
      </c>
      <c r="C52" t="s">
        <v>21</v>
      </c>
      <c r="D52" t="s">
        <v>22</v>
      </c>
      <c r="E52" t="s">
        <v>3903</v>
      </c>
      <c r="F52" t="s">
        <v>3904</v>
      </c>
      <c r="G52" t="s">
        <v>3904</v>
      </c>
      <c r="H52" t="s">
        <v>211</v>
      </c>
      <c r="L52" t="s">
        <v>33</v>
      </c>
      <c r="M52" s="1">
        <v>9.6064814814814819E-4</v>
      </c>
      <c r="N52" t="s">
        <v>27</v>
      </c>
      <c r="O52" t="s">
        <v>238</v>
      </c>
    </row>
    <row r="53" spans="1:15" x14ac:dyDescent="0.35">
      <c r="A53" t="s">
        <v>20</v>
      </c>
      <c r="B53">
        <v>17644</v>
      </c>
      <c r="C53" t="s">
        <v>21</v>
      </c>
      <c r="D53" t="s">
        <v>22</v>
      </c>
      <c r="E53" t="s">
        <v>3905</v>
      </c>
      <c r="F53" t="s">
        <v>3906</v>
      </c>
      <c r="G53" t="s">
        <v>3906</v>
      </c>
      <c r="H53" t="s">
        <v>3907</v>
      </c>
      <c r="L53" t="s">
        <v>33</v>
      </c>
      <c r="M53" s="1">
        <v>1.006944444444444E-3</v>
      </c>
      <c r="N53" t="s">
        <v>27</v>
      </c>
      <c r="O53" t="s">
        <v>238</v>
      </c>
    </row>
    <row r="54" spans="1:15" x14ac:dyDescent="0.35">
      <c r="A54" t="s">
        <v>20</v>
      </c>
      <c r="B54">
        <v>17644</v>
      </c>
      <c r="C54" t="s">
        <v>21</v>
      </c>
      <c r="D54" t="s">
        <v>22</v>
      </c>
      <c r="E54" t="s">
        <v>3908</v>
      </c>
      <c r="F54" t="s">
        <v>3909</v>
      </c>
      <c r="G54" t="s">
        <v>3909</v>
      </c>
      <c r="H54" t="s">
        <v>403</v>
      </c>
      <c r="L54" t="s">
        <v>33</v>
      </c>
      <c r="M54" s="1">
        <v>1.805555555555555E-3</v>
      </c>
      <c r="N54" t="s">
        <v>27</v>
      </c>
      <c r="O54" t="s">
        <v>238</v>
      </c>
    </row>
    <row r="55" spans="1:15" x14ac:dyDescent="0.35">
      <c r="A55" t="s">
        <v>20</v>
      </c>
      <c r="B55">
        <v>17644</v>
      </c>
      <c r="C55" t="s">
        <v>21</v>
      </c>
      <c r="D55" t="s">
        <v>22</v>
      </c>
      <c r="E55" t="s">
        <v>3910</v>
      </c>
      <c r="F55" t="s">
        <v>3911</v>
      </c>
      <c r="G55" t="s">
        <v>3911</v>
      </c>
      <c r="H55" t="s">
        <v>3912</v>
      </c>
      <c r="L55" t="s">
        <v>33</v>
      </c>
      <c r="M55" s="1">
        <v>7.6388888888888893E-4</v>
      </c>
      <c r="N55" t="s">
        <v>27</v>
      </c>
      <c r="O55" t="s">
        <v>238</v>
      </c>
    </row>
    <row r="56" spans="1:15" x14ac:dyDescent="0.35">
      <c r="A56" t="s">
        <v>20</v>
      </c>
      <c r="B56">
        <v>17644</v>
      </c>
      <c r="C56" t="s">
        <v>21</v>
      </c>
      <c r="D56" t="s">
        <v>22</v>
      </c>
      <c r="E56" t="s">
        <v>3913</v>
      </c>
      <c r="F56" t="s">
        <v>3914</v>
      </c>
      <c r="G56" t="s">
        <v>3914</v>
      </c>
      <c r="H56" t="s">
        <v>3915</v>
      </c>
      <c r="L56" t="s">
        <v>33</v>
      </c>
      <c r="M56" s="1">
        <v>1.157407407407407E-5</v>
      </c>
      <c r="N56" t="s">
        <v>27</v>
      </c>
      <c r="O56" t="s">
        <v>238</v>
      </c>
    </row>
    <row r="57" spans="1:15" x14ac:dyDescent="0.35">
      <c r="A57" t="s">
        <v>20</v>
      </c>
      <c r="B57">
        <v>17644</v>
      </c>
      <c r="C57" t="s">
        <v>21</v>
      </c>
      <c r="D57" t="s">
        <v>22</v>
      </c>
      <c r="E57" t="s">
        <v>3916</v>
      </c>
      <c r="F57" t="s">
        <v>3917</v>
      </c>
      <c r="G57" t="s">
        <v>3917</v>
      </c>
      <c r="H57" t="s">
        <v>3918</v>
      </c>
      <c r="L57" t="s">
        <v>33</v>
      </c>
      <c r="M57" s="1">
        <v>3.0092592592592589E-4</v>
      </c>
      <c r="N57" t="s">
        <v>27</v>
      </c>
      <c r="O57" t="s">
        <v>238</v>
      </c>
    </row>
    <row r="58" spans="1:15" x14ac:dyDescent="0.35">
      <c r="A58" t="s">
        <v>20</v>
      </c>
      <c r="B58">
        <v>17644</v>
      </c>
      <c r="C58" t="s">
        <v>21</v>
      </c>
      <c r="D58" t="s">
        <v>22</v>
      </c>
      <c r="E58" t="s">
        <v>3919</v>
      </c>
      <c r="F58" t="s">
        <v>3920</v>
      </c>
      <c r="G58" t="s">
        <v>3920</v>
      </c>
      <c r="H58" t="s">
        <v>3921</v>
      </c>
      <c r="L58" t="s">
        <v>33</v>
      </c>
      <c r="M58" s="1">
        <v>1.9675925925925929E-4</v>
      </c>
      <c r="N58" t="s">
        <v>27</v>
      </c>
      <c r="O58" t="s">
        <v>238</v>
      </c>
    </row>
    <row r="59" spans="1:15" x14ac:dyDescent="0.35">
      <c r="A59" t="s">
        <v>20</v>
      </c>
      <c r="B59">
        <v>17644</v>
      </c>
      <c r="C59" t="s">
        <v>21</v>
      </c>
      <c r="D59" t="s">
        <v>22</v>
      </c>
      <c r="E59" t="s">
        <v>3922</v>
      </c>
      <c r="F59" t="s">
        <v>3923</v>
      </c>
      <c r="G59" t="s">
        <v>3923</v>
      </c>
      <c r="H59" t="s">
        <v>3924</v>
      </c>
      <c r="L59" t="s">
        <v>33</v>
      </c>
      <c r="M59" s="1">
        <v>5.7870370370370367E-4</v>
      </c>
      <c r="N59" t="s">
        <v>27</v>
      </c>
      <c r="O59" t="s">
        <v>238</v>
      </c>
    </row>
    <row r="60" spans="1:15" x14ac:dyDescent="0.35">
      <c r="A60" t="s">
        <v>20</v>
      </c>
      <c r="B60">
        <v>17643</v>
      </c>
      <c r="C60" t="s">
        <v>426</v>
      </c>
      <c r="D60" t="s">
        <v>427</v>
      </c>
      <c r="E60" t="s">
        <v>3785</v>
      </c>
      <c r="F60" t="s">
        <v>3925</v>
      </c>
      <c r="G60" t="s">
        <v>3925</v>
      </c>
      <c r="H60" t="s">
        <v>3926</v>
      </c>
      <c r="L60" t="s">
        <v>33</v>
      </c>
      <c r="M60" s="1">
        <v>6.3657407407407413E-4</v>
      </c>
      <c r="N60" t="s">
        <v>557</v>
      </c>
      <c r="O60" t="s">
        <v>431</v>
      </c>
    </row>
    <row r="61" spans="1:15" x14ac:dyDescent="0.35">
      <c r="A61" t="s">
        <v>20</v>
      </c>
      <c r="B61">
        <v>17643</v>
      </c>
      <c r="C61" t="s">
        <v>426</v>
      </c>
      <c r="D61" t="s">
        <v>427</v>
      </c>
      <c r="E61" t="s">
        <v>3788</v>
      </c>
      <c r="F61" t="s">
        <v>3927</v>
      </c>
      <c r="G61" t="s">
        <v>3927</v>
      </c>
      <c r="H61" t="s">
        <v>3928</v>
      </c>
      <c r="L61" t="s">
        <v>33</v>
      </c>
      <c r="M61" s="1">
        <v>1.018518518518518E-3</v>
      </c>
      <c r="N61" t="s">
        <v>557</v>
      </c>
      <c r="O61" t="s">
        <v>431</v>
      </c>
    </row>
    <row r="62" spans="1:15" x14ac:dyDescent="0.35">
      <c r="A62" t="s">
        <v>20</v>
      </c>
      <c r="B62">
        <v>17643</v>
      </c>
      <c r="C62" t="s">
        <v>426</v>
      </c>
      <c r="D62" t="s">
        <v>427</v>
      </c>
      <c r="E62" t="s">
        <v>3790</v>
      </c>
      <c r="F62" t="s">
        <v>3929</v>
      </c>
      <c r="G62" t="s">
        <v>3929</v>
      </c>
      <c r="H62" t="s">
        <v>567</v>
      </c>
      <c r="L62" t="s">
        <v>33</v>
      </c>
      <c r="M62" s="1">
        <v>4.0509259259259258E-4</v>
      </c>
      <c r="N62" t="s">
        <v>557</v>
      </c>
      <c r="O62" t="s">
        <v>431</v>
      </c>
    </row>
    <row r="63" spans="1:15" x14ac:dyDescent="0.35">
      <c r="A63" t="s">
        <v>20</v>
      </c>
      <c r="B63">
        <v>17643</v>
      </c>
      <c r="C63" t="s">
        <v>426</v>
      </c>
      <c r="D63" t="s">
        <v>427</v>
      </c>
      <c r="E63" t="s">
        <v>3792</v>
      </c>
      <c r="F63" t="s">
        <v>3930</v>
      </c>
      <c r="G63" t="s">
        <v>3930</v>
      </c>
      <c r="H63" t="s">
        <v>3931</v>
      </c>
      <c r="L63" t="s">
        <v>33</v>
      </c>
      <c r="M63" s="1">
        <v>9.7222222222222219E-4</v>
      </c>
      <c r="N63" t="s">
        <v>557</v>
      </c>
      <c r="O63" t="s">
        <v>431</v>
      </c>
    </row>
    <row r="64" spans="1:15" x14ac:dyDescent="0.35">
      <c r="A64" t="s">
        <v>20</v>
      </c>
      <c r="B64">
        <v>17643</v>
      </c>
      <c r="C64" t="s">
        <v>426</v>
      </c>
      <c r="D64" t="s">
        <v>427</v>
      </c>
      <c r="E64" t="s">
        <v>3795</v>
      </c>
      <c r="F64" t="s">
        <v>3932</v>
      </c>
      <c r="G64" t="s">
        <v>3932</v>
      </c>
      <c r="H64" t="s">
        <v>576</v>
      </c>
      <c r="L64" t="s">
        <v>33</v>
      </c>
      <c r="M64" s="1">
        <v>9.7222222222222219E-4</v>
      </c>
      <c r="N64" t="s">
        <v>557</v>
      </c>
      <c r="O64" t="s">
        <v>431</v>
      </c>
    </row>
    <row r="65" spans="1:15" x14ac:dyDescent="0.35">
      <c r="A65" t="s">
        <v>20</v>
      </c>
      <c r="B65">
        <v>17643</v>
      </c>
      <c r="C65" t="s">
        <v>426</v>
      </c>
      <c r="D65" t="s">
        <v>427</v>
      </c>
      <c r="E65" t="s">
        <v>3797</v>
      </c>
      <c r="F65" t="s">
        <v>3933</v>
      </c>
      <c r="G65" t="s">
        <v>3933</v>
      </c>
      <c r="H65" t="s">
        <v>579</v>
      </c>
      <c r="L65" t="s">
        <v>33</v>
      </c>
      <c r="M65" s="1">
        <v>5.9027777777777778E-4</v>
      </c>
      <c r="N65" t="s">
        <v>557</v>
      </c>
      <c r="O65" t="s">
        <v>431</v>
      </c>
    </row>
    <row r="66" spans="1:15" x14ac:dyDescent="0.35">
      <c r="A66" t="s">
        <v>20</v>
      </c>
      <c r="B66">
        <v>17643</v>
      </c>
      <c r="C66" t="s">
        <v>426</v>
      </c>
      <c r="D66" t="s">
        <v>427</v>
      </c>
      <c r="E66" t="s">
        <v>3800</v>
      </c>
      <c r="F66" t="s">
        <v>3934</v>
      </c>
      <c r="G66" t="s">
        <v>3934</v>
      </c>
      <c r="H66" t="s">
        <v>3935</v>
      </c>
      <c r="L66" t="s">
        <v>33</v>
      </c>
      <c r="M66" s="1">
        <v>1.1342592592592589E-3</v>
      </c>
      <c r="N66" t="s">
        <v>557</v>
      </c>
      <c r="O66" t="s">
        <v>431</v>
      </c>
    </row>
    <row r="67" spans="1:15" x14ac:dyDescent="0.35">
      <c r="A67" t="s">
        <v>20</v>
      </c>
      <c r="B67">
        <v>17643</v>
      </c>
      <c r="C67" t="s">
        <v>426</v>
      </c>
      <c r="D67" t="s">
        <v>427</v>
      </c>
      <c r="E67" t="s">
        <v>3802</v>
      </c>
      <c r="F67" t="s">
        <v>3936</v>
      </c>
      <c r="G67" t="s">
        <v>3936</v>
      </c>
      <c r="H67" t="s">
        <v>3937</v>
      </c>
      <c r="L67" t="s">
        <v>33</v>
      </c>
      <c r="M67" s="1">
        <v>1.0300925925925931E-3</v>
      </c>
      <c r="N67" t="s">
        <v>557</v>
      </c>
      <c r="O67" t="s">
        <v>431</v>
      </c>
    </row>
    <row r="68" spans="1:15" x14ac:dyDescent="0.35">
      <c r="A68" t="s">
        <v>20</v>
      </c>
      <c r="B68">
        <v>17643</v>
      </c>
      <c r="C68" t="s">
        <v>426</v>
      </c>
      <c r="D68" t="s">
        <v>427</v>
      </c>
      <c r="E68" t="s">
        <v>3805</v>
      </c>
      <c r="F68" t="s">
        <v>3938</v>
      </c>
      <c r="G68" t="s">
        <v>3938</v>
      </c>
      <c r="H68" t="s">
        <v>463</v>
      </c>
      <c r="L68" t="s">
        <v>33</v>
      </c>
      <c r="M68" s="1">
        <v>1.19212962962963E-3</v>
      </c>
      <c r="N68" t="s">
        <v>557</v>
      </c>
      <c r="O68" t="s">
        <v>431</v>
      </c>
    </row>
    <row r="69" spans="1:15" x14ac:dyDescent="0.35">
      <c r="A69" t="s">
        <v>20</v>
      </c>
      <c r="B69">
        <v>17643</v>
      </c>
      <c r="C69" t="s">
        <v>426</v>
      </c>
      <c r="D69" t="s">
        <v>427</v>
      </c>
      <c r="E69" t="s">
        <v>3808</v>
      </c>
      <c r="F69" t="s">
        <v>3939</v>
      </c>
      <c r="G69" t="s">
        <v>3939</v>
      </c>
      <c r="H69" t="s">
        <v>469</v>
      </c>
      <c r="L69" t="s">
        <v>33</v>
      </c>
      <c r="M69" s="1">
        <v>2.1759259259259262E-3</v>
      </c>
      <c r="N69" t="s">
        <v>557</v>
      </c>
      <c r="O69" t="s">
        <v>431</v>
      </c>
    </row>
    <row r="70" spans="1:15" x14ac:dyDescent="0.35">
      <c r="A70" t="s">
        <v>20</v>
      </c>
      <c r="B70">
        <v>17643</v>
      </c>
      <c r="C70" t="s">
        <v>426</v>
      </c>
      <c r="D70" t="s">
        <v>427</v>
      </c>
      <c r="E70" t="s">
        <v>3810</v>
      </c>
      <c r="F70" t="s">
        <v>3940</v>
      </c>
      <c r="G70" t="s">
        <v>3940</v>
      </c>
      <c r="H70" t="s">
        <v>587</v>
      </c>
      <c r="L70" t="s">
        <v>33</v>
      </c>
      <c r="M70" s="1">
        <v>5.3240740740740744E-4</v>
      </c>
      <c r="N70" t="s">
        <v>557</v>
      </c>
      <c r="O70" t="s">
        <v>431</v>
      </c>
    </row>
    <row r="71" spans="1:15" x14ac:dyDescent="0.35">
      <c r="A71" t="s">
        <v>20</v>
      </c>
      <c r="B71">
        <v>17643</v>
      </c>
      <c r="C71" t="s">
        <v>426</v>
      </c>
      <c r="D71" t="s">
        <v>427</v>
      </c>
      <c r="E71" t="s">
        <v>3816</v>
      </c>
      <c r="F71" t="s">
        <v>3941</v>
      </c>
      <c r="G71" t="s">
        <v>3941</v>
      </c>
      <c r="H71" t="s">
        <v>472</v>
      </c>
      <c r="L71" t="s">
        <v>33</v>
      </c>
      <c r="M71" s="1">
        <v>5.3240740740740744E-4</v>
      </c>
      <c r="N71" t="s">
        <v>557</v>
      </c>
      <c r="O71" t="s">
        <v>431</v>
      </c>
    </row>
    <row r="72" spans="1:15" x14ac:dyDescent="0.35">
      <c r="A72" t="s">
        <v>20</v>
      </c>
      <c r="B72">
        <v>17643</v>
      </c>
      <c r="C72" t="s">
        <v>426</v>
      </c>
      <c r="D72" t="s">
        <v>427</v>
      </c>
      <c r="E72" t="s">
        <v>3819</v>
      </c>
      <c r="F72" t="s">
        <v>3942</v>
      </c>
      <c r="G72" t="s">
        <v>3942</v>
      </c>
      <c r="H72" t="s">
        <v>3943</v>
      </c>
      <c r="L72" t="s">
        <v>33</v>
      </c>
      <c r="M72" s="1">
        <v>3.3564814814814812E-4</v>
      </c>
      <c r="N72" t="s">
        <v>557</v>
      </c>
      <c r="O72" t="s">
        <v>431</v>
      </c>
    </row>
    <row r="73" spans="1:15" x14ac:dyDescent="0.35">
      <c r="A73" t="s">
        <v>20</v>
      </c>
      <c r="B73">
        <v>17643</v>
      </c>
      <c r="C73" t="s">
        <v>426</v>
      </c>
      <c r="D73" t="s">
        <v>427</v>
      </c>
      <c r="E73" t="s">
        <v>3821</v>
      </c>
      <c r="F73" t="s">
        <v>3944</v>
      </c>
      <c r="G73" t="s">
        <v>3944</v>
      </c>
      <c r="H73" t="s">
        <v>3945</v>
      </c>
      <c r="L73" t="s">
        <v>33</v>
      </c>
      <c r="M73" s="1">
        <v>1.0879629629629631E-3</v>
      </c>
      <c r="N73" t="s">
        <v>557</v>
      </c>
      <c r="O73" t="s">
        <v>431</v>
      </c>
    </row>
    <row r="74" spans="1:15" x14ac:dyDescent="0.35">
      <c r="A74" t="s">
        <v>20</v>
      </c>
      <c r="B74">
        <v>17643</v>
      </c>
      <c r="C74" t="s">
        <v>426</v>
      </c>
      <c r="D74" t="s">
        <v>427</v>
      </c>
      <c r="E74" t="s">
        <v>3823</v>
      </c>
      <c r="F74" t="s">
        <v>3946</v>
      </c>
      <c r="G74" t="s">
        <v>3946</v>
      </c>
      <c r="H74" t="s">
        <v>593</v>
      </c>
      <c r="L74" t="s">
        <v>33</v>
      </c>
      <c r="M74" s="1">
        <v>5.7870370370370367E-4</v>
      </c>
      <c r="N74" t="s">
        <v>557</v>
      </c>
      <c r="O74" t="s">
        <v>431</v>
      </c>
    </row>
    <row r="75" spans="1:15" x14ac:dyDescent="0.35">
      <c r="A75" t="s">
        <v>20</v>
      </c>
      <c r="B75">
        <v>17643</v>
      </c>
      <c r="C75" t="s">
        <v>426</v>
      </c>
      <c r="D75" t="s">
        <v>427</v>
      </c>
      <c r="E75" t="s">
        <v>3825</v>
      </c>
      <c r="F75" t="s">
        <v>3947</v>
      </c>
      <c r="G75" t="s">
        <v>3947</v>
      </c>
      <c r="H75" t="s">
        <v>482</v>
      </c>
      <c r="L75" t="s">
        <v>33</v>
      </c>
      <c r="M75" s="1">
        <v>9.9537037037037042E-4</v>
      </c>
      <c r="N75" t="s">
        <v>557</v>
      </c>
      <c r="O75" t="s">
        <v>431</v>
      </c>
    </row>
    <row r="76" spans="1:15" x14ac:dyDescent="0.35">
      <c r="A76" t="s">
        <v>20</v>
      </c>
      <c r="B76">
        <v>17643</v>
      </c>
      <c r="C76" t="s">
        <v>426</v>
      </c>
      <c r="D76" t="s">
        <v>427</v>
      </c>
      <c r="E76" t="s">
        <v>3827</v>
      </c>
      <c r="F76" t="s">
        <v>3948</v>
      </c>
      <c r="G76" t="s">
        <v>3948</v>
      </c>
      <c r="H76" t="s">
        <v>596</v>
      </c>
      <c r="L76" t="s">
        <v>33</v>
      </c>
      <c r="M76" s="1">
        <v>5.2083333333333333E-4</v>
      </c>
      <c r="N76" t="s">
        <v>557</v>
      </c>
      <c r="O76" t="s">
        <v>431</v>
      </c>
    </row>
    <row r="77" spans="1:15" x14ac:dyDescent="0.35">
      <c r="A77" t="s">
        <v>20</v>
      </c>
      <c r="B77">
        <v>17643</v>
      </c>
      <c r="C77" t="s">
        <v>426</v>
      </c>
      <c r="D77" t="s">
        <v>427</v>
      </c>
      <c r="E77" t="s">
        <v>3830</v>
      </c>
      <c r="F77" t="s">
        <v>3949</v>
      </c>
      <c r="G77" t="s">
        <v>3949</v>
      </c>
      <c r="H77" t="s">
        <v>599</v>
      </c>
      <c r="L77" t="s">
        <v>33</v>
      </c>
      <c r="M77" s="1">
        <v>7.407407407407407E-4</v>
      </c>
      <c r="N77" t="s">
        <v>557</v>
      </c>
      <c r="O77" t="s">
        <v>431</v>
      </c>
    </row>
    <row r="78" spans="1:15" x14ac:dyDescent="0.35">
      <c r="A78" t="s">
        <v>20</v>
      </c>
      <c r="B78">
        <v>17643</v>
      </c>
      <c r="C78" t="s">
        <v>426</v>
      </c>
      <c r="D78" t="s">
        <v>427</v>
      </c>
      <c r="E78" t="s">
        <v>3832</v>
      </c>
      <c r="F78" t="s">
        <v>3950</v>
      </c>
      <c r="G78" t="s">
        <v>3950</v>
      </c>
      <c r="H78" t="s">
        <v>602</v>
      </c>
      <c r="L78" t="s">
        <v>33</v>
      </c>
      <c r="M78" s="1">
        <v>3.368055555555556E-3</v>
      </c>
      <c r="N78" t="s">
        <v>557</v>
      </c>
      <c r="O78" t="s">
        <v>431</v>
      </c>
    </row>
    <row r="79" spans="1:15" x14ac:dyDescent="0.35">
      <c r="A79" t="s">
        <v>20</v>
      </c>
      <c r="B79">
        <v>17643</v>
      </c>
      <c r="C79" t="s">
        <v>426</v>
      </c>
      <c r="D79" t="s">
        <v>427</v>
      </c>
      <c r="E79" t="s">
        <v>3834</v>
      </c>
      <c r="F79" t="s">
        <v>3951</v>
      </c>
      <c r="G79" t="s">
        <v>3951</v>
      </c>
      <c r="H79" t="s">
        <v>3952</v>
      </c>
      <c r="L79" t="s">
        <v>33</v>
      </c>
      <c r="M79" s="1">
        <v>1.296296296296296E-3</v>
      </c>
      <c r="N79" t="s">
        <v>557</v>
      </c>
      <c r="O79" t="s">
        <v>431</v>
      </c>
    </row>
    <row r="80" spans="1:15" x14ac:dyDescent="0.35">
      <c r="A80" t="s">
        <v>20</v>
      </c>
      <c r="B80">
        <v>17643</v>
      </c>
      <c r="C80" t="s">
        <v>426</v>
      </c>
      <c r="D80" t="s">
        <v>427</v>
      </c>
      <c r="E80" t="s">
        <v>3836</v>
      </c>
      <c r="F80" t="s">
        <v>3953</v>
      </c>
      <c r="G80" t="s">
        <v>3953</v>
      </c>
      <c r="H80" t="s">
        <v>3954</v>
      </c>
      <c r="L80" t="s">
        <v>33</v>
      </c>
      <c r="M80" s="1">
        <v>6.018518518518519E-4</v>
      </c>
      <c r="N80" t="s">
        <v>557</v>
      </c>
      <c r="O80" t="s">
        <v>431</v>
      </c>
    </row>
    <row r="81" spans="1:15" x14ac:dyDescent="0.35">
      <c r="A81" t="s">
        <v>20</v>
      </c>
      <c r="B81">
        <v>17643</v>
      </c>
      <c r="C81" t="s">
        <v>426</v>
      </c>
      <c r="D81" t="s">
        <v>427</v>
      </c>
      <c r="E81" t="s">
        <v>3838</v>
      </c>
      <c r="F81" t="s">
        <v>3955</v>
      </c>
      <c r="G81" t="s">
        <v>3955</v>
      </c>
      <c r="H81" t="s">
        <v>3956</v>
      </c>
      <c r="L81" t="s">
        <v>33</v>
      </c>
      <c r="M81" s="1">
        <v>1.157407407407407E-5</v>
      </c>
      <c r="N81" t="s">
        <v>557</v>
      </c>
      <c r="O81" t="s">
        <v>431</v>
      </c>
    </row>
    <row r="82" spans="1:15" x14ac:dyDescent="0.35">
      <c r="A82" t="s">
        <v>20</v>
      </c>
      <c r="B82">
        <v>17643</v>
      </c>
      <c r="C82" t="s">
        <v>426</v>
      </c>
      <c r="D82" t="s">
        <v>427</v>
      </c>
      <c r="E82" t="s">
        <v>3840</v>
      </c>
      <c r="F82" t="s">
        <v>3957</v>
      </c>
      <c r="G82" t="s">
        <v>3957</v>
      </c>
      <c r="H82" t="s">
        <v>491</v>
      </c>
      <c r="L82" t="s">
        <v>33</v>
      </c>
      <c r="M82" s="1">
        <v>8.2175925925925927E-4</v>
      </c>
      <c r="N82" t="s">
        <v>557</v>
      </c>
      <c r="O82" t="s">
        <v>431</v>
      </c>
    </row>
    <row r="83" spans="1:15" x14ac:dyDescent="0.35">
      <c r="A83" t="s">
        <v>20</v>
      </c>
      <c r="B83">
        <v>17643</v>
      </c>
      <c r="C83" t="s">
        <v>426</v>
      </c>
      <c r="D83" t="s">
        <v>427</v>
      </c>
      <c r="E83" t="s">
        <v>3846</v>
      </c>
      <c r="F83" t="s">
        <v>3958</v>
      </c>
      <c r="G83" t="s">
        <v>3959</v>
      </c>
      <c r="H83" t="s">
        <v>3960</v>
      </c>
      <c r="L83" t="s">
        <v>33</v>
      </c>
      <c r="M83" s="1">
        <v>1.006944444444444E-3</v>
      </c>
      <c r="N83" t="s">
        <v>557</v>
      </c>
      <c r="O83" t="s">
        <v>431</v>
      </c>
    </row>
    <row r="84" spans="1:15" x14ac:dyDescent="0.35">
      <c r="A84" t="s">
        <v>20</v>
      </c>
      <c r="B84">
        <v>17643</v>
      </c>
      <c r="C84" t="s">
        <v>426</v>
      </c>
      <c r="D84" t="s">
        <v>427</v>
      </c>
      <c r="E84" t="s">
        <v>3843</v>
      </c>
      <c r="F84" t="s">
        <v>3961</v>
      </c>
      <c r="G84" t="s">
        <v>3961</v>
      </c>
      <c r="H84" t="s">
        <v>3962</v>
      </c>
      <c r="L84" t="s">
        <v>33</v>
      </c>
      <c r="M84" s="1">
        <v>2.7777777777777778E-4</v>
      </c>
      <c r="N84" t="s">
        <v>557</v>
      </c>
      <c r="O84" t="s">
        <v>431</v>
      </c>
    </row>
    <row r="85" spans="1:15" x14ac:dyDescent="0.35">
      <c r="A85" t="s">
        <v>20</v>
      </c>
      <c r="B85">
        <v>17643</v>
      </c>
      <c r="C85" t="s">
        <v>426</v>
      </c>
      <c r="D85" t="s">
        <v>427</v>
      </c>
      <c r="E85" t="s">
        <v>3848</v>
      </c>
      <c r="F85" t="s">
        <v>3963</v>
      </c>
      <c r="G85" t="s">
        <v>3963</v>
      </c>
      <c r="H85" t="s">
        <v>613</v>
      </c>
      <c r="L85" t="s">
        <v>33</v>
      </c>
      <c r="M85" s="1">
        <v>4.3981481481481481E-4</v>
      </c>
      <c r="N85" t="s">
        <v>557</v>
      </c>
      <c r="O85" t="s">
        <v>431</v>
      </c>
    </row>
    <row r="86" spans="1:15" x14ac:dyDescent="0.35">
      <c r="A86" t="s">
        <v>20</v>
      </c>
      <c r="B86">
        <v>17643</v>
      </c>
      <c r="C86" t="s">
        <v>426</v>
      </c>
      <c r="D86" t="s">
        <v>427</v>
      </c>
      <c r="E86" t="s">
        <v>3812</v>
      </c>
      <c r="F86" t="s">
        <v>3964</v>
      </c>
      <c r="G86" t="s">
        <v>3964</v>
      </c>
      <c r="H86" t="s">
        <v>497</v>
      </c>
      <c r="L86" t="s">
        <v>33</v>
      </c>
      <c r="M86" s="1">
        <v>1.215277777777778E-3</v>
      </c>
      <c r="N86" t="s">
        <v>557</v>
      </c>
      <c r="O86" t="s">
        <v>431</v>
      </c>
    </row>
    <row r="87" spans="1:15" x14ac:dyDescent="0.35">
      <c r="A87" t="s">
        <v>20</v>
      </c>
      <c r="B87">
        <v>17643</v>
      </c>
      <c r="C87" t="s">
        <v>426</v>
      </c>
      <c r="D87" t="s">
        <v>427</v>
      </c>
      <c r="E87" t="s">
        <v>3851</v>
      </c>
      <c r="F87" t="s">
        <v>3965</v>
      </c>
      <c r="G87" t="s">
        <v>3965</v>
      </c>
      <c r="H87" t="s">
        <v>618</v>
      </c>
      <c r="L87" t="s">
        <v>33</v>
      </c>
      <c r="M87" s="1">
        <v>4.7453703703703698E-4</v>
      </c>
      <c r="N87" t="s">
        <v>557</v>
      </c>
      <c r="O87" t="s">
        <v>431</v>
      </c>
    </row>
    <row r="88" spans="1:15" x14ac:dyDescent="0.35">
      <c r="A88" t="s">
        <v>20</v>
      </c>
      <c r="B88">
        <v>17643</v>
      </c>
      <c r="C88" t="s">
        <v>426</v>
      </c>
      <c r="D88" t="s">
        <v>427</v>
      </c>
      <c r="E88" t="s">
        <v>3853</v>
      </c>
      <c r="F88" t="s">
        <v>3966</v>
      </c>
      <c r="G88" t="s">
        <v>3966</v>
      </c>
      <c r="H88" t="s">
        <v>500</v>
      </c>
      <c r="L88" t="s">
        <v>33</v>
      </c>
      <c r="M88" s="1">
        <v>6.4814814814814813E-4</v>
      </c>
      <c r="N88" t="s">
        <v>557</v>
      </c>
      <c r="O88" t="s">
        <v>431</v>
      </c>
    </row>
    <row r="89" spans="1:15" x14ac:dyDescent="0.35">
      <c r="A89" t="s">
        <v>20</v>
      </c>
      <c r="B89">
        <v>17643</v>
      </c>
      <c r="C89" t="s">
        <v>426</v>
      </c>
      <c r="D89" t="s">
        <v>427</v>
      </c>
      <c r="E89" t="s">
        <v>3855</v>
      </c>
      <c r="F89" t="s">
        <v>3967</v>
      </c>
      <c r="G89" t="s">
        <v>3967</v>
      </c>
      <c r="H89" t="s">
        <v>503</v>
      </c>
      <c r="L89" t="s">
        <v>33</v>
      </c>
      <c r="M89" s="1">
        <v>6.9444444444444447E-4</v>
      </c>
      <c r="N89" t="s">
        <v>557</v>
      </c>
      <c r="O89" t="s">
        <v>431</v>
      </c>
    </row>
    <row r="90" spans="1:15" x14ac:dyDescent="0.35">
      <c r="A90" t="s">
        <v>20</v>
      </c>
      <c r="B90">
        <v>17643</v>
      </c>
      <c r="C90" t="s">
        <v>426</v>
      </c>
      <c r="D90" t="s">
        <v>427</v>
      </c>
      <c r="E90" t="s">
        <v>3857</v>
      </c>
      <c r="F90" t="s">
        <v>3968</v>
      </c>
      <c r="G90" t="s">
        <v>3968</v>
      </c>
      <c r="H90" t="s">
        <v>506</v>
      </c>
      <c r="L90" t="s">
        <v>33</v>
      </c>
      <c r="M90" s="1">
        <v>1.19212962962963E-3</v>
      </c>
      <c r="N90" t="s">
        <v>557</v>
      </c>
      <c r="O90" t="s">
        <v>431</v>
      </c>
    </row>
    <row r="91" spans="1:15" x14ac:dyDescent="0.35">
      <c r="A91" t="s">
        <v>20</v>
      </c>
      <c r="B91">
        <v>17643</v>
      </c>
      <c r="C91" t="s">
        <v>426</v>
      </c>
      <c r="D91" t="s">
        <v>427</v>
      </c>
      <c r="E91" t="s">
        <v>3860</v>
      </c>
      <c r="F91" t="s">
        <v>3969</v>
      </c>
      <c r="G91" t="s">
        <v>3969</v>
      </c>
      <c r="H91" t="s">
        <v>509</v>
      </c>
      <c r="L91" t="s">
        <v>33</v>
      </c>
      <c r="M91" s="1">
        <v>3.3564814814814812E-4</v>
      </c>
      <c r="N91" t="s">
        <v>557</v>
      </c>
      <c r="O91" t="s">
        <v>431</v>
      </c>
    </row>
    <row r="92" spans="1:15" x14ac:dyDescent="0.35">
      <c r="A92" t="s">
        <v>20</v>
      </c>
      <c r="B92">
        <v>17643</v>
      </c>
      <c r="C92" t="s">
        <v>426</v>
      </c>
      <c r="D92" t="s">
        <v>427</v>
      </c>
      <c r="E92" t="s">
        <v>3863</v>
      </c>
      <c r="F92" t="s">
        <v>3970</v>
      </c>
      <c r="G92" t="s">
        <v>3970</v>
      </c>
      <c r="H92" t="s">
        <v>512</v>
      </c>
      <c r="L92" t="s">
        <v>33</v>
      </c>
      <c r="M92" s="1">
        <v>5.6712962962962967E-4</v>
      </c>
      <c r="N92" t="s">
        <v>557</v>
      </c>
      <c r="O92" t="s">
        <v>431</v>
      </c>
    </row>
    <row r="93" spans="1:15" x14ac:dyDescent="0.35">
      <c r="A93" t="s">
        <v>20</v>
      </c>
      <c r="B93">
        <v>17643</v>
      </c>
      <c r="C93" t="s">
        <v>426</v>
      </c>
      <c r="D93" t="s">
        <v>427</v>
      </c>
      <c r="E93" t="s">
        <v>3866</v>
      </c>
      <c r="F93" t="s">
        <v>3971</v>
      </c>
      <c r="G93" t="s">
        <v>3971</v>
      </c>
      <c r="H93" t="s">
        <v>3972</v>
      </c>
      <c r="L93" t="s">
        <v>33</v>
      </c>
      <c r="M93" s="1">
        <v>1.157407407407407E-4</v>
      </c>
      <c r="N93" t="s">
        <v>557</v>
      </c>
      <c r="O93" t="s">
        <v>431</v>
      </c>
    </row>
    <row r="94" spans="1:15" x14ac:dyDescent="0.35">
      <c r="A94" t="s">
        <v>20</v>
      </c>
      <c r="B94">
        <v>17643</v>
      </c>
      <c r="C94" t="s">
        <v>426</v>
      </c>
      <c r="D94" t="s">
        <v>427</v>
      </c>
      <c r="E94" t="s">
        <v>3872</v>
      </c>
      <c r="F94" t="s">
        <v>3973</v>
      </c>
      <c r="G94" t="s">
        <v>3973</v>
      </c>
      <c r="H94" t="s">
        <v>3974</v>
      </c>
      <c r="L94" t="s">
        <v>33</v>
      </c>
      <c r="M94" s="1">
        <v>1.1226851851851849E-3</v>
      </c>
      <c r="N94" t="s">
        <v>557</v>
      </c>
      <c r="O94" t="s">
        <v>431</v>
      </c>
    </row>
    <row r="95" spans="1:15" x14ac:dyDescent="0.35">
      <c r="A95" t="s">
        <v>20</v>
      </c>
      <c r="B95">
        <v>17643</v>
      </c>
      <c r="C95" t="s">
        <v>426</v>
      </c>
      <c r="D95" t="s">
        <v>427</v>
      </c>
      <c r="E95" t="s">
        <v>3874</v>
      </c>
      <c r="F95" t="s">
        <v>3975</v>
      </c>
      <c r="G95" t="s">
        <v>3975</v>
      </c>
      <c r="H95" t="s">
        <v>521</v>
      </c>
      <c r="L95" t="s">
        <v>33</v>
      </c>
      <c r="M95" s="1">
        <v>5.3240740740740744E-4</v>
      </c>
      <c r="N95" t="s">
        <v>557</v>
      </c>
      <c r="O95" t="s">
        <v>431</v>
      </c>
    </row>
    <row r="96" spans="1:15" x14ac:dyDescent="0.35">
      <c r="A96" t="s">
        <v>20</v>
      </c>
      <c r="B96">
        <v>17643</v>
      </c>
      <c r="C96" t="s">
        <v>426</v>
      </c>
      <c r="D96" t="s">
        <v>427</v>
      </c>
      <c r="E96" t="s">
        <v>3908</v>
      </c>
      <c r="F96" t="s">
        <v>3976</v>
      </c>
      <c r="G96" t="s">
        <v>3977</v>
      </c>
      <c r="H96" t="s">
        <v>3978</v>
      </c>
      <c r="L96" t="s">
        <v>33</v>
      </c>
      <c r="M96" s="1">
        <v>7.0601851851851847E-4</v>
      </c>
      <c r="N96" t="s">
        <v>557</v>
      </c>
      <c r="O96" t="s">
        <v>431</v>
      </c>
    </row>
    <row r="97" spans="1:15" x14ac:dyDescent="0.35">
      <c r="A97" t="s">
        <v>20</v>
      </c>
      <c r="B97">
        <v>17643</v>
      </c>
      <c r="C97" t="s">
        <v>426</v>
      </c>
      <c r="D97" t="s">
        <v>427</v>
      </c>
      <c r="E97" t="s">
        <v>3876</v>
      </c>
      <c r="F97" t="s">
        <v>3979</v>
      </c>
      <c r="G97" t="s">
        <v>3979</v>
      </c>
      <c r="H97" t="s">
        <v>639</v>
      </c>
      <c r="L97" t="s">
        <v>33</v>
      </c>
      <c r="M97" s="1">
        <v>5.4398148148148144E-4</v>
      </c>
      <c r="N97" t="s">
        <v>557</v>
      </c>
      <c r="O97" t="s">
        <v>431</v>
      </c>
    </row>
    <row r="98" spans="1:15" x14ac:dyDescent="0.35">
      <c r="A98" t="s">
        <v>20</v>
      </c>
      <c r="B98">
        <v>17643</v>
      </c>
      <c r="C98" t="s">
        <v>426</v>
      </c>
      <c r="D98" t="s">
        <v>427</v>
      </c>
      <c r="E98" t="s">
        <v>3878</v>
      </c>
      <c r="F98" t="s">
        <v>3980</v>
      </c>
      <c r="G98" t="s">
        <v>3980</v>
      </c>
      <c r="H98" t="s">
        <v>3981</v>
      </c>
      <c r="L98" t="s">
        <v>33</v>
      </c>
      <c r="M98" s="1">
        <v>1.3773148148148149E-3</v>
      </c>
      <c r="N98" t="s">
        <v>557</v>
      </c>
      <c r="O98" t="s">
        <v>431</v>
      </c>
    </row>
    <row r="99" spans="1:15" x14ac:dyDescent="0.35">
      <c r="A99" t="s">
        <v>20</v>
      </c>
      <c r="B99">
        <v>17643</v>
      </c>
      <c r="C99" t="s">
        <v>426</v>
      </c>
      <c r="D99" t="s">
        <v>427</v>
      </c>
      <c r="E99" t="s">
        <v>3880</v>
      </c>
      <c r="F99" t="s">
        <v>3982</v>
      </c>
      <c r="G99" t="s">
        <v>3982</v>
      </c>
      <c r="H99" t="s">
        <v>527</v>
      </c>
      <c r="L99" t="s">
        <v>33</v>
      </c>
      <c r="M99" s="1">
        <v>4.9768518518518521E-4</v>
      </c>
      <c r="N99" t="s">
        <v>557</v>
      </c>
      <c r="O99" t="s">
        <v>431</v>
      </c>
    </row>
    <row r="100" spans="1:15" x14ac:dyDescent="0.35">
      <c r="A100" t="s">
        <v>20</v>
      </c>
      <c r="B100">
        <v>17643</v>
      </c>
      <c r="C100" t="s">
        <v>426</v>
      </c>
      <c r="D100" t="s">
        <v>427</v>
      </c>
      <c r="E100" t="s">
        <v>3882</v>
      </c>
      <c r="F100" t="s">
        <v>3983</v>
      </c>
      <c r="G100" t="s">
        <v>3983</v>
      </c>
      <c r="H100" t="s">
        <v>530</v>
      </c>
      <c r="L100" t="s">
        <v>33</v>
      </c>
      <c r="M100" s="1">
        <v>8.1018518518518516E-4</v>
      </c>
      <c r="N100" t="s">
        <v>557</v>
      </c>
      <c r="O100" t="s">
        <v>431</v>
      </c>
    </row>
    <row r="101" spans="1:15" x14ac:dyDescent="0.35">
      <c r="A101" t="s">
        <v>20</v>
      </c>
      <c r="B101">
        <v>17643</v>
      </c>
      <c r="C101" t="s">
        <v>426</v>
      </c>
      <c r="D101" t="s">
        <v>427</v>
      </c>
      <c r="E101" t="s">
        <v>3884</v>
      </c>
      <c r="F101" t="s">
        <v>3984</v>
      </c>
      <c r="G101" t="s">
        <v>3984</v>
      </c>
      <c r="H101" t="s">
        <v>645</v>
      </c>
      <c r="L101" t="s">
        <v>33</v>
      </c>
      <c r="M101" s="1">
        <v>1.006944444444444E-3</v>
      </c>
      <c r="N101" t="s">
        <v>557</v>
      </c>
      <c r="O101" t="s">
        <v>431</v>
      </c>
    </row>
    <row r="102" spans="1:15" x14ac:dyDescent="0.35">
      <c r="A102" t="s">
        <v>20</v>
      </c>
      <c r="B102">
        <v>17643</v>
      </c>
      <c r="C102" t="s">
        <v>426</v>
      </c>
      <c r="D102" t="s">
        <v>427</v>
      </c>
      <c r="E102" t="s">
        <v>3887</v>
      </c>
      <c r="F102" t="s">
        <v>3985</v>
      </c>
      <c r="G102" t="s">
        <v>3985</v>
      </c>
      <c r="H102" t="s">
        <v>533</v>
      </c>
      <c r="L102" t="s">
        <v>33</v>
      </c>
      <c r="M102" s="1">
        <v>6.7129629629629625E-4</v>
      </c>
      <c r="N102" t="s">
        <v>557</v>
      </c>
      <c r="O102" t="s">
        <v>431</v>
      </c>
    </row>
    <row r="103" spans="1:15" x14ac:dyDescent="0.35">
      <c r="A103" t="s">
        <v>20</v>
      </c>
      <c r="B103">
        <v>17643</v>
      </c>
      <c r="C103" t="s">
        <v>426</v>
      </c>
      <c r="D103" t="s">
        <v>427</v>
      </c>
      <c r="E103" t="s">
        <v>3889</v>
      </c>
      <c r="F103" t="s">
        <v>3986</v>
      </c>
      <c r="G103" t="s">
        <v>3986</v>
      </c>
      <c r="H103" t="s">
        <v>536</v>
      </c>
      <c r="L103" t="s">
        <v>33</v>
      </c>
      <c r="M103" s="1">
        <v>7.9861111111111116E-4</v>
      </c>
      <c r="N103" t="s">
        <v>557</v>
      </c>
      <c r="O103" t="s">
        <v>431</v>
      </c>
    </row>
    <row r="104" spans="1:15" x14ac:dyDescent="0.35">
      <c r="A104" t="s">
        <v>20</v>
      </c>
      <c r="B104">
        <v>17643</v>
      </c>
      <c r="C104" t="s">
        <v>426</v>
      </c>
      <c r="D104" t="s">
        <v>427</v>
      </c>
      <c r="E104" t="s">
        <v>3891</v>
      </c>
      <c r="F104" t="s">
        <v>3987</v>
      </c>
      <c r="G104" t="s">
        <v>3987</v>
      </c>
      <c r="H104" t="s">
        <v>3988</v>
      </c>
      <c r="L104" t="s">
        <v>33</v>
      </c>
      <c r="M104" s="1">
        <v>8.4490740740740739E-4</v>
      </c>
      <c r="N104" t="s">
        <v>557</v>
      </c>
      <c r="O104" t="s">
        <v>431</v>
      </c>
    </row>
    <row r="105" spans="1:15" x14ac:dyDescent="0.35">
      <c r="A105" t="s">
        <v>20</v>
      </c>
      <c r="B105">
        <v>17643</v>
      </c>
      <c r="C105" t="s">
        <v>426</v>
      </c>
      <c r="D105" t="s">
        <v>427</v>
      </c>
      <c r="E105" t="s">
        <v>3893</v>
      </c>
      <c r="F105" t="s">
        <v>3989</v>
      </c>
      <c r="G105" t="s">
        <v>3989</v>
      </c>
      <c r="H105" t="s">
        <v>3990</v>
      </c>
      <c r="L105" t="s">
        <v>33</v>
      </c>
      <c r="M105" s="1">
        <v>9.837962962962962E-4</v>
      </c>
      <c r="N105" t="s">
        <v>557</v>
      </c>
      <c r="O105" t="s">
        <v>431</v>
      </c>
    </row>
    <row r="106" spans="1:15" x14ac:dyDescent="0.35">
      <c r="A106" t="s">
        <v>20</v>
      </c>
      <c r="B106">
        <v>17643</v>
      </c>
      <c r="C106" t="s">
        <v>426</v>
      </c>
      <c r="D106" t="s">
        <v>427</v>
      </c>
      <c r="E106" t="s">
        <v>3895</v>
      </c>
      <c r="F106" t="s">
        <v>3991</v>
      </c>
      <c r="G106" t="s">
        <v>3991</v>
      </c>
      <c r="H106" t="s">
        <v>651</v>
      </c>
      <c r="L106" t="s">
        <v>33</v>
      </c>
      <c r="M106" s="1">
        <v>1.203703703703704E-3</v>
      </c>
      <c r="N106" t="s">
        <v>557</v>
      </c>
      <c r="O106" t="s">
        <v>431</v>
      </c>
    </row>
    <row r="107" spans="1:15" x14ac:dyDescent="0.35">
      <c r="A107" t="s">
        <v>20</v>
      </c>
      <c r="B107">
        <v>17643</v>
      </c>
      <c r="C107" t="s">
        <v>426</v>
      </c>
      <c r="D107" t="s">
        <v>427</v>
      </c>
      <c r="E107" t="s">
        <v>3897</v>
      </c>
      <c r="F107" t="s">
        <v>3992</v>
      </c>
      <c r="G107" t="s">
        <v>3992</v>
      </c>
      <c r="H107" t="s">
        <v>3993</v>
      </c>
      <c r="L107" t="s">
        <v>33</v>
      </c>
      <c r="M107" s="1">
        <v>1.168981481481482E-3</v>
      </c>
      <c r="N107" t="s">
        <v>557</v>
      </c>
      <c r="O107" t="s">
        <v>431</v>
      </c>
    </row>
    <row r="108" spans="1:15" x14ac:dyDescent="0.35">
      <c r="A108" t="s">
        <v>20</v>
      </c>
      <c r="B108">
        <v>17643</v>
      </c>
      <c r="C108" t="s">
        <v>426</v>
      </c>
      <c r="D108" t="s">
        <v>427</v>
      </c>
      <c r="E108" t="s">
        <v>3899</v>
      </c>
      <c r="F108" t="s">
        <v>3994</v>
      </c>
      <c r="G108" t="s">
        <v>3994</v>
      </c>
      <c r="H108" t="s">
        <v>3995</v>
      </c>
      <c r="L108" t="s">
        <v>33</v>
      </c>
      <c r="M108" s="1">
        <v>2.6620370370370372E-4</v>
      </c>
      <c r="N108" t="s">
        <v>557</v>
      </c>
      <c r="O108" t="s">
        <v>431</v>
      </c>
    </row>
    <row r="109" spans="1:15" x14ac:dyDescent="0.35">
      <c r="A109" t="s">
        <v>20</v>
      </c>
      <c r="B109">
        <v>17643</v>
      </c>
      <c r="C109" t="s">
        <v>426</v>
      </c>
      <c r="D109" t="s">
        <v>427</v>
      </c>
      <c r="E109" t="s">
        <v>3901</v>
      </c>
      <c r="F109" t="s">
        <v>3996</v>
      </c>
      <c r="G109" t="s">
        <v>3996</v>
      </c>
      <c r="H109" t="s">
        <v>3997</v>
      </c>
      <c r="L109" t="s">
        <v>33</v>
      </c>
      <c r="M109" s="1">
        <v>1.851851851851852E-4</v>
      </c>
      <c r="N109" t="s">
        <v>557</v>
      </c>
      <c r="O109" t="s">
        <v>431</v>
      </c>
    </row>
    <row r="110" spans="1:15" x14ac:dyDescent="0.35">
      <c r="A110" t="s">
        <v>20</v>
      </c>
      <c r="B110">
        <v>17643</v>
      </c>
      <c r="C110" t="s">
        <v>426</v>
      </c>
      <c r="D110" t="s">
        <v>427</v>
      </c>
      <c r="E110" t="s">
        <v>3903</v>
      </c>
      <c r="F110" t="s">
        <v>3998</v>
      </c>
      <c r="G110" t="s">
        <v>3998</v>
      </c>
      <c r="H110" t="s">
        <v>660</v>
      </c>
      <c r="L110" t="s">
        <v>33</v>
      </c>
      <c r="M110" s="1">
        <v>7.1759259259259259E-4</v>
      </c>
      <c r="N110" t="s">
        <v>557</v>
      </c>
      <c r="O110" t="s">
        <v>431</v>
      </c>
    </row>
    <row r="111" spans="1:15" x14ac:dyDescent="0.35">
      <c r="A111" t="s">
        <v>20</v>
      </c>
      <c r="B111">
        <v>17643</v>
      </c>
      <c r="C111" t="s">
        <v>426</v>
      </c>
      <c r="D111" t="s">
        <v>427</v>
      </c>
      <c r="E111" t="s">
        <v>3905</v>
      </c>
      <c r="F111" t="s">
        <v>3999</v>
      </c>
      <c r="G111" t="s">
        <v>3999</v>
      </c>
      <c r="H111" t="s">
        <v>4000</v>
      </c>
      <c r="L111" t="s">
        <v>33</v>
      </c>
      <c r="M111" s="1">
        <v>3.8194444444444452E-4</v>
      </c>
      <c r="N111" t="s">
        <v>557</v>
      </c>
      <c r="O111" t="s">
        <v>431</v>
      </c>
    </row>
    <row r="112" spans="1:15" x14ac:dyDescent="0.35">
      <c r="A112" t="s">
        <v>20</v>
      </c>
      <c r="B112">
        <v>17646</v>
      </c>
      <c r="C112" t="s">
        <v>666</v>
      </c>
      <c r="D112" t="s">
        <v>667</v>
      </c>
      <c r="E112" t="s">
        <v>3785</v>
      </c>
      <c r="F112" t="s">
        <v>4001</v>
      </c>
      <c r="G112" t="s">
        <v>4001</v>
      </c>
      <c r="H112" t="s">
        <v>668</v>
      </c>
      <c r="L112" t="s">
        <v>33</v>
      </c>
      <c r="M112" s="1">
        <v>3.3564814814814812E-4</v>
      </c>
      <c r="N112" t="s">
        <v>671</v>
      </c>
      <c r="O112" t="s">
        <v>809</v>
      </c>
    </row>
    <row r="113" spans="1:15" x14ac:dyDescent="0.35">
      <c r="A113" t="s">
        <v>20</v>
      </c>
      <c r="B113">
        <v>17646</v>
      </c>
      <c r="C113" t="s">
        <v>666</v>
      </c>
      <c r="D113" t="s">
        <v>667</v>
      </c>
      <c r="E113" t="s">
        <v>3788</v>
      </c>
      <c r="F113" t="s">
        <v>4002</v>
      </c>
      <c r="G113" t="s">
        <v>4002</v>
      </c>
      <c r="H113" t="s">
        <v>4003</v>
      </c>
      <c r="L113" t="s">
        <v>33</v>
      </c>
      <c r="M113" s="1">
        <v>9.2592592592592596E-4</v>
      </c>
      <c r="N113" t="s">
        <v>671</v>
      </c>
      <c r="O113" t="s">
        <v>809</v>
      </c>
    </row>
    <row r="114" spans="1:15" x14ac:dyDescent="0.35">
      <c r="A114" t="s">
        <v>20</v>
      </c>
      <c r="B114">
        <v>17646</v>
      </c>
      <c r="C114" t="s">
        <v>666</v>
      </c>
      <c r="D114" t="s">
        <v>667</v>
      </c>
      <c r="E114" t="s">
        <v>3790</v>
      </c>
      <c r="F114" t="s">
        <v>4004</v>
      </c>
      <c r="G114" t="s">
        <v>4004</v>
      </c>
      <c r="H114" t="s">
        <v>4005</v>
      </c>
      <c r="L114" t="s">
        <v>33</v>
      </c>
      <c r="M114" s="1">
        <v>4.861111111111111E-4</v>
      </c>
      <c r="N114" t="s">
        <v>671</v>
      </c>
      <c r="O114" t="s">
        <v>809</v>
      </c>
    </row>
    <row r="115" spans="1:15" x14ac:dyDescent="0.35">
      <c r="A115" t="s">
        <v>20</v>
      </c>
      <c r="B115">
        <v>17646</v>
      </c>
      <c r="C115" t="s">
        <v>666</v>
      </c>
      <c r="D115" t="s">
        <v>667</v>
      </c>
      <c r="E115" t="s">
        <v>3792</v>
      </c>
      <c r="F115" t="s">
        <v>4006</v>
      </c>
      <c r="G115" t="s">
        <v>4006</v>
      </c>
      <c r="H115" t="s">
        <v>817</v>
      </c>
      <c r="L115" t="s">
        <v>33</v>
      </c>
      <c r="M115" s="1">
        <v>3.9351851851851852E-4</v>
      </c>
      <c r="N115" t="s">
        <v>671</v>
      </c>
      <c r="O115" t="s">
        <v>809</v>
      </c>
    </row>
    <row r="116" spans="1:15" x14ac:dyDescent="0.35">
      <c r="A116" t="s">
        <v>20</v>
      </c>
      <c r="B116">
        <v>17646</v>
      </c>
      <c r="C116" t="s">
        <v>666</v>
      </c>
      <c r="D116" t="s">
        <v>667</v>
      </c>
      <c r="E116" t="s">
        <v>3795</v>
      </c>
      <c r="F116" t="s">
        <v>4007</v>
      </c>
      <c r="G116" t="s">
        <v>4008</v>
      </c>
      <c r="H116" t="s">
        <v>4009</v>
      </c>
      <c r="L116" t="s">
        <v>33</v>
      </c>
      <c r="M116" s="1">
        <v>1.631944444444445E-3</v>
      </c>
      <c r="N116" t="s">
        <v>671</v>
      </c>
      <c r="O116" t="s">
        <v>809</v>
      </c>
    </row>
    <row r="117" spans="1:15" x14ac:dyDescent="0.35">
      <c r="A117" t="s">
        <v>20</v>
      </c>
      <c r="B117">
        <v>17646</v>
      </c>
      <c r="C117" t="s">
        <v>666</v>
      </c>
      <c r="D117" t="s">
        <v>667</v>
      </c>
      <c r="E117" t="s">
        <v>3797</v>
      </c>
      <c r="F117" t="s">
        <v>4010</v>
      </c>
      <c r="G117" t="s">
        <v>4010</v>
      </c>
      <c r="H117" t="s">
        <v>690</v>
      </c>
      <c r="L117" t="s">
        <v>33</v>
      </c>
      <c r="M117" s="1">
        <v>5.9027777777777778E-4</v>
      </c>
      <c r="N117" t="s">
        <v>671</v>
      </c>
      <c r="O117" t="s">
        <v>809</v>
      </c>
    </row>
    <row r="118" spans="1:15" x14ac:dyDescent="0.35">
      <c r="A118" t="s">
        <v>20</v>
      </c>
      <c r="B118">
        <v>17646</v>
      </c>
      <c r="C118" t="s">
        <v>666</v>
      </c>
      <c r="D118" t="s">
        <v>667</v>
      </c>
      <c r="E118" t="s">
        <v>3800</v>
      </c>
      <c r="F118" t="s">
        <v>4011</v>
      </c>
      <c r="G118" t="s">
        <v>4011</v>
      </c>
      <c r="H118" t="s">
        <v>4012</v>
      </c>
      <c r="L118" t="s">
        <v>33</v>
      </c>
      <c r="M118" s="1">
        <v>9.837962962962962E-4</v>
      </c>
      <c r="N118" t="s">
        <v>671</v>
      </c>
      <c r="O118" t="s">
        <v>809</v>
      </c>
    </row>
    <row r="119" spans="1:15" x14ac:dyDescent="0.35">
      <c r="A119" t="s">
        <v>20</v>
      </c>
      <c r="B119">
        <v>17646</v>
      </c>
      <c r="C119" t="s">
        <v>666</v>
      </c>
      <c r="D119" t="s">
        <v>667</v>
      </c>
      <c r="E119" t="s">
        <v>3802</v>
      </c>
      <c r="F119" t="s">
        <v>4013</v>
      </c>
      <c r="G119" t="s">
        <v>4013</v>
      </c>
      <c r="H119" t="s">
        <v>4014</v>
      </c>
      <c r="L119" t="s">
        <v>33</v>
      </c>
      <c r="M119" s="1">
        <v>8.3333333333333339E-4</v>
      </c>
      <c r="N119" t="s">
        <v>671</v>
      </c>
      <c r="O119" t="s">
        <v>809</v>
      </c>
    </row>
    <row r="120" spans="1:15" x14ac:dyDescent="0.35">
      <c r="A120" t="s">
        <v>20</v>
      </c>
      <c r="B120">
        <v>17646</v>
      </c>
      <c r="C120" t="s">
        <v>666</v>
      </c>
      <c r="D120" t="s">
        <v>667</v>
      </c>
      <c r="E120" t="s">
        <v>3805</v>
      </c>
      <c r="F120" t="s">
        <v>4015</v>
      </c>
      <c r="G120" t="s">
        <v>4015</v>
      </c>
      <c r="H120" t="s">
        <v>701</v>
      </c>
      <c r="L120" t="s">
        <v>33</v>
      </c>
      <c r="M120" s="1">
        <v>5.0925925925925921E-4</v>
      </c>
      <c r="N120" t="s">
        <v>671</v>
      </c>
      <c r="O120" t="s">
        <v>809</v>
      </c>
    </row>
    <row r="121" spans="1:15" x14ac:dyDescent="0.35">
      <c r="A121" t="s">
        <v>20</v>
      </c>
      <c r="B121">
        <v>17646</v>
      </c>
      <c r="C121" t="s">
        <v>666</v>
      </c>
      <c r="D121" t="s">
        <v>667</v>
      </c>
      <c r="E121" t="s">
        <v>3808</v>
      </c>
      <c r="F121" t="s">
        <v>4016</v>
      </c>
      <c r="G121" t="s">
        <v>4016</v>
      </c>
      <c r="H121" t="s">
        <v>829</v>
      </c>
      <c r="L121" t="s">
        <v>33</v>
      </c>
      <c r="M121" s="1">
        <v>4.2824074074074081E-4</v>
      </c>
      <c r="N121" t="s">
        <v>671</v>
      </c>
      <c r="O121" t="s">
        <v>809</v>
      </c>
    </row>
    <row r="122" spans="1:15" x14ac:dyDescent="0.35">
      <c r="A122" t="s">
        <v>20</v>
      </c>
      <c r="B122">
        <v>17646</v>
      </c>
      <c r="C122" t="s">
        <v>666</v>
      </c>
      <c r="D122" t="s">
        <v>667</v>
      </c>
      <c r="E122" t="s">
        <v>3810</v>
      </c>
      <c r="F122" t="s">
        <v>4017</v>
      </c>
      <c r="G122" t="s">
        <v>4017</v>
      </c>
      <c r="H122" t="s">
        <v>832</v>
      </c>
      <c r="L122" t="s">
        <v>33</v>
      </c>
      <c r="M122" s="1">
        <v>6.3657407407407413E-4</v>
      </c>
      <c r="N122" t="s">
        <v>671</v>
      </c>
      <c r="O122" t="s">
        <v>809</v>
      </c>
    </row>
    <row r="123" spans="1:15" x14ac:dyDescent="0.35">
      <c r="A123" t="s">
        <v>20</v>
      </c>
      <c r="B123">
        <v>17646</v>
      </c>
      <c r="C123" t="s">
        <v>666</v>
      </c>
      <c r="D123" t="s">
        <v>667</v>
      </c>
      <c r="E123" t="s">
        <v>3816</v>
      </c>
      <c r="F123" t="s">
        <v>4018</v>
      </c>
      <c r="G123" t="s">
        <v>4018</v>
      </c>
      <c r="H123" t="s">
        <v>4019</v>
      </c>
      <c r="L123" t="s">
        <v>33</v>
      </c>
      <c r="M123" s="1">
        <v>6.9444444444444447E-4</v>
      </c>
      <c r="N123" t="s">
        <v>671</v>
      </c>
      <c r="O123" t="s">
        <v>809</v>
      </c>
    </row>
    <row r="124" spans="1:15" x14ac:dyDescent="0.35">
      <c r="A124" t="s">
        <v>20</v>
      </c>
      <c r="B124">
        <v>17646</v>
      </c>
      <c r="C124" t="s">
        <v>666</v>
      </c>
      <c r="D124" t="s">
        <v>667</v>
      </c>
      <c r="E124" t="s">
        <v>3819</v>
      </c>
      <c r="F124" t="s">
        <v>4020</v>
      </c>
      <c r="G124" t="s">
        <v>4020</v>
      </c>
      <c r="H124" t="s">
        <v>4021</v>
      </c>
      <c r="L124" t="s">
        <v>33</v>
      </c>
      <c r="M124" s="1">
        <v>7.1759259259259259E-4</v>
      </c>
      <c r="N124" t="s">
        <v>671</v>
      </c>
      <c r="O124" t="s">
        <v>809</v>
      </c>
    </row>
    <row r="125" spans="1:15" x14ac:dyDescent="0.35">
      <c r="A125" t="s">
        <v>20</v>
      </c>
      <c r="B125">
        <v>17646</v>
      </c>
      <c r="C125" t="s">
        <v>666</v>
      </c>
      <c r="D125" t="s">
        <v>667</v>
      </c>
      <c r="E125" t="s">
        <v>3821</v>
      </c>
      <c r="F125" t="s">
        <v>4022</v>
      </c>
      <c r="G125" t="s">
        <v>4022</v>
      </c>
      <c r="H125" t="s">
        <v>4023</v>
      </c>
      <c r="L125" t="s">
        <v>33</v>
      </c>
      <c r="M125" s="1">
        <v>2.6620370370370372E-4</v>
      </c>
      <c r="N125" t="s">
        <v>671</v>
      </c>
      <c r="O125" t="s">
        <v>809</v>
      </c>
    </row>
    <row r="126" spans="1:15" x14ac:dyDescent="0.35">
      <c r="A126" t="s">
        <v>20</v>
      </c>
      <c r="B126">
        <v>17646</v>
      </c>
      <c r="C126" t="s">
        <v>666</v>
      </c>
      <c r="D126" t="s">
        <v>667</v>
      </c>
      <c r="E126" t="s">
        <v>3823</v>
      </c>
      <c r="F126" t="s">
        <v>4024</v>
      </c>
      <c r="G126" t="s">
        <v>4024</v>
      </c>
      <c r="H126" t="s">
        <v>838</v>
      </c>
      <c r="L126" t="s">
        <v>33</v>
      </c>
      <c r="M126" s="1">
        <v>1.0648148148148151E-3</v>
      </c>
      <c r="N126" t="s">
        <v>671</v>
      </c>
      <c r="O126" t="s">
        <v>809</v>
      </c>
    </row>
    <row r="127" spans="1:15" x14ac:dyDescent="0.35">
      <c r="A127" t="s">
        <v>20</v>
      </c>
      <c r="B127">
        <v>17646</v>
      </c>
      <c r="C127" t="s">
        <v>666</v>
      </c>
      <c r="D127" t="s">
        <v>667</v>
      </c>
      <c r="E127" t="s">
        <v>3825</v>
      </c>
      <c r="F127" t="s">
        <v>4025</v>
      </c>
      <c r="G127" t="s">
        <v>4025</v>
      </c>
      <c r="H127" t="s">
        <v>721</v>
      </c>
      <c r="L127" t="s">
        <v>33</v>
      </c>
      <c r="M127" s="1">
        <v>2.2222222222222218E-3</v>
      </c>
      <c r="N127" t="s">
        <v>671</v>
      </c>
      <c r="O127" t="s">
        <v>809</v>
      </c>
    </row>
    <row r="128" spans="1:15" x14ac:dyDescent="0.35">
      <c r="A128" t="s">
        <v>20</v>
      </c>
      <c r="B128">
        <v>17646</v>
      </c>
      <c r="C128" t="s">
        <v>666</v>
      </c>
      <c r="D128" t="s">
        <v>667</v>
      </c>
      <c r="E128" t="s">
        <v>3827</v>
      </c>
      <c r="F128" t="s">
        <v>4026</v>
      </c>
      <c r="G128" t="s">
        <v>4026</v>
      </c>
      <c r="H128" t="s">
        <v>844</v>
      </c>
      <c r="L128" t="s">
        <v>33</v>
      </c>
      <c r="M128" s="1">
        <v>4.7453703703703698E-4</v>
      </c>
      <c r="N128" t="s">
        <v>671</v>
      </c>
      <c r="O128" t="s">
        <v>809</v>
      </c>
    </row>
    <row r="129" spans="1:15" x14ac:dyDescent="0.35">
      <c r="A129" t="s">
        <v>20</v>
      </c>
      <c r="B129">
        <v>17646</v>
      </c>
      <c r="C129" t="s">
        <v>666</v>
      </c>
      <c r="D129" t="s">
        <v>667</v>
      </c>
      <c r="E129" t="s">
        <v>3830</v>
      </c>
      <c r="F129" t="s">
        <v>4027</v>
      </c>
      <c r="G129" t="s">
        <v>4027</v>
      </c>
      <c r="H129" t="s">
        <v>724</v>
      </c>
      <c r="L129" t="s">
        <v>33</v>
      </c>
      <c r="M129" s="1">
        <v>5.5555555555555556E-4</v>
      </c>
      <c r="N129" t="s">
        <v>671</v>
      </c>
      <c r="O129" t="s">
        <v>809</v>
      </c>
    </row>
    <row r="130" spans="1:15" x14ac:dyDescent="0.35">
      <c r="A130" t="s">
        <v>20</v>
      </c>
      <c r="B130">
        <v>17646</v>
      </c>
      <c r="C130" t="s">
        <v>666</v>
      </c>
      <c r="D130" t="s">
        <v>667</v>
      </c>
      <c r="E130" t="s">
        <v>3832</v>
      </c>
      <c r="F130" t="s">
        <v>4028</v>
      </c>
      <c r="G130" t="s">
        <v>4028</v>
      </c>
      <c r="H130" t="s">
        <v>4029</v>
      </c>
      <c r="L130" t="s">
        <v>33</v>
      </c>
      <c r="M130" s="1">
        <v>4.2824074074074084E-3</v>
      </c>
      <c r="N130" t="s">
        <v>671</v>
      </c>
      <c r="O130" t="s">
        <v>809</v>
      </c>
    </row>
    <row r="131" spans="1:15" x14ac:dyDescent="0.35">
      <c r="A131" t="s">
        <v>20</v>
      </c>
      <c r="B131">
        <v>17646</v>
      </c>
      <c r="C131" t="s">
        <v>666</v>
      </c>
      <c r="D131" t="s">
        <v>667</v>
      </c>
      <c r="E131" t="s">
        <v>3834</v>
      </c>
      <c r="F131" t="s">
        <v>4030</v>
      </c>
      <c r="G131" t="s">
        <v>4030</v>
      </c>
      <c r="H131" t="s">
        <v>847</v>
      </c>
      <c r="L131" t="s">
        <v>33</v>
      </c>
      <c r="M131" s="1">
        <v>4.9768518518518521E-4</v>
      </c>
      <c r="N131" t="s">
        <v>671</v>
      </c>
      <c r="O131" t="s">
        <v>809</v>
      </c>
    </row>
    <row r="132" spans="1:15" x14ac:dyDescent="0.35">
      <c r="A132" t="s">
        <v>20</v>
      </c>
      <c r="B132">
        <v>17646</v>
      </c>
      <c r="C132" t="s">
        <v>666</v>
      </c>
      <c r="D132" t="s">
        <v>667</v>
      </c>
      <c r="E132" t="s">
        <v>3836</v>
      </c>
      <c r="F132" t="s">
        <v>4031</v>
      </c>
      <c r="G132" t="s">
        <v>4031</v>
      </c>
      <c r="H132" t="s">
        <v>4032</v>
      </c>
      <c r="L132" t="s">
        <v>33</v>
      </c>
      <c r="M132" s="1">
        <v>3.4722222222222218E-4</v>
      </c>
      <c r="N132" t="s">
        <v>671</v>
      </c>
      <c r="O132" t="s">
        <v>809</v>
      </c>
    </row>
    <row r="133" spans="1:15" x14ac:dyDescent="0.35">
      <c r="A133" t="s">
        <v>20</v>
      </c>
      <c r="B133">
        <v>17646</v>
      </c>
      <c r="C133" t="s">
        <v>666</v>
      </c>
      <c r="D133" t="s">
        <v>667</v>
      </c>
      <c r="E133" t="s">
        <v>3838</v>
      </c>
      <c r="F133" t="s">
        <v>4033</v>
      </c>
      <c r="G133" t="s">
        <v>4033</v>
      </c>
      <c r="H133" t="s">
        <v>4034</v>
      </c>
      <c r="L133" t="s">
        <v>33</v>
      </c>
      <c r="M133" s="1">
        <v>1.273148148148148E-3</v>
      </c>
      <c r="N133" t="s">
        <v>671</v>
      </c>
      <c r="O133" t="s">
        <v>809</v>
      </c>
    </row>
    <row r="134" spans="1:15" x14ac:dyDescent="0.35">
      <c r="A134" t="s">
        <v>20</v>
      </c>
      <c r="B134">
        <v>17646</v>
      </c>
      <c r="C134" t="s">
        <v>666</v>
      </c>
      <c r="D134" t="s">
        <v>667</v>
      </c>
      <c r="E134" t="s">
        <v>3840</v>
      </c>
      <c r="F134" t="s">
        <v>4035</v>
      </c>
      <c r="G134" t="s">
        <v>4035</v>
      </c>
      <c r="H134" t="s">
        <v>863</v>
      </c>
      <c r="L134" t="s">
        <v>33</v>
      </c>
      <c r="M134" s="1">
        <v>4.0509259259259258E-4</v>
      </c>
      <c r="N134" t="s">
        <v>671</v>
      </c>
      <c r="O134" t="s">
        <v>809</v>
      </c>
    </row>
    <row r="135" spans="1:15" x14ac:dyDescent="0.35">
      <c r="A135" t="s">
        <v>20</v>
      </c>
      <c r="B135">
        <v>17646</v>
      </c>
      <c r="C135" t="s">
        <v>666</v>
      </c>
      <c r="D135" t="s">
        <v>667</v>
      </c>
      <c r="E135" t="s">
        <v>3843</v>
      </c>
      <c r="F135" t="s">
        <v>4036</v>
      </c>
      <c r="G135" t="s">
        <v>4036</v>
      </c>
      <c r="H135" t="s">
        <v>4037</v>
      </c>
      <c r="L135" t="s">
        <v>33</v>
      </c>
      <c r="M135" s="1">
        <v>9.837962962962962E-4</v>
      </c>
      <c r="N135" t="s">
        <v>671</v>
      </c>
      <c r="O135" t="s">
        <v>809</v>
      </c>
    </row>
    <row r="136" spans="1:15" x14ac:dyDescent="0.35">
      <c r="A136" t="s">
        <v>20</v>
      </c>
      <c r="B136">
        <v>17646</v>
      </c>
      <c r="C136" t="s">
        <v>666</v>
      </c>
      <c r="D136" t="s">
        <v>667</v>
      </c>
      <c r="E136" t="s">
        <v>3846</v>
      </c>
      <c r="F136" t="s">
        <v>4038</v>
      </c>
      <c r="G136" t="s">
        <v>4038</v>
      </c>
      <c r="H136" t="s">
        <v>740</v>
      </c>
      <c r="L136" t="s">
        <v>33</v>
      </c>
      <c r="M136" s="1">
        <v>2.6620370370370372E-4</v>
      </c>
      <c r="N136" t="s">
        <v>671</v>
      </c>
      <c r="O136" t="s">
        <v>809</v>
      </c>
    </row>
    <row r="137" spans="1:15" x14ac:dyDescent="0.35">
      <c r="A137" t="s">
        <v>20</v>
      </c>
      <c r="B137">
        <v>17646</v>
      </c>
      <c r="C137" t="s">
        <v>666</v>
      </c>
      <c r="D137" t="s">
        <v>667</v>
      </c>
      <c r="E137" t="s">
        <v>3848</v>
      </c>
      <c r="F137" t="s">
        <v>4039</v>
      </c>
      <c r="G137" t="s">
        <v>4039</v>
      </c>
      <c r="H137" t="s">
        <v>872</v>
      </c>
      <c r="L137" t="s">
        <v>33</v>
      </c>
      <c r="M137" s="1">
        <v>3.1250000000000001E-4</v>
      </c>
      <c r="N137" t="s">
        <v>671</v>
      </c>
      <c r="O137" t="s">
        <v>809</v>
      </c>
    </row>
    <row r="138" spans="1:15" x14ac:dyDescent="0.35">
      <c r="A138" t="s">
        <v>20</v>
      </c>
      <c r="B138">
        <v>17646</v>
      </c>
      <c r="C138" t="s">
        <v>666</v>
      </c>
      <c r="D138" t="s">
        <v>667</v>
      </c>
      <c r="E138" t="s">
        <v>3812</v>
      </c>
      <c r="F138" t="s">
        <v>4040</v>
      </c>
      <c r="G138" t="s">
        <v>4040</v>
      </c>
      <c r="H138" t="s">
        <v>4041</v>
      </c>
      <c r="L138" t="s">
        <v>33</v>
      </c>
      <c r="M138" s="1">
        <v>1.157407407407407E-5</v>
      </c>
      <c r="N138" t="s">
        <v>671</v>
      </c>
      <c r="O138" t="s">
        <v>809</v>
      </c>
    </row>
    <row r="139" spans="1:15" x14ac:dyDescent="0.35">
      <c r="A139" t="s">
        <v>20</v>
      </c>
      <c r="B139">
        <v>17646</v>
      </c>
      <c r="C139" t="s">
        <v>666</v>
      </c>
      <c r="D139" t="s">
        <v>667</v>
      </c>
      <c r="E139" t="s">
        <v>3851</v>
      </c>
      <c r="F139" t="s">
        <v>4042</v>
      </c>
      <c r="G139" t="s">
        <v>4042</v>
      </c>
      <c r="H139" t="s">
        <v>746</v>
      </c>
      <c r="L139" t="s">
        <v>33</v>
      </c>
      <c r="M139" s="1">
        <v>6.8287037037037036E-4</v>
      </c>
      <c r="N139" t="s">
        <v>671</v>
      </c>
      <c r="O139" t="s">
        <v>809</v>
      </c>
    </row>
    <row r="140" spans="1:15" x14ac:dyDescent="0.35">
      <c r="A140" t="s">
        <v>20</v>
      </c>
      <c r="B140">
        <v>17646</v>
      </c>
      <c r="C140" t="s">
        <v>666</v>
      </c>
      <c r="D140" t="s">
        <v>667</v>
      </c>
      <c r="E140" t="s">
        <v>3853</v>
      </c>
      <c r="F140" t="s">
        <v>4043</v>
      </c>
      <c r="G140" t="s">
        <v>4043</v>
      </c>
      <c r="H140" t="s">
        <v>4044</v>
      </c>
      <c r="L140" t="s">
        <v>33</v>
      </c>
      <c r="M140" s="1">
        <v>6.9444444444444444E-5</v>
      </c>
      <c r="N140" t="s">
        <v>671</v>
      </c>
      <c r="O140" t="s">
        <v>809</v>
      </c>
    </row>
    <row r="141" spans="1:15" x14ac:dyDescent="0.35">
      <c r="A141" t="s">
        <v>20</v>
      </c>
      <c r="B141">
        <v>17646</v>
      </c>
      <c r="C141" t="s">
        <v>666</v>
      </c>
      <c r="D141" t="s">
        <v>667</v>
      </c>
      <c r="E141" t="s">
        <v>3855</v>
      </c>
      <c r="F141" t="s">
        <v>4045</v>
      </c>
      <c r="G141" t="s">
        <v>4045</v>
      </c>
      <c r="H141" t="s">
        <v>4046</v>
      </c>
      <c r="L141" t="s">
        <v>33</v>
      </c>
      <c r="M141" s="1">
        <v>9.9537037037037042E-4</v>
      </c>
      <c r="N141" t="s">
        <v>671</v>
      </c>
      <c r="O141" t="s">
        <v>809</v>
      </c>
    </row>
    <row r="142" spans="1:15" x14ac:dyDescent="0.35">
      <c r="A142" t="s">
        <v>20</v>
      </c>
      <c r="B142">
        <v>17646</v>
      </c>
      <c r="C142" t="s">
        <v>666</v>
      </c>
      <c r="D142" t="s">
        <v>667</v>
      </c>
      <c r="E142" t="s">
        <v>3857</v>
      </c>
      <c r="F142" t="s">
        <v>4047</v>
      </c>
      <c r="G142" t="s">
        <v>4047</v>
      </c>
      <c r="H142" t="s">
        <v>4048</v>
      </c>
      <c r="L142" t="s">
        <v>33</v>
      </c>
      <c r="M142" s="1">
        <v>3.3564814814814812E-4</v>
      </c>
      <c r="N142" t="s">
        <v>671</v>
      </c>
      <c r="O142" t="s">
        <v>809</v>
      </c>
    </row>
    <row r="143" spans="1:15" x14ac:dyDescent="0.35">
      <c r="A143" t="s">
        <v>20</v>
      </c>
      <c r="B143">
        <v>17646</v>
      </c>
      <c r="C143" t="s">
        <v>666</v>
      </c>
      <c r="D143" t="s">
        <v>667</v>
      </c>
      <c r="E143" t="s">
        <v>3869</v>
      </c>
      <c r="F143" t="s">
        <v>4049</v>
      </c>
      <c r="G143" t="s">
        <v>4050</v>
      </c>
      <c r="H143" t="s">
        <v>4051</v>
      </c>
      <c r="L143" t="s">
        <v>33</v>
      </c>
      <c r="M143" s="1">
        <v>1.5625000000000001E-3</v>
      </c>
      <c r="N143" t="s">
        <v>671</v>
      </c>
      <c r="O143" t="s">
        <v>809</v>
      </c>
    </row>
    <row r="144" spans="1:15" x14ac:dyDescent="0.35">
      <c r="A144" t="s">
        <v>20</v>
      </c>
      <c r="B144">
        <v>17646</v>
      </c>
      <c r="C144" t="s">
        <v>666</v>
      </c>
      <c r="D144" t="s">
        <v>667</v>
      </c>
      <c r="E144" t="s">
        <v>3860</v>
      </c>
      <c r="F144" t="s">
        <v>4052</v>
      </c>
      <c r="G144" t="s">
        <v>4052</v>
      </c>
      <c r="H144" t="s">
        <v>892</v>
      </c>
      <c r="L144" t="s">
        <v>33</v>
      </c>
      <c r="M144" s="1">
        <v>4.2824074074074081E-4</v>
      </c>
      <c r="N144" t="s">
        <v>671</v>
      </c>
      <c r="O144" t="s">
        <v>809</v>
      </c>
    </row>
    <row r="145" spans="1:15" x14ac:dyDescent="0.35">
      <c r="A145" t="s">
        <v>20</v>
      </c>
      <c r="B145">
        <v>17646</v>
      </c>
      <c r="C145" t="s">
        <v>666</v>
      </c>
      <c r="D145" t="s">
        <v>667</v>
      </c>
      <c r="E145" t="s">
        <v>3863</v>
      </c>
      <c r="F145" t="s">
        <v>4053</v>
      </c>
      <c r="G145" t="s">
        <v>4053</v>
      </c>
      <c r="H145" t="s">
        <v>895</v>
      </c>
      <c r="L145" t="s">
        <v>33</v>
      </c>
      <c r="M145" s="1">
        <v>8.6805555555555551E-4</v>
      </c>
      <c r="N145" t="s">
        <v>671</v>
      </c>
      <c r="O145" t="s">
        <v>809</v>
      </c>
    </row>
    <row r="146" spans="1:15" x14ac:dyDescent="0.35">
      <c r="A146" t="s">
        <v>20</v>
      </c>
      <c r="B146">
        <v>17646</v>
      </c>
      <c r="C146" t="s">
        <v>666</v>
      </c>
      <c r="D146" t="s">
        <v>667</v>
      </c>
      <c r="E146" t="s">
        <v>3866</v>
      </c>
      <c r="F146" t="s">
        <v>4054</v>
      </c>
      <c r="G146" t="s">
        <v>4054</v>
      </c>
      <c r="H146" t="s">
        <v>898</v>
      </c>
      <c r="L146" t="s">
        <v>33</v>
      </c>
      <c r="M146" s="1">
        <v>5.9027777777777778E-4</v>
      </c>
      <c r="N146" t="s">
        <v>671</v>
      </c>
      <c r="O146" t="s">
        <v>809</v>
      </c>
    </row>
    <row r="147" spans="1:15" x14ac:dyDescent="0.35">
      <c r="A147" t="s">
        <v>20</v>
      </c>
      <c r="B147">
        <v>17646</v>
      </c>
      <c r="C147" t="s">
        <v>666</v>
      </c>
      <c r="D147" t="s">
        <v>667</v>
      </c>
      <c r="E147" t="s">
        <v>3872</v>
      </c>
      <c r="F147" t="s">
        <v>4055</v>
      </c>
      <c r="G147" t="s">
        <v>4055</v>
      </c>
      <c r="H147" t="s">
        <v>4056</v>
      </c>
      <c r="L147" t="s">
        <v>33</v>
      </c>
      <c r="M147" s="1">
        <v>7.6388888888888893E-4</v>
      </c>
      <c r="N147" t="s">
        <v>671</v>
      </c>
      <c r="O147" t="s">
        <v>809</v>
      </c>
    </row>
    <row r="148" spans="1:15" x14ac:dyDescent="0.35">
      <c r="A148" t="s">
        <v>20</v>
      </c>
      <c r="B148">
        <v>17646</v>
      </c>
      <c r="C148" t="s">
        <v>666</v>
      </c>
      <c r="D148" t="s">
        <v>667</v>
      </c>
      <c r="E148" t="s">
        <v>3874</v>
      </c>
      <c r="F148" t="s">
        <v>4057</v>
      </c>
      <c r="G148" t="s">
        <v>4057</v>
      </c>
      <c r="H148" t="s">
        <v>4058</v>
      </c>
      <c r="L148" t="s">
        <v>33</v>
      </c>
      <c r="M148" s="1">
        <v>2.0833333333333329E-4</v>
      </c>
      <c r="N148" t="s">
        <v>671</v>
      </c>
      <c r="O148" t="s">
        <v>809</v>
      </c>
    </row>
    <row r="149" spans="1:15" x14ac:dyDescent="0.35">
      <c r="A149" t="s">
        <v>20</v>
      </c>
      <c r="B149">
        <v>17646</v>
      </c>
      <c r="C149" t="s">
        <v>666</v>
      </c>
      <c r="D149" t="s">
        <v>667</v>
      </c>
      <c r="E149" t="s">
        <v>3876</v>
      </c>
      <c r="F149" t="s">
        <v>4059</v>
      </c>
      <c r="G149" t="s">
        <v>4059</v>
      </c>
      <c r="H149" t="s">
        <v>767</v>
      </c>
      <c r="L149" t="s">
        <v>33</v>
      </c>
      <c r="M149" s="1">
        <v>7.6388888888888893E-4</v>
      </c>
      <c r="N149" t="s">
        <v>671</v>
      </c>
      <c r="O149" t="s">
        <v>809</v>
      </c>
    </row>
    <row r="150" spans="1:15" x14ac:dyDescent="0.35">
      <c r="A150" t="s">
        <v>20</v>
      </c>
      <c r="B150">
        <v>17646</v>
      </c>
      <c r="C150" t="s">
        <v>666</v>
      </c>
      <c r="D150" t="s">
        <v>667</v>
      </c>
      <c r="E150" t="s">
        <v>3878</v>
      </c>
      <c r="F150" t="s">
        <v>4060</v>
      </c>
      <c r="G150" t="s">
        <v>4060</v>
      </c>
      <c r="H150" t="s">
        <v>770</v>
      </c>
      <c r="L150" t="s">
        <v>33</v>
      </c>
      <c r="M150" s="1">
        <v>5.5555555555555556E-4</v>
      </c>
      <c r="N150" t="s">
        <v>671</v>
      </c>
      <c r="O150" t="s">
        <v>809</v>
      </c>
    </row>
    <row r="151" spans="1:15" x14ac:dyDescent="0.35">
      <c r="A151" t="s">
        <v>20</v>
      </c>
      <c r="B151">
        <v>17646</v>
      </c>
      <c r="C151" t="s">
        <v>666</v>
      </c>
      <c r="D151" t="s">
        <v>667</v>
      </c>
      <c r="E151" t="s">
        <v>3922</v>
      </c>
      <c r="F151" t="s">
        <v>4061</v>
      </c>
      <c r="G151" t="s">
        <v>4062</v>
      </c>
      <c r="H151" t="s">
        <v>4063</v>
      </c>
      <c r="L151" t="s">
        <v>33</v>
      </c>
      <c r="M151" s="1">
        <v>1.1111111111111109E-3</v>
      </c>
      <c r="N151" t="s">
        <v>671</v>
      </c>
      <c r="O151" t="s">
        <v>809</v>
      </c>
    </row>
    <row r="152" spans="1:15" x14ac:dyDescent="0.35">
      <c r="A152" t="s">
        <v>20</v>
      </c>
      <c r="B152">
        <v>17646</v>
      </c>
      <c r="C152" t="s">
        <v>666</v>
      </c>
      <c r="D152" t="s">
        <v>667</v>
      </c>
      <c r="E152" t="s">
        <v>3880</v>
      </c>
      <c r="F152" t="s">
        <v>4064</v>
      </c>
      <c r="G152" t="s">
        <v>4064</v>
      </c>
      <c r="H152" t="s">
        <v>913</v>
      </c>
      <c r="L152" t="s">
        <v>33</v>
      </c>
      <c r="M152" s="1">
        <v>1.215277777777778E-3</v>
      </c>
      <c r="N152" t="s">
        <v>671</v>
      </c>
      <c r="O152" t="s">
        <v>809</v>
      </c>
    </row>
    <row r="153" spans="1:15" x14ac:dyDescent="0.35">
      <c r="A153" t="s">
        <v>20</v>
      </c>
      <c r="B153">
        <v>17646</v>
      </c>
      <c r="C153" t="s">
        <v>666</v>
      </c>
      <c r="D153" t="s">
        <v>667</v>
      </c>
      <c r="E153" t="s">
        <v>3882</v>
      </c>
      <c r="F153" t="s">
        <v>4065</v>
      </c>
      <c r="G153" t="s">
        <v>4065</v>
      </c>
      <c r="H153" t="s">
        <v>4066</v>
      </c>
      <c r="L153" t="s">
        <v>33</v>
      </c>
      <c r="M153" s="1">
        <v>1.0879629629629631E-3</v>
      </c>
      <c r="N153" t="s">
        <v>671</v>
      </c>
      <c r="O153" t="s">
        <v>809</v>
      </c>
    </row>
    <row r="154" spans="1:15" x14ac:dyDescent="0.35">
      <c r="A154" t="s">
        <v>20</v>
      </c>
      <c r="B154">
        <v>17646</v>
      </c>
      <c r="C154" t="s">
        <v>666</v>
      </c>
      <c r="D154" t="s">
        <v>667</v>
      </c>
      <c r="E154" t="s">
        <v>3884</v>
      </c>
      <c r="F154" t="s">
        <v>4067</v>
      </c>
      <c r="G154" t="s">
        <v>4067</v>
      </c>
      <c r="H154" t="s">
        <v>916</v>
      </c>
      <c r="L154" t="s">
        <v>33</v>
      </c>
      <c r="M154" s="1">
        <v>3.2407407407407412E-4</v>
      </c>
      <c r="N154" t="s">
        <v>671</v>
      </c>
      <c r="O154" t="s">
        <v>809</v>
      </c>
    </row>
    <row r="155" spans="1:15" x14ac:dyDescent="0.35">
      <c r="A155" t="s">
        <v>20</v>
      </c>
      <c r="B155">
        <v>17646</v>
      </c>
      <c r="C155" t="s">
        <v>666</v>
      </c>
      <c r="D155" t="s">
        <v>667</v>
      </c>
      <c r="E155" t="s">
        <v>3887</v>
      </c>
      <c r="F155" t="s">
        <v>4068</v>
      </c>
      <c r="G155" t="s">
        <v>4068</v>
      </c>
      <c r="H155" t="s">
        <v>918</v>
      </c>
      <c r="L155" t="s">
        <v>33</v>
      </c>
      <c r="M155" s="1">
        <v>1.006944444444444E-3</v>
      </c>
      <c r="N155" t="s">
        <v>671</v>
      </c>
      <c r="O155" t="s">
        <v>809</v>
      </c>
    </row>
    <row r="156" spans="1:15" x14ac:dyDescent="0.35">
      <c r="A156" t="s">
        <v>20</v>
      </c>
      <c r="B156">
        <v>17646</v>
      </c>
      <c r="C156" t="s">
        <v>666</v>
      </c>
      <c r="D156" t="s">
        <v>667</v>
      </c>
      <c r="E156" t="s">
        <v>3889</v>
      </c>
      <c r="F156" t="s">
        <v>4069</v>
      </c>
      <c r="G156" t="s">
        <v>4069</v>
      </c>
      <c r="H156" t="s">
        <v>923</v>
      </c>
      <c r="L156" t="s">
        <v>33</v>
      </c>
      <c r="M156" s="1">
        <v>5.6712962962962967E-4</v>
      </c>
      <c r="N156" t="s">
        <v>671</v>
      </c>
      <c r="O156" t="s">
        <v>809</v>
      </c>
    </row>
    <row r="157" spans="1:15" x14ac:dyDescent="0.35">
      <c r="A157" t="s">
        <v>20</v>
      </c>
      <c r="B157">
        <v>17646</v>
      </c>
      <c r="C157" t="s">
        <v>666</v>
      </c>
      <c r="D157" t="s">
        <v>667</v>
      </c>
      <c r="E157" t="s">
        <v>3891</v>
      </c>
      <c r="F157" t="s">
        <v>4070</v>
      </c>
      <c r="G157" t="s">
        <v>4070</v>
      </c>
      <c r="H157" t="s">
        <v>785</v>
      </c>
      <c r="L157" t="s">
        <v>33</v>
      </c>
      <c r="M157" s="1">
        <v>5.2083333333333333E-4</v>
      </c>
      <c r="N157" t="s">
        <v>671</v>
      </c>
      <c r="O157" t="s">
        <v>809</v>
      </c>
    </row>
    <row r="158" spans="1:15" x14ac:dyDescent="0.35">
      <c r="A158" t="s">
        <v>20</v>
      </c>
      <c r="B158">
        <v>17646</v>
      </c>
      <c r="C158" t="s">
        <v>666</v>
      </c>
      <c r="D158" t="s">
        <v>667</v>
      </c>
      <c r="E158" t="s">
        <v>3893</v>
      </c>
      <c r="F158" t="s">
        <v>4071</v>
      </c>
      <c r="G158" t="s">
        <v>4071</v>
      </c>
      <c r="H158" t="s">
        <v>4072</v>
      </c>
      <c r="L158" t="s">
        <v>33</v>
      </c>
      <c r="M158" s="1">
        <v>6.5972222222222224E-4</v>
      </c>
      <c r="N158" t="s">
        <v>671</v>
      </c>
      <c r="O158" t="s">
        <v>809</v>
      </c>
    </row>
    <row r="159" spans="1:15" x14ac:dyDescent="0.35">
      <c r="A159" t="s">
        <v>20</v>
      </c>
      <c r="B159">
        <v>17646</v>
      </c>
      <c r="C159" t="s">
        <v>666</v>
      </c>
      <c r="D159" t="s">
        <v>667</v>
      </c>
      <c r="E159" t="s">
        <v>3895</v>
      </c>
      <c r="F159" t="s">
        <v>4073</v>
      </c>
      <c r="G159" t="s">
        <v>4073</v>
      </c>
      <c r="H159" t="s">
        <v>4074</v>
      </c>
      <c r="L159" t="s">
        <v>33</v>
      </c>
      <c r="M159" s="1">
        <v>1.273148148148148E-3</v>
      </c>
      <c r="N159" t="s">
        <v>671</v>
      </c>
      <c r="O159" t="s">
        <v>809</v>
      </c>
    </row>
    <row r="160" spans="1:15" x14ac:dyDescent="0.35">
      <c r="A160" t="s">
        <v>20</v>
      </c>
      <c r="B160">
        <v>17646</v>
      </c>
      <c r="C160" t="s">
        <v>666</v>
      </c>
      <c r="D160" t="s">
        <v>667</v>
      </c>
      <c r="E160" t="s">
        <v>3897</v>
      </c>
      <c r="F160" t="s">
        <v>4075</v>
      </c>
      <c r="G160" t="s">
        <v>4075</v>
      </c>
      <c r="H160" t="s">
        <v>929</v>
      </c>
      <c r="L160" t="s">
        <v>33</v>
      </c>
      <c r="M160" s="1">
        <v>6.7129629629629625E-4</v>
      </c>
      <c r="N160" t="s">
        <v>671</v>
      </c>
      <c r="O160" t="s">
        <v>809</v>
      </c>
    </row>
    <row r="161" spans="1:15" x14ac:dyDescent="0.35">
      <c r="A161" t="s">
        <v>20</v>
      </c>
      <c r="B161">
        <v>17646</v>
      </c>
      <c r="C161" t="s">
        <v>666</v>
      </c>
      <c r="D161" t="s">
        <v>667</v>
      </c>
      <c r="E161" t="s">
        <v>3899</v>
      </c>
      <c r="F161" t="s">
        <v>4076</v>
      </c>
      <c r="G161" t="s">
        <v>4076</v>
      </c>
      <c r="H161" t="s">
        <v>794</v>
      </c>
      <c r="L161" t="s">
        <v>33</v>
      </c>
      <c r="M161" s="1">
        <v>3.4722222222222218E-4</v>
      </c>
      <c r="N161" t="s">
        <v>671</v>
      </c>
      <c r="O161" t="s">
        <v>809</v>
      </c>
    </row>
    <row r="162" spans="1:15" x14ac:dyDescent="0.35">
      <c r="A162" t="s">
        <v>20</v>
      </c>
      <c r="B162">
        <v>17646</v>
      </c>
      <c r="C162" t="s">
        <v>666</v>
      </c>
      <c r="D162" t="s">
        <v>667</v>
      </c>
      <c r="E162" t="s">
        <v>3901</v>
      </c>
      <c r="F162" t="s">
        <v>4077</v>
      </c>
      <c r="G162" t="s">
        <v>4077</v>
      </c>
      <c r="H162" t="s">
        <v>797</v>
      </c>
      <c r="L162" t="s">
        <v>33</v>
      </c>
      <c r="M162" s="1">
        <v>6.8287037037037036E-4</v>
      </c>
      <c r="N162" t="s">
        <v>671</v>
      </c>
      <c r="O162" t="s">
        <v>809</v>
      </c>
    </row>
    <row r="163" spans="1:15" x14ac:dyDescent="0.35">
      <c r="A163" t="s">
        <v>20</v>
      </c>
      <c r="B163">
        <v>17646</v>
      </c>
      <c r="C163" t="s">
        <v>666</v>
      </c>
      <c r="D163" t="s">
        <v>667</v>
      </c>
      <c r="E163" t="s">
        <v>3903</v>
      </c>
      <c r="F163" t="s">
        <v>4078</v>
      </c>
      <c r="G163" t="s">
        <v>4078</v>
      </c>
      <c r="H163" t="s">
        <v>4079</v>
      </c>
      <c r="L163" t="s">
        <v>33</v>
      </c>
      <c r="M163" s="1">
        <v>3.2407407407407412E-4</v>
      </c>
      <c r="N163" t="s">
        <v>671</v>
      </c>
      <c r="O163" t="s">
        <v>809</v>
      </c>
    </row>
    <row r="164" spans="1:15" x14ac:dyDescent="0.35">
      <c r="A164" t="s">
        <v>20</v>
      </c>
      <c r="B164">
        <v>17646</v>
      </c>
      <c r="C164" t="s">
        <v>666</v>
      </c>
      <c r="D164" t="s">
        <v>667</v>
      </c>
      <c r="E164" t="s">
        <v>3905</v>
      </c>
      <c r="F164" t="s">
        <v>4080</v>
      </c>
      <c r="G164" t="s">
        <v>4080</v>
      </c>
      <c r="H164" t="s">
        <v>932</v>
      </c>
      <c r="L164" t="s">
        <v>33</v>
      </c>
      <c r="M164" s="1">
        <v>6.2500000000000001E-4</v>
      </c>
      <c r="N164" t="s">
        <v>671</v>
      </c>
      <c r="O164" t="s">
        <v>809</v>
      </c>
    </row>
    <row r="165" spans="1:15" x14ac:dyDescent="0.35">
      <c r="A165" t="s">
        <v>20</v>
      </c>
      <c r="B165">
        <v>17646</v>
      </c>
      <c r="C165" t="s">
        <v>666</v>
      </c>
      <c r="D165" t="s">
        <v>667</v>
      </c>
      <c r="E165" t="s">
        <v>3908</v>
      </c>
      <c r="F165" t="s">
        <v>4081</v>
      </c>
      <c r="G165" t="s">
        <v>4081</v>
      </c>
      <c r="H165" t="s">
        <v>935</v>
      </c>
      <c r="L165" t="s">
        <v>33</v>
      </c>
      <c r="M165" s="1">
        <v>4.5138888888888892E-4</v>
      </c>
      <c r="N165" t="s">
        <v>671</v>
      </c>
      <c r="O165" t="s">
        <v>809</v>
      </c>
    </row>
    <row r="166" spans="1:15" x14ac:dyDescent="0.35">
      <c r="A166" t="s">
        <v>20</v>
      </c>
      <c r="B166">
        <v>17646</v>
      </c>
      <c r="C166" t="s">
        <v>666</v>
      </c>
      <c r="D166" t="s">
        <v>667</v>
      </c>
      <c r="E166" t="s">
        <v>3910</v>
      </c>
      <c r="F166" t="s">
        <v>4082</v>
      </c>
      <c r="G166" t="s">
        <v>4082</v>
      </c>
      <c r="H166" t="s">
        <v>938</v>
      </c>
      <c r="L166" t="s">
        <v>33</v>
      </c>
      <c r="M166" s="1">
        <v>1.3888888888888889E-3</v>
      </c>
      <c r="N166" t="s">
        <v>671</v>
      </c>
      <c r="O166" t="s">
        <v>809</v>
      </c>
    </row>
    <row r="167" spans="1:15" x14ac:dyDescent="0.35">
      <c r="A167" t="s">
        <v>20</v>
      </c>
      <c r="B167">
        <v>17646</v>
      </c>
      <c r="C167" t="s">
        <v>666</v>
      </c>
      <c r="D167" t="s">
        <v>667</v>
      </c>
      <c r="E167" t="s">
        <v>3913</v>
      </c>
      <c r="F167" t="s">
        <v>4083</v>
      </c>
      <c r="G167" t="s">
        <v>4083</v>
      </c>
      <c r="H167" t="s">
        <v>942</v>
      </c>
      <c r="L167" t="s">
        <v>33</v>
      </c>
      <c r="M167" s="1">
        <v>1.851851851851852E-4</v>
      </c>
      <c r="N167" t="s">
        <v>671</v>
      </c>
      <c r="O167" t="s">
        <v>809</v>
      </c>
    </row>
    <row r="168" spans="1:15" x14ac:dyDescent="0.35">
      <c r="A168" t="s">
        <v>20</v>
      </c>
      <c r="B168">
        <v>17646</v>
      </c>
      <c r="C168" t="s">
        <v>666</v>
      </c>
      <c r="D168" t="s">
        <v>667</v>
      </c>
      <c r="E168" t="s">
        <v>3916</v>
      </c>
      <c r="F168" t="s">
        <v>4084</v>
      </c>
      <c r="G168" t="s">
        <v>4084</v>
      </c>
      <c r="H168" t="s">
        <v>4085</v>
      </c>
      <c r="L168" t="s">
        <v>33</v>
      </c>
      <c r="M168" s="1">
        <v>1.006944444444444E-3</v>
      </c>
      <c r="N168" t="s">
        <v>671</v>
      </c>
      <c r="O168" t="s">
        <v>809</v>
      </c>
    </row>
    <row r="169" spans="1:15" x14ac:dyDescent="0.35">
      <c r="A169" t="s">
        <v>20</v>
      </c>
      <c r="B169">
        <v>17646</v>
      </c>
      <c r="C169" t="s">
        <v>666</v>
      </c>
      <c r="D169" t="s">
        <v>667</v>
      </c>
      <c r="E169" t="s">
        <v>3919</v>
      </c>
      <c r="F169" t="s">
        <v>4086</v>
      </c>
      <c r="G169" t="s">
        <v>4086</v>
      </c>
      <c r="H169" t="s">
        <v>4087</v>
      </c>
      <c r="L169" t="s">
        <v>33</v>
      </c>
      <c r="M169" s="1">
        <v>5.7870370370370373E-5</v>
      </c>
      <c r="N169" t="s">
        <v>671</v>
      </c>
      <c r="O169" t="s">
        <v>809</v>
      </c>
    </row>
    <row r="170" spans="1:15" x14ac:dyDescent="0.35">
      <c r="A170" t="s">
        <v>20</v>
      </c>
      <c r="B170">
        <v>17645</v>
      </c>
      <c r="C170" t="s">
        <v>949</v>
      </c>
      <c r="D170" t="s">
        <v>950</v>
      </c>
      <c r="E170" t="s">
        <v>3788</v>
      </c>
      <c r="F170" t="s">
        <v>4088</v>
      </c>
      <c r="G170" t="s">
        <v>4088</v>
      </c>
      <c r="H170" t="s">
        <v>1091</v>
      </c>
      <c r="L170" t="s">
        <v>33</v>
      </c>
      <c r="M170" s="1">
        <v>5.0925925925925921E-4</v>
      </c>
      <c r="N170" t="s">
        <v>954</v>
      </c>
      <c r="O170" t="s">
        <v>1090</v>
      </c>
    </row>
    <row r="171" spans="1:15" x14ac:dyDescent="0.35">
      <c r="A171" t="s">
        <v>20</v>
      </c>
      <c r="B171">
        <v>17645</v>
      </c>
      <c r="C171" t="s">
        <v>949</v>
      </c>
      <c r="D171" t="s">
        <v>950</v>
      </c>
      <c r="E171" t="s">
        <v>3785</v>
      </c>
      <c r="F171" t="s">
        <v>4089</v>
      </c>
      <c r="G171" t="s">
        <v>4089</v>
      </c>
      <c r="H171" t="s">
        <v>4090</v>
      </c>
      <c r="L171" t="s">
        <v>33</v>
      </c>
      <c r="M171" s="1">
        <v>4.861111111111111E-4</v>
      </c>
      <c r="N171" t="s">
        <v>954</v>
      </c>
      <c r="O171" t="s">
        <v>1090</v>
      </c>
    </row>
    <row r="172" spans="1:15" x14ac:dyDescent="0.35">
      <c r="A172" t="s">
        <v>20</v>
      </c>
      <c r="B172">
        <v>17645</v>
      </c>
      <c r="C172" t="s">
        <v>949</v>
      </c>
      <c r="D172" t="s">
        <v>950</v>
      </c>
      <c r="E172" t="s">
        <v>3790</v>
      </c>
      <c r="F172" t="s">
        <v>4091</v>
      </c>
      <c r="G172" t="s">
        <v>4091</v>
      </c>
      <c r="H172" t="s">
        <v>1094</v>
      </c>
      <c r="L172" t="s">
        <v>33</v>
      </c>
      <c r="M172" s="1">
        <v>4.7453703703703698E-4</v>
      </c>
      <c r="N172" t="s">
        <v>954</v>
      </c>
      <c r="O172" t="s">
        <v>1090</v>
      </c>
    </row>
    <row r="173" spans="1:15" x14ac:dyDescent="0.35">
      <c r="A173" t="s">
        <v>20</v>
      </c>
      <c r="B173">
        <v>17645</v>
      </c>
      <c r="C173" t="s">
        <v>949</v>
      </c>
      <c r="D173" t="s">
        <v>950</v>
      </c>
      <c r="E173" t="s">
        <v>3792</v>
      </c>
      <c r="F173" t="s">
        <v>4092</v>
      </c>
      <c r="G173" t="s">
        <v>4092</v>
      </c>
      <c r="H173" t="s">
        <v>4093</v>
      </c>
      <c r="L173" t="s">
        <v>33</v>
      </c>
      <c r="M173" s="1">
        <v>1.006944444444444E-3</v>
      </c>
      <c r="N173" t="s">
        <v>954</v>
      </c>
      <c r="O173" t="s">
        <v>1090</v>
      </c>
    </row>
    <row r="174" spans="1:15" x14ac:dyDescent="0.35">
      <c r="A174" t="s">
        <v>20</v>
      </c>
      <c r="B174">
        <v>17645</v>
      </c>
      <c r="C174" t="s">
        <v>949</v>
      </c>
      <c r="D174" t="s">
        <v>950</v>
      </c>
      <c r="E174" t="s">
        <v>3795</v>
      </c>
      <c r="F174" t="s">
        <v>4094</v>
      </c>
      <c r="G174" t="s">
        <v>4094</v>
      </c>
      <c r="H174" t="s">
        <v>4095</v>
      </c>
      <c r="L174" t="s">
        <v>33</v>
      </c>
      <c r="M174" s="1">
        <v>4.7453703703703698E-4</v>
      </c>
      <c r="N174" t="s">
        <v>954</v>
      </c>
      <c r="O174" t="s">
        <v>1090</v>
      </c>
    </row>
    <row r="175" spans="1:15" x14ac:dyDescent="0.35">
      <c r="A175" t="s">
        <v>20</v>
      </c>
      <c r="B175">
        <v>17645</v>
      </c>
      <c r="C175" t="s">
        <v>949</v>
      </c>
      <c r="D175" t="s">
        <v>950</v>
      </c>
      <c r="E175" t="s">
        <v>3797</v>
      </c>
      <c r="F175" t="s">
        <v>4096</v>
      </c>
      <c r="G175" t="s">
        <v>4096</v>
      </c>
      <c r="H175" t="s">
        <v>1103</v>
      </c>
      <c r="L175" t="s">
        <v>33</v>
      </c>
      <c r="M175" s="1">
        <v>4.0509259259259258E-4</v>
      </c>
      <c r="N175" t="s">
        <v>954</v>
      </c>
      <c r="O175" t="s">
        <v>1090</v>
      </c>
    </row>
    <row r="176" spans="1:15" x14ac:dyDescent="0.35">
      <c r="A176" t="s">
        <v>20</v>
      </c>
      <c r="B176">
        <v>17645</v>
      </c>
      <c r="C176" t="s">
        <v>949</v>
      </c>
      <c r="D176" t="s">
        <v>950</v>
      </c>
      <c r="E176" t="s">
        <v>3800</v>
      </c>
      <c r="F176" t="s">
        <v>4097</v>
      </c>
      <c r="G176" t="s">
        <v>4097</v>
      </c>
      <c r="H176" t="s">
        <v>1106</v>
      </c>
      <c r="L176" t="s">
        <v>33</v>
      </c>
      <c r="M176" s="1">
        <v>6.134259259259259E-4</v>
      </c>
      <c r="N176" t="s">
        <v>954</v>
      </c>
      <c r="O176" t="s">
        <v>1090</v>
      </c>
    </row>
    <row r="177" spans="1:15" x14ac:dyDescent="0.35">
      <c r="A177" t="s">
        <v>20</v>
      </c>
      <c r="B177">
        <v>17645</v>
      </c>
      <c r="C177" t="s">
        <v>949</v>
      </c>
      <c r="D177" t="s">
        <v>950</v>
      </c>
      <c r="E177" t="s">
        <v>3802</v>
      </c>
      <c r="F177" t="s">
        <v>4098</v>
      </c>
      <c r="G177" t="s">
        <v>4098</v>
      </c>
      <c r="H177" t="s">
        <v>1114</v>
      </c>
      <c r="L177" t="s">
        <v>33</v>
      </c>
      <c r="M177" s="1">
        <v>5.2083333333333333E-4</v>
      </c>
      <c r="N177" t="s">
        <v>954</v>
      </c>
      <c r="O177" t="s">
        <v>1090</v>
      </c>
    </row>
    <row r="178" spans="1:15" x14ac:dyDescent="0.35">
      <c r="A178" t="s">
        <v>20</v>
      </c>
      <c r="B178">
        <v>17645</v>
      </c>
      <c r="C178" t="s">
        <v>949</v>
      </c>
      <c r="D178" t="s">
        <v>950</v>
      </c>
      <c r="E178" t="s">
        <v>3805</v>
      </c>
      <c r="F178" t="s">
        <v>4099</v>
      </c>
      <c r="G178" t="s">
        <v>4099</v>
      </c>
      <c r="H178" t="s">
        <v>4100</v>
      </c>
      <c r="L178" t="s">
        <v>33</v>
      </c>
      <c r="M178" s="1">
        <v>6.8287037037037036E-4</v>
      </c>
      <c r="N178" t="s">
        <v>954</v>
      </c>
      <c r="O178" t="s">
        <v>1090</v>
      </c>
    </row>
    <row r="179" spans="1:15" x14ac:dyDescent="0.35">
      <c r="A179" t="s">
        <v>20</v>
      </c>
      <c r="B179">
        <v>17645</v>
      </c>
      <c r="C179" t="s">
        <v>949</v>
      </c>
      <c r="D179" t="s">
        <v>950</v>
      </c>
      <c r="E179" t="s">
        <v>3808</v>
      </c>
      <c r="F179" t="s">
        <v>4101</v>
      </c>
      <c r="G179" t="s">
        <v>4101</v>
      </c>
      <c r="H179" t="s">
        <v>4102</v>
      </c>
      <c r="L179" t="s">
        <v>33</v>
      </c>
      <c r="M179" s="1">
        <v>2.7777777777777778E-4</v>
      </c>
      <c r="N179" t="s">
        <v>954</v>
      </c>
      <c r="O179" t="s">
        <v>1090</v>
      </c>
    </row>
    <row r="180" spans="1:15" x14ac:dyDescent="0.35">
      <c r="A180" t="s">
        <v>20</v>
      </c>
      <c r="B180">
        <v>17645</v>
      </c>
      <c r="C180" t="s">
        <v>949</v>
      </c>
      <c r="D180" t="s">
        <v>950</v>
      </c>
      <c r="E180" t="s">
        <v>3810</v>
      </c>
      <c r="F180" t="s">
        <v>4103</v>
      </c>
      <c r="G180" t="s">
        <v>4103</v>
      </c>
      <c r="H180" t="s">
        <v>964</v>
      </c>
      <c r="L180" t="s">
        <v>33</v>
      </c>
      <c r="M180" s="1">
        <v>4.2824074074074081E-4</v>
      </c>
      <c r="N180" t="s">
        <v>954</v>
      </c>
      <c r="O180" t="s">
        <v>1090</v>
      </c>
    </row>
    <row r="181" spans="1:15" x14ac:dyDescent="0.35">
      <c r="A181" t="s">
        <v>20</v>
      </c>
      <c r="B181">
        <v>17645</v>
      </c>
      <c r="C181" t="s">
        <v>949</v>
      </c>
      <c r="D181" t="s">
        <v>950</v>
      </c>
      <c r="E181" t="s">
        <v>3816</v>
      </c>
      <c r="F181" t="s">
        <v>4104</v>
      </c>
      <c r="G181" t="s">
        <v>4104</v>
      </c>
      <c r="H181" t="s">
        <v>4105</v>
      </c>
      <c r="L181" t="s">
        <v>33</v>
      </c>
      <c r="M181" s="1">
        <v>2.6620370370370372E-4</v>
      </c>
      <c r="N181" t="s">
        <v>954</v>
      </c>
      <c r="O181" t="s">
        <v>1090</v>
      </c>
    </row>
    <row r="182" spans="1:15" x14ac:dyDescent="0.35">
      <c r="A182" t="s">
        <v>20</v>
      </c>
      <c r="B182">
        <v>17645</v>
      </c>
      <c r="C182" t="s">
        <v>949</v>
      </c>
      <c r="D182" t="s">
        <v>950</v>
      </c>
      <c r="E182" t="s">
        <v>3819</v>
      </c>
      <c r="F182" t="s">
        <v>4106</v>
      </c>
      <c r="G182" t="s">
        <v>4106</v>
      </c>
      <c r="H182" t="s">
        <v>1123</v>
      </c>
      <c r="L182" t="s">
        <v>33</v>
      </c>
      <c r="M182" s="1">
        <v>5.4398148148148144E-4</v>
      </c>
      <c r="N182" t="s">
        <v>954</v>
      </c>
      <c r="O182" t="s">
        <v>1090</v>
      </c>
    </row>
    <row r="183" spans="1:15" x14ac:dyDescent="0.35">
      <c r="A183" t="s">
        <v>20</v>
      </c>
      <c r="B183">
        <v>17645</v>
      </c>
      <c r="C183" t="s">
        <v>949</v>
      </c>
      <c r="D183" t="s">
        <v>950</v>
      </c>
      <c r="E183" t="s">
        <v>3821</v>
      </c>
      <c r="F183" t="s">
        <v>4107</v>
      </c>
      <c r="G183" t="s">
        <v>4107</v>
      </c>
      <c r="H183" t="s">
        <v>970</v>
      </c>
      <c r="L183" t="s">
        <v>33</v>
      </c>
      <c r="M183" s="1">
        <v>6.8287037037037036E-4</v>
      </c>
      <c r="N183" t="s">
        <v>954</v>
      </c>
      <c r="O183" t="s">
        <v>1090</v>
      </c>
    </row>
    <row r="184" spans="1:15" x14ac:dyDescent="0.35">
      <c r="A184" t="s">
        <v>20</v>
      </c>
      <c r="B184">
        <v>17645</v>
      </c>
      <c r="C184" t="s">
        <v>949</v>
      </c>
      <c r="D184" t="s">
        <v>950</v>
      </c>
      <c r="E184" t="s">
        <v>3823</v>
      </c>
      <c r="F184" t="s">
        <v>4108</v>
      </c>
      <c r="G184" t="s">
        <v>4108</v>
      </c>
      <c r="H184" t="s">
        <v>973</v>
      </c>
      <c r="L184" t="s">
        <v>33</v>
      </c>
      <c r="M184" s="1">
        <v>4.6296296296296298E-4</v>
      </c>
      <c r="N184" t="s">
        <v>954</v>
      </c>
      <c r="O184" t="s">
        <v>1090</v>
      </c>
    </row>
    <row r="185" spans="1:15" x14ac:dyDescent="0.35">
      <c r="A185" t="s">
        <v>20</v>
      </c>
      <c r="B185">
        <v>17645</v>
      </c>
      <c r="C185" t="s">
        <v>949</v>
      </c>
      <c r="D185" t="s">
        <v>950</v>
      </c>
      <c r="E185" t="s">
        <v>3825</v>
      </c>
      <c r="F185" t="s">
        <v>4109</v>
      </c>
      <c r="G185" t="s">
        <v>4109</v>
      </c>
      <c r="H185" t="s">
        <v>976</v>
      </c>
      <c r="L185" t="s">
        <v>33</v>
      </c>
      <c r="M185" s="1">
        <v>4.1666666666666669E-4</v>
      </c>
      <c r="N185" t="s">
        <v>954</v>
      </c>
      <c r="O185" t="s">
        <v>1090</v>
      </c>
    </row>
    <row r="186" spans="1:15" x14ac:dyDescent="0.35">
      <c r="A186" t="s">
        <v>20</v>
      </c>
      <c r="B186">
        <v>17645</v>
      </c>
      <c r="C186" t="s">
        <v>949</v>
      </c>
      <c r="D186" t="s">
        <v>950</v>
      </c>
      <c r="E186" t="s">
        <v>3827</v>
      </c>
      <c r="F186" t="s">
        <v>4110</v>
      </c>
      <c r="G186" t="s">
        <v>4110</v>
      </c>
      <c r="H186" t="s">
        <v>4111</v>
      </c>
      <c r="L186" t="s">
        <v>33</v>
      </c>
      <c r="M186" s="1">
        <v>1.0995370370370371E-3</v>
      </c>
      <c r="N186" t="s">
        <v>954</v>
      </c>
      <c r="O186" t="s">
        <v>1090</v>
      </c>
    </row>
    <row r="187" spans="1:15" x14ac:dyDescent="0.35">
      <c r="A187" t="s">
        <v>20</v>
      </c>
      <c r="B187">
        <v>17645</v>
      </c>
      <c r="C187" t="s">
        <v>949</v>
      </c>
      <c r="D187" t="s">
        <v>950</v>
      </c>
      <c r="E187" t="s">
        <v>3830</v>
      </c>
      <c r="F187" t="s">
        <v>4112</v>
      </c>
      <c r="G187" t="s">
        <v>4112</v>
      </c>
      <c r="H187" t="s">
        <v>979</v>
      </c>
      <c r="L187" t="s">
        <v>33</v>
      </c>
      <c r="M187" s="1">
        <v>1.3541666666666669E-3</v>
      </c>
      <c r="N187" t="s">
        <v>954</v>
      </c>
      <c r="O187" t="s">
        <v>1090</v>
      </c>
    </row>
    <row r="188" spans="1:15" x14ac:dyDescent="0.35">
      <c r="A188" t="s">
        <v>20</v>
      </c>
      <c r="B188">
        <v>17645</v>
      </c>
      <c r="C188" t="s">
        <v>949</v>
      </c>
      <c r="D188" t="s">
        <v>950</v>
      </c>
      <c r="E188" t="s">
        <v>3832</v>
      </c>
      <c r="F188" t="s">
        <v>4113</v>
      </c>
      <c r="G188" t="s">
        <v>4113</v>
      </c>
      <c r="H188" t="s">
        <v>982</v>
      </c>
      <c r="L188" t="s">
        <v>33</v>
      </c>
      <c r="M188" s="1">
        <v>5.3240740740740744E-4</v>
      </c>
      <c r="N188" t="s">
        <v>954</v>
      </c>
      <c r="O188" t="s">
        <v>1090</v>
      </c>
    </row>
    <row r="189" spans="1:15" x14ac:dyDescent="0.35">
      <c r="A189" t="s">
        <v>20</v>
      </c>
      <c r="B189">
        <v>17645</v>
      </c>
      <c r="C189" t="s">
        <v>949</v>
      </c>
      <c r="D189" t="s">
        <v>950</v>
      </c>
      <c r="E189" t="s">
        <v>3834</v>
      </c>
      <c r="F189" t="s">
        <v>4114</v>
      </c>
      <c r="G189" t="s">
        <v>4114</v>
      </c>
      <c r="H189" t="s">
        <v>985</v>
      </c>
      <c r="L189" t="s">
        <v>33</v>
      </c>
      <c r="M189" s="1">
        <v>4.5138888888888892E-4</v>
      </c>
      <c r="N189" t="s">
        <v>954</v>
      </c>
      <c r="O189" t="s">
        <v>1090</v>
      </c>
    </row>
    <row r="190" spans="1:15" x14ac:dyDescent="0.35">
      <c r="A190" t="s">
        <v>20</v>
      </c>
      <c r="B190">
        <v>17645</v>
      </c>
      <c r="C190" t="s">
        <v>949</v>
      </c>
      <c r="D190" t="s">
        <v>950</v>
      </c>
      <c r="E190" t="s">
        <v>3836</v>
      </c>
      <c r="F190" t="s">
        <v>4115</v>
      </c>
      <c r="G190" t="s">
        <v>4115</v>
      </c>
      <c r="H190" t="s">
        <v>4116</v>
      </c>
      <c r="L190" t="s">
        <v>33</v>
      </c>
      <c r="M190" s="1">
        <v>7.5231481481481482E-4</v>
      </c>
      <c r="N190" t="s">
        <v>954</v>
      </c>
      <c r="O190" t="s">
        <v>1090</v>
      </c>
    </row>
    <row r="191" spans="1:15" x14ac:dyDescent="0.35">
      <c r="A191" t="s">
        <v>20</v>
      </c>
      <c r="B191">
        <v>17645</v>
      </c>
      <c r="C191" t="s">
        <v>949</v>
      </c>
      <c r="D191" t="s">
        <v>950</v>
      </c>
      <c r="E191" t="s">
        <v>3838</v>
      </c>
      <c r="F191" t="s">
        <v>4117</v>
      </c>
      <c r="G191" t="s">
        <v>4117</v>
      </c>
      <c r="H191" t="s">
        <v>4118</v>
      </c>
      <c r="L191" t="s">
        <v>33</v>
      </c>
      <c r="M191" s="1">
        <v>3.4722222222222218E-4</v>
      </c>
      <c r="N191" t="s">
        <v>954</v>
      </c>
      <c r="O191" t="s">
        <v>1090</v>
      </c>
    </row>
    <row r="192" spans="1:15" x14ac:dyDescent="0.35">
      <c r="A192" t="s">
        <v>20</v>
      </c>
      <c r="B192">
        <v>17645</v>
      </c>
      <c r="C192" t="s">
        <v>949</v>
      </c>
      <c r="D192" t="s">
        <v>950</v>
      </c>
      <c r="E192" t="s">
        <v>3840</v>
      </c>
      <c r="F192" t="s">
        <v>4119</v>
      </c>
      <c r="G192" t="s">
        <v>4119</v>
      </c>
      <c r="H192" t="s">
        <v>4120</v>
      </c>
      <c r="L192" t="s">
        <v>33</v>
      </c>
      <c r="M192" s="1">
        <v>6.8287037037037036E-4</v>
      </c>
      <c r="N192" t="s">
        <v>954</v>
      </c>
      <c r="O192" t="s">
        <v>1090</v>
      </c>
    </row>
    <row r="193" spans="1:15" x14ac:dyDescent="0.35">
      <c r="A193" t="s">
        <v>20</v>
      </c>
      <c r="B193">
        <v>17645</v>
      </c>
      <c r="C193" t="s">
        <v>949</v>
      </c>
      <c r="D193" t="s">
        <v>950</v>
      </c>
      <c r="E193" t="s">
        <v>3843</v>
      </c>
      <c r="F193" t="s">
        <v>4121</v>
      </c>
      <c r="G193" t="s">
        <v>4121</v>
      </c>
      <c r="H193" t="s">
        <v>4122</v>
      </c>
      <c r="L193" t="s">
        <v>33</v>
      </c>
      <c r="M193" s="1">
        <v>9.2592592592592596E-4</v>
      </c>
      <c r="N193" t="s">
        <v>954</v>
      </c>
      <c r="O193" t="s">
        <v>1090</v>
      </c>
    </row>
    <row r="194" spans="1:15" x14ac:dyDescent="0.35">
      <c r="A194" t="s">
        <v>20</v>
      </c>
      <c r="B194">
        <v>17645</v>
      </c>
      <c r="C194" t="s">
        <v>949</v>
      </c>
      <c r="D194" t="s">
        <v>950</v>
      </c>
      <c r="E194" t="s">
        <v>3872</v>
      </c>
      <c r="F194" t="s">
        <v>4123</v>
      </c>
      <c r="G194" t="s">
        <v>4124</v>
      </c>
      <c r="H194" t="s">
        <v>4125</v>
      </c>
      <c r="L194" t="s">
        <v>33</v>
      </c>
      <c r="M194" s="1">
        <v>5.4398148148148144E-4</v>
      </c>
      <c r="N194" t="s">
        <v>954</v>
      </c>
      <c r="O194" t="s">
        <v>1090</v>
      </c>
    </row>
    <row r="195" spans="1:15" x14ac:dyDescent="0.35">
      <c r="A195" t="s">
        <v>20</v>
      </c>
      <c r="B195">
        <v>17645</v>
      </c>
      <c r="C195" t="s">
        <v>949</v>
      </c>
      <c r="D195" t="s">
        <v>950</v>
      </c>
      <c r="E195" t="s">
        <v>3846</v>
      </c>
      <c r="F195" t="s">
        <v>4126</v>
      </c>
      <c r="G195" t="s">
        <v>4127</v>
      </c>
      <c r="H195" t="s">
        <v>4128</v>
      </c>
      <c r="L195" t="s">
        <v>33</v>
      </c>
      <c r="M195" s="1">
        <v>5.6712962962962967E-4</v>
      </c>
      <c r="N195" t="s">
        <v>954</v>
      </c>
      <c r="O195" t="s">
        <v>1090</v>
      </c>
    </row>
    <row r="196" spans="1:15" x14ac:dyDescent="0.35">
      <c r="A196" t="s">
        <v>20</v>
      </c>
      <c r="B196">
        <v>17645</v>
      </c>
      <c r="C196" t="s">
        <v>949</v>
      </c>
      <c r="D196" t="s">
        <v>950</v>
      </c>
      <c r="E196" t="s">
        <v>3848</v>
      </c>
      <c r="F196" t="s">
        <v>4129</v>
      </c>
      <c r="G196" t="s">
        <v>4129</v>
      </c>
      <c r="H196" t="s">
        <v>1000</v>
      </c>
      <c r="L196" t="s">
        <v>33</v>
      </c>
      <c r="M196" s="1">
        <v>1.0300925925925931E-3</v>
      </c>
      <c r="N196" t="s">
        <v>954</v>
      </c>
      <c r="O196" t="s">
        <v>1090</v>
      </c>
    </row>
    <row r="197" spans="1:15" x14ac:dyDescent="0.35">
      <c r="A197" t="s">
        <v>20</v>
      </c>
      <c r="B197">
        <v>17645</v>
      </c>
      <c r="C197" t="s">
        <v>949</v>
      </c>
      <c r="D197" t="s">
        <v>950</v>
      </c>
      <c r="E197" t="s">
        <v>3812</v>
      </c>
      <c r="F197" t="s">
        <v>4130</v>
      </c>
      <c r="G197" t="s">
        <v>4130</v>
      </c>
      <c r="H197" t="s">
        <v>1148</v>
      </c>
      <c r="L197" t="s">
        <v>33</v>
      </c>
      <c r="M197" s="1">
        <v>1.19212962962963E-3</v>
      </c>
      <c r="N197" t="s">
        <v>954</v>
      </c>
      <c r="O197" t="s">
        <v>1090</v>
      </c>
    </row>
    <row r="198" spans="1:15" x14ac:dyDescent="0.35">
      <c r="A198" t="s">
        <v>20</v>
      </c>
      <c r="B198">
        <v>17645</v>
      </c>
      <c r="C198" t="s">
        <v>949</v>
      </c>
      <c r="D198" t="s">
        <v>950</v>
      </c>
      <c r="E198" t="s">
        <v>3851</v>
      </c>
      <c r="F198" t="s">
        <v>4131</v>
      </c>
      <c r="G198" t="s">
        <v>4131</v>
      </c>
      <c r="H198" t="s">
        <v>4132</v>
      </c>
      <c r="L198" t="s">
        <v>33</v>
      </c>
      <c r="M198" s="1">
        <v>6.018518518518519E-4</v>
      </c>
      <c r="N198" t="s">
        <v>954</v>
      </c>
      <c r="O198" t="s">
        <v>1090</v>
      </c>
    </row>
    <row r="199" spans="1:15" x14ac:dyDescent="0.35">
      <c r="A199" t="s">
        <v>20</v>
      </c>
      <c r="B199">
        <v>17645</v>
      </c>
      <c r="C199" t="s">
        <v>949</v>
      </c>
      <c r="D199" t="s">
        <v>950</v>
      </c>
      <c r="E199" t="s">
        <v>3853</v>
      </c>
      <c r="F199" t="s">
        <v>4133</v>
      </c>
      <c r="G199" t="s">
        <v>4133</v>
      </c>
      <c r="H199" t="s">
        <v>4134</v>
      </c>
      <c r="L199" t="s">
        <v>33</v>
      </c>
      <c r="M199" s="1">
        <v>1.203703703703704E-3</v>
      </c>
      <c r="N199" t="s">
        <v>954</v>
      </c>
      <c r="O199" t="s">
        <v>1090</v>
      </c>
    </row>
    <row r="200" spans="1:15" x14ac:dyDescent="0.35">
      <c r="A200" t="s">
        <v>20</v>
      </c>
      <c r="B200">
        <v>17645</v>
      </c>
      <c r="C200" t="s">
        <v>949</v>
      </c>
      <c r="D200" t="s">
        <v>950</v>
      </c>
      <c r="E200" t="s">
        <v>3855</v>
      </c>
      <c r="F200" t="s">
        <v>4135</v>
      </c>
      <c r="G200" t="s">
        <v>4135</v>
      </c>
      <c r="H200" t="s">
        <v>1003</v>
      </c>
      <c r="L200" t="s">
        <v>33</v>
      </c>
      <c r="M200" s="1">
        <v>3.3564814814814812E-4</v>
      </c>
      <c r="N200" t="s">
        <v>954</v>
      </c>
      <c r="O200" t="s">
        <v>1090</v>
      </c>
    </row>
    <row r="201" spans="1:15" x14ac:dyDescent="0.35">
      <c r="A201" t="s">
        <v>20</v>
      </c>
      <c r="B201">
        <v>17645</v>
      </c>
      <c r="C201" t="s">
        <v>949</v>
      </c>
      <c r="D201" t="s">
        <v>950</v>
      </c>
      <c r="E201" t="s">
        <v>3857</v>
      </c>
      <c r="F201" t="s">
        <v>4136</v>
      </c>
      <c r="G201" t="s">
        <v>4136</v>
      </c>
      <c r="H201" t="s">
        <v>4137</v>
      </c>
      <c r="L201" t="s">
        <v>33</v>
      </c>
      <c r="M201" s="1">
        <v>3.2407407407407412E-4</v>
      </c>
      <c r="N201" t="s">
        <v>954</v>
      </c>
      <c r="O201" t="s">
        <v>1090</v>
      </c>
    </row>
    <row r="202" spans="1:15" x14ac:dyDescent="0.35">
      <c r="A202" t="s">
        <v>20</v>
      </c>
      <c r="B202">
        <v>17645</v>
      </c>
      <c r="C202" t="s">
        <v>949</v>
      </c>
      <c r="D202" t="s">
        <v>950</v>
      </c>
      <c r="E202" t="s">
        <v>3860</v>
      </c>
      <c r="F202" t="s">
        <v>4138</v>
      </c>
      <c r="G202" t="s">
        <v>4138</v>
      </c>
      <c r="H202" t="s">
        <v>4139</v>
      </c>
      <c r="L202" t="s">
        <v>33</v>
      </c>
      <c r="M202" s="1">
        <v>2.6620370370370372E-4</v>
      </c>
      <c r="N202" t="s">
        <v>954</v>
      </c>
      <c r="O202" t="s">
        <v>1090</v>
      </c>
    </row>
    <row r="203" spans="1:15" x14ac:dyDescent="0.35">
      <c r="A203" t="s">
        <v>20</v>
      </c>
      <c r="B203">
        <v>17645</v>
      </c>
      <c r="C203" t="s">
        <v>949</v>
      </c>
      <c r="D203" t="s">
        <v>950</v>
      </c>
      <c r="E203" t="s">
        <v>3863</v>
      </c>
      <c r="F203" t="s">
        <v>4140</v>
      </c>
      <c r="G203" t="s">
        <v>4140</v>
      </c>
      <c r="H203" t="s">
        <v>4141</v>
      </c>
      <c r="L203" t="s">
        <v>33</v>
      </c>
      <c r="M203" s="1">
        <v>7.0601851851851847E-4</v>
      </c>
      <c r="N203" t="s">
        <v>954</v>
      </c>
      <c r="O203" t="s">
        <v>1090</v>
      </c>
    </row>
    <row r="204" spans="1:15" x14ac:dyDescent="0.35">
      <c r="A204" t="s">
        <v>20</v>
      </c>
      <c r="B204">
        <v>17645</v>
      </c>
      <c r="C204" t="s">
        <v>949</v>
      </c>
      <c r="D204" t="s">
        <v>950</v>
      </c>
      <c r="E204" t="s">
        <v>3866</v>
      </c>
      <c r="F204" t="s">
        <v>4142</v>
      </c>
      <c r="G204" t="s">
        <v>4142</v>
      </c>
      <c r="H204" t="s">
        <v>4143</v>
      </c>
      <c r="L204" t="s">
        <v>33</v>
      </c>
      <c r="M204" s="1">
        <v>6.9444444444444444E-5</v>
      </c>
      <c r="N204" t="s">
        <v>954</v>
      </c>
      <c r="O204" t="s">
        <v>1090</v>
      </c>
    </row>
    <row r="205" spans="1:15" x14ac:dyDescent="0.35">
      <c r="A205" t="s">
        <v>20</v>
      </c>
      <c r="B205">
        <v>17645</v>
      </c>
      <c r="C205" t="s">
        <v>949</v>
      </c>
      <c r="D205" t="s">
        <v>950</v>
      </c>
      <c r="E205" t="s">
        <v>3874</v>
      </c>
      <c r="F205" t="s">
        <v>4144</v>
      </c>
      <c r="G205" t="s">
        <v>4144</v>
      </c>
      <c r="H205" t="s">
        <v>1018</v>
      </c>
      <c r="L205" t="s">
        <v>33</v>
      </c>
      <c r="M205" s="1">
        <v>9.2592592592592596E-4</v>
      </c>
      <c r="N205" t="s">
        <v>954</v>
      </c>
      <c r="O205" t="s">
        <v>1090</v>
      </c>
    </row>
    <row r="206" spans="1:15" x14ac:dyDescent="0.35">
      <c r="A206" t="s">
        <v>20</v>
      </c>
      <c r="B206">
        <v>17645</v>
      </c>
      <c r="C206" t="s">
        <v>949</v>
      </c>
      <c r="D206" t="s">
        <v>950</v>
      </c>
      <c r="E206" t="s">
        <v>3876</v>
      </c>
      <c r="F206" t="s">
        <v>4145</v>
      </c>
      <c r="G206" t="s">
        <v>4145</v>
      </c>
      <c r="H206" t="s">
        <v>1024</v>
      </c>
      <c r="L206" t="s">
        <v>33</v>
      </c>
      <c r="M206" s="1">
        <v>6.8287037037037036E-4</v>
      </c>
      <c r="N206" t="s">
        <v>954</v>
      </c>
      <c r="O206" t="s">
        <v>1090</v>
      </c>
    </row>
    <row r="207" spans="1:15" x14ac:dyDescent="0.35">
      <c r="A207" t="s">
        <v>20</v>
      </c>
      <c r="B207">
        <v>17645</v>
      </c>
      <c r="C207" t="s">
        <v>949</v>
      </c>
      <c r="D207" t="s">
        <v>950</v>
      </c>
      <c r="E207" t="s">
        <v>3878</v>
      </c>
      <c r="F207" t="s">
        <v>4146</v>
      </c>
      <c r="G207" t="s">
        <v>4146</v>
      </c>
      <c r="H207" t="s">
        <v>4147</v>
      </c>
      <c r="L207" t="s">
        <v>33</v>
      </c>
      <c r="M207" s="1">
        <v>7.5231481481481482E-4</v>
      </c>
      <c r="N207" t="s">
        <v>954</v>
      </c>
      <c r="O207" t="s">
        <v>1090</v>
      </c>
    </row>
    <row r="208" spans="1:15" x14ac:dyDescent="0.35">
      <c r="A208" t="s">
        <v>20</v>
      </c>
      <c r="B208">
        <v>17645</v>
      </c>
      <c r="C208" t="s">
        <v>949</v>
      </c>
      <c r="D208" t="s">
        <v>950</v>
      </c>
      <c r="E208" t="s">
        <v>3880</v>
      </c>
      <c r="F208" t="s">
        <v>4148</v>
      </c>
      <c r="G208" t="s">
        <v>4148</v>
      </c>
      <c r="H208" t="s">
        <v>4149</v>
      </c>
      <c r="L208" t="s">
        <v>33</v>
      </c>
      <c r="M208" s="1">
        <v>7.1759259259259259E-4</v>
      </c>
      <c r="N208" t="s">
        <v>954</v>
      </c>
      <c r="O208" t="s">
        <v>1090</v>
      </c>
    </row>
    <row r="209" spans="1:15" x14ac:dyDescent="0.35">
      <c r="A209" t="s">
        <v>20</v>
      </c>
      <c r="B209">
        <v>17645</v>
      </c>
      <c r="C209" t="s">
        <v>949</v>
      </c>
      <c r="D209" t="s">
        <v>950</v>
      </c>
      <c r="E209" t="s">
        <v>3882</v>
      </c>
      <c r="F209" t="s">
        <v>4150</v>
      </c>
      <c r="G209" t="s">
        <v>4150</v>
      </c>
      <c r="H209" t="s">
        <v>4151</v>
      </c>
      <c r="L209" t="s">
        <v>33</v>
      </c>
      <c r="M209" s="1">
        <v>3.5879629629629629E-4</v>
      </c>
      <c r="N209" t="s">
        <v>954</v>
      </c>
      <c r="O209" t="s">
        <v>1090</v>
      </c>
    </row>
    <row r="210" spans="1:15" x14ac:dyDescent="0.35">
      <c r="A210" t="s">
        <v>20</v>
      </c>
      <c r="B210">
        <v>17645</v>
      </c>
      <c r="C210" t="s">
        <v>949</v>
      </c>
      <c r="D210" t="s">
        <v>950</v>
      </c>
      <c r="E210" t="s">
        <v>3884</v>
      </c>
      <c r="F210" t="s">
        <v>4152</v>
      </c>
      <c r="G210" t="s">
        <v>4152</v>
      </c>
      <c r="H210" t="s">
        <v>4153</v>
      </c>
      <c r="L210" t="s">
        <v>33</v>
      </c>
      <c r="M210" s="1">
        <v>4.861111111111111E-4</v>
      </c>
      <c r="N210" t="s">
        <v>954</v>
      </c>
      <c r="O210" t="s">
        <v>1090</v>
      </c>
    </row>
    <row r="211" spans="1:15" x14ac:dyDescent="0.35">
      <c r="A211" t="s">
        <v>20</v>
      </c>
      <c r="B211">
        <v>17645</v>
      </c>
      <c r="C211" t="s">
        <v>949</v>
      </c>
      <c r="D211" t="s">
        <v>950</v>
      </c>
      <c r="E211" t="s">
        <v>3887</v>
      </c>
      <c r="F211" t="s">
        <v>4154</v>
      </c>
      <c r="G211" t="s">
        <v>4154</v>
      </c>
      <c r="H211" t="s">
        <v>1030</v>
      </c>
      <c r="L211" t="s">
        <v>33</v>
      </c>
      <c r="M211" s="1">
        <v>1.0300925925925931E-3</v>
      </c>
      <c r="N211" t="s">
        <v>954</v>
      </c>
      <c r="O211" t="s">
        <v>1090</v>
      </c>
    </row>
    <row r="212" spans="1:15" x14ac:dyDescent="0.35">
      <c r="A212" t="s">
        <v>20</v>
      </c>
      <c r="B212">
        <v>17645</v>
      </c>
      <c r="C212" t="s">
        <v>949</v>
      </c>
      <c r="D212" t="s">
        <v>950</v>
      </c>
      <c r="E212" t="s">
        <v>3889</v>
      </c>
      <c r="F212" t="s">
        <v>4155</v>
      </c>
      <c r="G212" t="s">
        <v>4155</v>
      </c>
      <c r="H212" t="s">
        <v>1190</v>
      </c>
      <c r="L212" t="s">
        <v>33</v>
      </c>
      <c r="M212" s="1">
        <v>5.3240740740740744E-4</v>
      </c>
      <c r="N212" t="s">
        <v>954</v>
      </c>
      <c r="O212" t="s">
        <v>1090</v>
      </c>
    </row>
    <row r="213" spans="1:15" x14ac:dyDescent="0.35">
      <c r="A213" t="s">
        <v>20</v>
      </c>
      <c r="B213">
        <v>17645</v>
      </c>
      <c r="C213" t="s">
        <v>949</v>
      </c>
      <c r="D213" t="s">
        <v>950</v>
      </c>
      <c r="E213" t="s">
        <v>3891</v>
      </c>
      <c r="F213" t="s">
        <v>4156</v>
      </c>
      <c r="G213" t="s">
        <v>4156</v>
      </c>
      <c r="H213" t="s">
        <v>4157</v>
      </c>
      <c r="L213" t="s">
        <v>33</v>
      </c>
      <c r="M213" s="1">
        <v>2.0370370370370369E-3</v>
      </c>
      <c r="N213" t="s">
        <v>954</v>
      </c>
      <c r="O213" t="s">
        <v>1090</v>
      </c>
    </row>
    <row r="214" spans="1:15" x14ac:dyDescent="0.35">
      <c r="A214" t="s">
        <v>20</v>
      </c>
      <c r="B214">
        <v>17645</v>
      </c>
      <c r="C214" t="s">
        <v>949</v>
      </c>
      <c r="D214" t="s">
        <v>950</v>
      </c>
      <c r="E214" t="s">
        <v>3893</v>
      </c>
      <c r="F214" t="s">
        <v>4158</v>
      </c>
      <c r="G214" t="s">
        <v>4158</v>
      </c>
      <c r="H214" t="s">
        <v>4159</v>
      </c>
      <c r="L214" t="s">
        <v>33</v>
      </c>
      <c r="M214" s="1">
        <v>1.238425925925926E-3</v>
      </c>
      <c r="N214" t="s">
        <v>954</v>
      </c>
      <c r="O214" t="s">
        <v>1090</v>
      </c>
    </row>
    <row r="215" spans="1:15" x14ac:dyDescent="0.35">
      <c r="A215" t="s">
        <v>20</v>
      </c>
      <c r="B215">
        <v>17645</v>
      </c>
      <c r="C215" t="s">
        <v>949</v>
      </c>
      <c r="D215" t="s">
        <v>950</v>
      </c>
      <c r="E215" t="s">
        <v>3895</v>
      </c>
      <c r="F215" t="s">
        <v>4160</v>
      </c>
      <c r="G215" t="s">
        <v>4160</v>
      </c>
      <c r="H215" t="s">
        <v>1051</v>
      </c>
      <c r="L215" t="s">
        <v>33</v>
      </c>
      <c r="M215" s="1">
        <v>5.6712962962962967E-4</v>
      </c>
      <c r="N215" t="s">
        <v>954</v>
      </c>
      <c r="O215" t="s">
        <v>1090</v>
      </c>
    </row>
    <row r="216" spans="1:15" x14ac:dyDescent="0.35">
      <c r="A216" t="s">
        <v>20</v>
      </c>
      <c r="B216">
        <v>17645</v>
      </c>
      <c r="C216" t="s">
        <v>949</v>
      </c>
      <c r="D216" t="s">
        <v>950</v>
      </c>
      <c r="E216" t="s">
        <v>3897</v>
      </c>
      <c r="F216" t="s">
        <v>4161</v>
      </c>
      <c r="G216" t="s">
        <v>4161</v>
      </c>
      <c r="H216" t="s">
        <v>4162</v>
      </c>
      <c r="L216" t="s">
        <v>33</v>
      </c>
      <c r="M216" s="1">
        <v>6.4814814814814813E-4</v>
      </c>
      <c r="N216" t="s">
        <v>954</v>
      </c>
      <c r="O216" t="s">
        <v>1090</v>
      </c>
    </row>
    <row r="217" spans="1:15" x14ac:dyDescent="0.35">
      <c r="A217" t="s">
        <v>20</v>
      </c>
      <c r="B217">
        <v>17645</v>
      </c>
      <c r="C217" t="s">
        <v>949</v>
      </c>
      <c r="D217" t="s">
        <v>950</v>
      </c>
      <c r="E217" t="s">
        <v>3899</v>
      </c>
      <c r="F217" t="s">
        <v>4163</v>
      </c>
      <c r="G217" t="s">
        <v>4163</v>
      </c>
      <c r="H217" t="s">
        <v>4164</v>
      </c>
      <c r="L217" t="s">
        <v>33</v>
      </c>
      <c r="M217" s="1">
        <v>2.6620370370370372E-4</v>
      </c>
      <c r="N217" t="s">
        <v>954</v>
      </c>
      <c r="O217" t="s">
        <v>1090</v>
      </c>
    </row>
    <row r="218" spans="1:15" x14ac:dyDescent="0.35">
      <c r="A218" t="s">
        <v>20</v>
      </c>
      <c r="B218">
        <v>17645</v>
      </c>
      <c r="C218" t="s">
        <v>949</v>
      </c>
      <c r="D218" t="s">
        <v>950</v>
      </c>
      <c r="E218" t="s">
        <v>3901</v>
      </c>
      <c r="F218" t="s">
        <v>4165</v>
      </c>
      <c r="G218" t="s">
        <v>4165</v>
      </c>
      <c r="H218" t="s">
        <v>4166</v>
      </c>
      <c r="L218" t="s">
        <v>33</v>
      </c>
      <c r="M218" s="1">
        <v>6.018518518518519E-4</v>
      </c>
      <c r="N218" t="s">
        <v>954</v>
      </c>
      <c r="O218" t="s">
        <v>1090</v>
      </c>
    </row>
    <row r="219" spans="1:15" x14ac:dyDescent="0.35">
      <c r="A219" t="s">
        <v>20</v>
      </c>
      <c r="B219">
        <v>17645</v>
      </c>
      <c r="C219" t="s">
        <v>949</v>
      </c>
      <c r="D219" t="s">
        <v>950</v>
      </c>
      <c r="E219" t="s">
        <v>3903</v>
      </c>
      <c r="F219" t="s">
        <v>4167</v>
      </c>
      <c r="G219" t="s">
        <v>4167</v>
      </c>
      <c r="H219" t="s">
        <v>4168</v>
      </c>
      <c r="L219" t="s">
        <v>33</v>
      </c>
      <c r="M219" s="1">
        <v>3.4722222222222218E-4</v>
      </c>
      <c r="N219" t="s">
        <v>954</v>
      </c>
      <c r="O219" t="s">
        <v>1090</v>
      </c>
    </row>
    <row r="220" spans="1:15" x14ac:dyDescent="0.35">
      <c r="A220" t="s">
        <v>20</v>
      </c>
      <c r="B220">
        <v>17645</v>
      </c>
      <c r="C220" t="s">
        <v>949</v>
      </c>
      <c r="D220" t="s">
        <v>950</v>
      </c>
      <c r="E220" t="s">
        <v>3905</v>
      </c>
      <c r="F220" t="s">
        <v>4169</v>
      </c>
      <c r="G220" t="s">
        <v>4169</v>
      </c>
      <c r="H220" t="s">
        <v>4170</v>
      </c>
      <c r="L220" t="s">
        <v>33</v>
      </c>
      <c r="M220" s="1">
        <v>6.5972222222222224E-4</v>
      </c>
      <c r="N220" t="s">
        <v>954</v>
      </c>
      <c r="O220" t="s">
        <v>1090</v>
      </c>
    </row>
    <row r="221" spans="1:15" x14ac:dyDescent="0.35">
      <c r="A221" t="s">
        <v>20</v>
      </c>
      <c r="B221">
        <v>17645</v>
      </c>
      <c r="C221" t="s">
        <v>949</v>
      </c>
      <c r="D221" t="s">
        <v>950</v>
      </c>
      <c r="E221" t="s">
        <v>3908</v>
      </c>
      <c r="F221" t="s">
        <v>4171</v>
      </c>
      <c r="G221" t="s">
        <v>4171</v>
      </c>
      <c r="H221" t="s">
        <v>4172</v>
      </c>
      <c r="L221" t="s">
        <v>33</v>
      </c>
      <c r="M221" s="1">
        <v>4.5138888888888892E-4</v>
      </c>
      <c r="N221" t="s">
        <v>954</v>
      </c>
      <c r="O221" t="s">
        <v>1090</v>
      </c>
    </row>
    <row r="222" spans="1:15" x14ac:dyDescent="0.35">
      <c r="A222" t="s">
        <v>20</v>
      </c>
      <c r="B222">
        <v>17645</v>
      </c>
      <c r="C222" t="s">
        <v>949</v>
      </c>
      <c r="D222" t="s">
        <v>950</v>
      </c>
      <c r="E222" t="s">
        <v>3910</v>
      </c>
      <c r="F222" t="s">
        <v>4173</v>
      </c>
      <c r="G222" t="s">
        <v>4173</v>
      </c>
      <c r="H222" t="s">
        <v>4174</v>
      </c>
      <c r="L222" t="s">
        <v>33</v>
      </c>
      <c r="M222" s="1">
        <v>1.0648148148148151E-3</v>
      </c>
      <c r="N222" t="s">
        <v>954</v>
      </c>
      <c r="O222" t="s">
        <v>1090</v>
      </c>
    </row>
    <row r="223" spans="1:15" x14ac:dyDescent="0.35">
      <c r="A223" t="s">
        <v>20</v>
      </c>
      <c r="B223">
        <v>17645</v>
      </c>
      <c r="C223" t="s">
        <v>949</v>
      </c>
      <c r="D223" t="s">
        <v>950</v>
      </c>
      <c r="E223" t="s">
        <v>3913</v>
      </c>
      <c r="F223" t="s">
        <v>4175</v>
      </c>
      <c r="G223" t="s">
        <v>4175</v>
      </c>
      <c r="H223" t="s">
        <v>1060</v>
      </c>
      <c r="L223" t="s">
        <v>33</v>
      </c>
      <c r="M223" s="1">
        <v>3.4722222222222218E-4</v>
      </c>
      <c r="N223" t="s">
        <v>954</v>
      </c>
      <c r="O223" t="s">
        <v>1090</v>
      </c>
    </row>
    <row r="224" spans="1:15" x14ac:dyDescent="0.35">
      <c r="A224" t="s">
        <v>20</v>
      </c>
      <c r="B224">
        <v>17645</v>
      </c>
      <c r="C224" t="s">
        <v>949</v>
      </c>
      <c r="D224" t="s">
        <v>950</v>
      </c>
      <c r="E224" t="s">
        <v>3916</v>
      </c>
      <c r="F224" t="s">
        <v>4176</v>
      </c>
      <c r="G224" t="s">
        <v>4176</v>
      </c>
      <c r="H224" t="s">
        <v>4177</v>
      </c>
      <c r="L224" t="s">
        <v>33</v>
      </c>
      <c r="M224" s="1">
        <v>2.6620370370370372E-4</v>
      </c>
      <c r="N224" t="s">
        <v>954</v>
      </c>
      <c r="O224" t="s">
        <v>1090</v>
      </c>
    </row>
    <row r="225" spans="1:15" x14ac:dyDescent="0.35">
      <c r="A225" t="s">
        <v>20</v>
      </c>
      <c r="B225">
        <v>17645</v>
      </c>
      <c r="C225" t="s">
        <v>949</v>
      </c>
      <c r="D225" t="s">
        <v>950</v>
      </c>
      <c r="E225" t="s">
        <v>3919</v>
      </c>
      <c r="F225" t="s">
        <v>4178</v>
      </c>
      <c r="G225" t="s">
        <v>4178</v>
      </c>
      <c r="H225" t="s">
        <v>4179</v>
      </c>
      <c r="L225" t="s">
        <v>33</v>
      </c>
      <c r="M225" s="1">
        <v>1.157407407407407E-5</v>
      </c>
      <c r="N225" t="s">
        <v>954</v>
      </c>
      <c r="O225" t="s">
        <v>1090</v>
      </c>
    </row>
    <row r="226" spans="1:15" x14ac:dyDescent="0.35">
      <c r="A226" t="s">
        <v>20</v>
      </c>
      <c r="B226">
        <v>17645</v>
      </c>
      <c r="C226" t="s">
        <v>949</v>
      </c>
      <c r="D226" t="s">
        <v>950</v>
      </c>
      <c r="E226" t="s">
        <v>3922</v>
      </c>
      <c r="F226" t="s">
        <v>4180</v>
      </c>
      <c r="G226" t="s">
        <v>4180</v>
      </c>
      <c r="H226" t="s">
        <v>4181</v>
      </c>
      <c r="L226" t="s">
        <v>33</v>
      </c>
      <c r="M226" s="1">
        <v>9.9537037037037042E-4</v>
      </c>
      <c r="N226" t="s">
        <v>954</v>
      </c>
      <c r="O226" t="s">
        <v>1090</v>
      </c>
    </row>
    <row r="227" spans="1:15" x14ac:dyDescent="0.35">
      <c r="A227" t="s">
        <v>20</v>
      </c>
      <c r="B227">
        <v>17645</v>
      </c>
      <c r="C227" t="s">
        <v>949</v>
      </c>
      <c r="D227" t="s">
        <v>950</v>
      </c>
      <c r="E227" t="s">
        <v>3869</v>
      </c>
      <c r="F227" t="s">
        <v>4182</v>
      </c>
      <c r="G227" t="s">
        <v>4182</v>
      </c>
      <c r="H227" t="s">
        <v>1233</v>
      </c>
      <c r="L227" t="s">
        <v>33</v>
      </c>
      <c r="M227" s="1">
        <v>7.6388888888888893E-4</v>
      </c>
      <c r="N227" t="s">
        <v>954</v>
      </c>
      <c r="O227" t="s">
        <v>1090</v>
      </c>
    </row>
    <row r="228" spans="1:15" x14ac:dyDescent="0.35">
      <c r="A228" t="s">
        <v>20</v>
      </c>
      <c r="B228">
        <v>17645</v>
      </c>
      <c r="C228" t="s">
        <v>949</v>
      </c>
      <c r="D228" t="s">
        <v>950</v>
      </c>
      <c r="E228" t="s">
        <v>4183</v>
      </c>
      <c r="F228" t="s">
        <v>4184</v>
      </c>
      <c r="G228" t="s">
        <v>4184</v>
      </c>
      <c r="H228" t="s">
        <v>1237</v>
      </c>
      <c r="L228" t="s">
        <v>33</v>
      </c>
      <c r="M228" s="1">
        <v>1.5277777777777781E-3</v>
      </c>
      <c r="N228" t="s">
        <v>954</v>
      </c>
      <c r="O228" t="s">
        <v>1090</v>
      </c>
    </row>
    <row r="229" spans="1:15" x14ac:dyDescent="0.35">
      <c r="A229" t="s">
        <v>20</v>
      </c>
      <c r="B229">
        <v>17645</v>
      </c>
      <c r="C229" t="s">
        <v>949</v>
      </c>
      <c r="D229" t="s">
        <v>950</v>
      </c>
      <c r="E229" t="s">
        <v>4185</v>
      </c>
      <c r="F229" t="s">
        <v>4186</v>
      </c>
      <c r="G229" t="s">
        <v>4186</v>
      </c>
      <c r="H229" t="s">
        <v>1069</v>
      </c>
      <c r="L229" t="s">
        <v>33</v>
      </c>
      <c r="M229" s="1">
        <v>6.8287037037037036E-4</v>
      </c>
      <c r="N229" t="s">
        <v>954</v>
      </c>
      <c r="O229" t="s">
        <v>1090</v>
      </c>
    </row>
    <row r="230" spans="1:15" x14ac:dyDescent="0.35">
      <c r="A230" t="s">
        <v>20</v>
      </c>
      <c r="B230">
        <v>17645</v>
      </c>
      <c r="C230" t="s">
        <v>949</v>
      </c>
      <c r="D230" t="s">
        <v>950</v>
      </c>
      <c r="E230" t="s">
        <v>4187</v>
      </c>
      <c r="F230" t="s">
        <v>4188</v>
      </c>
      <c r="G230" t="s">
        <v>4188</v>
      </c>
      <c r="H230" t="s">
        <v>1241</v>
      </c>
      <c r="L230" t="s">
        <v>33</v>
      </c>
      <c r="M230" s="1">
        <v>3.8194444444444452E-4</v>
      </c>
      <c r="N230" t="s">
        <v>954</v>
      </c>
      <c r="O230" t="s">
        <v>1090</v>
      </c>
    </row>
    <row r="231" spans="1:15" x14ac:dyDescent="0.35">
      <c r="A231" t="s">
        <v>20</v>
      </c>
      <c r="B231">
        <v>17645</v>
      </c>
      <c r="C231" t="s">
        <v>949</v>
      </c>
      <c r="D231" t="s">
        <v>950</v>
      </c>
      <c r="E231" t="s">
        <v>4189</v>
      </c>
      <c r="F231" t="s">
        <v>4190</v>
      </c>
      <c r="G231" t="s">
        <v>4190</v>
      </c>
      <c r="H231" t="s">
        <v>1072</v>
      </c>
      <c r="L231" t="s">
        <v>33</v>
      </c>
      <c r="M231" s="1">
        <v>7.8703703703703705E-4</v>
      </c>
      <c r="N231" t="s">
        <v>954</v>
      </c>
      <c r="O231" t="s">
        <v>1090</v>
      </c>
    </row>
    <row r="232" spans="1:15" x14ac:dyDescent="0.35">
      <c r="A232" t="s">
        <v>20</v>
      </c>
      <c r="B232">
        <v>17645</v>
      </c>
      <c r="C232" t="s">
        <v>949</v>
      </c>
      <c r="D232" t="s">
        <v>950</v>
      </c>
      <c r="E232" t="s">
        <v>4191</v>
      </c>
      <c r="F232" t="s">
        <v>4192</v>
      </c>
      <c r="G232" t="s">
        <v>4192</v>
      </c>
      <c r="H232" t="s">
        <v>1078</v>
      </c>
      <c r="L232" t="s">
        <v>33</v>
      </c>
      <c r="M232" s="1">
        <v>8.7962962962962962E-4</v>
      </c>
      <c r="N232" t="s">
        <v>954</v>
      </c>
      <c r="O232" t="s">
        <v>1090</v>
      </c>
    </row>
    <row r="233" spans="1:15" x14ac:dyDescent="0.35">
      <c r="A233" t="s">
        <v>20</v>
      </c>
      <c r="B233">
        <v>17645</v>
      </c>
      <c r="C233" t="s">
        <v>949</v>
      </c>
      <c r="D233" t="s">
        <v>950</v>
      </c>
      <c r="E233" t="s">
        <v>4193</v>
      </c>
      <c r="F233" t="s">
        <v>4194</v>
      </c>
      <c r="G233" t="s">
        <v>4194</v>
      </c>
      <c r="H233" t="s">
        <v>1081</v>
      </c>
      <c r="L233" t="s">
        <v>33</v>
      </c>
      <c r="M233" s="1">
        <v>5.3240740740740744E-4</v>
      </c>
      <c r="N233" t="s">
        <v>954</v>
      </c>
      <c r="O233" t="s">
        <v>1090</v>
      </c>
    </row>
    <row r="234" spans="1:15" x14ac:dyDescent="0.35">
      <c r="A234" t="s">
        <v>20</v>
      </c>
      <c r="B234">
        <v>17645</v>
      </c>
      <c r="C234" t="s">
        <v>949</v>
      </c>
      <c r="D234" t="s">
        <v>950</v>
      </c>
      <c r="E234" t="s">
        <v>4195</v>
      </c>
      <c r="F234" t="s">
        <v>4196</v>
      </c>
      <c r="G234" t="s">
        <v>4196</v>
      </c>
      <c r="H234" t="s">
        <v>1084</v>
      </c>
      <c r="L234" t="s">
        <v>33</v>
      </c>
      <c r="M234" s="1">
        <v>1.0763888888888891E-3</v>
      </c>
      <c r="N234" t="s">
        <v>954</v>
      </c>
      <c r="O234" t="s">
        <v>1090</v>
      </c>
    </row>
    <row r="235" spans="1:15" x14ac:dyDescent="0.35">
      <c r="A235" t="s">
        <v>20</v>
      </c>
      <c r="B235">
        <v>17645</v>
      </c>
      <c r="C235" t="s">
        <v>949</v>
      </c>
      <c r="D235" t="s">
        <v>950</v>
      </c>
      <c r="E235" t="s">
        <v>4197</v>
      </c>
      <c r="F235" t="s">
        <v>4198</v>
      </c>
      <c r="G235" t="s">
        <v>4198</v>
      </c>
      <c r="H235" t="s">
        <v>4199</v>
      </c>
      <c r="L235" t="s">
        <v>33</v>
      </c>
      <c r="M235" s="1">
        <v>1.851851851851852E-4</v>
      </c>
      <c r="N235" t="s">
        <v>954</v>
      </c>
      <c r="O235" t="s">
        <v>1090</v>
      </c>
    </row>
    <row r="236" spans="1:15" x14ac:dyDescent="0.35">
      <c r="A236" t="s">
        <v>20</v>
      </c>
      <c r="B236">
        <v>17647</v>
      </c>
      <c r="C236" t="s">
        <v>1252</v>
      </c>
      <c r="D236" t="s">
        <v>1253</v>
      </c>
      <c r="E236" t="s">
        <v>3785</v>
      </c>
      <c r="F236" t="s">
        <v>4200</v>
      </c>
      <c r="G236" t="s">
        <v>4200</v>
      </c>
      <c r="H236" t="s">
        <v>1396</v>
      </c>
      <c r="L236" t="s">
        <v>33</v>
      </c>
      <c r="M236" s="1">
        <v>7.9861111111111116E-4</v>
      </c>
      <c r="N236" t="s">
        <v>1257</v>
      </c>
      <c r="O236" t="s">
        <v>1395</v>
      </c>
    </row>
    <row r="237" spans="1:15" x14ac:dyDescent="0.35">
      <c r="A237" t="s">
        <v>20</v>
      </c>
      <c r="B237">
        <v>17647</v>
      </c>
      <c r="C237" t="s">
        <v>1252</v>
      </c>
      <c r="D237" t="s">
        <v>1253</v>
      </c>
      <c r="E237" t="s">
        <v>3788</v>
      </c>
      <c r="F237" t="s">
        <v>4201</v>
      </c>
      <c r="G237" t="s">
        <v>4201</v>
      </c>
      <c r="H237" t="s">
        <v>4202</v>
      </c>
      <c r="L237" t="s">
        <v>33</v>
      </c>
      <c r="M237" s="1">
        <v>7.1759259259259259E-4</v>
      </c>
      <c r="N237" t="s">
        <v>1257</v>
      </c>
      <c r="O237" t="s">
        <v>1395</v>
      </c>
    </row>
    <row r="238" spans="1:15" x14ac:dyDescent="0.35">
      <c r="A238" t="s">
        <v>20</v>
      </c>
      <c r="B238">
        <v>17647</v>
      </c>
      <c r="C238" t="s">
        <v>1252</v>
      </c>
      <c r="D238" t="s">
        <v>1253</v>
      </c>
      <c r="E238" t="s">
        <v>3790</v>
      </c>
      <c r="F238" t="s">
        <v>4203</v>
      </c>
      <c r="G238" t="s">
        <v>4203</v>
      </c>
      <c r="H238" t="s">
        <v>4204</v>
      </c>
      <c r="L238" t="s">
        <v>33</v>
      </c>
      <c r="M238" s="1">
        <v>3.0092592592592589E-4</v>
      </c>
      <c r="N238" t="s">
        <v>1257</v>
      </c>
      <c r="O238" t="s">
        <v>1395</v>
      </c>
    </row>
    <row r="239" spans="1:15" x14ac:dyDescent="0.35">
      <c r="A239" t="s">
        <v>20</v>
      </c>
      <c r="B239">
        <v>17647</v>
      </c>
      <c r="C239" t="s">
        <v>1252</v>
      </c>
      <c r="D239" t="s">
        <v>1253</v>
      </c>
      <c r="E239" t="s">
        <v>3792</v>
      </c>
      <c r="F239" t="s">
        <v>4205</v>
      </c>
      <c r="G239" t="s">
        <v>4205</v>
      </c>
      <c r="H239" t="s">
        <v>4206</v>
      </c>
      <c r="L239" t="s">
        <v>33</v>
      </c>
      <c r="M239" s="1">
        <v>6.7129629629629625E-4</v>
      </c>
      <c r="N239" t="s">
        <v>1257</v>
      </c>
      <c r="O239" t="s">
        <v>1395</v>
      </c>
    </row>
    <row r="240" spans="1:15" x14ac:dyDescent="0.35">
      <c r="A240" t="s">
        <v>20</v>
      </c>
      <c r="B240">
        <v>17647</v>
      </c>
      <c r="C240" t="s">
        <v>1252</v>
      </c>
      <c r="D240" t="s">
        <v>1253</v>
      </c>
      <c r="E240" t="s">
        <v>3795</v>
      </c>
      <c r="F240" t="s">
        <v>4207</v>
      </c>
      <c r="G240" t="s">
        <v>4207</v>
      </c>
      <c r="H240" t="s">
        <v>4208</v>
      </c>
      <c r="L240" t="s">
        <v>33</v>
      </c>
      <c r="M240" s="1">
        <v>3.1250000000000001E-4</v>
      </c>
      <c r="N240" t="s">
        <v>1257</v>
      </c>
      <c r="O240" t="s">
        <v>1395</v>
      </c>
    </row>
    <row r="241" spans="1:15" x14ac:dyDescent="0.35">
      <c r="A241" t="s">
        <v>20</v>
      </c>
      <c r="B241">
        <v>17647</v>
      </c>
      <c r="C241" t="s">
        <v>1252</v>
      </c>
      <c r="D241" t="s">
        <v>1253</v>
      </c>
      <c r="E241" t="s">
        <v>3797</v>
      </c>
      <c r="F241" t="s">
        <v>4209</v>
      </c>
      <c r="G241" t="s">
        <v>4209</v>
      </c>
      <c r="H241" t="s">
        <v>1264</v>
      </c>
      <c r="L241" t="s">
        <v>33</v>
      </c>
      <c r="M241" s="1">
        <v>4.861111111111111E-4</v>
      </c>
      <c r="N241" t="s">
        <v>1257</v>
      </c>
      <c r="O241" t="s">
        <v>1395</v>
      </c>
    </row>
    <row r="242" spans="1:15" x14ac:dyDescent="0.35">
      <c r="A242" t="s">
        <v>20</v>
      </c>
      <c r="B242">
        <v>17647</v>
      </c>
      <c r="C242" t="s">
        <v>1252</v>
      </c>
      <c r="D242" t="s">
        <v>1253</v>
      </c>
      <c r="E242" t="s">
        <v>3800</v>
      </c>
      <c r="F242" t="s">
        <v>4210</v>
      </c>
      <c r="G242" t="s">
        <v>4210</v>
      </c>
      <c r="H242" t="s">
        <v>1267</v>
      </c>
      <c r="L242" t="s">
        <v>33</v>
      </c>
      <c r="M242" s="1">
        <v>4.7453703703703698E-4</v>
      </c>
      <c r="N242" t="s">
        <v>1257</v>
      </c>
      <c r="O242" t="s">
        <v>1395</v>
      </c>
    </row>
    <row r="243" spans="1:15" x14ac:dyDescent="0.35">
      <c r="A243" t="s">
        <v>20</v>
      </c>
      <c r="B243">
        <v>17647</v>
      </c>
      <c r="C243" t="s">
        <v>1252</v>
      </c>
      <c r="D243" t="s">
        <v>1253</v>
      </c>
      <c r="E243" t="s">
        <v>3802</v>
      </c>
      <c r="F243" t="s">
        <v>4211</v>
      </c>
      <c r="G243" t="s">
        <v>4211</v>
      </c>
      <c r="H243" t="s">
        <v>4212</v>
      </c>
      <c r="L243" t="s">
        <v>33</v>
      </c>
      <c r="M243" s="1">
        <v>1.1111111111111109E-3</v>
      </c>
      <c r="N243" t="s">
        <v>1257</v>
      </c>
      <c r="O243" t="s">
        <v>1395</v>
      </c>
    </row>
    <row r="244" spans="1:15" x14ac:dyDescent="0.35">
      <c r="A244" t="s">
        <v>20</v>
      </c>
      <c r="B244">
        <v>17647</v>
      </c>
      <c r="C244" t="s">
        <v>1252</v>
      </c>
      <c r="D244" t="s">
        <v>1253</v>
      </c>
      <c r="E244" t="s">
        <v>3805</v>
      </c>
      <c r="F244" t="s">
        <v>4213</v>
      </c>
      <c r="G244" t="s">
        <v>4213</v>
      </c>
      <c r="H244" t="s">
        <v>1273</v>
      </c>
      <c r="L244" t="s">
        <v>33</v>
      </c>
      <c r="M244" s="1">
        <v>6.018518518518519E-4</v>
      </c>
      <c r="N244" t="s">
        <v>1257</v>
      </c>
      <c r="O244" t="s">
        <v>1395</v>
      </c>
    </row>
    <row r="245" spans="1:15" x14ac:dyDescent="0.35">
      <c r="A245" t="s">
        <v>20</v>
      </c>
      <c r="B245">
        <v>17647</v>
      </c>
      <c r="C245" t="s">
        <v>1252</v>
      </c>
      <c r="D245" t="s">
        <v>1253</v>
      </c>
      <c r="E245" t="s">
        <v>3808</v>
      </c>
      <c r="F245" t="s">
        <v>4214</v>
      </c>
      <c r="G245" t="s">
        <v>4214</v>
      </c>
      <c r="H245" t="s">
        <v>1415</v>
      </c>
      <c r="L245" t="s">
        <v>33</v>
      </c>
      <c r="M245" s="1">
        <v>4.3981481481481481E-4</v>
      </c>
      <c r="N245" t="s">
        <v>1257</v>
      </c>
      <c r="O245" t="s">
        <v>1395</v>
      </c>
    </row>
    <row r="246" spans="1:15" x14ac:dyDescent="0.35">
      <c r="A246" t="s">
        <v>20</v>
      </c>
      <c r="B246">
        <v>17647</v>
      </c>
      <c r="C246" t="s">
        <v>1252</v>
      </c>
      <c r="D246" t="s">
        <v>1253</v>
      </c>
      <c r="E246" t="s">
        <v>3810</v>
      </c>
      <c r="F246" t="s">
        <v>4215</v>
      </c>
      <c r="G246" t="s">
        <v>4215</v>
      </c>
      <c r="H246" t="s">
        <v>1418</v>
      </c>
      <c r="L246" t="s">
        <v>33</v>
      </c>
      <c r="M246" s="1">
        <v>4.2824074074074081E-4</v>
      </c>
      <c r="N246" t="s">
        <v>1257</v>
      </c>
      <c r="O246" t="s">
        <v>1395</v>
      </c>
    </row>
    <row r="247" spans="1:15" x14ac:dyDescent="0.35">
      <c r="A247" t="s">
        <v>20</v>
      </c>
      <c r="B247">
        <v>17647</v>
      </c>
      <c r="C247" t="s">
        <v>1252</v>
      </c>
      <c r="D247" t="s">
        <v>1253</v>
      </c>
      <c r="E247" t="s">
        <v>3816</v>
      </c>
      <c r="F247" t="s">
        <v>4216</v>
      </c>
      <c r="G247" t="s">
        <v>4216</v>
      </c>
      <c r="H247" t="s">
        <v>1421</v>
      </c>
      <c r="L247" t="s">
        <v>33</v>
      </c>
      <c r="M247" s="1">
        <v>6.7129629629629625E-4</v>
      </c>
      <c r="N247" t="s">
        <v>1257</v>
      </c>
      <c r="O247" t="s">
        <v>1395</v>
      </c>
    </row>
    <row r="248" spans="1:15" x14ac:dyDescent="0.35">
      <c r="A248" t="s">
        <v>20</v>
      </c>
      <c r="B248">
        <v>17647</v>
      </c>
      <c r="C248" t="s">
        <v>1252</v>
      </c>
      <c r="D248" t="s">
        <v>1253</v>
      </c>
      <c r="E248" t="s">
        <v>3819</v>
      </c>
      <c r="F248" t="s">
        <v>4217</v>
      </c>
      <c r="G248" t="s">
        <v>4217</v>
      </c>
      <c r="H248" t="s">
        <v>4218</v>
      </c>
      <c r="L248" t="s">
        <v>33</v>
      </c>
      <c r="M248" s="1">
        <v>3.8194444444444452E-4</v>
      </c>
      <c r="N248" t="s">
        <v>1257</v>
      </c>
      <c r="O248" t="s">
        <v>1395</v>
      </c>
    </row>
    <row r="249" spans="1:15" x14ac:dyDescent="0.35">
      <c r="A249" t="s">
        <v>20</v>
      </c>
      <c r="B249">
        <v>17647</v>
      </c>
      <c r="C249" t="s">
        <v>1252</v>
      </c>
      <c r="D249" t="s">
        <v>1253</v>
      </c>
      <c r="E249" t="s">
        <v>3821</v>
      </c>
      <c r="F249" t="s">
        <v>4219</v>
      </c>
      <c r="G249" t="s">
        <v>4219</v>
      </c>
      <c r="H249" t="s">
        <v>1424</v>
      </c>
      <c r="L249" t="s">
        <v>33</v>
      </c>
      <c r="M249" s="1">
        <v>3.4722222222222218E-4</v>
      </c>
      <c r="N249" t="s">
        <v>1257</v>
      </c>
      <c r="O249" t="s">
        <v>1395</v>
      </c>
    </row>
    <row r="250" spans="1:15" x14ac:dyDescent="0.35">
      <c r="A250" t="s">
        <v>20</v>
      </c>
      <c r="B250">
        <v>17647</v>
      </c>
      <c r="C250" t="s">
        <v>1252</v>
      </c>
      <c r="D250" t="s">
        <v>1253</v>
      </c>
      <c r="E250" t="s">
        <v>3823</v>
      </c>
      <c r="F250" t="s">
        <v>4220</v>
      </c>
      <c r="G250" t="s">
        <v>4220</v>
      </c>
      <c r="H250" t="s">
        <v>1276</v>
      </c>
      <c r="L250" t="s">
        <v>33</v>
      </c>
      <c r="M250" s="1">
        <v>5.5555555555555556E-4</v>
      </c>
      <c r="N250" t="s">
        <v>1257</v>
      </c>
      <c r="O250" t="s">
        <v>1395</v>
      </c>
    </row>
    <row r="251" spans="1:15" x14ac:dyDescent="0.35">
      <c r="A251" t="s">
        <v>20</v>
      </c>
      <c r="B251">
        <v>17647</v>
      </c>
      <c r="C251" t="s">
        <v>1252</v>
      </c>
      <c r="D251" t="s">
        <v>1253</v>
      </c>
      <c r="E251" t="s">
        <v>3825</v>
      </c>
      <c r="F251" t="s">
        <v>4221</v>
      </c>
      <c r="G251" t="s">
        <v>4221</v>
      </c>
      <c r="H251" t="s">
        <v>1279</v>
      </c>
      <c r="L251" t="s">
        <v>33</v>
      </c>
      <c r="M251" s="1">
        <v>5.9027777777777778E-4</v>
      </c>
      <c r="N251" t="s">
        <v>1257</v>
      </c>
      <c r="O251" t="s">
        <v>1395</v>
      </c>
    </row>
    <row r="252" spans="1:15" x14ac:dyDescent="0.35">
      <c r="A252" t="s">
        <v>20</v>
      </c>
      <c r="B252">
        <v>17647</v>
      </c>
      <c r="C252" t="s">
        <v>1252</v>
      </c>
      <c r="D252" t="s">
        <v>1253</v>
      </c>
      <c r="E252" t="s">
        <v>3827</v>
      </c>
      <c r="F252" t="s">
        <v>4222</v>
      </c>
      <c r="G252" t="s">
        <v>4222</v>
      </c>
      <c r="H252" t="s">
        <v>1282</v>
      </c>
      <c r="L252" t="s">
        <v>33</v>
      </c>
      <c r="M252" s="1">
        <v>5.5555555555555556E-4</v>
      </c>
      <c r="N252" t="s">
        <v>1257</v>
      </c>
      <c r="O252" t="s">
        <v>1395</v>
      </c>
    </row>
    <row r="253" spans="1:15" x14ac:dyDescent="0.35">
      <c r="A253" t="s">
        <v>20</v>
      </c>
      <c r="B253">
        <v>17647</v>
      </c>
      <c r="C253" t="s">
        <v>1252</v>
      </c>
      <c r="D253" t="s">
        <v>1253</v>
      </c>
      <c r="E253" t="s">
        <v>3830</v>
      </c>
      <c r="F253" t="s">
        <v>4223</v>
      </c>
      <c r="G253" t="s">
        <v>4223</v>
      </c>
      <c r="H253" t="s">
        <v>1429</v>
      </c>
      <c r="L253" t="s">
        <v>33</v>
      </c>
      <c r="M253" s="1">
        <v>3.3564814814814812E-4</v>
      </c>
      <c r="N253" t="s">
        <v>1257</v>
      </c>
      <c r="O253" t="s">
        <v>1395</v>
      </c>
    </row>
    <row r="254" spans="1:15" x14ac:dyDescent="0.35">
      <c r="A254" t="s">
        <v>20</v>
      </c>
      <c r="B254">
        <v>17647</v>
      </c>
      <c r="C254" t="s">
        <v>1252</v>
      </c>
      <c r="D254" t="s">
        <v>1253</v>
      </c>
      <c r="E254" t="s">
        <v>3832</v>
      </c>
      <c r="F254" t="s">
        <v>4224</v>
      </c>
      <c r="G254" t="s">
        <v>4224</v>
      </c>
      <c r="H254" t="s">
        <v>1288</v>
      </c>
      <c r="L254" t="s">
        <v>33</v>
      </c>
      <c r="M254" s="1">
        <v>1.9791666666666668E-3</v>
      </c>
      <c r="N254" t="s">
        <v>1257</v>
      </c>
      <c r="O254" t="s">
        <v>1395</v>
      </c>
    </row>
    <row r="255" spans="1:15" x14ac:dyDescent="0.35">
      <c r="A255" t="s">
        <v>20</v>
      </c>
      <c r="B255">
        <v>17647</v>
      </c>
      <c r="C255" t="s">
        <v>1252</v>
      </c>
      <c r="D255" t="s">
        <v>1253</v>
      </c>
      <c r="E255" t="s">
        <v>3834</v>
      </c>
      <c r="F255" t="s">
        <v>4225</v>
      </c>
      <c r="G255" t="s">
        <v>4225</v>
      </c>
      <c r="H255" t="s">
        <v>1432</v>
      </c>
      <c r="L255" t="s">
        <v>33</v>
      </c>
      <c r="M255" s="1">
        <v>4.6296296296296298E-4</v>
      </c>
      <c r="N255" t="s">
        <v>1257</v>
      </c>
      <c r="O255" t="s">
        <v>1395</v>
      </c>
    </row>
    <row r="256" spans="1:15" x14ac:dyDescent="0.35">
      <c r="A256" t="s">
        <v>20</v>
      </c>
      <c r="B256">
        <v>17647</v>
      </c>
      <c r="C256" t="s">
        <v>1252</v>
      </c>
      <c r="D256" t="s">
        <v>1253</v>
      </c>
      <c r="E256" t="s">
        <v>3836</v>
      </c>
      <c r="F256" t="s">
        <v>4226</v>
      </c>
      <c r="G256" t="s">
        <v>4226</v>
      </c>
      <c r="H256" t="s">
        <v>4227</v>
      </c>
      <c r="L256" t="s">
        <v>33</v>
      </c>
      <c r="M256" s="1">
        <v>6.018518518518519E-4</v>
      </c>
      <c r="N256" t="s">
        <v>1257</v>
      </c>
      <c r="O256" t="s">
        <v>1395</v>
      </c>
    </row>
    <row r="257" spans="1:15" x14ac:dyDescent="0.35">
      <c r="A257" t="s">
        <v>20</v>
      </c>
      <c r="B257">
        <v>17647</v>
      </c>
      <c r="C257" t="s">
        <v>1252</v>
      </c>
      <c r="D257" t="s">
        <v>1253</v>
      </c>
      <c r="E257" t="s">
        <v>3838</v>
      </c>
      <c r="F257" t="s">
        <v>4228</v>
      </c>
      <c r="G257" t="s">
        <v>4228</v>
      </c>
      <c r="H257" t="s">
        <v>1441</v>
      </c>
      <c r="L257" t="s">
        <v>33</v>
      </c>
      <c r="M257" s="1">
        <v>3.9351851851851852E-4</v>
      </c>
      <c r="N257" t="s">
        <v>1257</v>
      </c>
      <c r="O257" t="s">
        <v>1395</v>
      </c>
    </row>
    <row r="258" spans="1:15" x14ac:dyDescent="0.35">
      <c r="A258" t="s">
        <v>20</v>
      </c>
      <c r="B258">
        <v>17647</v>
      </c>
      <c r="C258" t="s">
        <v>1252</v>
      </c>
      <c r="D258" t="s">
        <v>1253</v>
      </c>
      <c r="E258" t="s">
        <v>3840</v>
      </c>
      <c r="F258" t="s">
        <v>4229</v>
      </c>
      <c r="G258" t="s">
        <v>4229</v>
      </c>
      <c r="H258" t="s">
        <v>1303</v>
      </c>
      <c r="L258" t="s">
        <v>33</v>
      </c>
      <c r="M258" s="1">
        <v>5.4398148148148144E-4</v>
      </c>
      <c r="N258" t="s">
        <v>1257</v>
      </c>
      <c r="O258" t="s">
        <v>1395</v>
      </c>
    </row>
    <row r="259" spans="1:15" x14ac:dyDescent="0.35">
      <c r="A259" t="s">
        <v>20</v>
      </c>
      <c r="B259">
        <v>17647</v>
      </c>
      <c r="C259" t="s">
        <v>1252</v>
      </c>
      <c r="D259" t="s">
        <v>1253</v>
      </c>
      <c r="E259" t="s">
        <v>3843</v>
      </c>
      <c r="F259" t="s">
        <v>4230</v>
      </c>
      <c r="G259" t="s">
        <v>4230</v>
      </c>
      <c r="H259" t="s">
        <v>1306</v>
      </c>
      <c r="L259" t="s">
        <v>33</v>
      </c>
      <c r="M259" s="1">
        <v>7.8703703703703705E-4</v>
      </c>
      <c r="N259" t="s">
        <v>1257</v>
      </c>
      <c r="O259" t="s">
        <v>1395</v>
      </c>
    </row>
    <row r="260" spans="1:15" x14ac:dyDescent="0.35">
      <c r="A260" t="s">
        <v>20</v>
      </c>
      <c r="B260">
        <v>17647</v>
      </c>
      <c r="C260" t="s">
        <v>1252</v>
      </c>
      <c r="D260" t="s">
        <v>1253</v>
      </c>
      <c r="E260" t="s">
        <v>3846</v>
      </c>
      <c r="F260" t="s">
        <v>4231</v>
      </c>
      <c r="G260" t="s">
        <v>4231</v>
      </c>
      <c r="H260" t="s">
        <v>1309</v>
      </c>
      <c r="L260" t="s">
        <v>33</v>
      </c>
      <c r="M260" s="1">
        <v>1.273148148148148E-3</v>
      </c>
      <c r="N260" t="s">
        <v>1257</v>
      </c>
      <c r="O260" t="s">
        <v>1395</v>
      </c>
    </row>
    <row r="261" spans="1:15" x14ac:dyDescent="0.35">
      <c r="A261" t="s">
        <v>20</v>
      </c>
      <c r="B261">
        <v>17647</v>
      </c>
      <c r="C261" t="s">
        <v>1252</v>
      </c>
      <c r="D261" t="s">
        <v>1253</v>
      </c>
      <c r="E261" t="s">
        <v>3848</v>
      </c>
      <c r="F261" t="s">
        <v>4232</v>
      </c>
      <c r="G261" t="s">
        <v>4232</v>
      </c>
      <c r="H261" t="s">
        <v>1447</v>
      </c>
      <c r="L261" t="s">
        <v>33</v>
      </c>
      <c r="M261" s="1">
        <v>1.018518518518518E-3</v>
      </c>
      <c r="N261" t="s">
        <v>1257</v>
      </c>
      <c r="O261" t="s">
        <v>1395</v>
      </c>
    </row>
    <row r="262" spans="1:15" x14ac:dyDescent="0.35">
      <c r="A262" t="s">
        <v>20</v>
      </c>
      <c r="B262">
        <v>17647</v>
      </c>
      <c r="C262" t="s">
        <v>1252</v>
      </c>
      <c r="D262" t="s">
        <v>1253</v>
      </c>
      <c r="E262" t="s">
        <v>3812</v>
      </c>
      <c r="F262" t="s">
        <v>4233</v>
      </c>
      <c r="G262" t="s">
        <v>4233</v>
      </c>
      <c r="H262" t="s">
        <v>4234</v>
      </c>
      <c r="L262" t="s">
        <v>33</v>
      </c>
      <c r="M262" s="1">
        <v>8.2175925925925927E-4</v>
      </c>
      <c r="N262" t="s">
        <v>1257</v>
      </c>
      <c r="O262" t="s">
        <v>1395</v>
      </c>
    </row>
    <row r="263" spans="1:15" x14ac:dyDescent="0.35">
      <c r="A263" t="s">
        <v>20</v>
      </c>
      <c r="B263">
        <v>17647</v>
      </c>
      <c r="C263" t="s">
        <v>1252</v>
      </c>
      <c r="D263" t="s">
        <v>1253</v>
      </c>
      <c r="E263" t="s">
        <v>3851</v>
      </c>
      <c r="F263" t="s">
        <v>4235</v>
      </c>
      <c r="G263" t="s">
        <v>4235</v>
      </c>
      <c r="H263" t="s">
        <v>4236</v>
      </c>
      <c r="L263" t="s">
        <v>33</v>
      </c>
      <c r="M263" s="1">
        <v>3.0092592592592589E-4</v>
      </c>
      <c r="N263" t="s">
        <v>1257</v>
      </c>
      <c r="O263" t="s">
        <v>1395</v>
      </c>
    </row>
    <row r="264" spans="1:15" x14ac:dyDescent="0.35">
      <c r="A264" t="s">
        <v>20</v>
      </c>
      <c r="B264">
        <v>17647</v>
      </c>
      <c r="C264" t="s">
        <v>1252</v>
      </c>
      <c r="D264" t="s">
        <v>1253</v>
      </c>
      <c r="E264" t="s">
        <v>3853</v>
      </c>
      <c r="F264" t="s">
        <v>4237</v>
      </c>
      <c r="G264" t="s">
        <v>4237</v>
      </c>
      <c r="H264" t="s">
        <v>1312</v>
      </c>
      <c r="L264" t="s">
        <v>33</v>
      </c>
      <c r="M264" s="1">
        <v>4.5138888888888892E-4</v>
      </c>
      <c r="N264" t="s">
        <v>1257</v>
      </c>
      <c r="O264" t="s">
        <v>1395</v>
      </c>
    </row>
    <row r="265" spans="1:15" x14ac:dyDescent="0.35">
      <c r="A265" t="s">
        <v>20</v>
      </c>
      <c r="B265">
        <v>17647</v>
      </c>
      <c r="C265" t="s">
        <v>1252</v>
      </c>
      <c r="D265" t="s">
        <v>1253</v>
      </c>
      <c r="E265" t="s">
        <v>3855</v>
      </c>
      <c r="F265" t="s">
        <v>4238</v>
      </c>
      <c r="G265" t="s">
        <v>4238</v>
      </c>
      <c r="H265" t="s">
        <v>1315</v>
      </c>
      <c r="L265" t="s">
        <v>33</v>
      </c>
      <c r="M265" s="1">
        <v>2.5462962962962969E-3</v>
      </c>
      <c r="N265" t="s">
        <v>1257</v>
      </c>
      <c r="O265" t="s">
        <v>1395</v>
      </c>
    </row>
    <row r="266" spans="1:15" x14ac:dyDescent="0.35">
      <c r="A266" t="s">
        <v>20</v>
      </c>
      <c r="B266">
        <v>17647</v>
      </c>
      <c r="C266" t="s">
        <v>1252</v>
      </c>
      <c r="D266" t="s">
        <v>1253</v>
      </c>
      <c r="E266" t="s">
        <v>3857</v>
      </c>
      <c r="F266" t="s">
        <v>4239</v>
      </c>
      <c r="G266" t="s">
        <v>4239</v>
      </c>
      <c r="H266" t="s">
        <v>1318</v>
      </c>
      <c r="L266" t="s">
        <v>33</v>
      </c>
      <c r="M266" s="1">
        <v>3.2407407407407412E-4</v>
      </c>
      <c r="N266" t="s">
        <v>1257</v>
      </c>
      <c r="O266" t="s">
        <v>1395</v>
      </c>
    </row>
    <row r="267" spans="1:15" x14ac:dyDescent="0.35">
      <c r="A267" t="s">
        <v>20</v>
      </c>
      <c r="B267">
        <v>17647</v>
      </c>
      <c r="C267" t="s">
        <v>1252</v>
      </c>
      <c r="D267" t="s">
        <v>1253</v>
      </c>
      <c r="E267" t="s">
        <v>3860</v>
      </c>
      <c r="F267" t="s">
        <v>4240</v>
      </c>
      <c r="G267" t="s">
        <v>4240</v>
      </c>
      <c r="H267" t="s">
        <v>1458</v>
      </c>
      <c r="L267" t="s">
        <v>33</v>
      </c>
      <c r="M267" s="1">
        <v>4.861111111111111E-4</v>
      </c>
      <c r="N267" t="s">
        <v>1257</v>
      </c>
      <c r="O267" t="s">
        <v>1395</v>
      </c>
    </row>
    <row r="268" spans="1:15" x14ac:dyDescent="0.35">
      <c r="A268" t="s">
        <v>20</v>
      </c>
      <c r="B268">
        <v>17647</v>
      </c>
      <c r="C268" t="s">
        <v>1252</v>
      </c>
      <c r="D268" t="s">
        <v>1253</v>
      </c>
      <c r="E268" t="s">
        <v>3863</v>
      </c>
      <c r="F268" t="s">
        <v>4241</v>
      </c>
      <c r="G268" t="s">
        <v>4241</v>
      </c>
      <c r="H268" t="s">
        <v>4242</v>
      </c>
      <c r="L268" t="s">
        <v>33</v>
      </c>
      <c r="M268" s="1">
        <v>2.3032407407407411E-3</v>
      </c>
      <c r="N268" t="s">
        <v>1257</v>
      </c>
      <c r="O268" t="s">
        <v>1395</v>
      </c>
    </row>
    <row r="269" spans="1:15" x14ac:dyDescent="0.35">
      <c r="A269" t="s">
        <v>20</v>
      </c>
      <c r="B269">
        <v>17647</v>
      </c>
      <c r="C269" t="s">
        <v>1252</v>
      </c>
      <c r="D269" t="s">
        <v>1253</v>
      </c>
      <c r="E269" t="s">
        <v>3866</v>
      </c>
      <c r="F269" t="s">
        <v>4243</v>
      </c>
      <c r="G269" t="s">
        <v>4243</v>
      </c>
      <c r="H269" t="s">
        <v>4244</v>
      </c>
      <c r="L269" t="s">
        <v>33</v>
      </c>
      <c r="M269" s="1">
        <v>3.4722222222222222E-5</v>
      </c>
      <c r="N269" t="s">
        <v>1257</v>
      </c>
      <c r="O269" t="s">
        <v>1395</v>
      </c>
    </row>
    <row r="270" spans="1:15" x14ac:dyDescent="0.35">
      <c r="A270" t="s">
        <v>20</v>
      </c>
      <c r="B270">
        <v>17647</v>
      </c>
      <c r="C270" t="s">
        <v>1252</v>
      </c>
      <c r="D270" t="s">
        <v>1253</v>
      </c>
      <c r="E270" t="s">
        <v>3872</v>
      </c>
      <c r="F270" t="s">
        <v>4245</v>
      </c>
      <c r="G270" t="s">
        <v>4245</v>
      </c>
      <c r="H270" t="s">
        <v>1324</v>
      </c>
      <c r="L270" t="s">
        <v>33</v>
      </c>
      <c r="M270" s="1">
        <v>1.4120370370370369E-3</v>
      </c>
      <c r="N270" t="s">
        <v>1257</v>
      </c>
      <c r="O270" t="s">
        <v>1395</v>
      </c>
    </row>
    <row r="271" spans="1:15" x14ac:dyDescent="0.35">
      <c r="A271" t="s">
        <v>20</v>
      </c>
      <c r="B271">
        <v>17647</v>
      </c>
      <c r="C271" t="s">
        <v>1252</v>
      </c>
      <c r="D271" t="s">
        <v>1253</v>
      </c>
      <c r="E271" t="s">
        <v>3874</v>
      </c>
      <c r="F271" t="s">
        <v>4246</v>
      </c>
      <c r="G271" t="s">
        <v>4246</v>
      </c>
      <c r="H271" t="s">
        <v>1466</v>
      </c>
      <c r="L271" t="s">
        <v>33</v>
      </c>
      <c r="M271" s="1">
        <v>4.1666666666666669E-4</v>
      </c>
      <c r="N271" t="s">
        <v>1257</v>
      </c>
      <c r="O271" t="s">
        <v>1395</v>
      </c>
    </row>
    <row r="272" spans="1:15" x14ac:dyDescent="0.35">
      <c r="A272" t="s">
        <v>20</v>
      </c>
      <c r="B272">
        <v>17647</v>
      </c>
      <c r="C272" t="s">
        <v>1252</v>
      </c>
      <c r="D272" t="s">
        <v>1253</v>
      </c>
      <c r="E272" t="s">
        <v>3876</v>
      </c>
      <c r="F272" t="s">
        <v>4247</v>
      </c>
      <c r="G272" t="s">
        <v>4247</v>
      </c>
      <c r="H272" t="s">
        <v>4248</v>
      </c>
      <c r="L272" t="s">
        <v>33</v>
      </c>
      <c r="M272" s="1">
        <v>1.203703703703704E-3</v>
      </c>
      <c r="N272" t="s">
        <v>1257</v>
      </c>
      <c r="O272" t="s">
        <v>1395</v>
      </c>
    </row>
    <row r="273" spans="1:15" x14ac:dyDescent="0.35">
      <c r="A273" t="s">
        <v>20</v>
      </c>
      <c r="B273">
        <v>17647</v>
      </c>
      <c r="C273" t="s">
        <v>1252</v>
      </c>
      <c r="D273" t="s">
        <v>1253</v>
      </c>
      <c r="E273" t="s">
        <v>3878</v>
      </c>
      <c r="F273" t="s">
        <v>4249</v>
      </c>
      <c r="G273" t="s">
        <v>4249</v>
      </c>
      <c r="H273" t="s">
        <v>4250</v>
      </c>
      <c r="L273" t="s">
        <v>33</v>
      </c>
      <c r="M273" s="1">
        <v>1.1342592592592589E-3</v>
      </c>
      <c r="N273" t="s">
        <v>1257</v>
      </c>
      <c r="O273" t="s">
        <v>1395</v>
      </c>
    </row>
    <row r="274" spans="1:15" x14ac:dyDescent="0.35">
      <c r="A274" t="s">
        <v>20</v>
      </c>
      <c r="B274">
        <v>17647</v>
      </c>
      <c r="C274" t="s">
        <v>1252</v>
      </c>
      <c r="D274" t="s">
        <v>1253</v>
      </c>
      <c r="E274" t="s">
        <v>3880</v>
      </c>
      <c r="F274" t="s">
        <v>4251</v>
      </c>
      <c r="G274" t="s">
        <v>4251</v>
      </c>
      <c r="H274" t="s">
        <v>1333</v>
      </c>
      <c r="L274" t="s">
        <v>33</v>
      </c>
      <c r="M274" s="1">
        <v>3.1250000000000001E-4</v>
      </c>
      <c r="N274" t="s">
        <v>1257</v>
      </c>
      <c r="O274" t="s">
        <v>1395</v>
      </c>
    </row>
    <row r="275" spans="1:15" x14ac:dyDescent="0.35">
      <c r="A275" t="s">
        <v>20</v>
      </c>
      <c r="B275">
        <v>17647</v>
      </c>
      <c r="C275" t="s">
        <v>1252</v>
      </c>
      <c r="D275" t="s">
        <v>1253</v>
      </c>
      <c r="E275" t="s">
        <v>3882</v>
      </c>
      <c r="F275" t="s">
        <v>4252</v>
      </c>
      <c r="G275" t="s">
        <v>4252</v>
      </c>
      <c r="H275" t="s">
        <v>1478</v>
      </c>
      <c r="L275" t="s">
        <v>33</v>
      </c>
      <c r="M275" s="1">
        <v>3.0092592592592589E-4</v>
      </c>
      <c r="N275" t="s">
        <v>1257</v>
      </c>
      <c r="O275" t="s">
        <v>1395</v>
      </c>
    </row>
    <row r="276" spans="1:15" x14ac:dyDescent="0.35">
      <c r="A276" t="s">
        <v>20</v>
      </c>
      <c r="B276">
        <v>17647</v>
      </c>
      <c r="C276" t="s">
        <v>1252</v>
      </c>
      <c r="D276" t="s">
        <v>1253</v>
      </c>
      <c r="E276" t="s">
        <v>3884</v>
      </c>
      <c r="F276" t="s">
        <v>4253</v>
      </c>
      <c r="G276" t="s">
        <v>4253</v>
      </c>
      <c r="H276" t="s">
        <v>1339</v>
      </c>
      <c r="L276" t="s">
        <v>33</v>
      </c>
      <c r="M276" s="1">
        <v>1.666666666666667E-3</v>
      </c>
      <c r="N276" t="s">
        <v>1257</v>
      </c>
      <c r="O276" t="s">
        <v>1395</v>
      </c>
    </row>
    <row r="277" spans="1:15" x14ac:dyDescent="0.35">
      <c r="A277" t="s">
        <v>20</v>
      </c>
      <c r="B277">
        <v>17647</v>
      </c>
      <c r="C277" t="s">
        <v>1252</v>
      </c>
      <c r="D277" t="s">
        <v>1253</v>
      </c>
      <c r="E277" t="s">
        <v>3887</v>
      </c>
      <c r="F277" t="s">
        <v>4254</v>
      </c>
      <c r="G277" t="s">
        <v>4254</v>
      </c>
      <c r="H277" t="s">
        <v>4255</v>
      </c>
      <c r="L277" t="s">
        <v>33</v>
      </c>
      <c r="M277" s="1">
        <v>1.435185185185185E-3</v>
      </c>
      <c r="N277" t="s">
        <v>1257</v>
      </c>
      <c r="O277" t="s">
        <v>1395</v>
      </c>
    </row>
    <row r="278" spans="1:15" x14ac:dyDescent="0.35">
      <c r="A278" t="s">
        <v>20</v>
      </c>
      <c r="B278">
        <v>17647</v>
      </c>
      <c r="C278" t="s">
        <v>1252</v>
      </c>
      <c r="D278" t="s">
        <v>1253</v>
      </c>
      <c r="E278" t="s">
        <v>3889</v>
      </c>
      <c r="F278" t="s">
        <v>4256</v>
      </c>
      <c r="G278" t="s">
        <v>4256</v>
      </c>
      <c r="H278" t="s">
        <v>1484</v>
      </c>
      <c r="L278" t="s">
        <v>33</v>
      </c>
      <c r="M278" s="1">
        <v>3.5879629629629629E-4</v>
      </c>
      <c r="N278" t="s">
        <v>1257</v>
      </c>
      <c r="O278" t="s">
        <v>1395</v>
      </c>
    </row>
    <row r="279" spans="1:15" x14ac:dyDescent="0.35">
      <c r="A279" t="s">
        <v>20</v>
      </c>
      <c r="B279">
        <v>17647</v>
      </c>
      <c r="C279" t="s">
        <v>1252</v>
      </c>
      <c r="D279" t="s">
        <v>1253</v>
      </c>
      <c r="E279" t="s">
        <v>3891</v>
      </c>
      <c r="F279" t="s">
        <v>4257</v>
      </c>
      <c r="G279" t="s">
        <v>4257</v>
      </c>
      <c r="H279" t="s">
        <v>4258</v>
      </c>
      <c r="L279" t="s">
        <v>33</v>
      </c>
      <c r="M279" s="1">
        <v>1.6087962962962961E-3</v>
      </c>
      <c r="N279" t="s">
        <v>1257</v>
      </c>
      <c r="O279" t="s">
        <v>1395</v>
      </c>
    </row>
    <row r="280" spans="1:15" x14ac:dyDescent="0.35">
      <c r="A280" t="s">
        <v>20</v>
      </c>
      <c r="B280">
        <v>17647</v>
      </c>
      <c r="C280" t="s">
        <v>1252</v>
      </c>
      <c r="D280" t="s">
        <v>1253</v>
      </c>
      <c r="E280" t="s">
        <v>3893</v>
      </c>
      <c r="F280" t="s">
        <v>4259</v>
      </c>
      <c r="G280" t="s">
        <v>4259</v>
      </c>
      <c r="H280" t="s">
        <v>1348</v>
      </c>
      <c r="L280" t="s">
        <v>33</v>
      </c>
      <c r="M280" s="1">
        <v>9.3749999999999997E-4</v>
      </c>
      <c r="N280" t="s">
        <v>1257</v>
      </c>
      <c r="O280" t="s">
        <v>1395</v>
      </c>
    </row>
    <row r="281" spans="1:15" x14ac:dyDescent="0.35">
      <c r="A281" t="s">
        <v>20</v>
      </c>
      <c r="B281">
        <v>17647</v>
      </c>
      <c r="C281" t="s">
        <v>1252</v>
      </c>
      <c r="D281" t="s">
        <v>1253</v>
      </c>
      <c r="E281" t="s">
        <v>3895</v>
      </c>
      <c r="F281" t="s">
        <v>4260</v>
      </c>
      <c r="G281" t="s">
        <v>4260</v>
      </c>
      <c r="H281" t="s">
        <v>4261</v>
      </c>
      <c r="L281" t="s">
        <v>33</v>
      </c>
      <c r="M281" s="1">
        <v>5.0925925925925921E-4</v>
      </c>
      <c r="N281" t="s">
        <v>1257</v>
      </c>
      <c r="O281" t="s">
        <v>1395</v>
      </c>
    </row>
    <row r="282" spans="1:15" x14ac:dyDescent="0.35">
      <c r="A282" t="s">
        <v>20</v>
      </c>
      <c r="B282">
        <v>17647</v>
      </c>
      <c r="C282" t="s">
        <v>1252</v>
      </c>
      <c r="D282" t="s">
        <v>1253</v>
      </c>
      <c r="E282" t="s">
        <v>3897</v>
      </c>
      <c r="F282" t="s">
        <v>4262</v>
      </c>
      <c r="G282" t="s">
        <v>4262</v>
      </c>
      <c r="H282" t="s">
        <v>4263</v>
      </c>
      <c r="L282" t="s">
        <v>33</v>
      </c>
      <c r="M282" s="1">
        <v>3.7037037037037041E-4</v>
      </c>
      <c r="N282" t="s">
        <v>1257</v>
      </c>
      <c r="O282" t="s">
        <v>1395</v>
      </c>
    </row>
    <row r="283" spans="1:15" x14ac:dyDescent="0.35">
      <c r="A283" t="s">
        <v>20</v>
      </c>
      <c r="B283">
        <v>17647</v>
      </c>
      <c r="C283" t="s">
        <v>1252</v>
      </c>
      <c r="D283" t="s">
        <v>1253</v>
      </c>
      <c r="E283" t="s">
        <v>3899</v>
      </c>
      <c r="F283" t="s">
        <v>4264</v>
      </c>
      <c r="G283" t="s">
        <v>4264</v>
      </c>
      <c r="H283" t="s">
        <v>1353</v>
      </c>
      <c r="L283" t="s">
        <v>33</v>
      </c>
      <c r="M283" s="1">
        <v>3.1250000000000001E-4</v>
      </c>
      <c r="N283" t="s">
        <v>1257</v>
      </c>
      <c r="O283" t="s">
        <v>1395</v>
      </c>
    </row>
    <row r="284" spans="1:15" x14ac:dyDescent="0.35">
      <c r="A284" t="s">
        <v>20</v>
      </c>
      <c r="B284">
        <v>17647</v>
      </c>
      <c r="C284" t="s">
        <v>1252</v>
      </c>
      <c r="D284" t="s">
        <v>1253</v>
      </c>
      <c r="E284" t="s">
        <v>3901</v>
      </c>
      <c r="F284" t="s">
        <v>4265</v>
      </c>
      <c r="G284" t="s">
        <v>4265</v>
      </c>
      <c r="H284" t="s">
        <v>4266</v>
      </c>
      <c r="L284" t="s">
        <v>33</v>
      </c>
      <c r="M284" s="1">
        <v>2.6620370370370372E-4</v>
      </c>
      <c r="N284" t="s">
        <v>1257</v>
      </c>
      <c r="O284" t="s">
        <v>1395</v>
      </c>
    </row>
    <row r="285" spans="1:15" x14ac:dyDescent="0.35">
      <c r="A285" t="s">
        <v>20</v>
      </c>
      <c r="B285">
        <v>17647</v>
      </c>
      <c r="C285" t="s">
        <v>1252</v>
      </c>
      <c r="D285" t="s">
        <v>1253</v>
      </c>
      <c r="E285" t="s">
        <v>3903</v>
      </c>
      <c r="F285" t="s">
        <v>4267</v>
      </c>
      <c r="G285" t="s">
        <v>4267</v>
      </c>
      <c r="H285" t="s">
        <v>1492</v>
      </c>
      <c r="L285" t="s">
        <v>33</v>
      </c>
      <c r="M285" s="1">
        <v>5.4398148148148144E-4</v>
      </c>
      <c r="N285" t="s">
        <v>1257</v>
      </c>
      <c r="O285" t="s">
        <v>1395</v>
      </c>
    </row>
    <row r="286" spans="1:15" x14ac:dyDescent="0.35">
      <c r="A286" t="s">
        <v>20</v>
      </c>
      <c r="B286">
        <v>17647</v>
      </c>
      <c r="C286" t="s">
        <v>1252</v>
      </c>
      <c r="D286" t="s">
        <v>1253</v>
      </c>
      <c r="E286" t="s">
        <v>3905</v>
      </c>
      <c r="F286" t="s">
        <v>4268</v>
      </c>
      <c r="G286" t="s">
        <v>4268</v>
      </c>
      <c r="H286" t="s">
        <v>4269</v>
      </c>
      <c r="L286" t="s">
        <v>33</v>
      </c>
      <c r="M286" s="1">
        <v>3.2407407407407412E-4</v>
      </c>
      <c r="N286" t="s">
        <v>1257</v>
      </c>
      <c r="O286" t="s">
        <v>1395</v>
      </c>
    </row>
    <row r="287" spans="1:15" x14ac:dyDescent="0.35">
      <c r="A287" t="s">
        <v>20</v>
      </c>
      <c r="B287">
        <v>17647</v>
      </c>
      <c r="C287" t="s">
        <v>1252</v>
      </c>
      <c r="D287" t="s">
        <v>1253</v>
      </c>
      <c r="E287" t="s">
        <v>3908</v>
      </c>
      <c r="F287" t="s">
        <v>4270</v>
      </c>
      <c r="G287" t="s">
        <v>4270</v>
      </c>
      <c r="H287" t="s">
        <v>4271</v>
      </c>
      <c r="L287" t="s">
        <v>33</v>
      </c>
      <c r="M287" s="1">
        <v>1.655092592592593E-3</v>
      </c>
      <c r="N287" t="s">
        <v>1257</v>
      </c>
      <c r="O287" t="s">
        <v>1395</v>
      </c>
    </row>
    <row r="288" spans="1:15" x14ac:dyDescent="0.35">
      <c r="A288" t="s">
        <v>20</v>
      </c>
      <c r="B288">
        <v>17647</v>
      </c>
      <c r="C288" t="s">
        <v>1252</v>
      </c>
      <c r="D288" t="s">
        <v>1253</v>
      </c>
      <c r="E288" t="s">
        <v>3910</v>
      </c>
      <c r="F288" t="s">
        <v>4272</v>
      </c>
      <c r="G288" t="s">
        <v>4272</v>
      </c>
      <c r="H288" t="s">
        <v>4273</v>
      </c>
      <c r="L288" t="s">
        <v>33</v>
      </c>
      <c r="M288" s="1">
        <v>3.5879629629629629E-4</v>
      </c>
      <c r="N288" t="s">
        <v>1257</v>
      </c>
      <c r="O288" t="s">
        <v>1395</v>
      </c>
    </row>
    <row r="289" spans="1:15" x14ac:dyDescent="0.35">
      <c r="A289" t="s">
        <v>20</v>
      </c>
      <c r="B289">
        <v>17647</v>
      </c>
      <c r="C289" t="s">
        <v>1252</v>
      </c>
      <c r="D289" t="s">
        <v>1253</v>
      </c>
      <c r="E289" t="s">
        <v>4191</v>
      </c>
      <c r="F289" t="s">
        <v>4274</v>
      </c>
      <c r="G289" t="s">
        <v>4275</v>
      </c>
      <c r="H289" t="s">
        <v>4276</v>
      </c>
      <c r="L289" t="s">
        <v>33</v>
      </c>
      <c r="M289" s="1">
        <v>1.770833333333333E-3</v>
      </c>
      <c r="N289" t="s">
        <v>1257</v>
      </c>
      <c r="O289" t="s">
        <v>1395</v>
      </c>
    </row>
    <row r="290" spans="1:15" x14ac:dyDescent="0.35">
      <c r="A290" t="s">
        <v>20</v>
      </c>
      <c r="B290">
        <v>17647</v>
      </c>
      <c r="C290" t="s">
        <v>1252</v>
      </c>
      <c r="D290" t="s">
        <v>1253</v>
      </c>
      <c r="E290" t="s">
        <v>3913</v>
      </c>
      <c r="F290" t="s">
        <v>4277</v>
      </c>
      <c r="G290" t="s">
        <v>4277</v>
      </c>
      <c r="H290" t="s">
        <v>1368</v>
      </c>
      <c r="L290" t="s">
        <v>33</v>
      </c>
      <c r="M290" s="1">
        <v>6.018518518518519E-4</v>
      </c>
      <c r="N290" t="s">
        <v>1257</v>
      </c>
      <c r="O290" t="s">
        <v>1395</v>
      </c>
    </row>
    <row r="291" spans="1:15" x14ac:dyDescent="0.35">
      <c r="A291" t="s">
        <v>20</v>
      </c>
      <c r="B291">
        <v>17647</v>
      </c>
      <c r="C291" t="s">
        <v>1252</v>
      </c>
      <c r="D291" t="s">
        <v>1253</v>
      </c>
      <c r="E291" t="s">
        <v>3916</v>
      </c>
      <c r="F291" t="s">
        <v>4278</v>
      </c>
      <c r="G291" t="s">
        <v>4278</v>
      </c>
      <c r="H291" t="s">
        <v>1377</v>
      </c>
      <c r="L291" t="s">
        <v>33</v>
      </c>
      <c r="M291" s="1">
        <v>1.273148148148148E-3</v>
      </c>
      <c r="N291" t="s">
        <v>1257</v>
      </c>
      <c r="O291" t="s">
        <v>1395</v>
      </c>
    </row>
    <row r="292" spans="1:15" x14ac:dyDescent="0.35">
      <c r="A292" t="s">
        <v>20</v>
      </c>
      <c r="B292">
        <v>17647</v>
      </c>
      <c r="C292" t="s">
        <v>1252</v>
      </c>
      <c r="D292" t="s">
        <v>1253</v>
      </c>
      <c r="E292" t="s">
        <v>3919</v>
      </c>
      <c r="F292" t="s">
        <v>4279</v>
      </c>
      <c r="G292" t="s">
        <v>4279</v>
      </c>
      <c r="H292" t="s">
        <v>4280</v>
      </c>
      <c r="L292" t="s">
        <v>33</v>
      </c>
      <c r="M292" s="1">
        <v>1.3657407407407409E-3</v>
      </c>
      <c r="N292" t="s">
        <v>1257</v>
      </c>
      <c r="O292" t="s">
        <v>1395</v>
      </c>
    </row>
    <row r="293" spans="1:15" x14ac:dyDescent="0.35">
      <c r="A293" t="s">
        <v>20</v>
      </c>
      <c r="B293">
        <v>17647</v>
      </c>
      <c r="C293" t="s">
        <v>1252</v>
      </c>
      <c r="D293" t="s">
        <v>1253</v>
      </c>
      <c r="E293" t="s">
        <v>3922</v>
      </c>
      <c r="F293" t="s">
        <v>4281</v>
      </c>
      <c r="G293" t="s">
        <v>4281</v>
      </c>
      <c r="H293" t="s">
        <v>1519</v>
      </c>
      <c r="L293" t="s">
        <v>33</v>
      </c>
      <c r="M293" s="1">
        <v>3.2407407407407412E-4</v>
      </c>
      <c r="N293" t="s">
        <v>1257</v>
      </c>
      <c r="O293" t="s">
        <v>1395</v>
      </c>
    </row>
    <row r="294" spans="1:15" x14ac:dyDescent="0.35">
      <c r="A294" t="s">
        <v>20</v>
      </c>
      <c r="B294">
        <v>17647</v>
      </c>
      <c r="C294" t="s">
        <v>1252</v>
      </c>
      <c r="D294" t="s">
        <v>1253</v>
      </c>
      <c r="E294" t="s">
        <v>3869</v>
      </c>
      <c r="F294" t="s">
        <v>4282</v>
      </c>
      <c r="G294" t="s">
        <v>4282</v>
      </c>
      <c r="H294" t="s">
        <v>1522</v>
      </c>
      <c r="L294" t="s">
        <v>33</v>
      </c>
      <c r="M294" s="1">
        <v>1.25E-3</v>
      </c>
      <c r="N294" t="s">
        <v>1257</v>
      </c>
      <c r="O294" t="s">
        <v>1395</v>
      </c>
    </row>
    <row r="295" spans="1:15" x14ac:dyDescent="0.35">
      <c r="A295" t="s">
        <v>20</v>
      </c>
      <c r="B295">
        <v>17647</v>
      </c>
      <c r="C295" t="s">
        <v>1252</v>
      </c>
      <c r="D295" t="s">
        <v>1253</v>
      </c>
      <c r="E295" t="s">
        <v>4183</v>
      </c>
      <c r="F295" t="s">
        <v>4283</v>
      </c>
      <c r="G295" t="s">
        <v>4283</v>
      </c>
      <c r="H295" t="s">
        <v>1386</v>
      </c>
      <c r="L295" t="s">
        <v>33</v>
      </c>
      <c r="M295" s="1">
        <v>9.1435185185185185E-4</v>
      </c>
      <c r="N295" t="s">
        <v>1257</v>
      </c>
      <c r="O295" t="s">
        <v>1395</v>
      </c>
    </row>
    <row r="296" spans="1:15" x14ac:dyDescent="0.35">
      <c r="A296" t="s">
        <v>20</v>
      </c>
      <c r="B296">
        <v>17647</v>
      </c>
      <c r="C296" t="s">
        <v>1252</v>
      </c>
      <c r="D296" t="s">
        <v>1253</v>
      </c>
      <c r="E296" t="s">
        <v>4185</v>
      </c>
      <c r="F296" t="s">
        <v>4284</v>
      </c>
      <c r="G296" t="s">
        <v>4284</v>
      </c>
      <c r="H296" t="s">
        <v>1525</v>
      </c>
      <c r="L296" t="s">
        <v>33</v>
      </c>
      <c r="M296" s="1">
        <v>7.7546296296296293E-4</v>
      </c>
      <c r="N296" t="s">
        <v>1257</v>
      </c>
      <c r="O296" t="s">
        <v>1395</v>
      </c>
    </row>
    <row r="297" spans="1:15" x14ac:dyDescent="0.35">
      <c r="A297" t="s">
        <v>20</v>
      </c>
      <c r="B297">
        <v>17647</v>
      </c>
      <c r="C297" t="s">
        <v>1252</v>
      </c>
      <c r="D297" t="s">
        <v>1253</v>
      </c>
      <c r="E297" t="s">
        <v>4187</v>
      </c>
      <c r="F297" t="s">
        <v>4285</v>
      </c>
      <c r="G297" t="s">
        <v>4285</v>
      </c>
      <c r="H297" t="s">
        <v>1389</v>
      </c>
      <c r="L297" t="s">
        <v>33</v>
      </c>
      <c r="M297" s="1">
        <v>5.3240740740740744E-4</v>
      </c>
      <c r="N297" t="s">
        <v>1257</v>
      </c>
      <c r="O297" t="s">
        <v>1395</v>
      </c>
    </row>
    <row r="298" spans="1:15" x14ac:dyDescent="0.35">
      <c r="A298" t="s">
        <v>20</v>
      </c>
      <c r="B298">
        <v>17647</v>
      </c>
      <c r="C298" t="s">
        <v>1252</v>
      </c>
      <c r="D298" t="s">
        <v>1253</v>
      </c>
      <c r="E298" t="s">
        <v>4189</v>
      </c>
      <c r="F298" t="s">
        <v>4286</v>
      </c>
      <c r="G298" t="s">
        <v>4286</v>
      </c>
      <c r="H298" t="s">
        <v>4287</v>
      </c>
      <c r="L298" t="s">
        <v>33</v>
      </c>
      <c r="M298" s="1">
        <v>8.1018518518518516E-5</v>
      </c>
      <c r="N298" t="s">
        <v>1257</v>
      </c>
      <c r="O298" t="s">
        <v>1395</v>
      </c>
    </row>
    <row r="299" spans="1:15" x14ac:dyDescent="0.35">
      <c r="A299" t="s">
        <v>20</v>
      </c>
      <c r="B299">
        <v>17643</v>
      </c>
      <c r="C299" t="s">
        <v>426</v>
      </c>
      <c r="D299" t="s">
        <v>427</v>
      </c>
      <c r="E299" t="s">
        <v>3785</v>
      </c>
      <c r="F299" t="s">
        <v>3925</v>
      </c>
      <c r="G299" t="s">
        <v>3925</v>
      </c>
      <c r="H299" t="s">
        <v>3926</v>
      </c>
      <c r="L299" t="s">
        <v>33</v>
      </c>
      <c r="M299" s="1">
        <v>6.3657407407407413E-4</v>
      </c>
      <c r="N299" t="s">
        <v>431</v>
      </c>
      <c r="O299" t="s">
        <v>557</v>
      </c>
    </row>
    <row r="300" spans="1:15" x14ac:dyDescent="0.35">
      <c r="A300" t="s">
        <v>20</v>
      </c>
      <c r="B300">
        <v>17643</v>
      </c>
      <c r="C300" t="s">
        <v>426</v>
      </c>
      <c r="D300" t="s">
        <v>427</v>
      </c>
      <c r="E300" t="s">
        <v>3788</v>
      </c>
      <c r="F300" t="s">
        <v>3927</v>
      </c>
      <c r="G300" t="s">
        <v>3927</v>
      </c>
      <c r="H300" t="s">
        <v>3928</v>
      </c>
      <c r="L300" t="s">
        <v>33</v>
      </c>
      <c r="M300" s="1">
        <v>1.018518518518518E-3</v>
      </c>
      <c r="N300" t="s">
        <v>431</v>
      </c>
      <c r="O300" t="s">
        <v>557</v>
      </c>
    </row>
    <row r="301" spans="1:15" x14ac:dyDescent="0.35">
      <c r="A301" t="s">
        <v>20</v>
      </c>
      <c r="B301">
        <v>17643</v>
      </c>
      <c r="C301" t="s">
        <v>426</v>
      </c>
      <c r="D301" t="s">
        <v>427</v>
      </c>
      <c r="E301" t="s">
        <v>3790</v>
      </c>
      <c r="F301" t="s">
        <v>3929</v>
      </c>
      <c r="G301" t="s">
        <v>3929</v>
      </c>
      <c r="H301" t="s">
        <v>567</v>
      </c>
      <c r="L301" t="s">
        <v>33</v>
      </c>
      <c r="M301" s="1">
        <v>4.0509259259259258E-4</v>
      </c>
      <c r="N301" t="s">
        <v>431</v>
      </c>
      <c r="O301" t="s">
        <v>557</v>
      </c>
    </row>
    <row r="302" spans="1:15" x14ac:dyDescent="0.35">
      <c r="A302" t="s">
        <v>20</v>
      </c>
      <c r="B302">
        <v>17643</v>
      </c>
      <c r="C302" t="s">
        <v>426</v>
      </c>
      <c r="D302" t="s">
        <v>427</v>
      </c>
      <c r="E302" t="s">
        <v>3792</v>
      </c>
      <c r="F302" t="s">
        <v>3930</v>
      </c>
      <c r="G302" t="s">
        <v>3930</v>
      </c>
      <c r="H302" t="s">
        <v>3931</v>
      </c>
      <c r="L302" t="s">
        <v>33</v>
      </c>
      <c r="M302" s="1">
        <v>9.7222222222222219E-4</v>
      </c>
      <c r="N302" t="s">
        <v>431</v>
      </c>
      <c r="O302" t="s">
        <v>557</v>
      </c>
    </row>
    <row r="303" spans="1:15" x14ac:dyDescent="0.35">
      <c r="A303" t="s">
        <v>20</v>
      </c>
      <c r="B303">
        <v>17643</v>
      </c>
      <c r="C303" t="s">
        <v>426</v>
      </c>
      <c r="D303" t="s">
        <v>427</v>
      </c>
      <c r="E303" t="s">
        <v>3795</v>
      </c>
      <c r="F303" t="s">
        <v>3932</v>
      </c>
      <c r="G303" t="s">
        <v>3932</v>
      </c>
      <c r="H303" t="s">
        <v>576</v>
      </c>
      <c r="L303" t="s">
        <v>33</v>
      </c>
      <c r="M303" s="1">
        <v>9.7222222222222219E-4</v>
      </c>
      <c r="N303" t="s">
        <v>431</v>
      </c>
      <c r="O303" t="s">
        <v>557</v>
      </c>
    </row>
    <row r="304" spans="1:15" x14ac:dyDescent="0.35">
      <c r="A304" t="s">
        <v>20</v>
      </c>
      <c r="B304">
        <v>17643</v>
      </c>
      <c r="C304" t="s">
        <v>426</v>
      </c>
      <c r="D304" t="s">
        <v>427</v>
      </c>
      <c r="E304" t="s">
        <v>3797</v>
      </c>
      <c r="F304" t="s">
        <v>3933</v>
      </c>
      <c r="G304" t="s">
        <v>3933</v>
      </c>
      <c r="H304" t="s">
        <v>579</v>
      </c>
      <c r="L304" t="s">
        <v>33</v>
      </c>
      <c r="M304" s="1">
        <v>5.9027777777777778E-4</v>
      </c>
      <c r="N304" t="s">
        <v>431</v>
      </c>
      <c r="O304" t="s">
        <v>557</v>
      </c>
    </row>
    <row r="305" spans="1:15" x14ac:dyDescent="0.35">
      <c r="A305" t="s">
        <v>20</v>
      </c>
      <c r="B305">
        <v>17643</v>
      </c>
      <c r="C305" t="s">
        <v>426</v>
      </c>
      <c r="D305" t="s">
        <v>427</v>
      </c>
      <c r="E305" t="s">
        <v>3800</v>
      </c>
      <c r="F305" t="s">
        <v>3934</v>
      </c>
      <c r="G305" t="s">
        <v>3934</v>
      </c>
      <c r="H305" t="s">
        <v>3935</v>
      </c>
      <c r="L305" t="s">
        <v>33</v>
      </c>
      <c r="M305" s="1">
        <v>1.1342592592592589E-3</v>
      </c>
      <c r="N305" t="s">
        <v>431</v>
      </c>
      <c r="O305" t="s">
        <v>557</v>
      </c>
    </row>
    <row r="306" spans="1:15" x14ac:dyDescent="0.35">
      <c r="A306" t="s">
        <v>20</v>
      </c>
      <c r="B306">
        <v>17643</v>
      </c>
      <c r="C306" t="s">
        <v>426</v>
      </c>
      <c r="D306" t="s">
        <v>427</v>
      </c>
      <c r="E306" t="s">
        <v>3802</v>
      </c>
      <c r="F306" t="s">
        <v>3936</v>
      </c>
      <c r="G306" t="s">
        <v>3936</v>
      </c>
      <c r="H306" t="s">
        <v>3937</v>
      </c>
      <c r="L306" t="s">
        <v>33</v>
      </c>
      <c r="M306" s="1">
        <v>1.0300925925925931E-3</v>
      </c>
      <c r="N306" t="s">
        <v>431</v>
      </c>
      <c r="O306" t="s">
        <v>557</v>
      </c>
    </row>
    <row r="307" spans="1:15" x14ac:dyDescent="0.35">
      <c r="A307" t="s">
        <v>20</v>
      </c>
      <c r="B307">
        <v>17643</v>
      </c>
      <c r="C307" t="s">
        <v>426</v>
      </c>
      <c r="D307" t="s">
        <v>427</v>
      </c>
      <c r="E307" t="s">
        <v>3805</v>
      </c>
      <c r="F307" t="s">
        <v>3938</v>
      </c>
      <c r="G307" t="s">
        <v>3938</v>
      </c>
      <c r="H307" t="s">
        <v>463</v>
      </c>
      <c r="L307" t="s">
        <v>33</v>
      </c>
      <c r="M307" s="1">
        <v>1.19212962962963E-3</v>
      </c>
      <c r="N307" t="s">
        <v>431</v>
      </c>
      <c r="O307" t="s">
        <v>557</v>
      </c>
    </row>
    <row r="308" spans="1:15" x14ac:dyDescent="0.35">
      <c r="A308" t="s">
        <v>20</v>
      </c>
      <c r="B308">
        <v>17643</v>
      </c>
      <c r="C308" t="s">
        <v>426</v>
      </c>
      <c r="D308" t="s">
        <v>427</v>
      </c>
      <c r="E308" t="s">
        <v>3808</v>
      </c>
      <c r="F308" t="s">
        <v>3939</v>
      </c>
      <c r="G308" t="s">
        <v>3939</v>
      </c>
      <c r="H308" t="s">
        <v>469</v>
      </c>
      <c r="L308" t="s">
        <v>33</v>
      </c>
      <c r="M308" s="1">
        <v>2.1759259259259262E-3</v>
      </c>
      <c r="N308" t="s">
        <v>431</v>
      </c>
      <c r="O308" t="s">
        <v>557</v>
      </c>
    </row>
    <row r="309" spans="1:15" x14ac:dyDescent="0.35">
      <c r="A309" t="s">
        <v>20</v>
      </c>
      <c r="B309">
        <v>17643</v>
      </c>
      <c r="C309" t="s">
        <v>426</v>
      </c>
      <c r="D309" t="s">
        <v>427</v>
      </c>
      <c r="E309" t="s">
        <v>3810</v>
      </c>
      <c r="F309" t="s">
        <v>3940</v>
      </c>
      <c r="G309" t="s">
        <v>3940</v>
      </c>
      <c r="H309" t="s">
        <v>587</v>
      </c>
      <c r="L309" t="s">
        <v>33</v>
      </c>
      <c r="M309" s="1">
        <v>5.3240740740740744E-4</v>
      </c>
      <c r="N309" t="s">
        <v>431</v>
      </c>
      <c r="O309" t="s">
        <v>557</v>
      </c>
    </row>
    <row r="310" spans="1:15" x14ac:dyDescent="0.35">
      <c r="A310" t="s">
        <v>20</v>
      </c>
      <c r="B310">
        <v>17643</v>
      </c>
      <c r="C310" t="s">
        <v>426</v>
      </c>
      <c r="D310" t="s">
        <v>427</v>
      </c>
      <c r="E310" t="s">
        <v>3816</v>
      </c>
      <c r="F310" t="s">
        <v>3941</v>
      </c>
      <c r="G310" t="s">
        <v>3941</v>
      </c>
      <c r="H310" t="s">
        <v>472</v>
      </c>
      <c r="L310" t="s">
        <v>33</v>
      </c>
      <c r="M310" s="1">
        <v>5.3240740740740744E-4</v>
      </c>
      <c r="N310" t="s">
        <v>431</v>
      </c>
      <c r="O310" t="s">
        <v>557</v>
      </c>
    </row>
    <row r="311" spans="1:15" x14ac:dyDescent="0.35">
      <c r="A311" t="s">
        <v>20</v>
      </c>
      <c r="B311">
        <v>17643</v>
      </c>
      <c r="C311" t="s">
        <v>426</v>
      </c>
      <c r="D311" t="s">
        <v>427</v>
      </c>
      <c r="E311" t="s">
        <v>3819</v>
      </c>
      <c r="F311" t="s">
        <v>3942</v>
      </c>
      <c r="G311" t="s">
        <v>3942</v>
      </c>
      <c r="H311" t="s">
        <v>3943</v>
      </c>
      <c r="L311" t="s">
        <v>33</v>
      </c>
      <c r="M311" s="1">
        <v>3.3564814814814812E-4</v>
      </c>
      <c r="N311" t="s">
        <v>431</v>
      </c>
      <c r="O311" t="s">
        <v>557</v>
      </c>
    </row>
    <row r="312" spans="1:15" x14ac:dyDescent="0.35">
      <c r="A312" t="s">
        <v>20</v>
      </c>
      <c r="B312">
        <v>17643</v>
      </c>
      <c r="C312" t="s">
        <v>426</v>
      </c>
      <c r="D312" t="s">
        <v>427</v>
      </c>
      <c r="E312" t="s">
        <v>3821</v>
      </c>
      <c r="F312" t="s">
        <v>3944</v>
      </c>
      <c r="G312" t="s">
        <v>3944</v>
      </c>
      <c r="H312" t="s">
        <v>3945</v>
      </c>
      <c r="L312" t="s">
        <v>33</v>
      </c>
      <c r="M312" s="1">
        <v>1.0879629629629631E-3</v>
      </c>
      <c r="N312" t="s">
        <v>431</v>
      </c>
      <c r="O312" t="s">
        <v>557</v>
      </c>
    </row>
    <row r="313" spans="1:15" x14ac:dyDescent="0.35">
      <c r="A313" t="s">
        <v>20</v>
      </c>
      <c r="B313">
        <v>17643</v>
      </c>
      <c r="C313" t="s">
        <v>426</v>
      </c>
      <c r="D313" t="s">
        <v>427</v>
      </c>
      <c r="E313" t="s">
        <v>3823</v>
      </c>
      <c r="F313" t="s">
        <v>3946</v>
      </c>
      <c r="G313" t="s">
        <v>3946</v>
      </c>
      <c r="H313" t="s">
        <v>593</v>
      </c>
      <c r="L313" t="s">
        <v>33</v>
      </c>
      <c r="M313" s="1">
        <v>5.7870370370370367E-4</v>
      </c>
      <c r="N313" t="s">
        <v>431</v>
      </c>
      <c r="O313" t="s">
        <v>557</v>
      </c>
    </row>
    <row r="314" spans="1:15" x14ac:dyDescent="0.35">
      <c r="A314" t="s">
        <v>20</v>
      </c>
      <c r="B314">
        <v>17643</v>
      </c>
      <c r="C314" t="s">
        <v>426</v>
      </c>
      <c r="D314" t="s">
        <v>427</v>
      </c>
      <c r="E314" t="s">
        <v>3825</v>
      </c>
      <c r="F314" t="s">
        <v>3947</v>
      </c>
      <c r="G314" t="s">
        <v>3947</v>
      </c>
      <c r="H314" t="s">
        <v>482</v>
      </c>
      <c r="L314" t="s">
        <v>33</v>
      </c>
      <c r="M314" s="1">
        <v>9.9537037037037042E-4</v>
      </c>
      <c r="N314" t="s">
        <v>431</v>
      </c>
      <c r="O314" t="s">
        <v>557</v>
      </c>
    </row>
    <row r="315" spans="1:15" x14ac:dyDescent="0.35">
      <c r="A315" t="s">
        <v>20</v>
      </c>
      <c r="B315">
        <v>17643</v>
      </c>
      <c r="C315" t="s">
        <v>426</v>
      </c>
      <c r="D315" t="s">
        <v>427</v>
      </c>
      <c r="E315" t="s">
        <v>3827</v>
      </c>
      <c r="F315" t="s">
        <v>3948</v>
      </c>
      <c r="G315" t="s">
        <v>3948</v>
      </c>
      <c r="H315" t="s">
        <v>596</v>
      </c>
      <c r="L315" t="s">
        <v>33</v>
      </c>
      <c r="M315" s="1">
        <v>5.2083333333333333E-4</v>
      </c>
      <c r="N315" t="s">
        <v>431</v>
      </c>
      <c r="O315" t="s">
        <v>557</v>
      </c>
    </row>
    <row r="316" spans="1:15" x14ac:dyDescent="0.35">
      <c r="A316" t="s">
        <v>20</v>
      </c>
      <c r="B316">
        <v>17643</v>
      </c>
      <c r="C316" t="s">
        <v>426</v>
      </c>
      <c r="D316" t="s">
        <v>427</v>
      </c>
      <c r="E316" t="s">
        <v>3830</v>
      </c>
      <c r="F316" t="s">
        <v>3949</v>
      </c>
      <c r="G316" t="s">
        <v>3949</v>
      </c>
      <c r="H316" t="s">
        <v>599</v>
      </c>
      <c r="L316" t="s">
        <v>33</v>
      </c>
      <c r="M316" s="1">
        <v>7.407407407407407E-4</v>
      </c>
      <c r="N316" t="s">
        <v>431</v>
      </c>
      <c r="O316" t="s">
        <v>557</v>
      </c>
    </row>
    <row r="317" spans="1:15" x14ac:dyDescent="0.35">
      <c r="A317" t="s">
        <v>20</v>
      </c>
      <c r="B317">
        <v>17643</v>
      </c>
      <c r="C317" t="s">
        <v>426</v>
      </c>
      <c r="D317" t="s">
        <v>427</v>
      </c>
      <c r="E317" t="s">
        <v>3832</v>
      </c>
      <c r="F317" t="s">
        <v>3950</v>
      </c>
      <c r="G317" t="s">
        <v>3950</v>
      </c>
      <c r="H317" t="s">
        <v>602</v>
      </c>
      <c r="L317" t="s">
        <v>33</v>
      </c>
      <c r="M317" s="1">
        <v>3.368055555555556E-3</v>
      </c>
      <c r="N317" t="s">
        <v>431</v>
      </c>
      <c r="O317" t="s">
        <v>557</v>
      </c>
    </row>
    <row r="318" spans="1:15" x14ac:dyDescent="0.35">
      <c r="A318" t="s">
        <v>20</v>
      </c>
      <c r="B318">
        <v>17643</v>
      </c>
      <c r="C318" t="s">
        <v>426</v>
      </c>
      <c r="D318" t="s">
        <v>427</v>
      </c>
      <c r="E318" t="s">
        <v>3834</v>
      </c>
      <c r="F318" t="s">
        <v>3951</v>
      </c>
      <c r="G318" t="s">
        <v>3951</v>
      </c>
      <c r="H318" t="s">
        <v>3952</v>
      </c>
      <c r="L318" t="s">
        <v>33</v>
      </c>
      <c r="M318" s="1">
        <v>1.296296296296296E-3</v>
      </c>
      <c r="N318" t="s">
        <v>431</v>
      </c>
      <c r="O318" t="s">
        <v>557</v>
      </c>
    </row>
    <row r="319" spans="1:15" x14ac:dyDescent="0.35">
      <c r="A319" t="s">
        <v>20</v>
      </c>
      <c r="B319">
        <v>17643</v>
      </c>
      <c r="C319" t="s">
        <v>426</v>
      </c>
      <c r="D319" t="s">
        <v>427</v>
      </c>
      <c r="E319" t="s">
        <v>3836</v>
      </c>
      <c r="F319" t="s">
        <v>3953</v>
      </c>
      <c r="G319" t="s">
        <v>3953</v>
      </c>
      <c r="H319" t="s">
        <v>3954</v>
      </c>
      <c r="L319" t="s">
        <v>33</v>
      </c>
      <c r="M319" s="1">
        <v>6.018518518518519E-4</v>
      </c>
      <c r="N319" t="s">
        <v>431</v>
      </c>
      <c r="O319" t="s">
        <v>557</v>
      </c>
    </row>
    <row r="320" spans="1:15" x14ac:dyDescent="0.35">
      <c r="A320" t="s">
        <v>20</v>
      </c>
      <c r="B320">
        <v>17643</v>
      </c>
      <c r="C320" t="s">
        <v>426</v>
      </c>
      <c r="D320" t="s">
        <v>427</v>
      </c>
      <c r="E320" t="s">
        <v>3838</v>
      </c>
      <c r="F320" t="s">
        <v>3955</v>
      </c>
      <c r="G320" t="s">
        <v>3955</v>
      </c>
      <c r="H320" t="s">
        <v>3956</v>
      </c>
      <c r="L320" t="s">
        <v>33</v>
      </c>
      <c r="M320" s="1">
        <v>1.157407407407407E-5</v>
      </c>
      <c r="N320" t="s">
        <v>431</v>
      </c>
      <c r="O320" t="s">
        <v>557</v>
      </c>
    </row>
    <row r="321" spans="1:15" x14ac:dyDescent="0.35">
      <c r="A321" t="s">
        <v>20</v>
      </c>
      <c r="B321">
        <v>17643</v>
      </c>
      <c r="C321" t="s">
        <v>426</v>
      </c>
      <c r="D321" t="s">
        <v>427</v>
      </c>
      <c r="E321" t="s">
        <v>3840</v>
      </c>
      <c r="F321" t="s">
        <v>3957</v>
      </c>
      <c r="G321" t="s">
        <v>3957</v>
      </c>
      <c r="H321" t="s">
        <v>491</v>
      </c>
      <c r="L321" t="s">
        <v>33</v>
      </c>
      <c r="M321" s="1">
        <v>8.2175925925925927E-4</v>
      </c>
      <c r="N321" t="s">
        <v>431</v>
      </c>
      <c r="O321" t="s">
        <v>557</v>
      </c>
    </row>
    <row r="322" spans="1:15" x14ac:dyDescent="0.35">
      <c r="A322" t="s">
        <v>20</v>
      </c>
      <c r="B322">
        <v>17643</v>
      </c>
      <c r="C322" t="s">
        <v>426</v>
      </c>
      <c r="D322" t="s">
        <v>427</v>
      </c>
      <c r="E322" t="s">
        <v>3846</v>
      </c>
      <c r="F322" t="s">
        <v>3958</v>
      </c>
      <c r="G322" t="s">
        <v>3959</v>
      </c>
      <c r="H322" t="s">
        <v>3960</v>
      </c>
      <c r="L322" t="s">
        <v>33</v>
      </c>
      <c r="M322" s="1">
        <v>1.006944444444444E-3</v>
      </c>
      <c r="N322" t="s">
        <v>431</v>
      </c>
      <c r="O322" t="s">
        <v>557</v>
      </c>
    </row>
    <row r="323" spans="1:15" x14ac:dyDescent="0.35">
      <c r="A323" t="s">
        <v>20</v>
      </c>
      <c r="B323">
        <v>17643</v>
      </c>
      <c r="C323" t="s">
        <v>426</v>
      </c>
      <c r="D323" t="s">
        <v>427</v>
      </c>
      <c r="E323" t="s">
        <v>3843</v>
      </c>
      <c r="F323" t="s">
        <v>3961</v>
      </c>
      <c r="G323" t="s">
        <v>3961</v>
      </c>
      <c r="H323" t="s">
        <v>3962</v>
      </c>
      <c r="L323" t="s">
        <v>33</v>
      </c>
      <c r="M323" s="1">
        <v>2.7777777777777778E-4</v>
      </c>
      <c r="N323" t="s">
        <v>431</v>
      </c>
      <c r="O323" t="s">
        <v>557</v>
      </c>
    </row>
    <row r="324" spans="1:15" x14ac:dyDescent="0.35">
      <c r="A324" t="s">
        <v>20</v>
      </c>
      <c r="B324">
        <v>17643</v>
      </c>
      <c r="C324" t="s">
        <v>426</v>
      </c>
      <c r="D324" t="s">
        <v>427</v>
      </c>
      <c r="E324" t="s">
        <v>3848</v>
      </c>
      <c r="F324" t="s">
        <v>3963</v>
      </c>
      <c r="G324" t="s">
        <v>3963</v>
      </c>
      <c r="H324" t="s">
        <v>613</v>
      </c>
      <c r="L324" t="s">
        <v>33</v>
      </c>
      <c r="M324" s="1">
        <v>4.3981481481481481E-4</v>
      </c>
      <c r="N324" t="s">
        <v>431</v>
      </c>
      <c r="O324" t="s">
        <v>557</v>
      </c>
    </row>
    <row r="325" spans="1:15" x14ac:dyDescent="0.35">
      <c r="A325" t="s">
        <v>20</v>
      </c>
      <c r="B325">
        <v>17643</v>
      </c>
      <c r="C325" t="s">
        <v>426</v>
      </c>
      <c r="D325" t="s">
        <v>427</v>
      </c>
      <c r="E325" t="s">
        <v>3812</v>
      </c>
      <c r="F325" t="s">
        <v>3964</v>
      </c>
      <c r="G325" t="s">
        <v>3964</v>
      </c>
      <c r="H325" t="s">
        <v>497</v>
      </c>
      <c r="L325" t="s">
        <v>33</v>
      </c>
      <c r="M325" s="1">
        <v>1.215277777777778E-3</v>
      </c>
      <c r="N325" t="s">
        <v>431</v>
      </c>
      <c r="O325" t="s">
        <v>557</v>
      </c>
    </row>
    <row r="326" spans="1:15" x14ac:dyDescent="0.35">
      <c r="A326" t="s">
        <v>20</v>
      </c>
      <c r="B326">
        <v>17643</v>
      </c>
      <c r="C326" t="s">
        <v>426</v>
      </c>
      <c r="D326" t="s">
        <v>427</v>
      </c>
      <c r="E326" t="s">
        <v>3851</v>
      </c>
      <c r="F326" t="s">
        <v>3965</v>
      </c>
      <c r="G326" t="s">
        <v>3965</v>
      </c>
      <c r="H326" t="s">
        <v>618</v>
      </c>
      <c r="L326" t="s">
        <v>33</v>
      </c>
      <c r="M326" s="1">
        <v>4.7453703703703698E-4</v>
      </c>
      <c r="N326" t="s">
        <v>431</v>
      </c>
      <c r="O326" t="s">
        <v>557</v>
      </c>
    </row>
    <row r="327" spans="1:15" x14ac:dyDescent="0.35">
      <c r="A327" t="s">
        <v>20</v>
      </c>
      <c r="B327">
        <v>17643</v>
      </c>
      <c r="C327" t="s">
        <v>426</v>
      </c>
      <c r="D327" t="s">
        <v>427</v>
      </c>
      <c r="E327" t="s">
        <v>3853</v>
      </c>
      <c r="F327" t="s">
        <v>3966</v>
      </c>
      <c r="G327" t="s">
        <v>3966</v>
      </c>
      <c r="H327" t="s">
        <v>500</v>
      </c>
      <c r="L327" t="s">
        <v>33</v>
      </c>
      <c r="M327" s="1">
        <v>6.4814814814814813E-4</v>
      </c>
      <c r="N327" t="s">
        <v>431</v>
      </c>
      <c r="O327" t="s">
        <v>557</v>
      </c>
    </row>
    <row r="328" spans="1:15" x14ac:dyDescent="0.35">
      <c r="A328" t="s">
        <v>20</v>
      </c>
      <c r="B328">
        <v>17643</v>
      </c>
      <c r="C328" t="s">
        <v>426</v>
      </c>
      <c r="D328" t="s">
        <v>427</v>
      </c>
      <c r="E328" t="s">
        <v>3855</v>
      </c>
      <c r="F328" t="s">
        <v>3967</v>
      </c>
      <c r="G328" t="s">
        <v>3967</v>
      </c>
      <c r="H328" t="s">
        <v>503</v>
      </c>
      <c r="L328" t="s">
        <v>33</v>
      </c>
      <c r="M328" s="1">
        <v>6.9444444444444447E-4</v>
      </c>
      <c r="N328" t="s">
        <v>431</v>
      </c>
      <c r="O328" t="s">
        <v>557</v>
      </c>
    </row>
    <row r="329" spans="1:15" x14ac:dyDescent="0.35">
      <c r="A329" t="s">
        <v>20</v>
      </c>
      <c r="B329">
        <v>17643</v>
      </c>
      <c r="C329" t="s">
        <v>426</v>
      </c>
      <c r="D329" t="s">
        <v>427</v>
      </c>
      <c r="E329" t="s">
        <v>3857</v>
      </c>
      <c r="F329" t="s">
        <v>3968</v>
      </c>
      <c r="G329" t="s">
        <v>3968</v>
      </c>
      <c r="H329" t="s">
        <v>506</v>
      </c>
      <c r="L329" t="s">
        <v>33</v>
      </c>
      <c r="M329" s="1">
        <v>1.19212962962963E-3</v>
      </c>
      <c r="N329" t="s">
        <v>431</v>
      </c>
      <c r="O329" t="s">
        <v>557</v>
      </c>
    </row>
    <row r="330" spans="1:15" x14ac:dyDescent="0.35">
      <c r="A330" t="s">
        <v>20</v>
      </c>
      <c r="B330">
        <v>17643</v>
      </c>
      <c r="C330" t="s">
        <v>426</v>
      </c>
      <c r="D330" t="s">
        <v>427</v>
      </c>
      <c r="E330" t="s">
        <v>3860</v>
      </c>
      <c r="F330" t="s">
        <v>3969</v>
      </c>
      <c r="G330" t="s">
        <v>3969</v>
      </c>
      <c r="H330" t="s">
        <v>509</v>
      </c>
      <c r="L330" t="s">
        <v>33</v>
      </c>
      <c r="M330" s="1">
        <v>3.3564814814814812E-4</v>
      </c>
      <c r="N330" t="s">
        <v>431</v>
      </c>
      <c r="O330" t="s">
        <v>557</v>
      </c>
    </row>
    <row r="331" spans="1:15" x14ac:dyDescent="0.35">
      <c r="A331" t="s">
        <v>20</v>
      </c>
      <c r="B331">
        <v>17643</v>
      </c>
      <c r="C331" t="s">
        <v>426</v>
      </c>
      <c r="D331" t="s">
        <v>427</v>
      </c>
      <c r="E331" t="s">
        <v>3863</v>
      </c>
      <c r="F331" t="s">
        <v>3970</v>
      </c>
      <c r="G331" t="s">
        <v>3970</v>
      </c>
      <c r="H331" t="s">
        <v>512</v>
      </c>
      <c r="L331" t="s">
        <v>33</v>
      </c>
      <c r="M331" s="1">
        <v>5.6712962962962967E-4</v>
      </c>
      <c r="N331" t="s">
        <v>431</v>
      </c>
      <c r="O331" t="s">
        <v>557</v>
      </c>
    </row>
    <row r="332" spans="1:15" x14ac:dyDescent="0.35">
      <c r="A332" t="s">
        <v>20</v>
      </c>
      <c r="B332">
        <v>17643</v>
      </c>
      <c r="C332" t="s">
        <v>426</v>
      </c>
      <c r="D332" t="s">
        <v>427</v>
      </c>
      <c r="E332" t="s">
        <v>3866</v>
      </c>
      <c r="F332" t="s">
        <v>3971</v>
      </c>
      <c r="G332" t="s">
        <v>3971</v>
      </c>
      <c r="H332" t="s">
        <v>3972</v>
      </c>
      <c r="L332" t="s">
        <v>33</v>
      </c>
      <c r="M332" s="1">
        <v>1.157407407407407E-4</v>
      </c>
      <c r="N332" t="s">
        <v>431</v>
      </c>
      <c r="O332" t="s">
        <v>557</v>
      </c>
    </row>
    <row r="333" spans="1:15" x14ac:dyDescent="0.35">
      <c r="A333" t="s">
        <v>20</v>
      </c>
      <c r="B333">
        <v>17643</v>
      </c>
      <c r="C333" t="s">
        <v>426</v>
      </c>
      <c r="D333" t="s">
        <v>427</v>
      </c>
      <c r="E333" t="s">
        <v>3872</v>
      </c>
      <c r="F333" t="s">
        <v>3973</v>
      </c>
      <c r="G333" t="s">
        <v>3973</v>
      </c>
      <c r="H333" t="s">
        <v>3974</v>
      </c>
      <c r="L333" t="s">
        <v>33</v>
      </c>
      <c r="M333" s="1">
        <v>1.1226851851851849E-3</v>
      </c>
      <c r="N333" t="s">
        <v>431</v>
      </c>
      <c r="O333" t="s">
        <v>557</v>
      </c>
    </row>
    <row r="334" spans="1:15" x14ac:dyDescent="0.35">
      <c r="A334" t="s">
        <v>20</v>
      </c>
      <c r="B334">
        <v>17643</v>
      </c>
      <c r="C334" t="s">
        <v>426</v>
      </c>
      <c r="D334" t="s">
        <v>427</v>
      </c>
      <c r="E334" t="s">
        <v>3874</v>
      </c>
      <c r="F334" t="s">
        <v>3975</v>
      </c>
      <c r="G334" t="s">
        <v>3975</v>
      </c>
      <c r="H334" t="s">
        <v>521</v>
      </c>
      <c r="L334" t="s">
        <v>33</v>
      </c>
      <c r="M334" s="1">
        <v>5.3240740740740744E-4</v>
      </c>
      <c r="N334" t="s">
        <v>431</v>
      </c>
      <c r="O334" t="s">
        <v>557</v>
      </c>
    </row>
    <row r="335" spans="1:15" x14ac:dyDescent="0.35">
      <c r="A335" t="s">
        <v>20</v>
      </c>
      <c r="B335">
        <v>17643</v>
      </c>
      <c r="C335" t="s">
        <v>426</v>
      </c>
      <c r="D335" t="s">
        <v>427</v>
      </c>
      <c r="E335" t="s">
        <v>3908</v>
      </c>
      <c r="F335" t="s">
        <v>3976</v>
      </c>
      <c r="G335" t="s">
        <v>3977</v>
      </c>
      <c r="H335" t="s">
        <v>3978</v>
      </c>
      <c r="L335" t="s">
        <v>33</v>
      </c>
      <c r="M335" s="1">
        <v>7.0601851851851847E-4</v>
      </c>
      <c r="N335" t="s">
        <v>431</v>
      </c>
      <c r="O335" t="s">
        <v>557</v>
      </c>
    </row>
    <row r="336" spans="1:15" x14ac:dyDescent="0.35">
      <c r="A336" t="s">
        <v>20</v>
      </c>
      <c r="B336">
        <v>17643</v>
      </c>
      <c r="C336" t="s">
        <v>426</v>
      </c>
      <c r="D336" t="s">
        <v>427</v>
      </c>
      <c r="E336" t="s">
        <v>3876</v>
      </c>
      <c r="F336" t="s">
        <v>3979</v>
      </c>
      <c r="G336" t="s">
        <v>3979</v>
      </c>
      <c r="H336" t="s">
        <v>639</v>
      </c>
      <c r="L336" t="s">
        <v>33</v>
      </c>
      <c r="M336" s="1">
        <v>5.4398148148148144E-4</v>
      </c>
      <c r="N336" t="s">
        <v>431</v>
      </c>
      <c r="O336" t="s">
        <v>557</v>
      </c>
    </row>
    <row r="337" spans="1:15" x14ac:dyDescent="0.35">
      <c r="A337" t="s">
        <v>20</v>
      </c>
      <c r="B337">
        <v>17643</v>
      </c>
      <c r="C337" t="s">
        <v>426</v>
      </c>
      <c r="D337" t="s">
        <v>427</v>
      </c>
      <c r="E337" t="s">
        <v>3878</v>
      </c>
      <c r="F337" t="s">
        <v>3980</v>
      </c>
      <c r="G337" t="s">
        <v>3980</v>
      </c>
      <c r="H337" t="s">
        <v>3981</v>
      </c>
      <c r="L337" t="s">
        <v>33</v>
      </c>
      <c r="M337" s="1">
        <v>1.3773148148148149E-3</v>
      </c>
      <c r="N337" t="s">
        <v>431</v>
      </c>
      <c r="O337" t="s">
        <v>557</v>
      </c>
    </row>
    <row r="338" spans="1:15" x14ac:dyDescent="0.35">
      <c r="A338" t="s">
        <v>20</v>
      </c>
      <c r="B338">
        <v>17643</v>
      </c>
      <c r="C338" t="s">
        <v>426</v>
      </c>
      <c r="D338" t="s">
        <v>427</v>
      </c>
      <c r="E338" t="s">
        <v>3880</v>
      </c>
      <c r="F338" t="s">
        <v>3982</v>
      </c>
      <c r="G338" t="s">
        <v>3982</v>
      </c>
      <c r="H338" t="s">
        <v>527</v>
      </c>
      <c r="L338" t="s">
        <v>33</v>
      </c>
      <c r="M338" s="1">
        <v>4.9768518518518521E-4</v>
      </c>
      <c r="N338" t="s">
        <v>431</v>
      </c>
      <c r="O338" t="s">
        <v>557</v>
      </c>
    </row>
    <row r="339" spans="1:15" x14ac:dyDescent="0.35">
      <c r="A339" t="s">
        <v>20</v>
      </c>
      <c r="B339">
        <v>17643</v>
      </c>
      <c r="C339" t="s">
        <v>426</v>
      </c>
      <c r="D339" t="s">
        <v>427</v>
      </c>
      <c r="E339" t="s">
        <v>3882</v>
      </c>
      <c r="F339" t="s">
        <v>3983</v>
      </c>
      <c r="G339" t="s">
        <v>3983</v>
      </c>
      <c r="H339" t="s">
        <v>530</v>
      </c>
      <c r="L339" t="s">
        <v>33</v>
      </c>
      <c r="M339" s="1">
        <v>8.1018518518518516E-4</v>
      </c>
      <c r="N339" t="s">
        <v>431</v>
      </c>
      <c r="O339" t="s">
        <v>557</v>
      </c>
    </row>
    <row r="340" spans="1:15" x14ac:dyDescent="0.35">
      <c r="A340" t="s">
        <v>20</v>
      </c>
      <c r="B340">
        <v>17643</v>
      </c>
      <c r="C340" t="s">
        <v>426</v>
      </c>
      <c r="D340" t="s">
        <v>427</v>
      </c>
      <c r="E340" t="s">
        <v>3884</v>
      </c>
      <c r="F340" t="s">
        <v>3984</v>
      </c>
      <c r="G340" t="s">
        <v>3984</v>
      </c>
      <c r="H340" t="s">
        <v>645</v>
      </c>
      <c r="L340" t="s">
        <v>33</v>
      </c>
      <c r="M340" s="1">
        <v>1.006944444444444E-3</v>
      </c>
      <c r="N340" t="s">
        <v>431</v>
      </c>
      <c r="O340" t="s">
        <v>557</v>
      </c>
    </row>
    <row r="341" spans="1:15" x14ac:dyDescent="0.35">
      <c r="A341" t="s">
        <v>20</v>
      </c>
      <c r="B341">
        <v>17643</v>
      </c>
      <c r="C341" t="s">
        <v>426</v>
      </c>
      <c r="D341" t="s">
        <v>427</v>
      </c>
      <c r="E341" t="s">
        <v>3887</v>
      </c>
      <c r="F341" t="s">
        <v>3985</v>
      </c>
      <c r="G341" t="s">
        <v>3985</v>
      </c>
      <c r="H341" t="s">
        <v>533</v>
      </c>
      <c r="L341" t="s">
        <v>33</v>
      </c>
      <c r="M341" s="1">
        <v>6.7129629629629625E-4</v>
      </c>
      <c r="N341" t="s">
        <v>431</v>
      </c>
      <c r="O341" t="s">
        <v>557</v>
      </c>
    </row>
    <row r="342" spans="1:15" x14ac:dyDescent="0.35">
      <c r="A342" t="s">
        <v>20</v>
      </c>
      <c r="B342">
        <v>17643</v>
      </c>
      <c r="C342" t="s">
        <v>426</v>
      </c>
      <c r="D342" t="s">
        <v>427</v>
      </c>
      <c r="E342" t="s">
        <v>3889</v>
      </c>
      <c r="F342" t="s">
        <v>3986</v>
      </c>
      <c r="G342" t="s">
        <v>3986</v>
      </c>
      <c r="H342" t="s">
        <v>536</v>
      </c>
      <c r="L342" t="s">
        <v>33</v>
      </c>
      <c r="M342" s="1">
        <v>7.9861111111111116E-4</v>
      </c>
      <c r="N342" t="s">
        <v>431</v>
      </c>
      <c r="O342" t="s">
        <v>557</v>
      </c>
    </row>
    <row r="343" spans="1:15" x14ac:dyDescent="0.35">
      <c r="A343" t="s">
        <v>20</v>
      </c>
      <c r="B343">
        <v>17643</v>
      </c>
      <c r="C343" t="s">
        <v>426</v>
      </c>
      <c r="D343" t="s">
        <v>427</v>
      </c>
      <c r="E343" t="s">
        <v>3891</v>
      </c>
      <c r="F343" t="s">
        <v>3987</v>
      </c>
      <c r="G343" t="s">
        <v>3987</v>
      </c>
      <c r="H343" t="s">
        <v>3988</v>
      </c>
      <c r="L343" t="s">
        <v>33</v>
      </c>
      <c r="M343" s="1">
        <v>8.4490740740740739E-4</v>
      </c>
      <c r="N343" t="s">
        <v>431</v>
      </c>
      <c r="O343" t="s">
        <v>557</v>
      </c>
    </row>
    <row r="344" spans="1:15" x14ac:dyDescent="0.35">
      <c r="A344" t="s">
        <v>20</v>
      </c>
      <c r="B344">
        <v>17643</v>
      </c>
      <c r="C344" t="s">
        <v>426</v>
      </c>
      <c r="D344" t="s">
        <v>427</v>
      </c>
      <c r="E344" t="s">
        <v>3893</v>
      </c>
      <c r="F344" t="s">
        <v>3989</v>
      </c>
      <c r="G344" t="s">
        <v>3989</v>
      </c>
      <c r="H344" t="s">
        <v>3990</v>
      </c>
      <c r="L344" t="s">
        <v>33</v>
      </c>
      <c r="M344" s="1">
        <v>9.837962962962962E-4</v>
      </c>
      <c r="N344" t="s">
        <v>431</v>
      </c>
      <c r="O344" t="s">
        <v>557</v>
      </c>
    </row>
    <row r="345" spans="1:15" x14ac:dyDescent="0.35">
      <c r="A345" t="s">
        <v>20</v>
      </c>
      <c r="B345">
        <v>17643</v>
      </c>
      <c r="C345" t="s">
        <v>426</v>
      </c>
      <c r="D345" t="s">
        <v>427</v>
      </c>
      <c r="E345" t="s">
        <v>3895</v>
      </c>
      <c r="F345" t="s">
        <v>3991</v>
      </c>
      <c r="G345" t="s">
        <v>3991</v>
      </c>
      <c r="H345" t="s">
        <v>651</v>
      </c>
      <c r="L345" t="s">
        <v>33</v>
      </c>
      <c r="M345" s="1">
        <v>1.203703703703704E-3</v>
      </c>
      <c r="N345" t="s">
        <v>431</v>
      </c>
      <c r="O345" t="s">
        <v>557</v>
      </c>
    </row>
    <row r="346" spans="1:15" x14ac:dyDescent="0.35">
      <c r="A346" t="s">
        <v>20</v>
      </c>
      <c r="B346">
        <v>17643</v>
      </c>
      <c r="C346" t="s">
        <v>426</v>
      </c>
      <c r="D346" t="s">
        <v>427</v>
      </c>
      <c r="E346" t="s">
        <v>3897</v>
      </c>
      <c r="F346" t="s">
        <v>3992</v>
      </c>
      <c r="G346" t="s">
        <v>3992</v>
      </c>
      <c r="H346" t="s">
        <v>3993</v>
      </c>
      <c r="L346" t="s">
        <v>33</v>
      </c>
      <c r="M346" s="1">
        <v>1.168981481481482E-3</v>
      </c>
      <c r="N346" t="s">
        <v>431</v>
      </c>
      <c r="O346" t="s">
        <v>557</v>
      </c>
    </row>
    <row r="347" spans="1:15" x14ac:dyDescent="0.35">
      <c r="A347" t="s">
        <v>20</v>
      </c>
      <c r="B347">
        <v>17643</v>
      </c>
      <c r="C347" t="s">
        <v>426</v>
      </c>
      <c r="D347" t="s">
        <v>427</v>
      </c>
      <c r="E347" t="s">
        <v>3899</v>
      </c>
      <c r="F347" t="s">
        <v>3994</v>
      </c>
      <c r="G347" t="s">
        <v>3994</v>
      </c>
      <c r="H347" t="s">
        <v>3995</v>
      </c>
      <c r="L347" t="s">
        <v>33</v>
      </c>
      <c r="M347" s="1">
        <v>2.6620370370370372E-4</v>
      </c>
      <c r="N347" t="s">
        <v>431</v>
      </c>
      <c r="O347" t="s">
        <v>557</v>
      </c>
    </row>
    <row r="348" spans="1:15" x14ac:dyDescent="0.35">
      <c r="A348" t="s">
        <v>20</v>
      </c>
      <c r="B348">
        <v>17643</v>
      </c>
      <c r="C348" t="s">
        <v>426</v>
      </c>
      <c r="D348" t="s">
        <v>427</v>
      </c>
      <c r="E348" t="s">
        <v>3901</v>
      </c>
      <c r="F348" t="s">
        <v>3996</v>
      </c>
      <c r="G348" t="s">
        <v>3996</v>
      </c>
      <c r="H348" t="s">
        <v>3997</v>
      </c>
      <c r="L348" t="s">
        <v>33</v>
      </c>
      <c r="M348" s="1">
        <v>1.851851851851852E-4</v>
      </c>
      <c r="N348" t="s">
        <v>431</v>
      </c>
      <c r="O348" t="s">
        <v>557</v>
      </c>
    </row>
    <row r="349" spans="1:15" x14ac:dyDescent="0.35">
      <c r="A349" t="s">
        <v>20</v>
      </c>
      <c r="B349">
        <v>17643</v>
      </c>
      <c r="C349" t="s">
        <v>426</v>
      </c>
      <c r="D349" t="s">
        <v>427</v>
      </c>
      <c r="E349" t="s">
        <v>3903</v>
      </c>
      <c r="F349" t="s">
        <v>3998</v>
      </c>
      <c r="G349" t="s">
        <v>3998</v>
      </c>
      <c r="H349" t="s">
        <v>660</v>
      </c>
      <c r="L349" t="s">
        <v>33</v>
      </c>
      <c r="M349" s="1">
        <v>7.1759259259259259E-4</v>
      </c>
      <c r="N349" t="s">
        <v>431</v>
      </c>
      <c r="O349" t="s">
        <v>557</v>
      </c>
    </row>
    <row r="350" spans="1:15" x14ac:dyDescent="0.35">
      <c r="A350" t="s">
        <v>20</v>
      </c>
      <c r="B350">
        <v>17643</v>
      </c>
      <c r="C350" t="s">
        <v>426</v>
      </c>
      <c r="D350" t="s">
        <v>427</v>
      </c>
      <c r="E350" t="s">
        <v>3905</v>
      </c>
      <c r="F350" t="s">
        <v>3999</v>
      </c>
      <c r="G350" t="s">
        <v>3999</v>
      </c>
      <c r="H350" t="s">
        <v>4000</v>
      </c>
      <c r="L350" t="s">
        <v>33</v>
      </c>
      <c r="M350" s="1">
        <v>3.8194444444444452E-4</v>
      </c>
      <c r="N350" t="s">
        <v>431</v>
      </c>
      <c r="O350" t="s">
        <v>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9"/>
  <sheetViews>
    <sheetView topLeftCell="K1" workbookViewId="0">
      <selection activeCell="U2" sqref="U2:U59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2548</v>
      </c>
      <c r="L1" t="s">
        <v>1528</v>
      </c>
      <c r="M1" t="s">
        <v>4288</v>
      </c>
      <c r="N1" t="s">
        <v>15</v>
      </c>
      <c r="O1" t="s">
        <v>17</v>
      </c>
      <c r="P1" t="s">
        <v>4289</v>
      </c>
      <c r="Q1" t="s">
        <v>4290</v>
      </c>
      <c r="R1" t="s">
        <v>4291</v>
      </c>
      <c r="S1" t="s">
        <v>4292</v>
      </c>
      <c r="T1" t="s">
        <v>4293</v>
      </c>
      <c r="U1" t="s">
        <v>3783</v>
      </c>
      <c r="V1" t="s">
        <v>3784</v>
      </c>
    </row>
    <row r="2" spans="1:22" x14ac:dyDescent="0.35">
      <c r="A2" t="s">
        <v>20</v>
      </c>
      <c r="B2">
        <v>17644</v>
      </c>
      <c r="C2" t="s">
        <v>21</v>
      </c>
      <c r="D2" t="s">
        <v>22</v>
      </c>
      <c r="E2" t="s">
        <v>4294</v>
      </c>
      <c r="F2" t="s">
        <v>4295</v>
      </c>
      <c r="G2" t="s">
        <v>4295</v>
      </c>
      <c r="H2" t="s">
        <v>4296</v>
      </c>
      <c r="N2" t="s">
        <v>33</v>
      </c>
      <c r="O2" s="1">
        <v>6.134259259259259E-4</v>
      </c>
      <c r="P2">
        <v>0</v>
      </c>
      <c r="Q2">
        <v>0</v>
      </c>
      <c r="R2">
        <v>0</v>
      </c>
      <c r="S2">
        <v>1</v>
      </c>
      <c r="T2">
        <v>0</v>
      </c>
      <c r="U2" t="s">
        <v>27</v>
      </c>
      <c r="V2" t="s">
        <v>238</v>
      </c>
    </row>
    <row r="3" spans="1:22" x14ac:dyDescent="0.35">
      <c r="A3" t="s">
        <v>20</v>
      </c>
      <c r="B3">
        <v>17644</v>
      </c>
      <c r="C3" t="s">
        <v>21</v>
      </c>
      <c r="D3" t="s">
        <v>22</v>
      </c>
      <c r="E3" t="s">
        <v>4297</v>
      </c>
      <c r="F3" t="s">
        <v>3787</v>
      </c>
      <c r="G3" t="s">
        <v>3787</v>
      </c>
      <c r="H3" t="s">
        <v>4298</v>
      </c>
      <c r="N3" t="s">
        <v>33</v>
      </c>
      <c r="O3" s="1">
        <v>4.0509259259259258E-4</v>
      </c>
      <c r="P3">
        <v>0</v>
      </c>
      <c r="Q3">
        <v>0</v>
      </c>
      <c r="R3">
        <v>0</v>
      </c>
      <c r="S3">
        <v>1</v>
      </c>
      <c r="T3">
        <v>0</v>
      </c>
      <c r="U3" t="s">
        <v>27</v>
      </c>
      <c r="V3" t="s">
        <v>238</v>
      </c>
    </row>
    <row r="4" spans="1:22" x14ac:dyDescent="0.35">
      <c r="A4" t="s">
        <v>20</v>
      </c>
      <c r="B4">
        <v>17644</v>
      </c>
      <c r="C4" t="s">
        <v>21</v>
      </c>
      <c r="D4" t="s">
        <v>22</v>
      </c>
      <c r="E4" t="s">
        <v>4299</v>
      </c>
      <c r="F4" t="s">
        <v>51</v>
      </c>
      <c r="G4" t="s">
        <v>51</v>
      </c>
      <c r="H4" t="s">
        <v>4300</v>
      </c>
      <c r="N4" t="s">
        <v>33</v>
      </c>
      <c r="O4" s="1">
        <v>6.2500000000000001E-4</v>
      </c>
      <c r="P4">
        <v>0</v>
      </c>
      <c r="Q4">
        <v>0</v>
      </c>
      <c r="R4">
        <v>0</v>
      </c>
      <c r="S4">
        <v>1</v>
      </c>
      <c r="T4">
        <v>0</v>
      </c>
      <c r="U4" t="s">
        <v>27</v>
      </c>
      <c r="V4" t="s">
        <v>238</v>
      </c>
    </row>
    <row r="5" spans="1:22" x14ac:dyDescent="0.35">
      <c r="A5" t="s">
        <v>20</v>
      </c>
      <c r="B5">
        <v>17644</v>
      </c>
      <c r="C5" t="s">
        <v>21</v>
      </c>
      <c r="D5" t="s">
        <v>22</v>
      </c>
      <c r="E5" t="s">
        <v>4301</v>
      </c>
      <c r="F5" t="s">
        <v>248</v>
      </c>
      <c r="G5" t="s">
        <v>248</v>
      </c>
      <c r="H5" t="s">
        <v>4302</v>
      </c>
      <c r="N5" t="s">
        <v>33</v>
      </c>
      <c r="O5" s="1">
        <v>8.7962962962962962E-4</v>
      </c>
      <c r="P5">
        <v>0</v>
      </c>
      <c r="Q5">
        <v>0</v>
      </c>
      <c r="R5">
        <v>0</v>
      </c>
      <c r="S5">
        <v>0</v>
      </c>
      <c r="T5">
        <v>1</v>
      </c>
      <c r="U5" t="s">
        <v>27</v>
      </c>
      <c r="V5" t="s">
        <v>238</v>
      </c>
    </row>
    <row r="6" spans="1:22" x14ac:dyDescent="0.35">
      <c r="A6" t="s">
        <v>20</v>
      </c>
      <c r="B6">
        <v>17644</v>
      </c>
      <c r="C6" t="s">
        <v>21</v>
      </c>
      <c r="D6" t="s">
        <v>22</v>
      </c>
      <c r="E6" t="s">
        <v>4303</v>
      </c>
      <c r="F6" t="s">
        <v>3794</v>
      </c>
      <c r="G6" t="s">
        <v>3794</v>
      </c>
      <c r="H6" t="s">
        <v>4304</v>
      </c>
      <c r="N6" t="s">
        <v>33</v>
      </c>
      <c r="O6" s="1">
        <v>1.3888888888888889E-4</v>
      </c>
      <c r="P6">
        <v>0</v>
      </c>
      <c r="Q6">
        <v>1</v>
      </c>
      <c r="R6">
        <v>0</v>
      </c>
      <c r="S6">
        <v>0</v>
      </c>
      <c r="T6">
        <v>0</v>
      </c>
      <c r="U6" t="s">
        <v>27</v>
      </c>
      <c r="V6" t="s">
        <v>238</v>
      </c>
    </row>
    <row r="7" spans="1:22" x14ac:dyDescent="0.35">
      <c r="A7" t="s">
        <v>20</v>
      </c>
      <c r="B7">
        <v>17644</v>
      </c>
      <c r="C7" t="s">
        <v>21</v>
      </c>
      <c r="D7" t="s">
        <v>22</v>
      </c>
      <c r="E7" t="s">
        <v>4305</v>
      </c>
      <c r="F7" t="s">
        <v>58</v>
      </c>
      <c r="G7" t="s">
        <v>58</v>
      </c>
      <c r="H7" t="s">
        <v>4306</v>
      </c>
      <c r="N7" t="s">
        <v>33</v>
      </c>
      <c r="O7" s="1">
        <v>1.5393518518518521E-3</v>
      </c>
      <c r="P7">
        <v>0</v>
      </c>
      <c r="Q7">
        <v>0</v>
      </c>
      <c r="R7">
        <v>0</v>
      </c>
      <c r="S7">
        <v>0</v>
      </c>
      <c r="T7">
        <v>1</v>
      </c>
      <c r="U7" t="s">
        <v>27</v>
      </c>
      <c r="V7" t="s">
        <v>238</v>
      </c>
    </row>
    <row r="8" spans="1:22" x14ac:dyDescent="0.35">
      <c r="A8" t="s">
        <v>20</v>
      </c>
      <c r="B8">
        <v>17644</v>
      </c>
      <c r="C8" t="s">
        <v>21</v>
      </c>
      <c r="D8" t="s">
        <v>22</v>
      </c>
      <c r="E8" t="s">
        <v>4307</v>
      </c>
      <c r="F8" t="s">
        <v>4308</v>
      </c>
      <c r="G8" t="s">
        <v>4308</v>
      </c>
      <c r="H8" t="s">
        <v>4309</v>
      </c>
      <c r="N8" t="s">
        <v>33</v>
      </c>
      <c r="O8" s="1">
        <v>1.157407407407407E-4</v>
      </c>
      <c r="P8">
        <v>1</v>
      </c>
      <c r="Q8">
        <v>0</v>
      </c>
      <c r="R8">
        <v>0</v>
      </c>
      <c r="S8">
        <v>0</v>
      </c>
      <c r="T8">
        <v>0</v>
      </c>
      <c r="U8" t="s">
        <v>27</v>
      </c>
      <c r="V8" t="s">
        <v>238</v>
      </c>
    </row>
    <row r="9" spans="1:22" x14ac:dyDescent="0.35">
      <c r="A9" t="s">
        <v>20</v>
      </c>
      <c r="B9">
        <v>17644</v>
      </c>
      <c r="C9" t="s">
        <v>21</v>
      </c>
      <c r="D9" t="s">
        <v>22</v>
      </c>
      <c r="E9" t="s">
        <v>4310</v>
      </c>
      <c r="F9" t="s">
        <v>69</v>
      </c>
      <c r="G9" t="s">
        <v>69</v>
      </c>
      <c r="H9" t="s">
        <v>4311</v>
      </c>
      <c r="N9" t="s">
        <v>33</v>
      </c>
      <c r="O9" s="1">
        <v>1.851851851851852E-4</v>
      </c>
      <c r="P9">
        <v>0</v>
      </c>
      <c r="Q9">
        <v>1</v>
      </c>
      <c r="R9">
        <v>0</v>
      </c>
      <c r="S9">
        <v>0</v>
      </c>
      <c r="T9">
        <v>0</v>
      </c>
      <c r="U9" t="s">
        <v>27</v>
      </c>
      <c r="V9" t="s">
        <v>238</v>
      </c>
    </row>
    <row r="10" spans="1:22" x14ac:dyDescent="0.35">
      <c r="A10" t="s">
        <v>20</v>
      </c>
      <c r="B10">
        <v>17644</v>
      </c>
      <c r="C10" t="s">
        <v>21</v>
      </c>
      <c r="D10" t="s">
        <v>22</v>
      </c>
      <c r="E10" t="s">
        <v>4312</v>
      </c>
      <c r="F10" t="s">
        <v>256</v>
      </c>
      <c r="G10" t="s">
        <v>256</v>
      </c>
      <c r="H10" t="s">
        <v>4313</v>
      </c>
      <c r="N10" t="s">
        <v>33</v>
      </c>
      <c r="O10" s="1">
        <v>4.861111111111111E-4</v>
      </c>
      <c r="P10">
        <v>0</v>
      </c>
      <c r="Q10">
        <v>0</v>
      </c>
      <c r="R10">
        <v>0</v>
      </c>
      <c r="S10">
        <v>1</v>
      </c>
      <c r="T10">
        <v>0</v>
      </c>
      <c r="U10" t="s">
        <v>27</v>
      </c>
      <c r="V10" t="s">
        <v>238</v>
      </c>
    </row>
    <row r="11" spans="1:22" x14ac:dyDescent="0.35">
      <c r="A11" t="s">
        <v>20</v>
      </c>
      <c r="B11">
        <v>17644</v>
      </c>
      <c r="C11" t="s">
        <v>21</v>
      </c>
      <c r="D11" t="s">
        <v>22</v>
      </c>
      <c r="E11" t="s">
        <v>4314</v>
      </c>
      <c r="F11" t="s">
        <v>3807</v>
      </c>
      <c r="G11" t="s">
        <v>3807</v>
      </c>
      <c r="H11" t="s">
        <v>4315</v>
      </c>
      <c r="N11" t="s">
        <v>33</v>
      </c>
      <c r="O11" s="1">
        <v>6.9444444444444444E-5</v>
      </c>
      <c r="P11">
        <v>1</v>
      </c>
      <c r="Q11">
        <v>0</v>
      </c>
      <c r="R11">
        <v>0</v>
      </c>
      <c r="S11">
        <v>0</v>
      </c>
      <c r="T11">
        <v>0</v>
      </c>
      <c r="U11" t="s">
        <v>27</v>
      </c>
      <c r="V11" t="s">
        <v>238</v>
      </c>
    </row>
    <row r="12" spans="1:22" x14ac:dyDescent="0.35">
      <c r="A12" t="s">
        <v>20</v>
      </c>
      <c r="B12">
        <v>17644</v>
      </c>
      <c r="C12" t="s">
        <v>21</v>
      </c>
      <c r="D12" t="s">
        <v>22</v>
      </c>
      <c r="E12" t="s">
        <v>4316</v>
      </c>
      <c r="F12" t="s">
        <v>260</v>
      </c>
      <c r="G12" t="s">
        <v>260</v>
      </c>
      <c r="H12" t="s">
        <v>3811</v>
      </c>
      <c r="N12" t="s">
        <v>33</v>
      </c>
      <c r="O12" s="1">
        <v>3.8194444444444452E-4</v>
      </c>
      <c r="P12">
        <v>0</v>
      </c>
      <c r="Q12">
        <v>0</v>
      </c>
      <c r="R12">
        <v>0</v>
      </c>
      <c r="S12">
        <v>1</v>
      </c>
      <c r="T12">
        <v>0</v>
      </c>
      <c r="U12" t="s">
        <v>27</v>
      </c>
      <c r="V12" t="s">
        <v>238</v>
      </c>
    </row>
    <row r="13" spans="1:22" x14ac:dyDescent="0.35">
      <c r="A13" t="s">
        <v>20</v>
      </c>
      <c r="B13">
        <v>17644</v>
      </c>
      <c r="C13" t="s">
        <v>21</v>
      </c>
      <c r="D13" t="s">
        <v>22</v>
      </c>
      <c r="E13" t="s">
        <v>4317</v>
      </c>
      <c r="F13" t="s">
        <v>264</v>
      </c>
      <c r="G13" t="s">
        <v>264</v>
      </c>
      <c r="H13" t="s">
        <v>4318</v>
      </c>
      <c r="N13" t="s">
        <v>33</v>
      </c>
      <c r="O13" s="1">
        <v>1.6203703703703701E-4</v>
      </c>
      <c r="P13">
        <v>0</v>
      </c>
      <c r="Q13">
        <v>1</v>
      </c>
      <c r="R13">
        <v>0</v>
      </c>
      <c r="S13">
        <v>0</v>
      </c>
      <c r="T13">
        <v>0</v>
      </c>
      <c r="U13" t="s">
        <v>27</v>
      </c>
      <c r="V13" t="s">
        <v>238</v>
      </c>
    </row>
    <row r="14" spans="1:22" x14ac:dyDescent="0.35">
      <c r="A14" t="s">
        <v>20</v>
      </c>
      <c r="B14">
        <v>17644</v>
      </c>
      <c r="C14" t="s">
        <v>21</v>
      </c>
      <c r="D14" t="s">
        <v>22</v>
      </c>
      <c r="E14" t="s">
        <v>4319</v>
      </c>
      <c r="F14" t="s">
        <v>4320</v>
      </c>
      <c r="G14" t="s">
        <v>4320</v>
      </c>
      <c r="H14" t="s">
        <v>4321</v>
      </c>
      <c r="N14" t="s">
        <v>33</v>
      </c>
      <c r="O14" s="1">
        <v>2.8009259259259259E-3</v>
      </c>
      <c r="P14">
        <v>0</v>
      </c>
      <c r="Q14">
        <v>0</v>
      </c>
      <c r="R14">
        <v>0</v>
      </c>
      <c r="S14">
        <v>0</v>
      </c>
      <c r="T14">
        <v>1</v>
      </c>
      <c r="U14" t="s">
        <v>27</v>
      </c>
      <c r="V14" t="s">
        <v>238</v>
      </c>
    </row>
    <row r="15" spans="1:22" x14ac:dyDescent="0.35">
      <c r="A15" t="s">
        <v>20</v>
      </c>
      <c r="B15">
        <v>17644</v>
      </c>
      <c r="C15" t="s">
        <v>21</v>
      </c>
      <c r="D15" t="s">
        <v>22</v>
      </c>
      <c r="E15" t="s">
        <v>4322</v>
      </c>
      <c r="F15" t="s">
        <v>3818</v>
      </c>
      <c r="G15" t="s">
        <v>3818</v>
      </c>
      <c r="H15" t="s">
        <v>4323</v>
      </c>
      <c r="N15" t="s">
        <v>33</v>
      </c>
      <c r="O15" s="1">
        <v>2.4305555555555549E-4</v>
      </c>
      <c r="P15">
        <v>0</v>
      </c>
      <c r="Q15">
        <v>0</v>
      </c>
      <c r="R15">
        <v>1</v>
      </c>
      <c r="S15">
        <v>0</v>
      </c>
      <c r="T15">
        <v>0</v>
      </c>
      <c r="U15" t="s">
        <v>27</v>
      </c>
      <c r="V15" t="s">
        <v>238</v>
      </c>
    </row>
    <row r="16" spans="1:22" x14ac:dyDescent="0.35">
      <c r="A16" t="s">
        <v>20</v>
      </c>
      <c r="B16">
        <v>17644</v>
      </c>
      <c r="C16" t="s">
        <v>21</v>
      </c>
      <c r="D16" t="s">
        <v>22</v>
      </c>
      <c r="E16" t="s">
        <v>4324</v>
      </c>
      <c r="F16" t="s">
        <v>87</v>
      </c>
      <c r="G16" t="s">
        <v>87</v>
      </c>
      <c r="H16" t="s">
        <v>4325</v>
      </c>
      <c r="N16" t="s">
        <v>33</v>
      </c>
      <c r="O16" s="1">
        <v>3.1250000000000001E-4</v>
      </c>
      <c r="P16">
        <v>0</v>
      </c>
      <c r="Q16">
        <v>0</v>
      </c>
      <c r="R16">
        <v>1</v>
      </c>
      <c r="S16">
        <v>0</v>
      </c>
      <c r="T16">
        <v>0</v>
      </c>
      <c r="U16" t="s">
        <v>27</v>
      </c>
      <c r="V16" t="s">
        <v>238</v>
      </c>
    </row>
    <row r="17" spans="1:22" x14ac:dyDescent="0.35">
      <c r="A17" t="s">
        <v>20</v>
      </c>
      <c r="B17">
        <v>17644</v>
      </c>
      <c r="C17" t="s">
        <v>21</v>
      </c>
      <c r="D17" t="s">
        <v>22</v>
      </c>
      <c r="E17" t="s">
        <v>4326</v>
      </c>
      <c r="F17" t="s">
        <v>272</v>
      </c>
      <c r="G17" t="s">
        <v>272</v>
      </c>
      <c r="H17" t="s">
        <v>4327</v>
      </c>
      <c r="N17" t="s">
        <v>33</v>
      </c>
      <c r="O17" s="1">
        <v>2.0833333333333329E-4</v>
      </c>
      <c r="P17">
        <v>0</v>
      </c>
      <c r="Q17">
        <v>1</v>
      </c>
      <c r="R17">
        <v>0</v>
      </c>
      <c r="S17">
        <v>0</v>
      </c>
      <c r="T17">
        <v>0</v>
      </c>
      <c r="U17" t="s">
        <v>27</v>
      </c>
      <c r="V17" t="s">
        <v>238</v>
      </c>
    </row>
    <row r="18" spans="1:22" x14ac:dyDescent="0.35">
      <c r="A18" t="s">
        <v>20</v>
      </c>
      <c r="B18">
        <v>17644</v>
      </c>
      <c r="C18" t="s">
        <v>21</v>
      </c>
      <c r="D18" t="s">
        <v>22</v>
      </c>
      <c r="E18" t="s">
        <v>4328</v>
      </c>
      <c r="F18" t="s">
        <v>276</v>
      </c>
      <c r="G18" t="s">
        <v>276</v>
      </c>
      <c r="H18" t="s">
        <v>4329</v>
      </c>
      <c r="N18" t="s">
        <v>33</v>
      </c>
      <c r="O18" s="1">
        <v>8.564814814814815E-4</v>
      </c>
      <c r="P18">
        <v>0</v>
      </c>
      <c r="Q18">
        <v>0</v>
      </c>
      <c r="R18">
        <v>0</v>
      </c>
      <c r="S18">
        <v>0</v>
      </c>
      <c r="T18">
        <v>1</v>
      </c>
      <c r="U18" t="s">
        <v>27</v>
      </c>
      <c r="V18" t="s">
        <v>238</v>
      </c>
    </row>
    <row r="19" spans="1:22" x14ac:dyDescent="0.35">
      <c r="A19" t="s">
        <v>20</v>
      </c>
      <c r="B19">
        <v>17644</v>
      </c>
      <c r="C19" t="s">
        <v>21</v>
      </c>
      <c r="D19" t="s">
        <v>22</v>
      </c>
      <c r="E19" t="s">
        <v>4330</v>
      </c>
      <c r="F19" t="s">
        <v>280</v>
      </c>
      <c r="G19" t="s">
        <v>280</v>
      </c>
      <c r="H19" t="s">
        <v>4331</v>
      </c>
      <c r="N19" t="s">
        <v>33</v>
      </c>
      <c r="O19" s="1">
        <v>7.8703703703703705E-4</v>
      </c>
      <c r="P19">
        <v>0</v>
      </c>
      <c r="Q19">
        <v>0</v>
      </c>
      <c r="R19">
        <v>0</v>
      </c>
      <c r="S19">
        <v>0</v>
      </c>
      <c r="T19">
        <v>1</v>
      </c>
      <c r="U19" t="s">
        <v>27</v>
      </c>
      <c r="V19" t="s">
        <v>238</v>
      </c>
    </row>
    <row r="20" spans="1:22" x14ac:dyDescent="0.35">
      <c r="A20" t="s">
        <v>20</v>
      </c>
      <c r="B20">
        <v>17644</v>
      </c>
      <c r="C20" t="s">
        <v>21</v>
      </c>
      <c r="D20" t="s">
        <v>22</v>
      </c>
      <c r="E20" t="s">
        <v>4332</v>
      </c>
      <c r="F20" t="s">
        <v>4333</v>
      </c>
      <c r="G20" t="s">
        <v>4333</v>
      </c>
      <c r="H20" t="s">
        <v>4334</v>
      </c>
      <c r="N20" t="s">
        <v>33</v>
      </c>
      <c r="O20" s="1">
        <v>5.3240740740740744E-4</v>
      </c>
      <c r="P20">
        <v>0</v>
      </c>
      <c r="Q20">
        <v>0</v>
      </c>
      <c r="R20">
        <v>0</v>
      </c>
      <c r="S20">
        <v>1</v>
      </c>
      <c r="T20">
        <v>0</v>
      </c>
      <c r="U20" t="s">
        <v>27</v>
      </c>
      <c r="V20" t="s">
        <v>238</v>
      </c>
    </row>
    <row r="21" spans="1:22" x14ac:dyDescent="0.35">
      <c r="A21" t="s">
        <v>20</v>
      </c>
      <c r="B21">
        <v>17644</v>
      </c>
      <c r="C21" t="s">
        <v>21</v>
      </c>
      <c r="D21" t="s">
        <v>22</v>
      </c>
      <c r="E21" t="s">
        <v>4335</v>
      </c>
      <c r="F21" t="s">
        <v>92</v>
      </c>
      <c r="G21" t="s">
        <v>92</v>
      </c>
      <c r="H21" t="s">
        <v>4336</v>
      </c>
      <c r="N21" t="s">
        <v>33</v>
      </c>
      <c r="O21" s="1">
        <v>1.273148148148148E-4</v>
      </c>
      <c r="P21">
        <v>0</v>
      </c>
      <c r="Q21">
        <v>1</v>
      </c>
      <c r="R21">
        <v>0</v>
      </c>
      <c r="S21">
        <v>0</v>
      </c>
      <c r="T21">
        <v>0</v>
      </c>
      <c r="U21" t="s">
        <v>27</v>
      </c>
      <c r="V21" t="s">
        <v>238</v>
      </c>
    </row>
    <row r="22" spans="1:22" x14ac:dyDescent="0.35">
      <c r="A22" t="s">
        <v>20</v>
      </c>
      <c r="B22">
        <v>17644</v>
      </c>
      <c r="C22" t="s">
        <v>21</v>
      </c>
      <c r="D22" t="s">
        <v>22</v>
      </c>
      <c r="E22" t="s">
        <v>4337</v>
      </c>
      <c r="F22" t="s">
        <v>96</v>
      </c>
      <c r="G22" t="s">
        <v>96</v>
      </c>
      <c r="H22" t="s">
        <v>4338</v>
      </c>
      <c r="N22" t="s">
        <v>33</v>
      </c>
      <c r="O22" s="1">
        <v>4.6296296296296298E-4</v>
      </c>
      <c r="P22">
        <v>0</v>
      </c>
      <c r="Q22">
        <v>0</v>
      </c>
      <c r="R22">
        <v>0</v>
      </c>
      <c r="S22">
        <v>1</v>
      </c>
      <c r="T22">
        <v>0</v>
      </c>
      <c r="U22" t="s">
        <v>27</v>
      </c>
      <c r="V22" t="s">
        <v>238</v>
      </c>
    </row>
    <row r="23" spans="1:22" x14ac:dyDescent="0.35">
      <c r="A23" t="s">
        <v>20</v>
      </c>
      <c r="B23">
        <v>17644</v>
      </c>
      <c r="C23" t="s">
        <v>21</v>
      </c>
      <c r="D23" t="s">
        <v>22</v>
      </c>
      <c r="E23" t="s">
        <v>4339</v>
      </c>
      <c r="F23" t="s">
        <v>289</v>
      </c>
      <c r="G23" t="s">
        <v>289</v>
      </c>
      <c r="H23" t="s">
        <v>3837</v>
      </c>
      <c r="N23" t="s">
        <v>33</v>
      </c>
      <c r="O23" s="1">
        <v>1.041666666666667E-4</v>
      </c>
      <c r="P23">
        <v>1</v>
      </c>
      <c r="Q23">
        <v>0</v>
      </c>
      <c r="R23">
        <v>0</v>
      </c>
      <c r="S23">
        <v>0</v>
      </c>
      <c r="T23">
        <v>0</v>
      </c>
      <c r="U23" t="s">
        <v>27</v>
      </c>
      <c r="V23" t="s">
        <v>238</v>
      </c>
    </row>
    <row r="24" spans="1:22" x14ac:dyDescent="0.35">
      <c r="A24" t="s">
        <v>20</v>
      </c>
      <c r="B24">
        <v>17644</v>
      </c>
      <c r="C24" t="s">
        <v>21</v>
      </c>
      <c r="D24" t="s">
        <v>22</v>
      </c>
      <c r="E24" t="s">
        <v>4340</v>
      </c>
      <c r="F24" t="s">
        <v>100</v>
      </c>
      <c r="G24" t="s">
        <v>100</v>
      </c>
      <c r="H24" t="s">
        <v>4341</v>
      </c>
      <c r="N24" t="s">
        <v>33</v>
      </c>
      <c r="O24" s="1">
        <v>6.4814814814814813E-4</v>
      </c>
      <c r="P24">
        <v>0</v>
      </c>
      <c r="Q24">
        <v>0</v>
      </c>
      <c r="R24">
        <v>0</v>
      </c>
      <c r="S24">
        <v>1</v>
      </c>
      <c r="T24">
        <v>0</v>
      </c>
      <c r="U24" t="s">
        <v>27</v>
      </c>
      <c r="V24" t="s">
        <v>238</v>
      </c>
    </row>
    <row r="25" spans="1:22" x14ac:dyDescent="0.35">
      <c r="A25" t="s">
        <v>20</v>
      </c>
      <c r="B25">
        <v>17644</v>
      </c>
      <c r="C25" t="s">
        <v>21</v>
      </c>
      <c r="D25" t="s">
        <v>22</v>
      </c>
      <c r="E25" t="s">
        <v>4342</v>
      </c>
      <c r="F25" t="s">
        <v>4343</v>
      </c>
      <c r="G25" t="s">
        <v>4343</v>
      </c>
      <c r="H25" t="s">
        <v>4344</v>
      </c>
      <c r="N25" t="s">
        <v>33</v>
      </c>
      <c r="O25" s="1">
        <v>1.157407407407407E-4</v>
      </c>
      <c r="P25">
        <v>1</v>
      </c>
      <c r="Q25">
        <v>0</v>
      </c>
      <c r="R25">
        <v>0</v>
      </c>
      <c r="S25">
        <v>0</v>
      </c>
      <c r="T25">
        <v>0</v>
      </c>
      <c r="U25" t="s">
        <v>27</v>
      </c>
      <c r="V25" t="s">
        <v>238</v>
      </c>
    </row>
    <row r="26" spans="1:22" x14ac:dyDescent="0.35">
      <c r="A26" t="s">
        <v>20</v>
      </c>
      <c r="B26">
        <v>17644</v>
      </c>
      <c r="C26" t="s">
        <v>21</v>
      </c>
      <c r="D26" t="s">
        <v>22</v>
      </c>
      <c r="E26" t="s">
        <v>4345</v>
      </c>
      <c r="F26" t="s">
        <v>3842</v>
      </c>
      <c r="G26" t="s">
        <v>3842</v>
      </c>
      <c r="H26" t="s">
        <v>4346</v>
      </c>
      <c r="N26" t="s">
        <v>33</v>
      </c>
      <c r="O26" s="1">
        <v>1.6203703703703701E-4</v>
      </c>
      <c r="P26">
        <v>0</v>
      </c>
      <c r="Q26">
        <v>1</v>
      </c>
      <c r="R26">
        <v>0</v>
      </c>
      <c r="S26">
        <v>0</v>
      </c>
      <c r="T26">
        <v>0</v>
      </c>
      <c r="U26" t="s">
        <v>27</v>
      </c>
      <c r="V26" t="s">
        <v>238</v>
      </c>
    </row>
    <row r="27" spans="1:22" x14ac:dyDescent="0.35">
      <c r="A27" t="s">
        <v>20</v>
      </c>
      <c r="B27">
        <v>17644</v>
      </c>
      <c r="C27" t="s">
        <v>21</v>
      </c>
      <c r="D27" t="s">
        <v>22</v>
      </c>
      <c r="E27" t="s">
        <v>4347</v>
      </c>
      <c r="F27" t="s">
        <v>112</v>
      </c>
      <c r="G27" t="s">
        <v>112</v>
      </c>
      <c r="H27" t="s">
        <v>4348</v>
      </c>
      <c r="N27" t="s">
        <v>33</v>
      </c>
      <c r="O27" s="1">
        <v>6.9444444444444444E-5</v>
      </c>
      <c r="P27">
        <v>1</v>
      </c>
      <c r="Q27">
        <v>0</v>
      </c>
      <c r="R27">
        <v>0</v>
      </c>
      <c r="S27">
        <v>0</v>
      </c>
      <c r="T27">
        <v>0</v>
      </c>
      <c r="U27" t="s">
        <v>27</v>
      </c>
      <c r="V27" t="s">
        <v>238</v>
      </c>
    </row>
    <row r="28" spans="1:22" x14ac:dyDescent="0.35">
      <c r="A28" t="s">
        <v>20</v>
      </c>
      <c r="B28">
        <v>17644</v>
      </c>
      <c r="C28" t="s">
        <v>21</v>
      </c>
      <c r="D28" t="s">
        <v>22</v>
      </c>
      <c r="E28" t="s">
        <v>4349</v>
      </c>
      <c r="F28" t="s">
        <v>309</v>
      </c>
      <c r="G28" t="s">
        <v>309</v>
      </c>
      <c r="H28" t="s">
        <v>4350</v>
      </c>
      <c r="N28" t="s">
        <v>33</v>
      </c>
      <c r="O28" s="1">
        <v>4.9768518518518521E-4</v>
      </c>
      <c r="P28">
        <v>0</v>
      </c>
      <c r="Q28">
        <v>0</v>
      </c>
      <c r="R28">
        <v>0</v>
      </c>
      <c r="S28">
        <v>1</v>
      </c>
      <c r="T28">
        <v>0</v>
      </c>
      <c r="U28" t="s">
        <v>27</v>
      </c>
      <c r="V28" t="s">
        <v>238</v>
      </c>
    </row>
    <row r="29" spans="1:22" x14ac:dyDescent="0.35">
      <c r="A29" t="s">
        <v>20</v>
      </c>
      <c r="B29">
        <v>17644</v>
      </c>
      <c r="C29" t="s">
        <v>21</v>
      </c>
      <c r="D29" t="s">
        <v>22</v>
      </c>
      <c r="E29" t="s">
        <v>4351</v>
      </c>
      <c r="F29" t="s">
        <v>4352</v>
      </c>
      <c r="G29" t="s">
        <v>4352</v>
      </c>
      <c r="H29" t="s">
        <v>4353</v>
      </c>
      <c r="N29" t="s">
        <v>33</v>
      </c>
      <c r="O29" s="1">
        <v>3.3564814814814812E-4</v>
      </c>
      <c r="P29">
        <v>0</v>
      </c>
      <c r="Q29">
        <v>0</v>
      </c>
      <c r="R29">
        <v>1</v>
      </c>
      <c r="S29">
        <v>0</v>
      </c>
      <c r="T29">
        <v>0</v>
      </c>
      <c r="U29" t="s">
        <v>27</v>
      </c>
      <c r="V29" t="s">
        <v>238</v>
      </c>
    </row>
    <row r="30" spans="1:22" x14ac:dyDescent="0.35">
      <c r="A30" t="s">
        <v>20</v>
      </c>
      <c r="B30">
        <v>17644</v>
      </c>
      <c r="C30" t="s">
        <v>21</v>
      </c>
      <c r="D30" t="s">
        <v>22</v>
      </c>
      <c r="E30" t="s">
        <v>4354</v>
      </c>
      <c r="F30" t="s">
        <v>317</v>
      </c>
      <c r="G30" t="s">
        <v>317</v>
      </c>
      <c r="H30" t="s">
        <v>4355</v>
      </c>
      <c r="N30" t="s">
        <v>33</v>
      </c>
      <c r="O30" s="1">
        <v>1.5740740740740741E-3</v>
      </c>
      <c r="P30">
        <v>0</v>
      </c>
      <c r="Q30">
        <v>0</v>
      </c>
      <c r="R30">
        <v>0</v>
      </c>
      <c r="S30">
        <v>0</v>
      </c>
      <c r="T30">
        <v>1</v>
      </c>
      <c r="U30" t="s">
        <v>27</v>
      </c>
      <c r="V30" t="s">
        <v>238</v>
      </c>
    </row>
    <row r="31" spans="1:22" x14ac:dyDescent="0.35">
      <c r="A31" t="s">
        <v>20</v>
      </c>
      <c r="B31">
        <v>17644</v>
      </c>
      <c r="C31" t="s">
        <v>21</v>
      </c>
      <c r="D31" t="s">
        <v>22</v>
      </c>
      <c r="E31" t="s">
        <v>4356</v>
      </c>
      <c r="F31" t="s">
        <v>133</v>
      </c>
      <c r="G31" t="s">
        <v>133</v>
      </c>
      <c r="H31" t="s">
        <v>4357</v>
      </c>
      <c r="N31" t="s">
        <v>33</v>
      </c>
      <c r="O31" s="1">
        <v>1.7361111111111109E-4</v>
      </c>
      <c r="P31">
        <v>0</v>
      </c>
      <c r="Q31">
        <v>1</v>
      </c>
      <c r="R31">
        <v>0</v>
      </c>
      <c r="S31">
        <v>0</v>
      </c>
      <c r="T31">
        <v>0</v>
      </c>
      <c r="U31" t="s">
        <v>27</v>
      </c>
      <c r="V31" t="s">
        <v>238</v>
      </c>
    </row>
    <row r="32" spans="1:22" x14ac:dyDescent="0.35">
      <c r="A32" t="s">
        <v>20</v>
      </c>
      <c r="B32">
        <v>17644</v>
      </c>
      <c r="C32" t="s">
        <v>21</v>
      </c>
      <c r="D32" t="s">
        <v>22</v>
      </c>
      <c r="E32" t="s">
        <v>4358</v>
      </c>
      <c r="F32" t="s">
        <v>329</v>
      </c>
      <c r="G32" t="s">
        <v>329</v>
      </c>
      <c r="H32" t="s">
        <v>4359</v>
      </c>
      <c r="N32" t="s">
        <v>33</v>
      </c>
      <c r="O32" s="1">
        <v>2.6620370370370372E-4</v>
      </c>
      <c r="P32">
        <v>0</v>
      </c>
      <c r="Q32">
        <v>0</v>
      </c>
      <c r="R32">
        <v>1</v>
      </c>
      <c r="S32">
        <v>0</v>
      </c>
      <c r="T32">
        <v>0</v>
      </c>
      <c r="U32" t="s">
        <v>27</v>
      </c>
      <c r="V32" t="s">
        <v>238</v>
      </c>
    </row>
    <row r="33" spans="1:22" x14ac:dyDescent="0.35">
      <c r="A33" t="s">
        <v>20</v>
      </c>
      <c r="B33">
        <v>17644</v>
      </c>
      <c r="C33" t="s">
        <v>21</v>
      </c>
      <c r="D33" t="s">
        <v>22</v>
      </c>
      <c r="E33" t="s">
        <v>4360</v>
      </c>
      <c r="F33" t="s">
        <v>3859</v>
      </c>
      <c r="G33" t="s">
        <v>3859</v>
      </c>
      <c r="H33" t="s">
        <v>4361</v>
      </c>
      <c r="N33" t="s">
        <v>33</v>
      </c>
      <c r="O33" s="1">
        <v>1.3888888888888889E-4</v>
      </c>
      <c r="P33">
        <v>0</v>
      </c>
      <c r="Q33">
        <v>1</v>
      </c>
      <c r="R33">
        <v>0</v>
      </c>
      <c r="S33">
        <v>0</v>
      </c>
      <c r="T33">
        <v>0</v>
      </c>
      <c r="U33" t="s">
        <v>27</v>
      </c>
      <c r="V33" t="s">
        <v>238</v>
      </c>
    </row>
    <row r="34" spans="1:22" x14ac:dyDescent="0.35">
      <c r="A34" t="s">
        <v>20</v>
      </c>
      <c r="B34">
        <v>17644</v>
      </c>
      <c r="C34" t="s">
        <v>21</v>
      </c>
      <c r="D34" t="s">
        <v>22</v>
      </c>
      <c r="E34" t="s">
        <v>4362</v>
      </c>
      <c r="F34" t="s">
        <v>4363</v>
      </c>
      <c r="G34" t="s">
        <v>4363</v>
      </c>
      <c r="H34" t="s">
        <v>4364</v>
      </c>
      <c r="N34" t="s">
        <v>33</v>
      </c>
      <c r="O34" s="1">
        <v>8.564814814814815E-4</v>
      </c>
      <c r="P34">
        <v>0</v>
      </c>
      <c r="Q34">
        <v>0</v>
      </c>
      <c r="R34">
        <v>0</v>
      </c>
      <c r="S34">
        <v>0</v>
      </c>
      <c r="T34">
        <v>1</v>
      </c>
      <c r="U34" t="s">
        <v>27</v>
      </c>
      <c r="V34" t="s">
        <v>238</v>
      </c>
    </row>
    <row r="35" spans="1:22" x14ac:dyDescent="0.35">
      <c r="A35" t="s">
        <v>20</v>
      </c>
      <c r="B35">
        <v>17644</v>
      </c>
      <c r="C35" t="s">
        <v>21</v>
      </c>
      <c r="D35" t="s">
        <v>22</v>
      </c>
      <c r="E35" t="s">
        <v>4365</v>
      </c>
      <c r="F35" t="s">
        <v>3865</v>
      </c>
      <c r="G35" t="s">
        <v>3865</v>
      </c>
      <c r="H35" t="s">
        <v>4366</v>
      </c>
      <c r="N35" t="s">
        <v>33</v>
      </c>
      <c r="O35" s="1">
        <v>5.7870370370370373E-5</v>
      </c>
      <c r="P35">
        <v>1</v>
      </c>
      <c r="Q35">
        <v>0</v>
      </c>
      <c r="R35">
        <v>0</v>
      </c>
      <c r="S35">
        <v>0</v>
      </c>
      <c r="T35">
        <v>0</v>
      </c>
      <c r="U35" t="s">
        <v>27</v>
      </c>
      <c r="V35" t="s">
        <v>238</v>
      </c>
    </row>
    <row r="36" spans="1:22" x14ac:dyDescent="0.35">
      <c r="A36" t="s">
        <v>20</v>
      </c>
      <c r="B36">
        <v>17644</v>
      </c>
      <c r="C36" t="s">
        <v>21</v>
      </c>
      <c r="D36" t="s">
        <v>22</v>
      </c>
      <c r="E36" t="s">
        <v>4367</v>
      </c>
      <c r="F36" t="s">
        <v>3868</v>
      </c>
      <c r="G36" t="s">
        <v>3868</v>
      </c>
      <c r="H36" t="s">
        <v>4368</v>
      </c>
      <c r="N36" t="s">
        <v>33</v>
      </c>
      <c r="O36" s="1">
        <v>2.0833333333333329E-4</v>
      </c>
      <c r="P36">
        <v>0</v>
      </c>
      <c r="Q36">
        <v>1</v>
      </c>
      <c r="R36">
        <v>0</v>
      </c>
      <c r="S36">
        <v>0</v>
      </c>
      <c r="T36">
        <v>0</v>
      </c>
      <c r="U36" t="s">
        <v>27</v>
      </c>
      <c r="V36" t="s">
        <v>238</v>
      </c>
    </row>
    <row r="37" spans="1:22" x14ac:dyDescent="0.35">
      <c r="A37" t="s">
        <v>20</v>
      </c>
      <c r="B37">
        <v>17644</v>
      </c>
      <c r="C37" t="s">
        <v>21</v>
      </c>
      <c r="D37" t="s">
        <v>22</v>
      </c>
      <c r="E37" t="s">
        <v>4369</v>
      </c>
      <c r="F37" t="s">
        <v>4370</v>
      </c>
      <c r="G37" t="s">
        <v>4370</v>
      </c>
      <c r="H37" t="s">
        <v>4371</v>
      </c>
      <c r="N37" t="s">
        <v>33</v>
      </c>
      <c r="O37" s="1">
        <v>4.6296296296296287E-5</v>
      </c>
      <c r="P37">
        <v>1</v>
      </c>
      <c r="Q37">
        <v>0</v>
      </c>
      <c r="R37">
        <v>0</v>
      </c>
      <c r="S37">
        <v>0</v>
      </c>
      <c r="T37">
        <v>0</v>
      </c>
      <c r="U37" t="s">
        <v>27</v>
      </c>
      <c r="V37" t="s">
        <v>238</v>
      </c>
    </row>
    <row r="38" spans="1:22" x14ac:dyDescent="0.35">
      <c r="A38" t="s">
        <v>20</v>
      </c>
      <c r="B38">
        <v>17644</v>
      </c>
      <c r="C38" t="s">
        <v>21</v>
      </c>
      <c r="D38" t="s">
        <v>22</v>
      </c>
      <c r="E38" t="s">
        <v>4372</v>
      </c>
      <c r="F38" t="s">
        <v>154</v>
      </c>
      <c r="G38" t="s">
        <v>154</v>
      </c>
      <c r="H38" t="s">
        <v>4373</v>
      </c>
      <c r="N38" t="s">
        <v>33</v>
      </c>
      <c r="O38" s="1">
        <v>4.5138888888888892E-4</v>
      </c>
      <c r="P38">
        <v>0</v>
      </c>
      <c r="Q38">
        <v>0</v>
      </c>
      <c r="R38">
        <v>0</v>
      </c>
      <c r="S38">
        <v>1</v>
      </c>
      <c r="T38">
        <v>0</v>
      </c>
      <c r="U38" t="s">
        <v>27</v>
      </c>
      <c r="V38" t="s">
        <v>238</v>
      </c>
    </row>
    <row r="39" spans="1:22" x14ac:dyDescent="0.35">
      <c r="A39" t="s">
        <v>20</v>
      </c>
      <c r="B39">
        <v>17644</v>
      </c>
      <c r="C39" t="s">
        <v>21</v>
      </c>
      <c r="D39" t="s">
        <v>22</v>
      </c>
      <c r="E39" t="s">
        <v>4374</v>
      </c>
      <c r="F39" t="s">
        <v>158</v>
      </c>
      <c r="G39" t="s">
        <v>158</v>
      </c>
      <c r="H39" t="s">
        <v>4375</v>
      </c>
      <c r="N39" t="s">
        <v>33</v>
      </c>
      <c r="O39" s="1">
        <v>3.2407407407407412E-4</v>
      </c>
      <c r="P39">
        <v>0</v>
      </c>
      <c r="Q39">
        <v>0</v>
      </c>
      <c r="R39">
        <v>1</v>
      </c>
      <c r="S39">
        <v>0</v>
      </c>
      <c r="T39">
        <v>0</v>
      </c>
      <c r="U39" t="s">
        <v>27</v>
      </c>
      <c r="V39" t="s">
        <v>238</v>
      </c>
    </row>
    <row r="40" spans="1:22" x14ac:dyDescent="0.35">
      <c r="A40" t="s">
        <v>20</v>
      </c>
      <c r="B40">
        <v>17644</v>
      </c>
      <c r="C40" t="s">
        <v>21</v>
      </c>
      <c r="D40" t="s">
        <v>22</v>
      </c>
      <c r="E40" t="s">
        <v>4376</v>
      </c>
      <c r="F40" t="s">
        <v>349</v>
      </c>
      <c r="G40" t="s">
        <v>349</v>
      </c>
      <c r="H40" t="s">
        <v>4377</v>
      </c>
      <c r="N40" t="s">
        <v>33</v>
      </c>
      <c r="O40" s="1">
        <v>8.4490740740740739E-4</v>
      </c>
      <c r="P40">
        <v>0</v>
      </c>
      <c r="Q40">
        <v>0</v>
      </c>
      <c r="R40">
        <v>0</v>
      </c>
      <c r="S40">
        <v>0</v>
      </c>
      <c r="T40">
        <v>1</v>
      </c>
      <c r="U40" t="s">
        <v>27</v>
      </c>
      <c r="V40" t="s">
        <v>238</v>
      </c>
    </row>
    <row r="41" spans="1:22" x14ac:dyDescent="0.35">
      <c r="A41" t="s">
        <v>20</v>
      </c>
      <c r="B41">
        <v>17644</v>
      </c>
      <c r="C41" t="s">
        <v>21</v>
      </c>
      <c r="D41" t="s">
        <v>22</v>
      </c>
      <c r="E41" t="s">
        <v>4378</v>
      </c>
      <c r="F41" t="s">
        <v>353</v>
      </c>
      <c r="G41" t="s">
        <v>353</v>
      </c>
      <c r="H41" t="s">
        <v>4379</v>
      </c>
      <c r="N41" t="s">
        <v>33</v>
      </c>
      <c r="O41" s="1">
        <v>1.006944444444444E-3</v>
      </c>
      <c r="P41">
        <v>0</v>
      </c>
      <c r="Q41">
        <v>0</v>
      </c>
      <c r="R41">
        <v>0</v>
      </c>
      <c r="S41">
        <v>0</v>
      </c>
      <c r="T41">
        <v>1</v>
      </c>
      <c r="U41" t="s">
        <v>27</v>
      </c>
      <c r="V41" t="s">
        <v>238</v>
      </c>
    </row>
    <row r="42" spans="1:22" x14ac:dyDescent="0.35">
      <c r="A42" t="s">
        <v>20</v>
      </c>
      <c r="B42">
        <v>17644</v>
      </c>
      <c r="C42" t="s">
        <v>21</v>
      </c>
      <c r="D42" t="s">
        <v>22</v>
      </c>
      <c r="E42" t="s">
        <v>4380</v>
      </c>
      <c r="F42" t="s">
        <v>166</v>
      </c>
      <c r="G42" t="s">
        <v>166</v>
      </c>
      <c r="H42" t="s">
        <v>4381</v>
      </c>
      <c r="N42" t="s">
        <v>33</v>
      </c>
      <c r="O42" s="1">
        <v>4.6296296296296287E-5</v>
      </c>
      <c r="P42">
        <v>1</v>
      </c>
      <c r="Q42">
        <v>0</v>
      </c>
      <c r="R42">
        <v>0</v>
      </c>
      <c r="S42">
        <v>0</v>
      </c>
      <c r="T42">
        <v>0</v>
      </c>
      <c r="U42" t="s">
        <v>27</v>
      </c>
      <c r="V42" t="s">
        <v>238</v>
      </c>
    </row>
    <row r="43" spans="1:22" x14ac:dyDescent="0.35">
      <c r="A43" t="s">
        <v>20</v>
      </c>
      <c r="B43">
        <v>17644</v>
      </c>
      <c r="C43" t="s">
        <v>21</v>
      </c>
      <c r="D43" t="s">
        <v>22</v>
      </c>
      <c r="E43" t="s">
        <v>4382</v>
      </c>
      <c r="F43" t="s">
        <v>357</v>
      </c>
      <c r="G43" t="s">
        <v>357</v>
      </c>
      <c r="H43" t="s">
        <v>4383</v>
      </c>
      <c r="N43" t="s">
        <v>33</v>
      </c>
      <c r="O43" s="1">
        <v>7.0601851851851847E-4</v>
      </c>
      <c r="P43">
        <v>0</v>
      </c>
      <c r="Q43">
        <v>0</v>
      </c>
      <c r="R43">
        <v>0</v>
      </c>
      <c r="S43">
        <v>0</v>
      </c>
      <c r="T43">
        <v>1</v>
      </c>
      <c r="U43" t="s">
        <v>27</v>
      </c>
      <c r="V43" t="s">
        <v>238</v>
      </c>
    </row>
    <row r="44" spans="1:22" x14ac:dyDescent="0.35">
      <c r="A44" t="s">
        <v>20</v>
      </c>
      <c r="B44">
        <v>17644</v>
      </c>
      <c r="C44" t="s">
        <v>21</v>
      </c>
      <c r="D44" t="s">
        <v>22</v>
      </c>
      <c r="E44" t="s">
        <v>4384</v>
      </c>
      <c r="F44" t="s">
        <v>3886</v>
      </c>
      <c r="G44" t="s">
        <v>3886</v>
      </c>
      <c r="H44" t="s">
        <v>4385</v>
      </c>
      <c r="N44" t="s">
        <v>33</v>
      </c>
      <c r="O44" s="1">
        <v>2.6620370370370372E-4</v>
      </c>
      <c r="P44">
        <v>0</v>
      </c>
      <c r="Q44">
        <v>0</v>
      </c>
      <c r="R44">
        <v>1</v>
      </c>
      <c r="S44">
        <v>0</v>
      </c>
      <c r="T44">
        <v>0</v>
      </c>
      <c r="U44" t="s">
        <v>27</v>
      </c>
      <c r="V44" t="s">
        <v>238</v>
      </c>
    </row>
    <row r="45" spans="1:22" x14ac:dyDescent="0.35">
      <c r="A45" t="s">
        <v>20</v>
      </c>
      <c r="B45">
        <v>17644</v>
      </c>
      <c r="C45" t="s">
        <v>21</v>
      </c>
      <c r="D45" t="s">
        <v>22</v>
      </c>
      <c r="E45" t="s">
        <v>4386</v>
      </c>
      <c r="F45" t="s">
        <v>174</v>
      </c>
      <c r="G45" t="s">
        <v>174</v>
      </c>
      <c r="H45" t="s">
        <v>4387</v>
      </c>
      <c r="N45" t="s">
        <v>33</v>
      </c>
      <c r="O45" s="1">
        <v>1.041666666666667E-4</v>
      </c>
      <c r="P45">
        <v>1</v>
      </c>
      <c r="Q45">
        <v>0</v>
      </c>
      <c r="R45">
        <v>0</v>
      </c>
      <c r="S45">
        <v>0</v>
      </c>
      <c r="T45">
        <v>0</v>
      </c>
      <c r="U45" t="s">
        <v>27</v>
      </c>
      <c r="V45" t="s">
        <v>238</v>
      </c>
    </row>
    <row r="46" spans="1:22" x14ac:dyDescent="0.35">
      <c r="A46" t="s">
        <v>20</v>
      </c>
      <c r="B46">
        <v>17644</v>
      </c>
      <c r="C46" t="s">
        <v>21</v>
      </c>
      <c r="D46" t="s">
        <v>22</v>
      </c>
      <c r="E46" t="s">
        <v>4388</v>
      </c>
      <c r="F46" t="s">
        <v>365</v>
      </c>
      <c r="G46" t="s">
        <v>365</v>
      </c>
      <c r="H46" t="s">
        <v>4389</v>
      </c>
      <c r="N46" t="s">
        <v>33</v>
      </c>
      <c r="O46" s="1">
        <v>2.7777777777777778E-4</v>
      </c>
      <c r="P46">
        <v>0</v>
      </c>
      <c r="Q46">
        <v>0</v>
      </c>
      <c r="R46">
        <v>1</v>
      </c>
      <c r="S46">
        <v>0</v>
      </c>
      <c r="T46">
        <v>0</v>
      </c>
      <c r="U46" t="s">
        <v>27</v>
      </c>
      <c r="V46" t="s">
        <v>238</v>
      </c>
    </row>
    <row r="47" spans="1:22" x14ac:dyDescent="0.35">
      <c r="A47" t="s">
        <v>20</v>
      </c>
      <c r="B47">
        <v>17644</v>
      </c>
      <c r="C47" t="s">
        <v>21</v>
      </c>
      <c r="D47" t="s">
        <v>22</v>
      </c>
      <c r="E47" t="s">
        <v>4390</v>
      </c>
      <c r="F47" t="s">
        <v>369</v>
      </c>
      <c r="G47" t="s">
        <v>369</v>
      </c>
      <c r="H47" t="s">
        <v>4391</v>
      </c>
      <c r="N47" t="s">
        <v>33</v>
      </c>
      <c r="O47" s="1">
        <v>1.273148148148148E-4</v>
      </c>
      <c r="P47">
        <v>0</v>
      </c>
      <c r="Q47">
        <v>1</v>
      </c>
      <c r="R47">
        <v>0</v>
      </c>
      <c r="S47">
        <v>0</v>
      </c>
      <c r="T47">
        <v>0</v>
      </c>
      <c r="U47" t="s">
        <v>27</v>
      </c>
      <c r="V47" t="s">
        <v>238</v>
      </c>
    </row>
    <row r="48" spans="1:22" x14ac:dyDescent="0.35">
      <c r="A48" t="s">
        <v>20</v>
      </c>
      <c r="B48">
        <v>17644</v>
      </c>
      <c r="C48" t="s">
        <v>21</v>
      </c>
      <c r="D48" t="s">
        <v>22</v>
      </c>
      <c r="E48" t="s">
        <v>4392</v>
      </c>
      <c r="F48" t="s">
        <v>183</v>
      </c>
      <c r="G48" t="s">
        <v>183</v>
      </c>
      <c r="H48" t="s">
        <v>4393</v>
      </c>
      <c r="N48" t="s">
        <v>33</v>
      </c>
      <c r="O48" s="1">
        <v>8.564814814814815E-4</v>
      </c>
      <c r="P48">
        <v>0</v>
      </c>
      <c r="Q48">
        <v>0</v>
      </c>
      <c r="R48">
        <v>0</v>
      </c>
      <c r="S48">
        <v>0</v>
      </c>
      <c r="T48">
        <v>1</v>
      </c>
      <c r="U48" t="s">
        <v>27</v>
      </c>
      <c r="V48" t="s">
        <v>238</v>
      </c>
    </row>
    <row r="49" spans="1:22" x14ac:dyDescent="0.35">
      <c r="A49" t="s">
        <v>20</v>
      </c>
      <c r="B49">
        <v>17644</v>
      </c>
      <c r="C49" t="s">
        <v>21</v>
      </c>
      <c r="D49" t="s">
        <v>22</v>
      </c>
      <c r="E49" t="s">
        <v>4394</v>
      </c>
      <c r="F49" t="s">
        <v>191</v>
      </c>
      <c r="G49" t="s">
        <v>191</v>
      </c>
      <c r="H49" t="s">
        <v>4395</v>
      </c>
      <c r="N49" t="s">
        <v>33</v>
      </c>
      <c r="O49" s="1">
        <v>5.4398148148148144E-4</v>
      </c>
      <c r="P49">
        <v>0</v>
      </c>
      <c r="Q49">
        <v>0</v>
      </c>
      <c r="R49">
        <v>0</v>
      </c>
      <c r="S49">
        <v>1</v>
      </c>
      <c r="T49">
        <v>0</v>
      </c>
      <c r="U49" t="s">
        <v>27</v>
      </c>
      <c r="V49" t="s">
        <v>238</v>
      </c>
    </row>
    <row r="50" spans="1:22" x14ac:dyDescent="0.35">
      <c r="A50" t="s">
        <v>20</v>
      </c>
      <c r="B50">
        <v>17644</v>
      </c>
      <c r="C50" t="s">
        <v>21</v>
      </c>
      <c r="D50" t="s">
        <v>22</v>
      </c>
      <c r="E50" t="s">
        <v>4396</v>
      </c>
      <c r="F50" t="s">
        <v>195</v>
      </c>
      <c r="G50" t="s">
        <v>195</v>
      </c>
      <c r="H50" t="s">
        <v>4397</v>
      </c>
      <c r="N50" t="s">
        <v>33</v>
      </c>
      <c r="O50" s="1">
        <v>6.2500000000000001E-4</v>
      </c>
      <c r="P50">
        <v>0</v>
      </c>
      <c r="Q50">
        <v>0</v>
      </c>
      <c r="R50">
        <v>0</v>
      </c>
      <c r="S50">
        <v>1</v>
      </c>
      <c r="T50">
        <v>0</v>
      </c>
      <c r="U50" t="s">
        <v>27</v>
      </c>
      <c r="V50" t="s">
        <v>238</v>
      </c>
    </row>
    <row r="51" spans="1:22" x14ac:dyDescent="0.35">
      <c r="A51" t="s">
        <v>20</v>
      </c>
      <c r="B51">
        <v>17644</v>
      </c>
      <c r="C51" t="s">
        <v>21</v>
      </c>
      <c r="D51" t="s">
        <v>22</v>
      </c>
      <c r="E51" t="s">
        <v>4398</v>
      </c>
      <c r="F51" t="s">
        <v>388</v>
      </c>
      <c r="G51" t="s">
        <v>388</v>
      </c>
      <c r="H51" t="s">
        <v>4399</v>
      </c>
      <c r="N51" t="s">
        <v>33</v>
      </c>
      <c r="O51" s="1">
        <v>3.5879629629629629E-4</v>
      </c>
      <c r="P51">
        <v>0</v>
      </c>
      <c r="Q51">
        <v>0</v>
      </c>
      <c r="R51">
        <v>0</v>
      </c>
      <c r="S51">
        <v>1</v>
      </c>
      <c r="T51">
        <v>0</v>
      </c>
      <c r="U51" t="s">
        <v>27</v>
      </c>
      <c r="V51" t="s">
        <v>238</v>
      </c>
    </row>
    <row r="52" spans="1:22" x14ac:dyDescent="0.35">
      <c r="A52" t="s">
        <v>20</v>
      </c>
      <c r="B52">
        <v>17644</v>
      </c>
      <c r="C52" t="s">
        <v>21</v>
      </c>
      <c r="D52" t="s">
        <v>22</v>
      </c>
      <c r="E52" t="s">
        <v>4400</v>
      </c>
      <c r="F52" t="s">
        <v>203</v>
      </c>
      <c r="G52" t="s">
        <v>203</v>
      </c>
      <c r="H52" t="s">
        <v>4401</v>
      </c>
      <c r="N52" t="s">
        <v>33</v>
      </c>
      <c r="O52" s="1">
        <v>4.9768518518518521E-4</v>
      </c>
      <c r="P52">
        <v>0</v>
      </c>
      <c r="Q52">
        <v>0</v>
      </c>
      <c r="R52">
        <v>0</v>
      </c>
      <c r="S52">
        <v>1</v>
      </c>
      <c r="T52">
        <v>0</v>
      </c>
      <c r="U52" t="s">
        <v>27</v>
      </c>
      <c r="V52" t="s">
        <v>238</v>
      </c>
    </row>
    <row r="53" spans="1:22" x14ac:dyDescent="0.35">
      <c r="A53" t="s">
        <v>20</v>
      </c>
      <c r="B53">
        <v>17644</v>
      </c>
      <c r="C53" t="s">
        <v>21</v>
      </c>
      <c r="D53" t="s">
        <v>22</v>
      </c>
      <c r="E53" t="s">
        <v>4402</v>
      </c>
      <c r="F53" t="s">
        <v>211</v>
      </c>
      <c r="G53" t="s">
        <v>211</v>
      </c>
      <c r="H53" t="s">
        <v>4403</v>
      </c>
      <c r="N53" t="s">
        <v>33</v>
      </c>
      <c r="O53" s="1">
        <v>7.291666666666667E-4</v>
      </c>
      <c r="P53">
        <v>0</v>
      </c>
      <c r="Q53">
        <v>0</v>
      </c>
      <c r="R53">
        <v>0</v>
      </c>
      <c r="S53">
        <v>0</v>
      </c>
      <c r="T53">
        <v>1</v>
      </c>
      <c r="U53" t="s">
        <v>27</v>
      </c>
      <c r="V53" t="s">
        <v>238</v>
      </c>
    </row>
    <row r="54" spans="1:22" x14ac:dyDescent="0.35">
      <c r="A54" t="s">
        <v>20</v>
      </c>
      <c r="B54">
        <v>17644</v>
      </c>
      <c r="C54" t="s">
        <v>21</v>
      </c>
      <c r="D54" t="s">
        <v>22</v>
      </c>
      <c r="E54" t="s">
        <v>4404</v>
      </c>
      <c r="F54" t="s">
        <v>4405</v>
      </c>
      <c r="G54" t="s">
        <v>4405</v>
      </c>
      <c r="H54" t="s">
        <v>4406</v>
      </c>
      <c r="N54" t="s">
        <v>33</v>
      </c>
      <c r="O54" s="1">
        <v>6.4814814814814813E-4</v>
      </c>
      <c r="P54">
        <v>0</v>
      </c>
      <c r="Q54">
        <v>0</v>
      </c>
      <c r="R54">
        <v>0</v>
      </c>
      <c r="S54">
        <v>1</v>
      </c>
      <c r="T54">
        <v>0</v>
      </c>
      <c r="U54" t="s">
        <v>27</v>
      </c>
      <c r="V54" t="s">
        <v>238</v>
      </c>
    </row>
    <row r="55" spans="1:22" x14ac:dyDescent="0.35">
      <c r="A55" t="s">
        <v>20</v>
      </c>
      <c r="B55">
        <v>17644</v>
      </c>
      <c r="C55" t="s">
        <v>21</v>
      </c>
      <c r="D55" t="s">
        <v>22</v>
      </c>
      <c r="E55" t="s">
        <v>4407</v>
      </c>
      <c r="F55" t="s">
        <v>403</v>
      </c>
      <c r="G55" t="s">
        <v>403</v>
      </c>
      <c r="H55" t="s">
        <v>4408</v>
      </c>
      <c r="N55" t="s">
        <v>33</v>
      </c>
      <c r="O55" s="1">
        <v>7.0601851851851847E-4</v>
      </c>
      <c r="P55">
        <v>0</v>
      </c>
      <c r="Q55">
        <v>0</v>
      </c>
      <c r="R55">
        <v>0</v>
      </c>
      <c r="S55">
        <v>0</v>
      </c>
      <c r="T55">
        <v>1</v>
      </c>
      <c r="U55" t="s">
        <v>27</v>
      </c>
      <c r="V55" t="s">
        <v>238</v>
      </c>
    </row>
    <row r="56" spans="1:22" x14ac:dyDescent="0.35">
      <c r="A56" t="s">
        <v>20</v>
      </c>
      <c r="B56">
        <v>17644</v>
      </c>
      <c r="C56" t="s">
        <v>21</v>
      </c>
      <c r="D56" t="s">
        <v>22</v>
      </c>
      <c r="E56" t="s">
        <v>4409</v>
      </c>
      <c r="F56" t="s">
        <v>4410</v>
      </c>
      <c r="G56" t="s">
        <v>4410</v>
      </c>
      <c r="H56" t="s">
        <v>4411</v>
      </c>
      <c r="N56" t="s">
        <v>33</v>
      </c>
      <c r="O56" s="1">
        <v>4.861111111111111E-4</v>
      </c>
      <c r="P56">
        <v>0</v>
      </c>
      <c r="Q56">
        <v>0</v>
      </c>
      <c r="R56">
        <v>0</v>
      </c>
      <c r="S56">
        <v>1</v>
      </c>
      <c r="T56">
        <v>0</v>
      </c>
      <c r="U56" t="s">
        <v>27</v>
      </c>
      <c r="V56" t="s">
        <v>238</v>
      </c>
    </row>
    <row r="57" spans="1:22" x14ac:dyDescent="0.35">
      <c r="A57" t="s">
        <v>20</v>
      </c>
      <c r="B57">
        <v>17644</v>
      </c>
      <c r="C57" t="s">
        <v>21</v>
      </c>
      <c r="D57" t="s">
        <v>22</v>
      </c>
      <c r="E57" t="s">
        <v>4412</v>
      </c>
      <c r="F57" t="s">
        <v>3915</v>
      </c>
      <c r="G57" t="s">
        <v>3915</v>
      </c>
      <c r="H57" t="s">
        <v>4413</v>
      </c>
      <c r="N57" t="s">
        <v>33</v>
      </c>
      <c r="O57" s="1">
        <v>1.0995370370370371E-3</v>
      </c>
      <c r="P57">
        <v>0</v>
      </c>
      <c r="Q57">
        <v>0</v>
      </c>
      <c r="R57">
        <v>0</v>
      </c>
      <c r="S57">
        <v>0</v>
      </c>
      <c r="T57">
        <v>1</v>
      </c>
      <c r="U57" t="s">
        <v>27</v>
      </c>
      <c r="V57" t="s">
        <v>238</v>
      </c>
    </row>
    <row r="58" spans="1:22" x14ac:dyDescent="0.35">
      <c r="A58" t="s">
        <v>20</v>
      </c>
      <c r="B58">
        <v>17644</v>
      </c>
      <c r="C58" t="s">
        <v>21</v>
      </c>
      <c r="D58" t="s">
        <v>22</v>
      </c>
      <c r="E58" t="s">
        <v>4414</v>
      </c>
      <c r="F58" t="s">
        <v>3918</v>
      </c>
      <c r="G58" t="s">
        <v>3918</v>
      </c>
      <c r="H58" t="s">
        <v>4415</v>
      </c>
      <c r="N58" t="s">
        <v>33</v>
      </c>
      <c r="O58" s="1">
        <v>6.3657407407407413E-4</v>
      </c>
      <c r="P58">
        <v>0</v>
      </c>
      <c r="Q58">
        <v>0</v>
      </c>
      <c r="R58">
        <v>0</v>
      </c>
      <c r="S58">
        <v>1</v>
      </c>
      <c r="T58">
        <v>0</v>
      </c>
      <c r="U58" t="s">
        <v>27</v>
      </c>
      <c r="V58" t="s">
        <v>238</v>
      </c>
    </row>
    <row r="59" spans="1:22" x14ac:dyDescent="0.35">
      <c r="A59" t="s">
        <v>20</v>
      </c>
      <c r="B59">
        <v>17644</v>
      </c>
      <c r="C59" t="s">
        <v>21</v>
      </c>
      <c r="D59" t="s">
        <v>22</v>
      </c>
      <c r="E59" t="s">
        <v>4416</v>
      </c>
      <c r="F59" t="s">
        <v>3921</v>
      </c>
      <c r="G59" t="s">
        <v>3921</v>
      </c>
      <c r="H59" t="s">
        <v>4417</v>
      </c>
      <c r="N59" t="s">
        <v>33</v>
      </c>
      <c r="O59" s="1">
        <v>1.3888888888888889E-4</v>
      </c>
      <c r="P59">
        <v>0</v>
      </c>
      <c r="Q59">
        <v>1</v>
      </c>
      <c r="R59">
        <v>0</v>
      </c>
      <c r="S59">
        <v>0</v>
      </c>
      <c r="T59">
        <v>0</v>
      </c>
      <c r="U59" t="s">
        <v>27</v>
      </c>
      <c r="V59" t="s">
        <v>238</v>
      </c>
    </row>
    <row r="60" spans="1:22" x14ac:dyDescent="0.35">
      <c r="A60" t="s">
        <v>20</v>
      </c>
      <c r="B60">
        <v>17643</v>
      </c>
      <c r="C60" t="s">
        <v>426</v>
      </c>
      <c r="D60" t="s">
        <v>427</v>
      </c>
      <c r="E60" t="s">
        <v>4345</v>
      </c>
      <c r="F60" t="s">
        <v>4418</v>
      </c>
      <c r="G60" t="s">
        <v>4419</v>
      </c>
      <c r="H60" t="s">
        <v>4420</v>
      </c>
      <c r="N60" t="s">
        <v>33</v>
      </c>
      <c r="O60" s="1">
        <v>1.1226851851851849E-3</v>
      </c>
      <c r="P60">
        <v>0</v>
      </c>
      <c r="Q60">
        <v>0</v>
      </c>
      <c r="R60">
        <v>0</v>
      </c>
      <c r="S60">
        <v>0</v>
      </c>
      <c r="T60">
        <v>1</v>
      </c>
      <c r="U60" t="s">
        <v>557</v>
      </c>
      <c r="V60" t="s">
        <v>431</v>
      </c>
    </row>
    <row r="61" spans="1:22" x14ac:dyDescent="0.35">
      <c r="A61" t="s">
        <v>20</v>
      </c>
      <c r="B61">
        <v>17643</v>
      </c>
      <c r="C61" t="s">
        <v>426</v>
      </c>
      <c r="D61" t="s">
        <v>427</v>
      </c>
      <c r="E61" t="s">
        <v>4294</v>
      </c>
      <c r="F61" t="s">
        <v>4421</v>
      </c>
      <c r="G61" t="s">
        <v>4421</v>
      </c>
      <c r="H61" t="s">
        <v>4422</v>
      </c>
      <c r="N61" t="s">
        <v>33</v>
      </c>
      <c r="O61" s="1">
        <v>6.7129629629629625E-4</v>
      </c>
      <c r="P61">
        <v>0</v>
      </c>
      <c r="Q61">
        <v>0</v>
      </c>
      <c r="R61">
        <v>0</v>
      </c>
      <c r="S61">
        <v>1</v>
      </c>
      <c r="T61">
        <v>0</v>
      </c>
      <c r="U61" t="s">
        <v>557</v>
      </c>
      <c r="V61" t="s">
        <v>431</v>
      </c>
    </row>
    <row r="62" spans="1:22" x14ac:dyDescent="0.35">
      <c r="A62" t="s">
        <v>20</v>
      </c>
      <c r="B62">
        <v>17643</v>
      </c>
      <c r="C62" t="s">
        <v>426</v>
      </c>
      <c r="D62" t="s">
        <v>427</v>
      </c>
      <c r="E62" t="s">
        <v>4297</v>
      </c>
      <c r="F62" t="s">
        <v>3928</v>
      </c>
      <c r="G62" t="s">
        <v>3928</v>
      </c>
      <c r="H62" t="s">
        <v>4423</v>
      </c>
      <c r="N62" t="s">
        <v>33</v>
      </c>
      <c r="O62" s="1">
        <v>8.7962962962962962E-4</v>
      </c>
      <c r="P62">
        <v>0</v>
      </c>
      <c r="Q62">
        <v>0</v>
      </c>
      <c r="R62">
        <v>0</v>
      </c>
      <c r="S62">
        <v>0</v>
      </c>
      <c r="T62">
        <v>1</v>
      </c>
      <c r="U62" t="s">
        <v>557</v>
      </c>
      <c r="V62" t="s">
        <v>431</v>
      </c>
    </row>
    <row r="63" spans="1:22" x14ac:dyDescent="0.35">
      <c r="A63" t="s">
        <v>20</v>
      </c>
      <c r="B63">
        <v>17643</v>
      </c>
      <c r="C63" t="s">
        <v>426</v>
      </c>
      <c r="D63" t="s">
        <v>427</v>
      </c>
      <c r="E63" t="s">
        <v>4299</v>
      </c>
      <c r="F63" t="s">
        <v>567</v>
      </c>
      <c r="G63" t="s">
        <v>567</v>
      </c>
      <c r="H63" t="s">
        <v>4424</v>
      </c>
      <c r="N63" t="s">
        <v>33</v>
      </c>
      <c r="O63" s="1">
        <v>5.5555555555555556E-4</v>
      </c>
      <c r="P63">
        <v>0</v>
      </c>
      <c r="Q63">
        <v>0</v>
      </c>
      <c r="R63">
        <v>0</v>
      </c>
      <c r="S63">
        <v>1</v>
      </c>
      <c r="T63">
        <v>0</v>
      </c>
      <c r="U63" t="s">
        <v>557</v>
      </c>
      <c r="V63" t="s">
        <v>431</v>
      </c>
    </row>
    <row r="64" spans="1:22" x14ac:dyDescent="0.35">
      <c r="A64" t="s">
        <v>20</v>
      </c>
      <c r="B64">
        <v>17643</v>
      </c>
      <c r="C64" t="s">
        <v>426</v>
      </c>
      <c r="D64" t="s">
        <v>427</v>
      </c>
      <c r="E64" t="s">
        <v>4301</v>
      </c>
      <c r="F64" t="s">
        <v>3931</v>
      </c>
      <c r="G64" t="s">
        <v>3931</v>
      </c>
      <c r="H64" t="s">
        <v>4425</v>
      </c>
      <c r="N64" t="s">
        <v>33</v>
      </c>
      <c r="O64" s="1">
        <v>5.3240740740740744E-4</v>
      </c>
      <c r="P64">
        <v>0</v>
      </c>
      <c r="Q64">
        <v>0</v>
      </c>
      <c r="R64">
        <v>0</v>
      </c>
      <c r="S64">
        <v>1</v>
      </c>
      <c r="T64">
        <v>0</v>
      </c>
      <c r="U64" t="s">
        <v>557</v>
      </c>
      <c r="V64" t="s">
        <v>431</v>
      </c>
    </row>
    <row r="65" spans="1:22" x14ac:dyDescent="0.35">
      <c r="A65" t="s">
        <v>20</v>
      </c>
      <c r="B65">
        <v>17643</v>
      </c>
      <c r="C65" t="s">
        <v>426</v>
      </c>
      <c r="D65" t="s">
        <v>427</v>
      </c>
      <c r="E65" t="s">
        <v>4303</v>
      </c>
      <c r="F65" t="s">
        <v>576</v>
      </c>
      <c r="G65" t="s">
        <v>576</v>
      </c>
      <c r="H65" t="s">
        <v>4426</v>
      </c>
      <c r="N65" t="s">
        <v>33</v>
      </c>
      <c r="O65" s="1">
        <v>5.3240740740740744E-4</v>
      </c>
      <c r="P65">
        <v>0</v>
      </c>
      <c r="Q65">
        <v>0</v>
      </c>
      <c r="R65">
        <v>0</v>
      </c>
      <c r="S65">
        <v>1</v>
      </c>
      <c r="T65">
        <v>0</v>
      </c>
      <c r="U65" t="s">
        <v>557</v>
      </c>
      <c r="V65" t="s">
        <v>431</v>
      </c>
    </row>
    <row r="66" spans="1:22" x14ac:dyDescent="0.35">
      <c r="A66" t="s">
        <v>20</v>
      </c>
      <c r="B66">
        <v>17643</v>
      </c>
      <c r="C66" t="s">
        <v>426</v>
      </c>
      <c r="D66" t="s">
        <v>427</v>
      </c>
      <c r="E66" t="s">
        <v>4305</v>
      </c>
      <c r="F66" t="s">
        <v>579</v>
      </c>
      <c r="G66" t="s">
        <v>579</v>
      </c>
      <c r="H66" t="s">
        <v>4427</v>
      </c>
      <c r="N66" t="s">
        <v>33</v>
      </c>
      <c r="O66" s="1">
        <v>2.8935185185185178E-4</v>
      </c>
      <c r="P66">
        <v>0</v>
      </c>
      <c r="Q66">
        <v>0</v>
      </c>
      <c r="R66">
        <v>1</v>
      </c>
      <c r="S66">
        <v>0</v>
      </c>
      <c r="T66">
        <v>0</v>
      </c>
      <c r="U66" t="s">
        <v>557</v>
      </c>
      <c r="V66" t="s">
        <v>431</v>
      </c>
    </row>
    <row r="67" spans="1:22" x14ac:dyDescent="0.35">
      <c r="A67" t="s">
        <v>20</v>
      </c>
      <c r="B67">
        <v>17643</v>
      </c>
      <c r="C67" t="s">
        <v>426</v>
      </c>
      <c r="D67" t="s">
        <v>427</v>
      </c>
      <c r="E67" t="s">
        <v>4307</v>
      </c>
      <c r="F67" t="s">
        <v>3935</v>
      </c>
      <c r="G67" t="s">
        <v>3935</v>
      </c>
      <c r="H67" t="s">
        <v>4428</v>
      </c>
      <c r="N67" t="s">
        <v>33</v>
      </c>
      <c r="O67" s="1">
        <v>9.9537037037037042E-4</v>
      </c>
      <c r="P67">
        <v>0</v>
      </c>
      <c r="Q67">
        <v>0</v>
      </c>
      <c r="R67">
        <v>0</v>
      </c>
      <c r="S67">
        <v>0</v>
      </c>
      <c r="T67">
        <v>1</v>
      </c>
      <c r="U67" t="s">
        <v>557</v>
      </c>
      <c r="V67" t="s">
        <v>431</v>
      </c>
    </row>
    <row r="68" spans="1:22" x14ac:dyDescent="0.35">
      <c r="A68" t="s">
        <v>20</v>
      </c>
      <c r="B68">
        <v>17643</v>
      </c>
      <c r="C68" t="s">
        <v>426</v>
      </c>
      <c r="D68" t="s">
        <v>427</v>
      </c>
      <c r="E68" t="s">
        <v>4310</v>
      </c>
      <c r="F68" t="s">
        <v>4429</v>
      </c>
      <c r="G68" t="s">
        <v>4429</v>
      </c>
      <c r="H68" t="s">
        <v>4430</v>
      </c>
      <c r="N68" t="s">
        <v>33</v>
      </c>
      <c r="O68" s="1">
        <v>6.8287037037037036E-4</v>
      </c>
      <c r="P68">
        <v>0</v>
      </c>
      <c r="Q68">
        <v>0</v>
      </c>
      <c r="R68">
        <v>0</v>
      </c>
      <c r="S68">
        <v>1</v>
      </c>
      <c r="T68">
        <v>0</v>
      </c>
      <c r="U68" t="s">
        <v>557</v>
      </c>
      <c r="V68" t="s">
        <v>431</v>
      </c>
    </row>
    <row r="69" spans="1:22" x14ac:dyDescent="0.35">
      <c r="A69" t="s">
        <v>20</v>
      </c>
      <c r="B69">
        <v>17643</v>
      </c>
      <c r="C69" t="s">
        <v>426</v>
      </c>
      <c r="D69" t="s">
        <v>427</v>
      </c>
      <c r="E69" t="s">
        <v>4312</v>
      </c>
      <c r="F69" t="s">
        <v>463</v>
      </c>
      <c r="G69" t="s">
        <v>463</v>
      </c>
      <c r="H69" t="s">
        <v>4431</v>
      </c>
      <c r="N69" t="s">
        <v>33</v>
      </c>
      <c r="O69" s="1">
        <v>5.9027777777777778E-4</v>
      </c>
      <c r="P69">
        <v>0</v>
      </c>
      <c r="Q69">
        <v>0</v>
      </c>
      <c r="R69">
        <v>0</v>
      </c>
      <c r="S69">
        <v>1</v>
      </c>
      <c r="T69">
        <v>0</v>
      </c>
      <c r="U69" t="s">
        <v>557</v>
      </c>
      <c r="V69" t="s">
        <v>431</v>
      </c>
    </row>
    <row r="70" spans="1:22" x14ac:dyDescent="0.35">
      <c r="A70" t="s">
        <v>20</v>
      </c>
      <c r="B70">
        <v>17643</v>
      </c>
      <c r="C70" t="s">
        <v>426</v>
      </c>
      <c r="D70" t="s">
        <v>427</v>
      </c>
      <c r="E70" t="s">
        <v>4314</v>
      </c>
      <c r="F70" t="s">
        <v>469</v>
      </c>
      <c r="G70" t="s">
        <v>469</v>
      </c>
      <c r="H70" t="s">
        <v>4432</v>
      </c>
      <c r="N70" t="s">
        <v>33</v>
      </c>
      <c r="O70" s="1">
        <v>1.50462962962963E-4</v>
      </c>
      <c r="P70">
        <v>0</v>
      </c>
      <c r="Q70">
        <v>1</v>
      </c>
      <c r="R70">
        <v>0</v>
      </c>
      <c r="S70">
        <v>0</v>
      </c>
      <c r="T70">
        <v>0</v>
      </c>
      <c r="U70" t="s">
        <v>557</v>
      </c>
      <c r="V70" t="s">
        <v>431</v>
      </c>
    </row>
    <row r="71" spans="1:22" x14ac:dyDescent="0.35">
      <c r="A71" t="s">
        <v>20</v>
      </c>
      <c r="B71">
        <v>17643</v>
      </c>
      <c r="C71" t="s">
        <v>426</v>
      </c>
      <c r="D71" t="s">
        <v>427</v>
      </c>
      <c r="E71" t="s">
        <v>4316</v>
      </c>
      <c r="F71" t="s">
        <v>587</v>
      </c>
      <c r="G71" t="s">
        <v>587</v>
      </c>
      <c r="H71" t="s">
        <v>4433</v>
      </c>
      <c r="N71" t="s">
        <v>33</v>
      </c>
      <c r="O71" s="1">
        <v>1.273148148148148E-4</v>
      </c>
      <c r="P71">
        <v>0</v>
      </c>
      <c r="Q71">
        <v>1</v>
      </c>
      <c r="R71">
        <v>0</v>
      </c>
      <c r="S71">
        <v>0</v>
      </c>
      <c r="T71">
        <v>0</v>
      </c>
      <c r="U71" t="s">
        <v>557</v>
      </c>
      <c r="V71" t="s">
        <v>431</v>
      </c>
    </row>
    <row r="72" spans="1:22" x14ac:dyDescent="0.35">
      <c r="A72" t="s">
        <v>20</v>
      </c>
      <c r="B72">
        <v>17643</v>
      </c>
      <c r="C72" t="s">
        <v>426</v>
      </c>
      <c r="D72" t="s">
        <v>427</v>
      </c>
      <c r="E72" t="s">
        <v>4317</v>
      </c>
      <c r="F72" t="s">
        <v>472</v>
      </c>
      <c r="G72" t="s">
        <v>472</v>
      </c>
      <c r="H72" t="s">
        <v>4434</v>
      </c>
      <c r="N72" t="s">
        <v>33</v>
      </c>
      <c r="O72" s="1">
        <v>5.7870370370370373E-5</v>
      </c>
      <c r="P72">
        <v>1</v>
      </c>
      <c r="Q72">
        <v>0</v>
      </c>
      <c r="R72">
        <v>0</v>
      </c>
      <c r="S72">
        <v>0</v>
      </c>
      <c r="T72">
        <v>0</v>
      </c>
      <c r="U72" t="s">
        <v>557</v>
      </c>
      <c r="V72" t="s">
        <v>431</v>
      </c>
    </row>
    <row r="73" spans="1:22" x14ac:dyDescent="0.35">
      <c r="A73" t="s">
        <v>20</v>
      </c>
      <c r="B73">
        <v>17643</v>
      </c>
      <c r="C73" t="s">
        <v>426</v>
      </c>
      <c r="D73" t="s">
        <v>427</v>
      </c>
      <c r="E73" t="s">
        <v>4319</v>
      </c>
      <c r="F73" t="s">
        <v>4435</v>
      </c>
      <c r="G73" t="s">
        <v>4435</v>
      </c>
      <c r="H73" t="s">
        <v>4436</v>
      </c>
      <c r="N73" t="s">
        <v>33</v>
      </c>
      <c r="O73" s="1">
        <v>2.7777777777777778E-4</v>
      </c>
      <c r="P73">
        <v>0</v>
      </c>
      <c r="Q73">
        <v>0</v>
      </c>
      <c r="R73">
        <v>1</v>
      </c>
      <c r="S73">
        <v>0</v>
      </c>
      <c r="T73">
        <v>0</v>
      </c>
      <c r="U73" t="s">
        <v>557</v>
      </c>
      <c r="V73" t="s">
        <v>431</v>
      </c>
    </row>
    <row r="74" spans="1:22" x14ac:dyDescent="0.35">
      <c r="A74" t="s">
        <v>20</v>
      </c>
      <c r="B74">
        <v>17643</v>
      </c>
      <c r="C74" t="s">
        <v>426</v>
      </c>
      <c r="D74" t="s">
        <v>427</v>
      </c>
      <c r="E74" t="s">
        <v>4322</v>
      </c>
      <c r="F74" t="s">
        <v>4437</v>
      </c>
      <c r="G74" t="s">
        <v>4437</v>
      </c>
      <c r="H74" t="s">
        <v>4438</v>
      </c>
      <c r="N74" t="s">
        <v>33</v>
      </c>
      <c r="O74" s="1">
        <v>4.6296296296296287E-5</v>
      </c>
      <c r="P74">
        <v>1</v>
      </c>
      <c r="Q74">
        <v>0</v>
      </c>
      <c r="R74">
        <v>0</v>
      </c>
      <c r="S74">
        <v>0</v>
      </c>
      <c r="T74">
        <v>0</v>
      </c>
      <c r="U74" t="s">
        <v>557</v>
      </c>
      <c r="V74" t="s">
        <v>431</v>
      </c>
    </row>
    <row r="75" spans="1:22" x14ac:dyDescent="0.35">
      <c r="A75" t="s">
        <v>20</v>
      </c>
      <c r="B75">
        <v>17643</v>
      </c>
      <c r="C75" t="s">
        <v>426</v>
      </c>
      <c r="D75" t="s">
        <v>427</v>
      </c>
      <c r="E75" t="s">
        <v>4324</v>
      </c>
      <c r="F75" t="s">
        <v>593</v>
      </c>
      <c r="G75" t="s">
        <v>593</v>
      </c>
      <c r="H75" t="s">
        <v>4439</v>
      </c>
      <c r="N75" t="s">
        <v>33</v>
      </c>
      <c r="O75" s="1">
        <v>5.5555555555555556E-4</v>
      </c>
      <c r="P75">
        <v>0</v>
      </c>
      <c r="Q75">
        <v>0</v>
      </c>
      <c r="R75">
        <v>0</v>
      </c>
      <c r="S75">
        <v>1</v>
      </c>
      <c r="T75">
        <v>0</v>
      </c>
      <c r="U75" t="s">
        <v>557</v>
      </c>
      <c r="V75" t="s">
        <v>431</v>
      </c>
    </row>
    <row r="76" spans="1:22" x14ac:dyDescent="0.35">
      <c r="A76" t="s">
        <v>20</v>
      </c>
      <c r="B76">
        <v>17643</v>
      </c>
      <c r="C76" t="s">
        <v>426</v>
      </c>
      <c r="D76" t="s">
        <v>427</v>
      </c>
      <c r="E76" t="s">
        <v>4326</v>
      </c>
      <c r="F76" t="s">
        <v>482</v>
      </c>
      <c r="G76" t="s">
        <v>482</v>
      </c>
      <c r="H76" t="s">
        <v>4440</v>
      </c>
      <c r="N76" t="s">
        <v>33</v>
      </c>
      <c r="O76" s="1">
        <v>1.041666666666667E-4</v>
      </c>
      <c r="P76">
        <v>1</v>
      </c>
      <c r="Q76">
        <v>0</v>
      </c>
      <c r="R76">
        <v>0</v>
      </c>
      <c r="S76">
        <v>0</v>
      </c>
      <c r="T76">
        <v>0</v>
      </c>
      <c r="U76" t="s">
        <v>557</v>
      </c>
      <c r="V76" t="s">
        <v>431</v>
      </c>
    </row>
    <row r="77" spans="1:22" x14ac:dyDescent="0.35">
      <c r="A77" t="s">
        <v>20</v>
      </c>
      <c r="B77">
        <v>17643</v>
      </c>
      <c r="C77" t="s">
        <v>426</v>
      </c>
      <c r="D77" t="s">
        <v>427</v>
      </c>
      <c r="E77" t="s">
        <v>4328</v>
      </c>
      <c r="F77" t="s">
        <v>596</v>
      </c>
      <c r="G77" t="s">
        <v>596</v>
      </c>
      <c r="H77" t="s">
        <v>4441</v>
      </c>
      <c r="N77" t="s">
        <v>33</v>
      </c>
      <c r="O77" s="1">
        <v>7.0601851851851847E-4</v>
      </c>
      <c r="P77">
        <v>0</v>
      </c>
      <c r="Q77">
        <v>0</v>
      </c>
      <c r="R77">
        <v>0</v>
      </c>
      <c r="S77">
        <v>0</v>
      </c>
      <c r="T77">
        <v>1</v>
      </c>
      <c r="U77" t="s">
        <v>557</v>
      </c>
      <c r="V77" t="s">
        <v>431</v>
      </c>
    </row>
    <row r="78" spans="1:22" x14ac:dyDescent="0.35">
      <c r="A78" t="s">
        <v>20</v>
      </c>
      <c r="B78">
        <v>17643</v>
      </c>
      <c r="C78" t="s">
        <v>426</v>
      </c>
      <c r="D78" t="s">
        <v>427</v>
      </c>
      <c r="E78" t="s">
        <v>4330</v>
      </c>
      <c r="F78" t="s">
        <v>599</v>
      </c>
      <c r="G78" t="s">
        <v>599</v>
      </c>
      <c r="H78" t="s">
        <v>4442</v>
      </c>
      <c r="N78" t="s">
        <v>33</v>
      </c>
      <c r="O78" s="1">
        <v>5.9027777777777778E-4</v>
      </c>
      <c r="P78">
        <v>0</v>
      </c>
      <c r="Q78">
        <v>0</v>
      </c>
      <c r="R78">
        <v>0</v>
      </c>
      <c r="S78">
        <v>1</v>
      </c>
      <c r="T78">
        <v>0</v>
      </c>
      <c r="U78" t="s">
        <v>557</v>
      </c>
      <c r="V78" t="s">
        <v>431</v>
      </c>
    </row>
    <row r="79" spans="1:22" x14ac:dyDescent="0.35">
      <c r="A79" t="s">
        <v>20</v>
      </c>
      <c r="B79">
        <v>17643</v>
      </c>
      <c r="C79" t="s">
        <v>426</v>
      </c>
      <c r="D79" t="s">
        <v>427</v>
      </c>
      <c r="E79" t="s">
        <v>4332</v>
      </c>
      <c r="F79" t="s">
        <v>602</v>
      </c>
      <c r="G79" t="s">
        <v>602</v>
      </c>
      <c r="H79" t="s">
        <v>4443</v>
      </c>
      <c r="N79" t="s">
        <v>33</v>
      </c>
      <c r="O79" s="1">
        <v>1.273148148148148E-4</v>
      </c>
      <c r="P79">
        <v>0</v>
      </c>
      <c r="Q79">
        <v>1</v>
      </c>
      <c r="R79">
        <v>0</v>
      </c>
      <c r="S79">
        <v>0</v>
      </c>
      <c r="T79">
        <v>0</v>
      </c>
      <c r="U79" t="s">
        <v>557</v>
      </c>
      <c r="V79" t="s">
        <v>431</v>
      </c>
    </row>
    <row r="80" spans="1:22" x14ac:dyDescent="0.35">
      <c r="A80" t="s">
        <v>20</v>
      </c>
      <c r="B80">
        <v>17643</v>
      </c>
      <c r="C80" t="s">
        <v>426</v>
      </c>
      <c r="D80" t="s">
        <v>427</v>
      </c>
      <c r="E80" t="s">
        <v>4335</v>
      </c>
      <c r="F80" t="s">
        <v>4444</v>
      </c>
      <c r="G80" t="s">
        <v>4444</v>
      </c>
      <c r="H80" t="s">
        <v>4445</v>
      </c>
      <c r="N80" t="s">
        <v>33</v>
      </c>
      <c r="O80" s="1">
        <v>1.7361111111111109E-4</v>
      </c>
      <c r="P80">
        <v>0</v>
      </c>
      <c r="Q80">
        <v>1</v>
      </c>
      <c r="R80">
        <v>0</v>
      </c>
      <c r="S80">
        <v>0</v>
      </c>
      <c r="T80">
        <v>0</v>
      </c>
      <c r="U80" t="s">
        <v>557</v>
      </c>
      <c r="V80" t="s">
        <v>431</v>
      </c>
    </row>
    <row r="81" spans="1:22" x14ac:dyDescent="0.35">
      <c r="A81" t="s">
        <v>20</v>
      </c>
      <c r="B81">
        <v>17643</v>
      </c>
      <c r="C81" t="s">
        <v>426</v>
      </c>
      <c r="D81" t="s">
        <v>427</v>
      </c>
      <c r="E81" t="s">
        <v>4337</v>
      </c>
      <c r="F81" t="s">
        <v>4446</v>
      </c>
      <c r="G81" t="s">
        <v>4446</v>
      </c>
      <c r="H81" t="s">
        <v>4447</v>
      </c>
      <c r="N81" t="s">
        <v>33</v>
      </c>
      <c r="O81" s="1">
        <v>4.6296296296296287E-5</v>
      </c>
      <c r="P81">
        <v>1</v>
      </c>
      <c r="Q81">
        <v>0</v>
      </c>
      <c r="R81">
        <v>0</v>
      </c>
      <c r="S81">
        <v>0</v>
      </c>
      <c r="T81">
        <v>0</v>
      </c>
      <c r="U81" t="s">
        <v>557</v>
      </c>
      <c r="V81" t="s">
        <v>431</v>
      </c>
    </row>
    <row r="82" spans="1:22" x14ac:dyDescent="0.35">
      <c r="A82" t="s">
        <v>20</v>
      </c>
      <c r="B82">
        <v>17643</v>
      </c>
      <c r="C82" t="s">
        <v>426</v>
      </c>
      <c r="D82" t="s">
        <v>427</v>
      </c>
      <c r="E82" t="s">
        <v>4339</v>
      </c>
      <c r="F82" t="s">
        <v>4448</v>
      </c>
      <c r="G82" t="s">
        <v>4448</v>
      </c>
      <c r="H82" t="s">
        <v>4449</v>
      </c>
      <c r="N82" t="s">
        <v>33</v>
      </c>
      <c r="O82" s="1">
        <v>1.3888888888888889E-4</v>
      </c>
      <c r="P82">
        <v>0</v>
      </c>
      <c r="Q82">
        <v>1</v>
      </c>
      <c r="R82">
        <v>0</v>
      </c>
      <c r="S82">
        <v>0</v>
      </c>
      <c r="T82">
        <v>0</v>
      </c>
      <c r="U82" t="s">
        <v>557</v>
      </c>
      <c r="V82" t="s">
        <v>431</v>
      </c>
    </row>
    <row r="83" spans="1:22" x14ac:dyDescent="0.35">
      <c r="A83" t="s">
        <v>20</v>
      </c>
      <c r="B83">
        <v>17643</v>
      </c>
      <c r="C83" t="s">
        <v>426</v>
      </c>
      <c r="D83" t="s">
        <v>427</v>
      </c>
      <c r="E83" t="s">
        <v>4340</v>
      </c>
      <c r="F83" t="s">
        <v>491</v>
      </c>
      <c r="G83" t="s">
        <v>491</v>
      </c>
      <c r="H83" t="s">
        <v>4450</v>
      </c>
      <c r="N83" t="s">
        <v>33</v>
      </c>
      <c r="O83" s="1">
        <v>3.9351851851851852E-4</v>
      </c>
      <c r="P83">
        <v>0</v>
      </c>
      <c r="Q83">
        <v>0</v>
      </c>
      <c r="R83">
        <v>0</v>
      </c>
      <c r="S83">
        <v>1</v>
      </c>
      <c r="T83">
        <v>0</v>
      </c>
      <c r="U83" t="s">
        <v>557</v>
      </c>
      <c r="V83" t="s">
        <v>431</v>
      </c>
    </row>
    <row r="84" spans="1:22" x14ac:dyDescent="0.35">
      <c r="A84" t="s">
        <v>20</v>
      </c>
      <c r="B84">
        <v>17643</v>
      </c>
      <c r="C84" t="s">
        <v>426</v>
      </c>
      <c r="D84" t="s">
        <v>427</v>
      </c>
      <c r="E84" t="s">
        <v>4342</v>
      </c>
      <c r="F84" t="s">
        <v>4451</v>
      </c>
      <c r="G84" t="s">
        <v>4451</v>
      </c>
      <c r="H84" t="s">
        <v>4452</v>
      </c>
      <c r="N84" t="s">
        <v>33</v>
      </c>
      <c r="O84" s="1">
        <v>2.0833333333333329E-4</v>
      </c>
      <c r="P84">
        <v>0</v>
      </c>
      <c r="Q84">
        <v>1</v>
      </c>
      <c r="R84">
        <v>0</v>
      </c>
      <c r="S84">
        <v>0</v>
      </c>
      <c r="T84">
        <v>0</v>
      </c>
      <c r="U84" t="s">
        <v>557</v>
      </c>
      <c r="V84" t="s">
        <v>431</v>
      </c>
    </row>
    <row r="85" spans="1:22" x14ac:dyDescent="0.35">
      <c r="A85" t="s">
        <v>20</v>
      </c>
      <c r="B85">
        <v>17643</v>
      </c>
      <c r="C85" t="s">
        <v>426</v>
      </c>
      <c r="D85" t="s">
        <v>427</v>
      </c>
      <c r="E85" t="s">
        <v>4347</v>
      </c>
      <c r="F85" t="s">
        <v>4453</v>
      </c>
      <c r="G85" t="s">
        <v>4453</v>
      </c>
      <c r="H85" t="s">
        <v>4454</v>
      </c>
      <c r="N85" t="s">
        <v>33</v>
      </c>
      <c r="O85" s="1">
        <v>8.1018518518518516E-5</v>
      </c>
      <c r="P85">
        <v>1</v>
      </c>
      <c r="Q85">
        <v>0</v>
      </c>
      <c r="R85">
        <v>0</v>
      </c>
      <c r="S85">
        <v>0</v>
      </c>
      <c r="T85">
        <v>0</v>
      </c>
      <c r="U85" t="s">
        <v>557</v>
      </c>
      <c r="V85" t="s">
        <v>431</v>
      </c>
    </row>
    <row r="86" spans="1:22" x14ac:dyDescent="0.35">
      <c r="A86" t="s">
        <v>20</v>
      </c>
      <c r="B86">
        <v>17643</v>
      </c>
      <c r="C86" t="s">
        <v>426</v>
      </c>
      <c r="D86" t="s">
        <v>427</v>
      </c>
      <c r="E86" t="s">
        <v>4349</v>
      </c>
      <c r="F86" t="s">
        <v>613</v>
      </c>
      <c r="G86" t="s">
        <v>613</v>
      </c>
      <c r="H86" t="s">
        <v>4455</v>
      </c>
      <c r="N86" t="s">
        <v>33</v>
      </c>
      <c r="O86" s="1">
        <v>9.2592592592592596E-4</v>
      </c>
      <c r="P86">
        <v>0</v>
      </c>
      <c r="Q86">
        <v>0</v>
      </c>
      <c r="R86">
        <v>0</v>
      </c>
      <c r="S86">
        <v>0</v>
      </c>
      <c r="T86">
        <v>1</v>
      </c>
      <c r="U86" t="s">
        <v>557</v>
      </c>
      <c r="V86" t="s">
        <v>431</v>
      </c>
    </row>
    <row r="87" spans="1:22" x14ac:dyDescent="0.35">
      <c r="A87" t="s">
        <v>20</v>
      </c>
      <c r="B87">
        <v>17643</v>
      </c>
      <c r="C87" t="s">
        <v>426</v>
      </c>
      <c r="D87" t="s">
        <v>427</v>
      </c>
      <c r="E87" t="s">
        <v>4351</v>
      </c>
      <c r="F87" t="s">
        <v>497</v>
      </c>
      <c r="G87" t="s">
        <v>497</v>
      </c>
      <c r="H87" t="s">
        <v>4456</v>
      </c>
      <c r="N87" t="s">
        <v>33</v>
      </c>
      <c r="O87" s="1">
        <v>1.6203703703703701E-4</v>
      </c>
      <c r="P87">
        <v>0</v>
      </c>
      <c r="Q87">
        <v>1</v>
      </c>
      <c r="R87">
        <v>0</v>
      </c>
      <c r="S87">
        <v>0</v>
      </c>
      <c r="T87">
        <v>0</v>
      </c>
      <c r="U87" t="s">
        <v>557</v>
      </c>
      <c r="V87" t="s">
        <v>431</v>
      </c>
    </row>
    <row r="88" spans="1:22" x14ac:dyDescent="0.35">
      <c r="A88" t="s">
        <v>20</v>
      </c>
      <c r="B88">
        <v>17643</v>
      </c>
      <c r="C88" t="s">
        <v>426</v>
      </c>
      <c r="D88" t="s">
        <v>427</v>
      </c>
      <c r="E88" t="s">
        <v>4354</v>
      </c>
      <c r="F88" t="s">
        <v>618</v>
      </c>
      <c r="G88" t="s">
        <v>618</v>
      </c>
      <c r="H88" t="s">
        <v>4457</v>
      </c>
      <c r="N88" t="s">
        <v>33</v>
      </c>
      <c r="O88" s="1">
        <v>2.6620370370370372E-4</v>
      </c>
      <c r="P88">
        <v>0</v>
      </c>
      <c r="Q88">
        <v>0</v>
      </c>
      <c r="R88">
        <v>1</v>
      </c>
      <c r="S88">
        <v>0</v>
      </c>
      <c r="T88">
        <v>0</v>
      </c>
      <c r="U88" t="s">
        <v>557</v>
      </c>
      <c r="V88" t="s">
        <v>431</v>
      </c>
    </row>
    <row r="89" spans="1:22" x14ac:dyDescent="0.35">
      <c r="A89" t="s">
        <v>20</v>
      </c>
      <c r="B89">
        <v>17643</v>
      </c>
      <c r="C89" t="s">
        <v>426</v>
      </c>
      <c r="D89" t="s">
        <v>427</v>
      </c>
      <c r="E89" t="s">
        <v>4356</v>
      </c>
      <c r="F89" t="s">
        <v>500</v>
      </c>
      <c r="G89" t="s">
        <v>500</v>
      </c>
      <c r="H89" t="s">
        <v>4458</v>
      </c>
      <c r="N89" t="s">
        <v>33</v>
      </c>
      <c r="O89" s="1">
        <v>2.0833333333333329E-4</v>
      </c>
      <c r="P89">
        <v>0</v>
      </c>
      <c r="Q89">
        <v>1</v>
      </c>
      <c r="R89">
        <v>0</v>
      </c>
      <c r="S89">
        <v>0</v>
      </c>
      <c r="T89">
        <v>0</v>
      </c>
      <c r="U89" t="s">
        <v>557</v>
      </c>
      <c r="V89" t="s">
        <v>431</v>
      </c>
    </row>
    <row r="90" spans="1:22" x14ac:dyDescent="0.35">
      <c r="A90" t="s">
        <v>20</v>
      </c>
      <c r="B90">
        <v>17643</v>
      </c>
      <c r="C90" t="s">
        <v>426</v>
      </c>
      <c r="D90" t="s">
        <v>427</v>
      </c>
      <c r="E90" t="s">
        <v>4358</v>
      </c>
      <c r="F90" t="s">
        <v>503</v>
      </c>
      <c r="G90" t="s">
        <v>503</v>
      </c>
      <c r="H90" t="s">
        <v>4459</v>
      </c>
      <c r="N90" t="s">
        <v>33</v>
      </c>
      <c r="O90" s="1">
        <v>2.8935185185185178E-4</v>
      </c>
      <c r="P90">
        <v>0</v>
      </c>
      <c r="Q90">
        <v>0</v>
      </c>
      <c r="R90">
        <v>1</v>
      </c>
      <c r="S90">
        <v>0</v>
      </c>
      <c r="T90">
        <v>0</v>
      </c>
      <c r="U90" t="s">
        <v>557</v>
      </c>
      <c r="V90" t="s">
        <v>431</v>
      </c>
    </row>
    <row r="91" spans="1:22" x14ac:dyDescent="0.35">
      <c r="A91" t="s">
        <v>20</v>
      </c>
      <c r="B91">
        <v>17643</v>
      </c>
      <c r="C91" t="s">
        <v>426</v>
      </c>
      <c r="D91" t="s">
        <v>427</v>
      </c>
      <c r="E91" t="s">
        <v>4360</v>
      </c>
      <c r="F91" t="s">
        <v>4460</v>
      </c>
      <c r="G91" t="s">
        <v>4460</v>
      </c>
      <c r="H91" t="s">
        <v>4461</v>
      </c>
      <c r="N91" t="s">
        <v>33</v>
      </c>
      <c r="O91" s="1">
        <v>2.6620370370370372E-4</v>
      </c>
      <c r="P91">
        <v>0</v>
      </c>
      <c r="Q91">
        <v>0</v>
      </c>
      <c r="R91">
        <v>1</v>
      </c>
      <c r="S91">
        <v>0</v>
      </c>
      <c r="T91">
        <v>0</v>
      </c>
      <c r="U91" t="s">
        <v>557</v>
      </c>
      <c r="V91" t="s">
        <v>431</v>
      </c>
    </row>
    <row r="92" spans="1:22" x14ac:dyDescent="0.35">
      <c r="A92" t="s">
        <v>20</v>
      </c>
      <c r="B92">
        <v>17643</v>
      </c>
      <c r="C92" t="s">
        <v>426</v>
      </c>
      <c r="D92" t="s">
        <v>427</v>
      </c>
      <c r="E92" t="s">
        <v>4365</v>
      </c>
      <c r="F92" t="s">
        <v>4462</v>
      </c>
      <c r="G92" t="s">
        <v>4462</v>
      </c>
      <c r="H92" t="s">
        <v>4463</v>
      </c>
      <c r="N92" t="s">
        <v>33</v>
      </c>
      <c r="O92" s="1">
        <v>1.7361111111111109E-4</v>
      </c>
      <c r="P92">
        <v>0</v>
      </c>
      <c r="Q92">
        <v>1</v>
      </c>
      <c r="R92">
        <v>0</v>
      </c>
      <c r="S92">
        <v>0</v>
      </c>
      <c r="T92">
        <v>0</v>
      </c>
      <c r="U92" t="s">
        <v>557</v>
      </c>
      <c r="V92" t="s">
        <v>431</v>
      </c>
    </row>
    <row r="93" spans="1:22" x14ac:dyDescent="0.35">
      <c r="A93" t="s">
        <v>20</v>
      </c>
      <c r="B93">
        <v>17643</v>
      </c>
      <c r="C93" t="s">
        <v>426</v>
      </c>
      <c r="D93" t="s">
        <v>427</v>
      </c>
      <c r="E93" t="s">
        <v>4367</v>
      </c>
      <c r="F93" t="s">
        <v>512</v>
      </c>
      <c r="G93" t="s">
        <v>512</v>
      </c>
      <c r="H93" t="s">
        <v>4464</v>
      </c>
      <c r="N93" t="s">
        <v>33</v>
      </c>
      <c r="O93" s="1">
        <v>4.6296296296296298E-4</v>
      </c>
      <c r="P93">
        <v>0</v>
      </c>
      <c r="Q93">
        <v>0</v>
      </c>
      <c r="R93">
        <v>0</v>
      </c>
      <c r="S93">
        <v>1</v>
      </c>
      <c r="T93">
        <v>0</v>
      </c>
      <c r="U93" t="s">
        <v>557</v>
      </c>
      <c r="V93" t="s">
        <v>431</v>
      </c>
    </row>
    <row r="94" spans="1:22" x14ac:dyDescent="0.35">
      <c r="A94" t="s">
        <v>20</v>
      </c>
      <c r="B94">
        <v>17643</v>
      </c>
      <c r="C94" t="s">
        <v>426</v>
      </c>
      <c r="D94" t="s">
        <v>427</v>
      </c>
      <c r="E94" t="s">
        <v>4369</v>
      </c>
      <c r="F94" t="s">
        <v>3972</v>
      </c>
      <c r="G94" t="s">
        <v>3972</v>
      </c>
      <c r="H94" t="s">
        <v>4465</v>
      </c>
      <c r="N94" t="s">
        <v>33</v>
      </c>
      <c r="O94" s="1">
        <v>1.1226851851851849E-3</v>
      </c>
      <c r="P94">
        <v>0</v>
      </c>
      <c r="Q94">
        <v>0</v>
      </c>
      <c r="R94">
        <v>0</v>
      </c>
      <c r="S94">
        <v>0</v>
      </c>
      <c r="T94">
        <v>1</v>
      </c>
      <c r="U94" t="s">
        <v>557</v>
      </c>
      <c r="V94" t="s">
        <v>431</v>
      </c>
    </row>
    <row r="95" spans="1:22" x14ac:dyDescent="0.35">
      <c r="A95" t="s">
        <v>20</v>
      </c>
      <c r="B95">
        <v>17643</v>
      </c>
      <c r="C95" t="s">
        <v>426</v>
      </c>
      <c r="D95" t="s">
        <v>427</v>
      </c>
      <c r="E95" t="s">
        <v>4372</v>
      </c>
      <c r="F95" t="s">
        <v>4466</v>
      </c>
      <c r="G95" t="s">
        <v>4466</v>
      </c>
      <c r="H95" t="s">
        <v>4467</v>
      </c>
      <c r="N95" t="s">
        <v>33</v>
      </c>
      <c r="O95" s="1">
        <v>7.5231481481481482E-4</v>
      </c>
      <c r="P95">
        <v>0</v>
      </c>
      <c r="Q95">
        <v>0</v>
      </c>
      <c r="R95">
        <v>0</v>
      </c>
      <c r="S95">
        <v>0</v>
      </c>
      <c r="T95">
        <v>1</v>
      </c>
      <c r="U95" t="s">
        <v>557</v>
      </c>
      <c r="V95" t="s">
        <v>431</v>
      </c>
    </row>
    <row r="96" spans="1:22" x14ac:dyDescent="0.35">
      <c r="A96" t="s">
        <v>20</v>
      </c>
      <c r="B96">
        <v>17643</v>
      </c>
      <c r="C96" t="s">
        <v>426</v>
      </c>
      <c r="D96" t="s">
        <v>427</v>
      </c>
      <c r="E96" t="s">
        <v>4374</v>
      </c>
      <c r="F96" t="s">
        <v>521</v>
      </c>
      <c r="G96" t="s">
        <v>521</v>
      </c>
      <c r="H96" t="s">
        <v>4468</v>
      </c>
      <c r="N96" t="s">
        <v>33</v>
      </c>
      <c r="O96" s="1">
        <v>1.273148148148148E-4</v>
      </c>
      <c r="P96">
        <v>0</v>
      </c>
      <c r="Q96">
        <v>1</v>
      </c>
      <c r="R96">
        <v>0</v>
      </c>
      <c r="S96">
        <v>0</v>
      </c>
      <c r="T96">
        <v>0</v>
      </c>
      <c r="U96" t="s">
        <v>557</v>
      </c>
      <c r="V96" t="s">
        <v>431</v>
      </c>
    </row>
    <row r="97" spans="1:22" x14ac:dyDescent="0.35">
      <c r="A97" t="s">
        <v>20</v>
      </c>
      <c r="B97">
        <v>17643</v>
      </c>
      <c r="C97" t="s">
        <v>426</v>
      </c>
      <c r="D97" t="s">
        <v>427</v>
      </c>
      <c r="E97" t="s">
        <v>4376</v>
      </c>
      <c r="F97" t="s">
        <v>4469</v>
      </c>
      <c r="G97" t="s">
        <v>4469</v>
      </c>
      <c r="H97" t="s">
        <v>4470</v>
      </c>
      <c r="N97" t="s">
        <v>33</v>
      </c>
      <c r="O97" s="1">
        <v>2.6620370370370372E-4</v>
      </c>
      <c r="P97">
        <v>0</v>
      </c>
      <c r="Q97">
        <v>0</v>
      </c>
      <c r="R97">
        <v>1</v>
      </c>
      <c r="S97">
        <v>0</v>
      </c>
      <c r="T97">
        <v>0</v>
      </c>
      <c r="U97" t="s">
        <v>557</v>
      </c>
      <c r="V97" t="s">
        <v>431</v>
      </c>
    </row>
    <row r="98" spans="1:22" x14ac:dyDescent="0.35">
      <c r="A98" t="s">
        <v>20</v>
      </c>
      <c r="B98">
        <v>17643</v>
      </c>
      <c r="C98" t="s">
        <v>426</v>
      </c>
      <c r="D98" t="s">
        <v>427</v>
      </c>
      <c r="E98" t="s">
        <v>4378</v>
      </c>
      <c r="F98" t="s">
        <v>639</v>
      </c>
      <c r="G98" t="s">
        <v>639</v>
      </c>
      <c r="H98" t="s">
        <v>4471</v>
      </c>
      <c r="N98" t="s">
        <v>33</v>
      </c>
      <c r="O98" s="1">
        <v>1.50462962962963E-4</v>
      </c>
      <c r="P98">
        <v>0</v>
      </c>
      <c r="Q98">
        <v>1</v>
      </c>
      <c r="R98">
        <v>0</v>
      </c>
      <c r="S98">
        <v>0</v>
      </c>
      <c r="T98">
        <v>0</v>
      </c>
      <c r="U98" t="s">
        <v>557</v>
      </c>
      <c r="V98" t="s">
        <v>431</v>
      </c>
    </row>
    <row r="99" spans="1:22" x14ac:dyDescent="0.35">
      <c r="A99" t="s">
        <v>20</v>
      </c>
      <c r="B99">
        <v>17643</v>
      </c>
      <c r="C99" t="s">
        <v>426</v>
      </c>
      <c r="D99" t="s">
        <v>427</v>
      </c>
      <c r="E99" t="s">
        <v>4380</v>
      </c>
      <c r="F99" t="s">
        <v>4472</v>
      </c>
      <c r="G99" t="s">
        <v>4472</v>
      </c>
      <c r="H99" t="s">
        <v>4473</v>
      </c>
      <c r="N99" t="s">
        <v>33</v>
      </c>
      <c r="O99" s="1">
        <v>4.6296296296296287E-5</v>
      </c>
      <c r="P99">
        <v>1</v>
      </c>
      <c r="Q99">
        <v>0</v>
      </c>
      <c r="R99">
        <v>0</v>
      </c>
      <c r="S99">
        <v>0</v>
      </c>
      <c r="T99">
        <v>0</v>
      </c>
      <c r="U99" t="s">
        <v>557</v>
      </c>
      <c r="V99" t="s">
        <v>431</v>
      </c>
    </row>
    <row r="100" spans="1:22" x14ac:dyDescent="0.35">
      <c r="A100" t="s">
        <v>20</v>
      </c>
      <c r="B100">
        <v>17643</v>
      </c>
      <c r="C100" t="s">
        <v>426</v>
      </c>
      <c r="D100" t="s">
        <v>427</v>
      </c>
      <c r="E100" t="s">
        <v>4382</v>
      </c>
      <c r="F100" t="s">
        <v>527</v>
      </c>
      <c r="G100" t="s">
        <v>527</v>
      </c>
      <c r="H100" t="s">
        <v>4474</v>
      </c>
      <c r="N100" t="s">
        <v>33</v>
      </c>
      <c r="O100" s="1">
        <v>1.157407407407407E-4</v>
      </c>
      <c r="P100">
        <v>1</v>
      </c>
      <c r="Q100">
        <v>0</v>
      </c>
      <c r="R100">
        <v>0</v>
      </c>
      <c r="S100">
        <v>0</v>
      </c>
      <c r="T100">
        <v>0</v>
      </c>
      <c r="U100" t="s">
        <v>557</v>
      </c>
      <c r="V100" t="s">
        <v>431</v>
      </c>
    </row>
    <row r="101" spans="1:22" x14ac:dyDescent="0.35">
      <c r="A101" t="s">
        <v>20</v>
      </c>
      <c r="B101">
        <v>17643</v>
      </c>
      <c r="C101" t="s">
        <v>426</v>
      </c>
      <c r="D101" t="s">
        <v>427</v>
      </c>
      <c r="E101" t="s">
        <v>4384</v>
      </c>
      <c r="F101" t="s">
        <v>530</v>
      </c>
      <c r="G101" t="s">
        <v>530</v>
      </c>
      <c r="H101" t="s">
        <v>4475</v>
      </c>
      <c r="N101" t="s">
        <v>33</v>
      </c>
      <c r="O101" s="1">
        <v>1.041666666666667E-4</v>
      </c>
      <c r="P101">
        <v>1</v>
      </c>
      <c r="Q101">
        <v>0</v>
      </c>
      <c r="R101">
        <v>0</v>
      </c>
      <c r="S101">
        <v>0</v>
      </c>
      <c r="T101">
        <v>0</v>
      </c>
      <c r="U101" t="s">
        <v>557</v>
      </c>
      <c r="V101" t="s">
        <v>431</v>
      </c>
    </row>
    <row r="102" spans="1:22" x14ac:dyDescent="0.35">
      <c r="A102" t="s">
        <v>20</v>
      </c>
      <c r="B102">
        <v>17643</v>
      </c>
      <c r="C102" t="s">
        <v>426</v>
      </c>
      <c r="D102" t="s">
        <v>427</v>
      </c>
      <c r="E102" t="s">
        <v>4386</v>
      </c>
      <c r="F102" t="s">
        <v>645</v>
      </c>
      <c r="G102" t="s">
        <v>645</v>
      </c>
      <c r="H102" t="s">
        <v>4476</v>
      </c>
      <c r="N102" t="s">
        <v>33</v>
      </c>
      <c r="O102" s="1">
        <v>4.6296296296296287E-5</v>
      </c>
      <c r="P102">
        <v>1</v>
      </c>
      <c r="Q102">
        <v>0</v>
      </c>
      <c r="R102">
        <v>0</v>
      </c>
      <c r="S102">
        <v>0</v>
      </c>
      <c r="T102">
        <v>0</v>
      </c>
      <c r="U102" t="s">
        <v>557</v>
      </c>
      <c r="V102" t="s">
        <v>431</v>
      </c>
    </row>
    <row r="103" spans="1:22" x14ac:dyDescent="0.35">
      <c r="A103" t="s">
        <v>20</v>
      </c>
      <c r="B103">
        <v>17643</v>
      </c>
      <c r="C103" t="s">
        <v>426</v>
      </c>
      <c r="D103" t="s">
        <v>427</v>
      </c>
      <c r="E103" t="s">
        <v>4388</v>
      </c>
      <c r="F103" t="s">
        <v>533</v>
      </c>
      <c r="G103" t="s">
        <v>533</v>
      </c>
      <c r="H103" t="s">
        <v>4477</v>
      </c>
      <c r="N103" t="s">
        <v>33</v>
      </c>
      <c r="O103" s="1">
        <v>7.0601851851851847E-4</v>
      </c>
      <c r="P103">
        <v>0</v>
      </c>
      <c r="Q103">
        <v>0</v>
      </c>
      <c r="R103">
        <v>0</v>
      </c>
      <c r="S103">
        <v>0</v>
      </c>
      <c r="T103">
        <v>1</v>
      </c>
      <c r="U103" t="s">
        <v>557</v>
      </c>
      <c r="V103" t="s">
        <v>431</v>
      </c>
    </row>
    <row r="104" spans="1:22" x14ac:dyDescent="0.35">
      <c r="A104" t="s">
        <v>20</v>
      </c>
      <c r="B104">
        <v>17643</v>
      </c>
      <c r="C104" t="s">
        <v>426</v>
      </c>
      <c r="D104" t="s">
        <v>427</v>
      </c>
      <c r="E104" t="s">
        <v>4390</v>
      </c>
      <c r="F104" t="s">
        <v>536</v>
      </c>
      <c r="G104" t="s">
        <v>536</v>
      </c>
      <c r="H104" t="s">
        <v>4478</v>
      </c>
      <c r="N104" t="s">
        <v>33</v>
      </c>
      <c r="O104" s="1">
        <v>3.4722222222222218E-4</v>
      </c>
      <c r="P104">
        <v>0</v>
      </c>
      <c r="Q104">
        <v>0</v>
      </c>
      <c r="R104">
        <v>1</v>
      </c>
      <c r="S104">
        <v>0</v>
      </c>
      <c r="T104">
        <v>0</v>
      </c>
      <c r="U104" t="s">
        <v>557</v>
      </c>
      <c r="V104" t="s">
        <v>431</v>
      </c>
    </row>
    <row r="105" spans="1:22" x14ac:dyDescent="0.35">
      <c r="A105" t="s">
        <v>20</v>
      </c>
      <c r="B105">
        <v>17643</v>
      </c>
      <c r="C105" t="s">
        <v>426</v>
      </c>
      <c r="D105" t="s">
        <v>427</v>
      </c>
      <c r="E105" t="s">
        <v>4392</v>
      </c>
      <c r="F105" t="s">
        <v>3988</v>
      </c>
      <c r="G105" t="s">
        <v>3988</v>
      </c>
      <c r="H105" t="s">
        <v>4479</v>
      </c>
      <c r="N105" t="s">
        <v>33</v>
      </c>
      <c r="O105" s="1">
        <v>6.4814814814814813E-4</v>
      </c>
      <c r="P105">
        <v>0</v>
      </c>
      <c r="Q105">
        <v>0</v>
      </c>
      <c r="R105">
        <v>0</v>
      </c>
      <c r="S105">
        <v>1</v>
      </c>
      <c r="T105">
        <v>0</v>
      </c>
      <c r="U105" t="s">
        <v>557</v>
      </c>
      <c r="V105" t="s">
        <v>431</v>
      </c>
    </row>
    <row r="106" spans="1:22" x14ac:dyDescent="0.35">
      <c r="A106" t="s">
        <v>20</v>
      </c>
      <c r="B106">
        <v>17643</v>
      </c>
      <c r="C106" t="s">
        <v>426</v>
      </c>
      <c r="D106" t="s">
        <v>427</v>
      </c>
      <c r="E106" t="s">
        <v>4394</v>
      </c>
      <c r="F106" t="s">
        <v>4480</v>
      </c>
      <c r="G106" t="s">
        <v>4480</v>
      </c>
      <c r="H106" t="s">
        <v>4481</v>
      </c>
      <c r="N106" t="s">
        <v>33</v>
      </c>
      <c r="O106" s="1">
        <v>4.7453703703703698E-4</v>
      </c>
      <c r="P106">
        <v>0</v>
      </c>
      <c r="Q106">
        <v>0</v>
      </c>
      <c r="R106">
        <v>0</v>
      </c>
      <c r="S106">
        <v>1</v>
      </c>
      <c r="T106">
        <v>0</v>
      </c>
      <c r="U106" t="s">
        <v>557</v>
      </c>
      <c r="V106" t="s">
        <v>431</v>
      </c>
    </row>
    <row r="107" spans="1:22" x14ac:dyDescent="0.35">
      <c r="A107" t="s">
        <v>20</v>
      </c>
      <c r="B107">
        <v>17643</v>
      </c>
      <c r="C107" t="s">
        <v>426</v>
      </c>
      <c r="D107" t="s">
        <v>427</v>
      </c>
      <c r="E107" t="s">
        <v>4396</v>
      </c>
      <c r="F107" t="s">
        <v>651</v>
      </c>
      <c r="G107" t="s">
        <v>651</v>
      </c>
      <c r="H107" t="s">
        <v>4482</v>
      </c>
      <c r="N107" t="s">
        <v>33</v>
      </c>
      <c r="O107" s="1">
        <v>2.4305555555555549E-4</v>
      </c>
      <c r="P107">
        <v>0</v>
      </c>
      <c r="Q107">
        <v>0</v>
      </c>
      <c r="R107">
        <v>1</v>
      </c>
      <c r="S107">
        <v>0</v>
      </c>
      <c r="T107">
        <v>0</v>
      </c>
      <c r="U107" t="s">
        <v>557</v>
      </c>
      <c r="V107" t="s">
        <v>431</v>
      </c>
    </row>
    <row r="108" spans="1:22" x14ac:dyDescent="0.35">
      <c r="A108" t="s">
        <v>20</v>
      </c>
      <c r="B108">
        <v>17643</v>
      </c>
      <c r="C108" t="s">
        <v>426</v>
      </c>
      <c r="D108" t="s">
        <v>427</v>
      </c>
      <c r="E108" t="s">
        <v>4398</v>
      </c>
      <c r="F108" t="s">
        <v>4483</v>
      </c>
      <c r="G108" t="s">
        <v>4483</v>
      </c>
      <c r="H108" t="s">
        <v>4484</v>
      </c>
      <c r="N108" t="s">
        <v>33</v>
      </c>
      <c r="O108" s="1">
        <v>8.564814814814815E-4</v>
      </c>
      <c r="P108">
        <v>0</v>
      </c>
      <c r="Q108">
        <v>0</v>
      </c>
      <c r="R108">
        <v>0</v>
      </c>
      <c r="S108">
        <v>0</v>
      </c>
      <c r="T108">
        <v>1</v>
      </c>
      <c r="U108" t="s">
        <v>557</v>
      </c>
      <c r="V108" t="s">
        <v>431</v>
      </c>
    </row>
    <row r="109" spans="1:22" x14ac:dyDescent="0.35">
      <c r="A109" t="s">
        <v>20</v>
      </c>
      <c r="B109">
        <v>17643</v>
      </c>
      <c r="C109" t="s">
        <v>426</v>
      </c>
      <c r="D109" t="s">
        <v>427</v>
      </c>
      <c r="E109" t="s">
        <v>4400</v>
      </c>
      <c r="F109" t="s">
        <v>4485</v>
      </c>
      <c r="G109" t="s">
        <v>4485</v>
      </c>
      <c r="H109" t="s">
        <v>4486</v>
      </c>
      <c r="N109" t="s">
        <v>33</v>
      </c>
      <c r="O109" s="1">
        <v>5.7870370370370367E-4</v>
      </c>
      <c r="P109">
        <v>0</v>
      </c>
      <c r="Q109">
        <v>0</v>
      </c>
      <c r="R109">
        <v>0</v>
      </c>
      <c r="S109">
        <v>1</v>
      </c>
      <c r="T109">
        <v>0</v>
      </c>
      <c r="U109" t="s">
        <v>557</v>
      </c>
      <c r="V109" t="s">
        <v>431</v>
      </c>
    </row>
    <row r="110" spans="1:22" x14ac:dyDescent="0.35">
      <c r="A110" t="s">
        <v>20</v>
      </c>
      <c r="B110">
        <v>17643</v>
      </c>
      <c r="C110" t="s">
        <v>426</v>
      </c>
      <c r="D110" t="s">
        <v>427</v>
      </c>
      <c r="E110" t="s">
        <v>4402</v>
      </c>
      <c r="F110" t="s">
        <v>4487</v>
      </c>
      <c r="G110" t="s">
        <v>4487</v>
      </c>
      <c r="H110" t="s">
        <v>4488</v>
      </c>
      <c r="N110" t="s">
        <v>33</v>
      </c>
      <c r="O110" s="1">
        <v>9.3749999999999997E-4</v>
      </c>
      <c r="P110">
        <v>0</v>
      </c>
      <c r="Q110">
        <v>0</v>
      </c>
      <c r="R110">
        <v>0</v>
      </c>
      <c r="S110">
        <v>0</v>
      </c>
      <c r="T110">
        <v>1</v>
      </c>
      <c r="U110" t="s">
        <v>557</v>
      </c>
      <c r="V110" t="s">
        <v>431</v>
      </c>
    </row>
    <row r="111" spans="1:22" x14ac:dyDescent="0.35">
      <c r="A111" t="s">
        <v>20</v>
      </c>
      <c r="B111">
        <v>17643</v>
      </c>
      <c r="C111" t="s">
        <v>426</v>
      </c>
      <c r="D111" t="s">
        <v>427</v>
      </c>
      <c r="E111" t="s">
        <v>4404</v>
      </c>
      <c r="F111" t="s">
        <v>4489</v>
      </c>
      <c r="G111" t="s">
        <v>4489</v>
      </c>
      <c r="H111" t="s">
        <v>4490</v>
      </c>
      <c r="N111" t="s">
        <v>33</v>
      </c>
      <c r="O111" s="1">
        <v>4.7453703703703698E-4</v>
      </c>
      <c r="P111">
        <v>0</v>
      </c>
      <c r="Q111">
        <v>0</v>
      </c>
      <c r="R111">
        <v>0</v>
      </c>
      <c r="S111">
        <v>1</v>
      </c>
      <c r="T111">
        <v>0</v>
      </c>
      <c r="U111" t="s">
        <v>557</v>
      </c>
      <c r="V111" t="s">
        <v>431</v>
      </c>
    </row>
    <row r="112" spans="1:22" x14ac:dyDescent="0.35">
      <c r="A112" t="s">
        <v>20</v>
      </c>
      <c r="B112">
        <v>17646</v>
      </c>
      <c r="C112" t="s">
        <v>666</v>
      </c>
      <c r="D112" t="s">
        <v>667</v>
      </c>
      <c r="E112" t="s">
        <v>4294</v>
      </c>
      <c r="F112" t="s">
        <v>4491</v>
      </c>
      <c r="G112" t="s">
        <v>4491</v>
      </c>
      <c r="H112" t="s">
        <v>4492</v>
      </c>
      <c r="N112" t="s">
        <v>33</v>
      </c>
      <c r="O112" s="1">
        <v>1.273148148148148E-4</v>
      </c>
      <c r="P112">
        <v>0</v>
      </c>
      <c r="Q112">
        <v>1</v>
      </c>
      <c r="R112">
        <v>0</v>
      </c>
      <c r="S112">
        <v>0</v>
      </c>
      <c r="T112">
        <v>0</v>
      </c>
      <c r="U112" t="s">
        <v>671</v>
      </c>
      <c r="V112" t="s">
        <v>809</v>
      </c>
    </row>
    <row r="113" spans="1:22" x14ac:dyDescent="0.35">
      <c r="A113" t="s">
        <v>20</v>
      </c>
      <c r="B113">
        <v>17646</v>
      </c>
      <c r="C113" t="s">
        <v>666</v>
      </c>
      <c r="D113" t="s">
        <v>667</v>
      </c>
      <c r="E113" t="s">
        <v>4297</v>
      </c>
      <c r="F113" t="s">
        <v>668</v>
      </c>
      <c r="G113" t="s">
        <v>668</v>
      </c>
      <c r="H113" t="s">
        <v>4493</v>
      </c>
      <c r="N113" t="s">
        <v>33</v>
      </c>
      <c r="O113" s="1">
        <v>1.3888888888888889E-4</v>
      </c>
      <c r="P113">
        <v>0</v>
      </c>
      <c r="Q113">
        <v>1</v>
      </c>
      <c r="R113">
        <v>0</v>
      </c>
      <c r="S113">
        <v>0</v>
      </c>
      <c r="T113">
        <v>0</v>
      </c>
      <c r="U113" t="s">
        <v>671</v>
      </c>
      <c r="V113" t="s">
        <v>809</v>
      </c>
    </row>
    <row r="114" spans="1:22" x14ac:dyDescent="0.35">
      <c r="A114" t="s">
        <v>20</v>
      </c>
      <c r="B114">
        <v>17646</v>
      </c>
      <c r="C114" t="s">
        <v>666</v>
      </c>
      <c r="D114" t="s">
        <v>667</v>
      </c>
      <c r="E114" t="s">
        <v>4299</v>
      </c>
      <c r="F114" t="s">
        <v>4494</v>
      </c>
      <c r="G114" t="s">
        <v>4494</v>
      </c>
      <c r="H114" t="s">
        <v>4495</v>
      </c>
      <c r="N114" t="s">
        <v>33</v>
      </c>
      <c r="O114" s="1">
        <v>8.564814814814815E-4</v>
      </c>
      <c r="P114">
        <v>0</v>
      </c>
      <c r="Q114">
        <v>0</v>
      </c>
      <c r="R114">
        <v>0</v>
      </c>
      <c r="S114">
        <v>0</v>
      </c>
      <c r="T114">
        <v>1</v>
      </c>
      <c r="U114" t="s">
        <v>671</v>
      </c>
      <c r="V114" t="s">
        <v>809</v>
      </c>
    </row>
    <row r="115" spans="1:22" x14ac:dyDescent="0.35">
      <c r="A115" t="s">
        <v>20</v>
      </c>
      <c r="B115">
        <v>17646</v>
      </c>
      <c r="C115" t="s">
        <v>666</v>
      </c>
      <c r="D115" t="s">
        <v>667</v>
      </c>
      <c r="E115" t="s">
        <v>4301</v>
      </c>
      <c r="F115" t="s">
        <v>4005</v>
      </c>
      <c r="G115" t="s">
        <v>4005</v>
      </c>
      <c r="H115" t="s">
        <v>4496</v>
      </c>
      <c r="N115" t="s">
        <v>33</v>
      </c>
      <c r="O115" s="1">
        <v>4.7453703703703698E-4</v>
      </c>
      <c r="P115">
        <v>0</v>
      </c>
      <c r="Q115">
        <v>0</v>
      </c>
      <c r="R115">
        <v>0</v>
      </c>
      <c r="S115">
        <v>1</v>
      </c>
      <c r="T115">
        <v>0</v>
      </c>
      <c r="U115" t="s">
        <v>671</v>
      </c>
      <c r="V115" t="s">
        <v>809</v>
      </c>
    </row>
    <row r="116" spans="1:22" x14ac:dyDescent="0.35">
      <c r="A116" t="s">
        <v>20</v>
      </c>
      <c r="B116">
        <v>17646</v>
      </c>
      <c r="C116" t="s">
        <v>666</v>
      </c>
      <c r="D116" t="s">
        <v>667</v>
      </c>
      <c r="E116" t="s">
        <v>4303</v>
      </c>
      <c r="F116" t="s">
        <v>817</v>
      </c>
      <c r="G116" t="s">
        <v>817</v>
      </c>
      <c r="H116" t="s">
        <v>4497</v>
      </c>
      <c r="N116" t="s">
        <v>33</v>
      </c>
      <c r="O116" s="1">
        <v>2.5462962962962961E-4</v>
      </c>
      <c r="P116">
        <v>0</v>
      </c>
      <c r="Q116">
        <v>0</v>
      </c>
      <c r="R116">
        <v>1</v>
      </c>
      <c r="S116">
        <v>0</v>
      </c>
      <c r="T116">
        <v>0</v>
      </c>
      <c r="U116" t="s">
        <v>671</v>
      </c>
      <c r="V116" t="s">
        <v>809</v>
      </c>
    </row>
    <row r="117" spans="1:22" x14ac:dyDescent="0.35">
      <c r="A117" t="s">
        <v>20</v>
      </c>
      <c r="B117">
        <v>17646</v>
      </c>
      <c r="C117" t="s">
        <v>666</v>
      </c>
      <c r="D117" t="s">
        <v>667</v>
      </c>
      <c r="E117" t="s">
        <v>4305</v>
      </c>
      <c r="F117" t="s">
        <v>4498</v>
      </c>
      <c r="G117" t="s">
        <v>4498</v>
      </c>
      <c r="H117" t="s">
        <v>4499</v>
      </c>
      <c r="N117" t="s">
        <v>33</v>
      </c>
      <c r="O117" s="1">
        <v>5.7870370370370373E-5</v>
      </c>
      <c r="P117">
        <v>1</v>
      </c>
      <c r="Q117">
        <v>0</v>
      </c>
      <c r="R117">
        <v>0</v>
      </c>
      <c r="S117">
        <v>0</v>
      </c>
      <c r="T117">
        <v>0</v>
      </c>
      <c r="U117" t="s">
        <v>671</v>
      </c>
      <c r="V117" t="s">
        <v>809</v>
      </c>
    </row>
    <row r="118" spans="1:22" x14ac:dyDescent="0.35">
      <c r="A118" t="s">
        <v>20</v>
      </c>
      <c r="B118">
        <v>17646</v>
      </c>
      <c r="C118" t="s">
        <v>666</v>
      </c>
      <c r="D118" t="s">
        <v>667</v>
      </c>
      <c r="E118" t="s">
        <v>4307</v>
      </c>
      <c r="F118" t="s">
        <v>690</v>
      </c>
      <c r="G118" t="s">
        <v>690</v>
      </c>
      <c r="H118" t="s">
        <v>4500</v>
      </c>
      <c r="N118" t="s">
        <v>33</v>
      </c>
      <c r="O118" s="1">
        <v>1.0879629629629631E-3</v>
      </c>
      <c r="P118">
        <v>0</v>
      </c>
      <c r="Q118">
        <v>0</v>
      </c>
      <c r="R118">
        <v>0</v>
      </c>
      <c r="S118">
        <v>0</v>
      </c>
      <c r="T118">
        <v>1</v>
      </c>
      <c r="U118" t="s">
        <v>671</v>
      </c>
      <c r="V118" t="s">
        <v>809</v>
      </c>
    </row>
    <row r="119" spans="1:22" x14ac:dyDescent="0.35">
      <c r="A119" t="s">
        <v>20</v>
      </c>
      <c r="B119">
        <v>17646</v>
      </c>
      <c r="C119" t="s">
        <v>666</v>
      </c>
      <c r="D119" t="s">
        <v>667</v>
      </c>
      <c r="E119" t="s">
        <v>4310</v>
      </c>
      <c r="F119" t="s">
        <v>826</v>
      </c>
      <c r="G119" t="s">
        <v>826</v>
      </c>
      <c r="H119" t="s">
        <v>4501</v>
      </c>
      <c r="N119" t="s">
        <v>33</v>
      </c>
      <c r="O119" s="1">
        <v>1.041666666666667E-4</v>
      </c>
      <c r="P119">
        <v>1</v>
      </c>
      <c r="Q119">
        <v>0</v>
      </c>
      <c r="R119">
        <v>0</v>
      </c>
      <c r="S119">
        <v>0</v>
      </c>
      <c r="T119">
        <v>0</v>
      </c>
      <c r="U119" t="s">
        <v>671</v>
      </c>
      <c r="V119" t="s">
        <v>809</v>
      </c>
    </row>
    <row r="120" spans="1:22" x14ac:dyDescent="0.35">
      <c r="A120" t="s">
        <v>20</v>
      </c>
      <c r="B120">
        <v>17646</v>
      </c>
      <c r="C120" t="s">
        <v>666</v>
      </c>
      <c r="D120" t="s">
        <v>667</v>
      </c>
      <c r="E120" t="s">
        <v>4312</v>
      </c>
      <c r="F120" t="s">
        <v>4014</v>
      </c>
      <c r="G120" t="s">
        <v>4014</v>
      </c>
      <c r="H120" t="s">
        <v>4502</v>
      </c>
      <c r="N120" t="s">
        <v>33</v>
      </c>
      <c r="O120" s="1">
        <v>1.273148148148148E-4</v>
      </c>
      <c r="P120">
        <v>0</v>
      </c>
      <c r="Q120">
        <v>1</v>
      </c>
      <c r="R120">
        <v>0</v>
      </c>
      <c r="S120">
        <v>0</v>
      </c>
      <c r="T120">
        <v>0</v>
      </c>
      <c r="U120" t="s">
        <v>671</v>
      </c>
      <c r="V120" t="s">
        <v>809</v>
      </c>
    </row>
    <row r="121" spans="1:22" x14ac:dyDescent="0.35">
      <c r="A121" t="s">
        <v>20</v>
      </c>
      <c r="B121">
        <v>17646</v>
      </c>
      <c r="C121" t="s">
        <v>666</v>
      </c>
      <c r="D121" t="s">
        <v>667</v>
      </c>
      <c r="E121" t="s">
        <v>4314</v>
      </c>
      <c r="F121" t="s">
        <v>701</v>
      </c>
      <c r="G121" t="s">
        <v>701</v>
      </c>
      <c r="H121" t="s">
        <v>4503</v>
      </c>
      <c r="N121" t="s">
        <v>33</v>
      </c>
      <c r="O121" s="1">
        <v>3.1250000000000001E-4</v>
      </c>
      <c r="P121">
        <v>0</v>
      </c>
      <c r="Q121">
        <v>0</v>
      </c>
      <c r="R121">
        <v>1</v>
      </c>
      <c r="S121">
        <v>0</v>
      </c>
      <c r="T121">
        <v>0</v>
      </c>
      <c r="U121" t="s">
        <v>671</v>
      </c>
      <c r="V121" t="s">
        <v>809</v>
      </c>
    </row>
    <row r="122" spans="1:22" x14ac:dyDescent="0.35">
      <c r="A122" t="s">
        <v>20</v>
      </c>
      <c r="B122">
        <v>17646</v>
      </c>
      <c r="C122" t="s">
        <v>666</v>
      </c>
      <c r="D122" t="s">
        <v>667</v>
      </c>
      <c r="E122" t="s">
        <v>4316</v>
      </c>
      <c r="F122" t="s">
        <v>829</v>
      </c>
      <c r="G122" t="s">
        <v>829</v>
      </c>
      <c r="H122" t="s">
        <v>4504</v>
      </c>
      <c r="N122" t="s">
        <v>33</v>
      </c>
      <c r="O122" s="1">
        <v>3.8194444444444452E-4</v>
      </c>
      <c r="P122">
        <v>0</v>
      </c>
      <c r="Q122">
        <v>0</v>
      </c>
      <c r="R122">
        <v>0</v>
      </c>
      <c r="S122">
        <v>1</v>
      </c>
      <c r="T122">
        <v>0</v>
      </c>
      <c r="U122" t="s">
        <v>671</v>
      </c>
      <c r="V122" t="s">
        <v>809</v>
      </c>
    </row>
    <row r="123" spans="1:22" x14ac:dyDescent="0.35">
      <c r="A123" t="s">
        <v>20</v>
      </c>
      <c r="B123">
        <v>17646</v>
      </c>
      <c r="C123" t="s">
        <v>666</v>
      </c>
      <c r="D123" t="s">
        <v>667</v>
      </c>
      <c r="E123" t="s">
        <v>4317</v>
      </c>
      <c r="F123" t="s">
        <v>832</v>
      </c>
      <c r="G123" t="s">
        <v>832</v>
      </c>
      <c r="H123" t="s">
        <v>4505</v>
      </c>
      <c r="N123" t="s">
        <v>33</v>
      </c>
      <c r="O123" s="1">
        <v>3.5879629629629629E-4</v>
      </c>
      <c r="P123">
        <v>0</v>
      </c>
      <c r="Q123">
        <v>0</v>
      </c>
      <c r="R123">
        <v>0</v>
      </c>
      <c r="S123">
        <v>1</v>
      </c>
      <c r="T123">
        <v>0</v>
      </c>
      <c r="U123" t="s">
        <v>671</v>
      </c>
      <c r="V123" t="s">
        <v>809</v>
      </c>
    </row>
    <row r="124" spans="1:22" x14ac:dyDescent="0.35">
      <c r="A124" t="s">
        <v>20</v>
      </c>
      <c r="B124">
        <v>17646</v>
      </c>
      <c r="C124" t="s">
        <v>666</v>
      </c>
      <c r="D124" t="s">
        <v>667</v>
      </c>
      <c r="E124" t="s">
        <v>4319</v>
      </c>
      <c r="F124" t="s">
        <v>4506</v>
      </c>
      <c r="G124" t="s">
        <v>4506</v>
      </c>
      <c r="H124" t="s">
        <v>4507</v>
      </c>
      <c r="N124" t="s">
        <v>33</v>
      </c>
      <c r="O124" s="1">
        <v>7.8703703703703705E-4</v>
      </c>
      <c r="P124">
        <v>0</v>
      </c>
      <c r="Q124">
        <v>0</v>
      </c>
      <c r="R124">
        <v>0</v>
      </c>
      <c r="S124">
        <v>0</v>
      </c>
      <c r="T124">
        <v>1</v>
      </c>
      <c r="U124" t="s">
        <v>671</v>
      </c>
      <c r="V124" t="s">
        <v>809</v>
      </c>
    </row>
    <row r="125" spans="1:22" x14ac:dyDescent="0.35">
      <c r="A125" t="s">
        <v>20</v>
      </c>
      <c r="B125">
        <v>17646</v>
      </c>
      <c r="C125" t="s">
        <v>666</v>
      </c>
      <c r="D125" t="s">
        <v>667</v>
      </c>
      <c r="E125" t="s">
        <v>4322</v>
      </c>
      <c r="F125" t="s">
        <v>4021</v>
      </c>
      <c r="G125" t="s">
        <v>4021</v>
      </c>
      <c r="H125" t="s">
        <v>4508</v>
      </c>
      <c r="N125" t="s">
        <v>33</v>
      </c>
      <c r="O125" s="1">
        <v>5.7870370370370373E-5</v>
      </c>
      <c r="P125">
        <v>1</v>
      </c>
      <c r="Q125">
        <v>0</v>
      </c>
      <c r="R125">
        <v>0</v>
      </c>
      <c r="S125">
        <v>0</v>
      </c>
      <c r="T125">
        <v>0</v>
      </c>
      <c r="U125" t="s">
        <v>671</v>
      </c>
      <c r="V125" t="s">
        <v>809</v>
      </c>
    </row>
    <row r="126" spans="1:22" x14ac:dyDescent="0.35">
      <c r="A126" t="s">
        <v>20</v>
      </c>
      <c r="B126">
        <v>17646</v>
      </c>
      <c r="C126" t="s">
        <v>666</v>
      </c>
      <c r="D126" t="s">
        <v>667</v>
      </c>
      <c r="E126" t="s">
        <v>4324</v>
      </c>
      <c r="F126" t="s">
        <v>4023</v>
      </c>
      <c r="G126" t="s">
        <v>4023</v>
      </c>
      <c r="H126" t="s">
        <v>4509</v>
      </c>
      <c r="N126" t="s">
        <v>33</v>
      </c>
      <c r="O126" s="1">
        <v>1.1111111111111109E-3</v>
      </c>
      <c r="P126">
        <v>0</v>
      </c>
      <c r="Q126">
        <v>0</v>
      </c>
      <c r="R126">
        <v>0</v>
      </c>
      <c r="S126">
        <v>0</v>
      </c>
      <c r="T126">
        <v>1</v>
      </c>
      <c r="U126" t="s">
        <v>671</v>
      </c>
      <c r="V126" t="s">
        <v>809</v>
      </c>
    </row>
    <row r="127" spans="1:22" x14ac:dyDescent="0.35">
      <c r="A127" t="s">
        <v>20</v>
      </c>
      <c r="B127">
        <v>17646</v>
      </c>
      <c r="C127" t="s">
        <v>666</v>
      </c>
      <c r="D127" t="s">
        <v>667</v>
      </c>
      <c r="E127" t="s">
        <v>4326</v>
      </c>
      <c r="F127" t="s">
        <v>838</v>
      </c>
      <c r="G127" t="s">
        <v>838</v>
      </c>
      <c r="H127" t="s">
        <v>4510</v>
      </c>
      <c r="N127" t="s">
        <v>33</v>
      </c>
      <c r="O127" s="1">
        <v>7.6388888888888893E-4</v>
      </c>
      <c r="P127">
        <v>0</v>
      </c>
      <c r="Q127">
        <v>0</v>
      </c>
      <c r="R127">
        <v>0</v>
      </c>
      <c r="S127">
        <v>0</v>
      </c>
      <c r="T127">
        <v>1</v>
      </c>
      <c r="U127" t="s">
        <v>671</v>
      </c>
      <c r="V127" t="s">
        <v>809</v>
      </c>
    </row>
    <row r="128" spans="1:22" x14ac:dyDescent="0.35">
      <c r="A128" t="s">
        <v>20</v>
      </c>
      <c r="B128">
        <v>17646</v>
      </c>
      <c r="C128" t="s">
        <v>666</v>
      </c>
      <c r="D128" t="s">
        <v>667</v>
      </c>
      <c r="E128" t="s">
        <v>4328</v>
      </c>
      <c r="F128" t="s">
        <v>721</v>
      </c>
      <c r="G128" t="s">
        <v>721</v>
      </c>
      <c r="H128" t="s">
        <v>4511</v>
      </c>
      <c r="N128" t="s">
        <v>33</v>
      </c>
      <c r="O128" s="1">
        <v>3.0092592592592589E-4</v>
      </c>
      <c r="P128">
        <v>0</v>
      </c>
      <c r="Q128">
        <v>0</v>
      </c>
      <c r="R128">
        <v>1</v>
      </c>
      <c r="S128">
        <v>0</v>
      </c>
      <c r="T128">
        <v>0</v>
      </c>
      <c r="U128" t="s">
        <v>671</v>
      </c>
      <c r="V128" t="s">
        <v>809</v>
      </c>
    </row>
    <row r="129" spans="1:22" x14ac:dyDescent="0.35">
      <c r="A129" t="s">
        <v>20</v>
      </c>
      <c r="B129">
        <v>17646</v>
      </c>
      <c r="C129" t="s">
        <v>666</v>
      </c>
      <c r="D129" t="s">
        <v>667</v>
      </c>
      <c r="E129" t="s">
        <v>4330</v>
      </c>
      <c r="F129" t="s">
        <v>844</v>
      </c>
      <c r="G129" t="s">
        <v>844</v>
      </c>
      <c r="H129" t="s">
        <v>4512</v>
      </c>
      <c r="N129" t="s">
        <v>33</v>
      </c>
      <c r="O129" s="1">
        <v>2.5462962962962961E-4</v>
      </c>
      <c r="P129">
        <v>0</v>
      </c>
      <c r="Q129">
        <v>0</v>
      </c>
      <c r="R129">
        <v>1</v>
      </c>
      <c r="S129">
        <v>0</v>
      </c>
      <c r="T129">
        <v>0</v>
      </c>
      <c r="U129" t="s">
        <v>671</v>
      </c>
      <c r="V129" t="s">
        <v>809</v>
      </c>
    </row>
    <row r="130" spans="1:22" x14ac:dyDescent="0.35">
      <c r="A130" t="s">
        <v>20</v>
      </c>
      <c r="B130">
        <v>17646</v>
      </c>
      <c r="C130" t="s">
        <v>666</v>
      </c>
      <c r="D130" t="s">
        <v>667</v>
      </c>
      <c r="E130" t="s">
        <v>4332</v>
      </c>
      <c r="F130" t="s">
        <v>724</v>
      </c>
      <c r="G130" t="s">
        <v>724</v>
      </c>
      <c r="H130" t="s">
        <v>4513</v>
      </c>
      <c r="N130" t="s">
        <v>33</v>
      </c>
      <c r="O130" s="1">
        <v>6.134259259259259E-4</v>
      </c>
      <c r="P130">
        <v>0</v>
      </c>
      <c r="Q130">
        <v>0</v>
      </c>
      <c r="R130">
        <v>0</v>
      </c>
      <c r="S130">
        <v>1</v>
      </c>
      <c r="T130">
        <v>0</v>
      </c>
      <c r="U130" t="s">
        <v>671</v>
      </c>
      <c r="V130" t="s">
        <v>809</v>
      </c>
    </row>
    <row r="131" spans="1:22" x14ac:dyDescent="0.35">
      <c r="A131" t="s">
        <v>20</v>
      </c>
      <c r="B131">
        <v>17646</v>
      </c>
      <c r="C131" t="s">
        <v>666</v>
      </c>
      <c r="D131" t="s">
        <v>667</v>
      </c>
      <c r="E131" t="s">
        <v>4335</v>
      </c>
      <c r="F131" t="s">
        <v>4514</v>
      </c>
      <c r="G131" t="s">
        <v>4514</v>
      </c>
      <c r="H131" t="s">
        <v>4515</v>
      </c>
      <c r="N131" t="s">
        <v>33</v>
      </c>
      <c r="O131" s="1">
        <v>3.4722222222222222E-5</v>
      </c>
      <c r="P131">
        <v>1</v>
      </c>
      <c r="Q131">
        <v>0</v>
      </c>
      <c r="R131">
        <v>0</v>
      </c>
      <c r="S131">
        <v>0</v>
      </c>
      <c r="T131">
        <v>0</v>
      </c>
      <c r="U131" t="s">
        <v>671</v>
      </c>
      <c r="V131" t="s">
        <v>809</v>
      </c>
    </row>
    <row r="132" spans="1:22" x14ac:dyDescent="0.35">
      <c r="A132" t="s">
        <v>20</v>
      </c>
      <c r="B132">
        <v>17646</v>
      </c>
      <c r="C132" t="s">
        <v>666</v>
      </c>
      <c r="D132" t="s">
        <v>667</v>
      </c>
      <c r="E132" t="s">
        <v>4337</v>
      </c>
      <c r="F132" t="s">
        <v>4516</v>
      </c>
      <c r="G132" t="s">
        <v>4516</v>
      </c>
      <c r="H132" t="s">
        <v>4517</v>
      </c>
      <c r="N132" t="s">
        <v>33</v>
      </c>
      <c r="O132" s="1">
        <v>3.5879629629629629E-4</v>
      </c>
      <c r="P132">
        <v>0</v>
      </c>
      <c r="Q132">
        <v>0</v>
      </c>
      <c r="R132">
        <v>0</v>
      </c>
      <c r="S132">
        <v>1</v>
      </c>
      <c r="T132">
        <v>0</v>
      </c>
      <c r="U132" t="s">
        <v>671</v>
      </c>
      <c r="V132" t="s">
        <v>809</v>
      </c>
    </row>
    <row r="133" spans="1:22" x14ac:dyDescent="0.35">
      <c r="A133" t="s">
        <v>20</v>
      </c>
      <c r="B133">
        <v>17646</v>
      </c>
      <c r="C133" t="s">
        <v>666</v>
      </c>
      <c r="D133" t="s">
        <v>667</v>
      </c>
      <c r="E133" t="s">
        <v>4339</v>
      </c>
      <c r="F133" t="s">
        <v>847</v>
      </c>
      <c r="G133" t="s">
        <v>847</v>
      </c>
      <c r="H133" t="s">
        <v>4518</v>
      </c>
      <c r="N133" t="s">
        <v>33</v>
      </c>
      <c r="O133" s="1">
        <v>2.5462962962962961E-4</v>
      </c>
      <c r="P133">
        <v>0</v>
      </c>
      <c r="Q133">
        <v>0</v>
      </c>
      <c r="R133">
        <v>1</v>
      </c>
      <c r="S133">
        <v>0</v>
      </c>
      <c r="T133">
        <v>0</v>
      </c>
      <c r="U133" t="s">
        <v>671</v>
      </c>
      <c r="V133" t="s">
        <v>809</v>
      </c>
    </row>
    <row r="134" spans="1:22" x14ac:dyDescent="0.35">
      <c r="A134" t="s">
        <v>20</v>
      </c>
      <c r="B134">
        <v>17646</v>
      </c>
      <c r="C134" t="s">
        <v>666</v>
      </c>
      <c r="D134" t="s">
        <v>667</v>
      </c>
      <c r="E134" t="s">
        <v>4340</v>
      </c>
      <c r="F134" t="s">
        <v>4519</v>
      </c>
      <c r="G134" t="s">
        <v>4519</v>
      </c>
      <c r="H134" t="s">
        <v>4520</v>
      </c>
      <c r="N134" t="s">
        <v>33</v>
      </c>
      <c r="O134" s="1">
        <v>7.5231481481481482E-4</v>
      </c>
      <c r="P134">
        <v>0</v>
      </c>
      <c r="Q134">
        <v>0</v>
      </c>
      <c r="R134">
        <v>0</v>
      </c>
      <c r="S134">
        <v>0</v>
      </c>
      <c r="T134">
        <v>1</v>
      </c>
      <c r="U134" t="s">
        <v>671</v>
      </c>
      <c r="V134" t="s">
        <v>809</v>
      </c>
    </row>
    <row r="135" spans="1:22" x14ac:dyDescent="0.35">
      <c r="A135" t="s">
        <v>20</v>
      </c>
      <c r="B135">
        <v>17646</v>
      </c>
      <c r="C135" t="s">
        <v>666</v>
      </c>
      <c r="D135" t="s">
        <v>667</v>
      </c>
      <c r="E135" t="s">
        <v>4342</v>
      </c>
      <c r="F135" t="s">
        <v>863</v>
      </c>
      <c r="G135" t="s">
        <v>863</v>
      </c>
      <c r="H135" t="s">
        <v>4521</v>
      </c>
      <c r="N135" t="s">
        <v>33</v>
      </c>
      <c r="O135" s="1">
        <v>3.0092592592592589E-4</v>
      </c>
      <c r="P135">
        <v>0</v>
      </c>
      <c r="Q135">
        <v>0</v>
      </c>
      <c r="R135">
        <v>1</v>
      </c>
      <c r="S135">
        <v>0</v>
      </c>
      <c r="T135">
        <v>0</v>
      </c>
      <c r="U135" t="s">
        <v>671</v>
      </c>
      <c r="V135" t="s">
        <v>809</v>
      </c>
    </row>
    <row r="136" spans="1:22" x14ac:dyDescent="0.35">
      <c r="A136" t="s">
        <v>20</v>
      </c>
      <c r="B136">
        <v>17646</v>
      </c>
      <c r="C136" t="s">
        <v>666</v>
      </c>
      <c r="D136" t="s">
        <v>667</v>
      </c>
      <c r="E136" t="s">
        <v>4345</v>
      </c>
      <c r="F136" t="s">
        <v>4037</v>
      </c>
      <c r="G136" t="s">
        <v>4037</v>
      </c>
      <c r="H136" t="s">
        <v>4522</v>
      </c>
      <c r="N136" t="s">
        <v>33</v>
      </c>
      <c r="O136" s="1">
        <v>1.6203703703703701E-4</v>
      </c>
      <c r="P136">
        <v>0</v>
      </c>
      <c r="Q136">
        <v>1</v>
      </c>
      <c r="R136">
        <v>0</v>
      </c>
      <c r="S136">
        <v>0</v>
      </c>
      <c r="T136">
        <v>0</v>
      </c>
      <c r="U136" t="s">
        <v>671</v>
      </c>
      <c r="V136" t="s">
        <v>809</v>
      </c>
    </row>
    <row r="137" spans="1:22" x14ac:dyDescent="0.35">
      <c r="A137" t="s">
        <v>20</v>
      </c>
      <c r="B137">
        <v>17646</v>
      </c>
      <c r="C137" t="s">
        <v>666</v>
      </c>
      <c r="D137" t="s">
        <v>667</v>
      </c>
      <c r="E137" t="s">
        <v>4347</v>
      </c>
      <c r="F137" t="s">
        <v>740</v>
      </c>
      <c r="G137" t="s">
        <v>740</v>
      </c>
      <c r="H137" t="s">
        <v>4523</v>
      </c>
      <c r="N137" t="s">
        <v>33</v>
      </c>
      <c r="O137" s="1">
        <v>4.6296296296296298E-4</v>
      </c>
      <c r="P137">
        <v>0</v>
      </c>
      <c r="Q137">
        <v>0</v>
      </c>
      <c r="R137">
        <v>0</v>
      </c>
      <c r="S137">
        <v>1</v>
      </c>
      <c r="T137">
        <v>0</v>
      </c>
      <c r="U137" t="s">
        <v>671</v>
      </c>
      <c r="V137" t="s">
        <v>809</v>
      </c>
    </row>
    <row r="138" spans="1:22" x14ac:dyDescent="0.35">
      <c r="A138" t="s">
        <v>20</v>
      </c>
      <c r="B138">
        <v>17646</v>
      </c>
      <c r="C138" t="s">
        <v>666</v>
      </c>
      <c r="D138" t="s">
        <v>667</v>
      </c>
      <c r="E138" t="s">
        <v>4349</v>
      </c>
      <c r="F138" t="s">
        <v>872</v>
      </c>
      <c r="G138" t="s">
        <v>872</v>
      </c>
      <c r="H138" t="s">
        <v>4524</v>
      </c>
      <c r="N138" t="s">
        <v>33</v>
      </c>
      <c r="O138" s="1">
        <v>4.1666666666666669E-4</v>
      </c>
      <c r="P138">
        <v>0</v>
      </c>
      <c r="Q138">
        <v>0</v>
      </c>
      <c r="R138">
        <v>0</v>
      </c>
      <c r="S138">
        <v>1</v>
      </c>
      <c r="T138">
        <v>0</v>
      </c>
      <c r="U138" t="s">
        <v>671</v>
      </c>
      <c r="V138" t="s">
        <v>809</v>
      </c>
    </row>
    <row r="139" spans="1:22" x14ac:dyDescent="0.35">
      <c r="A139" t="s">
        <v>20</v>
      </c>
      <c r="B139">
        <v>17646</v>
      </c>
      <c r="C139" t="s">
        <v>666</v>
      </c>
      <c r="D139" t="s">
        <v>667</v>
      </c>
      <c r="E139" t="s">
        <v>4351</v>
      </c>
      <c r="F139" t="s">
        <v>875</v>
      </c>
      <c r="G139" t="s">
        <v>875</v>
      </c>
      <c r="H139" t="s">
        <v>4525</v>
      </c>
      <c r="N139" t="s">
        <v>33</v>
      </c>
      <c r="O139" s="1">
        <v>2.314814814814815E-5</v>
      </c>
      <c r="P139">
        <v>1</v>
      </c>
      <c r="Q139">
        <v>0</v>
      </c>
      <c r="R139">
        <v>0</v>
      </c>
      <c r="S139">
        <v>0</v>
      </c>
      <c r="T139">
        <v>0</v>
      </c>
      <c r="U139" t="s">
        <v>671</v>
      </c>
      <c r="V139" t="s">
        <v>809</v>
      </c>
    </row>
    <row r="140" spans="1:22" x14ac:dyDescent="0.35">
      <c r="A140" t="s">
        <v>20</v>
      </c>
      <c r="B140">
        <v>17646</v>
      </c>
      <c r="C140" t="s">
        <v>666</v>
      </c>
      <c r="D140" t="s">
        <v>667</v>
      </c>
      <c r="E140" t="s">
        <v>4354</v>
      </c>
      <c r="F140" t="s">
        <v>746</v>
      </c>
      <c r="G140" t="s">
        <v>746</v>
      </c>
      <c r="H140" t="s">
        <v>4526</v>
      </c>
      <c r="N140" t="s">
        <v>33</v>
      </c>
      <c r="O140" s="1">
        <v>9.2592592592592588E-5</v>
      </c>
      <c r="P140">
        <v>1</v>
      </c>
      <c r="Q140">
        <v>0</v>
      </c>
      <c r="R140">
        <v>0</v>
      </c>
      <c r="S140">
        <v>0</v>
      </c>
      <c r="T140">
        <v>0</v>
      </c>
      <c r="U140" t="s">
        <v>671</v>
      </c>
      <c r="V140" t="s">
        <v>809</v>
      </c>
    </row>
    <row r="141" spans="1:22" x14ac:dyDescent="0.35">
      <c r="A141" t="s">
        <v>20</v>
      </c>
      <c r="B141">
        <v>17646</v>
      </c>
      <c r="C141" t="s">
        <v>666</v>
      </c>
      <c r="D141" t="s">
        <v>667</v>
      </c>
      <c r="E141" t="s">
        <v>4356</v>
      </c>
      <c r="F141" t="s">
        <v>4527</v>
      </c>
      <c r="G141" t="s">
        <v>4527</v>
      </c>
      <c r="H141" t="s">
        <v>4528</v>
      </c>
      <c r="N141" t="s">
        <v>33</v>
      </c>
      <c r="O141" s="1">
        <v>1.226851851851852E-3</v>
      </c>
      <c r="P141">
        <v>0</v>
      </c>
      <c r="Q141">
        <v>0</v>
      </c>
      <c r="R141">
        <v>0</v>
      </c>
      <c r="S141">
        <v>0</v>
      </c>
      <c r="T141">
        <v>1</v>
      </c>
      <c r="U141" t="s">
        <v>671</v>
      </c>
      <c r="V141" t="s">
        <v>809</v>
      </c>
    </row>
    <row r="142" spans="1:22" x14ac:dyDescent="0.35">
      <c r="A142" t="s">
        <v>20</v>
      </c>
      <c r="B142">
        <v>17646</v>
      </c>
      <c r="C142" t="s">
        <v>666</v>
      </c>
      <c r="D142" t="s">
        <v>667</v>
      </c>
      <c r="E142" t="s">
        <v>4358</v>
      </c>
      <c r="F142" t="s">
        <v>4046</v>
      </c>
      <c r="G142" t="s">
        <v>4046</v>
      </c>
      <c r="H142" t="s">
        <v>4529</v>
      </c>
      <c r="N142" t="s">
        <v>33</v>
      </c>
      <c r="O142" s="1">
        <v>6.9444444444444444E-5</v>
      </c>
      <c r="P142">
        <v>1</v>
      </c>
      <c r="Q142">
        <v>0</v>
      </c>
      <c r="R142">
        <v>0</v>
      </c>
      <c r="S142">
        <v>0</v>
      </c>
      <c r="T142">
        <v>0</v>
      </c>
      <c r="U142" t="s">
        <v>671</v>
      </c>
      <c r="V142" t="s">
        <v>809</v>
      </c>
    </row>
    <row r="143" spans="1:22" x14ac:dyDescent="0.35">
      <c r="A143" t="s">
        <v>20</v>
      </c>
      <c r="B143">
        <v>17646</v>
      </c>
      <c r="C143" t="s">
        <v>666</v>
      </c>
      <c r="D143" t="s">
        <v>667</v>
      </c>
      <c r="E143" t="s">
        <v>4360</v>
      </c>
      <c r="F143" t="s">
        <v>4530</v>
      </c>
      <c r="G143" t="s">
        <v>4530</v>
      </c>
      <c r="H143" t="s">
        <v>4531</v>
      </c>
      <c r="N143" t="s">
        <v>33</v>
      </c>
      <c r="O143" s="1">
        <v>1.296296296296296E-3</v>
      </c>
      <c r="P143">
        <v>0</v>
      </c>
      <c r="Q143">
        <v>0</v>
      </c>
      <c r="R143">
        <v>0</v>
      </c>
      <c r="S143">
        <v>0</v>
      </c>
      <c r="T143">
        <v>1</v>
      </c>
      <c r="U143" t="s">
        <v>671</v>
      </c>
      <c r="V143" t="s">
        <v>809</v>
      </c>
    </row>
    <row r="144" spans="1:22" x14ac:dyDescent="0.35">
      <c r="A144" t="s">
        <v>20</v>
      </c>
      <c r="B144">
        <v>17646</v>
      </c>
      <c r="C144" t="s">
        <v>666</v>
      </c>
      <c r="D144" t="s">
        <v>667</v>
      </c>
      <c r="E144" t="s">
        <v>4362</v>
      </c>
      <c r="F144" t="s">
        <v>889</v>
      </c>
      <c r="G144" t="s">
        <v>889</v>
      </c>
      <c r="H144" t="s">
        <v>4532</v>
      </c>
      <c r="N144" t="s">
        <v>33</v>
      </c>
      <c r="O144" s="1">
        <v>4.861111111111111E-4</v>
      </c>
      <c r="P144">
        <v>0</v>
      </c>
      <c r="Q144">
        <v>0</v>
      </c>
      <c r="R144">
        <v>0</v>
      </c>
      <c r="S144">
        <v>1</v>
      </c>
      <c r="T144">
        <v>0</v>
      </c>
      <c r="U144" t="s">
        <v>671</v>
      </c>
      <c r="V144" t="s">
        <v>809</v>
      </c>
    </row>
    <row r="145" spans="1:22" x14ac:dyDescent="0.35">
      <c r="A145" t="s">
        <v>20</v>
      </c>
      <c r="B145">
        <v>17646</v>
      </c>
      <c r="C145" t="s">
        <v>666</v>
      </c>
      <c r="D145" t="s">
        <v>667</v>
      </c>
      <c r="E145" t="s">
        <v>4365</v>
      </c>
      <c r="F145" t="s">
        <v>892</v>
      </c>
      <c r="G145" t="s">
        <v>892</v>
      </c>
      <c r="H145" t="s">
        <v>4533</v>
      </c>
      <c r="N145" t="s">
        <v>33</v>
      </c>
      <c r="O145" s="1">
        <v>4.1666666666666669E-4</v>
      </c>
      <c r="P145">
        <v>0</v>
      </c>
      <c r="Q145">
        <v>0</v>
      </c>
      <c r="R145">
        <v>0</v>
      </c>
      <c r="S145">
        <v>1</v>
      </c>
      <c r="T145">
        <v>0</v>
      </c>
      <c r="U145" t="s">
        <v>671</v>
      </c>
      <c r="V145" t="s">
        <v>809</v>
      </c>
    </row>
    <row r="146" spans="1:22" x14ac:dyDescent="0.35">
      <c r="A146" t="s">
        <v>20</v>
      </c>
      <c r="B146">
        <v>17646</v>
      </c>
      <c r="C146" t="s">
        <v>666</v>
      </c>
      <c r="D146" t="s">
        <v>667</v>
      </c>
      <c r="E146" t="s">
        <v>4367</v>
      </c>
      <c r="F146" t="s">
        <v>895</v>
      </c>
      <c r="G146" t="s">
        <v>895</v>
      </c>
      <c r="H146" t="s">
        <v>4534</v>
      </c>
      <c r="N146" t="s">
        <v>33</v>
      </c>
      <c r="O146" s="1">
        <v>1.3888888888888889E-4</v>
      </c>
      <c r="P146">
        <v>0</v>
      </c>
      <c r="Q146">
        <v>1</v>
      </c>
      <c r="R146">
        <v>0</v>
      </c>
      <c r="S146">
        <v>0</v>
      </c>
      <c r="T146">
        <v>0</v>
      </c>
      <c r="U146" t="s">
        <v>671</v>
      </c>
      <c r="V146" t="s">
        <v>809</v>
      </c>
    </row>
    <row r="147" spans="1:22" x14ac:dyDescent="0.35">
      <c r="A147" t="s">
        <v>20</v>
      </c>
      <c r="B147">
        <v>17646</v>
      </c>
      <c r="C147" t="s">
        <v>666</v>
      </c>
      <c r="D147" t="s">
        <v>667</v>
      </c>
      <c r="E147" t="s">
        <v>4369</v>
      </c>
      <c r="F147" t="s">
        <v>898</v>
      </c>
      <c r="G147" t="s">
        <v>898</v>
      </c>
      <c r="H147" t="s">
        <v>4535</v>
      </c>
      <c r="N147" t="s">
        <v>33</v>
      </c>
      <c r="O147" s="1">
        <v>3.4722222222222218E-4</v>
      </c>
      <c r="P147">
        <v>0</v>
      </c>
      <c r="Q147">
        <v>0</v>
      </c>
      <c r="R147">
        <v>1</v>
      </c>
      <c r="S147">
        <v>0</v>
      </c>
      <c r="T147">
        <v>0</v>
      </c>
      <c r="U147" t="s">
        <v>671</v>
      </c>
      <c r="V147" t="s">
        <v>809</v>
      </c>
    </row>
    <row r="148" spans="1:22" x14ac:dyDescent="0.35">
      <c r="A148" t="s">
        <v>20</v>
      </c>
      <c r="B148">
        <v>17646</v>
      </c>
      <c r="C148" t="s">
        <v>666</v>
      </c>
      <c r="D148" t="s">
        <v>667</v>
      </c>
      <c r="E148" t="s">
        <v>4372</v>
      </c>
      <c r="F148" t="s">
        <v>4536</v>
      </c>
      <c r="G148" t="s">
        <v>4536</v>
      </c>
      <c r="H148" t="s">
        <v>4537</v>
      </c>
      <c r="N148" t="s">
        <v>33</v>
      </c>
      <c r="O148" s="1">
        <v>1.041666666666667E-4</v>
      </c>
      <c r="P148">
        <v>1</v>
      </c>
      <c r="Q148">
        <v>0</v>
      </c>
      <c r="R148">
        <v>0</v>
      </c>
      <c r="S148">
        <v>0</v>
      </c>
      <c r="T148">
        <v>0</v>
      </c>
      <c r="U148" t="s">
        <v>671</v>
      </c>
      <c r="V148" t="s">
        <v>809</v>
      </c>
    </row>
    <row r="149" spans="1:22" x14ac:dyDescent="0.35">
      <c r="A149" t="s">
        <v>20</v>
      </c>
      <c r="B149">
        <v>17646</v>
      </c>
      <c r="C149" t="s">
        <v>666</v>
      </c>
      <c r="D149" t="s">
        <v>667</v>
      </c>
      <c r="E149" t="s">
        <v>4374</v>
      </c>
      <c r="F149" t="s">
        <v>4058</v>
      </c>
      <c r="G149" t="s">
        <v>4058</v>
      </c>
      <c r="H149" t="s">
        <v>4538</v>
      </c>
      <c r="N149" t="s">
        <v>33</v>
      </c>
      <c r="O149" s="1">
        <v>3.9351851851851852E-4</v>
      </c>
      <c r="P149">
        <v>0</v>
      </c>
      <c r="Q149">
        <v>0</v>
      </c>
      <c r="R149">
        <v>0</v>
      </c>
      <c r="S149">
        <v>1</v>
      </c>
      <c r="T149">
        <v>0</v>
      </c>
      <c r="U149" t="s">
        <v>671</v>
      </c>
      <c r="V149" t="s">
        <v>809</v>
      </c>
    </row>
    <row r="150" spans="1:22" x14ac:dyDescent="0.35">
      <c r="A150" t="s">
        <v>20</v>
      </c>
      <c r="B150">
        <v>17646</v>
      </c>
      <c r="C150" t="s">
        <v>666</v>
      </c>
      <c r="D150" t="s">
        <v>667</v>
      </c>
      <c r="E150" t="s">
        <v>4376</v>
      </c>
      <c r="F150" t="s">
        <v>767</v>
      </c>
      <c r="G150" t="s">
        <v>767</v>
      </c>
      <c r="H150" t="s">
        <v>4539</v>
      </c>
      <c r="N150" t="s">
        <v>33</v>
      </c>
      <c r="O150" s="1">
        <v>4.3981481481481481E-4</v>
      </c>
      <c r="P150">
        <v>0</v>
      </c>
      <c r="Q150">
        <v>0</v>
      </c>
      <c r="R150">
        <v>0</v>
      </c>
      <c r="S150">
        <v>1</v>
      </c>
      <c r="T150">
        <v>0</v>
      </c>
      <c r="U150" t="s">
        <v>671</v>
      </c>
      <c r="V150" t="s">
        <v>809</v>
      </c>
    </row>
    <row r="151" spans="1:22" x14ac:dyDescent="0.35">
      <c r="A151" t="s">
        <v>20</v>
      </c>
      <c r="B151">
        <v>17646</v>
      </c>
      <c r="C151" t="s">
        <v>666</v>
      </c>
      <c r="D151" t="s">
        <v>667</v>
      </c>
      <c r="E151" t="s">
        <v>4378</v>
      </c>
      <c r="F151" t="s">
        <v>770</v>
      </c>
      <c r="G151" t="s">
        <v>770</v>
      </c>
      <c r="H151" t="s">
        <v>4540</v>
      </c>
      <c r="N151" t="s">
        <v>33</v>
      </c>
      <c r="O151" s="1">
        <v>1.9675925925925929E-4</v>
      </c>
      <c r="P151">
        <v>0</v>
      </c>
      <c r="Q151">
        <v>1</v>
      </c>
      <c r="R151">
        <v>0</v>
      </c>
      <c r="S151">
        <v>0</v>
      </c>
      <c r="T151">
        <v>0</v>
      </c>
      <c r="U151" t="s">
        <v>671</v>
      </c>
      <c r="V151" t="s">
        <v>809</v>
      </c>
    </row>
    <row r="152" spans="1:22" x14ac:dyDescent="0.35">
      <c r="A152" t="s">
        <v>20</v>
      </c>
      <c r="B152">
        <v>17646</v>
      </c>
      <c r="C152" t="s">
        <v>666</v>
      </c>
      <c r="D152" t="s">
        <v>667</v>
      </c>
      <c r="E152" t="s">
        <v>4380</v>
      </c>
      <c r="F152" t="s">
        <v>4541</v>
      </c>
      <c r="G152" t="s">
        <v>4541</v>
      </c>
      <c r="H152" t="s">
        <v>4542</v>
      </c>
      <c r="N152" t="s">
        <v>33</v>
      </c>
      <c r="O152" s="1">
        <v>7.291666666666667E-4</v>
      </c>
      <c r="P152">
        <v>0</v>
      </c>
      <c r="Q152">
        <v>0</v>
      </c>
      <c r="R152">
        <v>0</v>
      </c>
      <c r="S152">
        <v>0</v>
      </c>
      <c r="T152">
        <v>1</v>
      </c>
      <c r="U152" t="s">
        <v>671</v>
      </c>
      <c r="V152" t="s">
        <v>809</v>
      </c>
    </row>
    <row r="153" spans="1:22" x14ac:dyDescent="0.35">
      <c r="A153" t="s">
        <v>20</v>
      </c>
      <c r="B153">
        <v>17646</v>
      </c>
      <c r="C153" t="s">
        <v>666</v>
      </c>
      <c r="D153" t="s">
        <v>667</v>
      </c>
      <c r="E153" t="s">
        <v>4382</v>
      </c>
      <c r="F153" t="s">
        <v>913</v>
      </c>
      <c r="G153" t="s">
        <v>913</v>
      </c>
      <c r="H153" t="s">
        <v>4543</v>
      </c>
      <c r="N153" t="s">
        <v>33</v>
      </c>
      <c r="O153" s="1">
        <v>2.3148148148148149E-4</v>
      </c>
      <c r="P153">
        <v>0</v>
      </c>
      <c r="Q153">
        <v>1</v>
      </c>
      <c r="R153">
        <v>0</v>
      </c>
      <c r="S153">
        <v>0</v>
      </c>
      <c r="T153">
        <v>0</v>
      </c>
      <c r="U153" t="s">
        <v>671</v>
      </c>
      <c r="V153" t="s">
        <v>809</v>
      </c>
    </row>
    <row r="154" spans="1:22" x14ac:dyDescent="0.35">
      <c r="A154" t="s">
        <v>20</v>
      </c>
      <c r="B154">
        <v>17646</v>
      </c>
      <c r="C154" t="s">
        <v>666</v>
      </c>
      <c r="D154" t="s">
        <v>667</v>
      </c>
      <c r="E154" t="s">
        <v>4384</v>
      </c>
      <c r="F154" t="s">
        <v>4544</v>
      </c>
      <c r="G154" t="s">
        <v>4544</v>
      </c>
      <c r="H154" t="s">
        <v>4545</v>
      </c>
      <c r="N154" t="s">
        <v>33</v>
      </c>
      <c r="O154" s="1">
        <v>6.9444444444444444E-5</v>
      </c>
      <c r="P154">
        <v>1</v>
      </c>
      <c r="Q154">
        <v>0</v>
      </c>
      <c r="R154">
        <v>0</v>
      </c>
      <c r="S154">
        <v>0</v>
      </c>
      <c r="T154">
        <v>0</v>
      </c>
      <c r="U154" t="s">
        <v>671</v>
      </c>
      <c r="V154" t="s">
        <v>809</v>
      </c>
    </row>
    <row r="155" spans="1:22" x14ac:dyDescent="0.35">
      <c r="A155" t="s">
        <v>20</v>
      </c>
      <c r="B155">
        <v>17646</v>
      </c>
      <c r="C155" t="s">
        <v>666</v>
      </c>
      <c r="D155" t="s">
        <v>667</v>
      </c>
      <c r="E155" t="s">
        <v>4386</v>
      </c>
      <c r="F155" t="s">
        <v>916</v>
      </c>
      <c r="G155" t="s">
        <v>916</v>
      </c>
      <c r="H155" t="s">
        <v>4546</v>
      </c>
      <c r="N155" t="s">
        <v>33</v>
      </c>
      <c r="O155" s="1">
        <v>2.199074074074074E-4</v>
      </c>
      <c r="P155">
        <v>0</v>
      </c>
      <c r="Q155">
        <v>1</v>
      </c>
      <c r="R155">
        <v>0</v>
      </c>
      <c r="S155">
        <v>0</v>
      </c>
      <c r="T155">
        <v>0</v>
      </c>
      <c r="U155" t="s">
        <v>671</v>
      </c>
      <c r="V155" t="s">
        <v>809</v>
      </c>
    </row>
    <row r="156" spans="1:22" x14ac:dyDescent="0.35">
      <c r="A156" t="s">
        <v>20</v>
      </c>
      <c r="B156">
        <v>17646</v>
      </c>
      <c r="C156" t="s">
        <v>666</v>
      </c>
      <c r="D156" t="s">
        <v>667</v>
      </c>
      <c r="E156" t="s">
        <v>4388</v>
      </c>
      <c r="F156" t="s">
        <v>918</v>
      </c>
      <c r="G156" t="s">
        <v>918</v>
      </c>
      <c r="H156" t="s">
        <v>4547</v>
      </c>
      <c r="N156" t="s">
        <v>33</v>
      </c>
      <c r="O156" s="1">
        <v>4.6296296296296298E-4</v>
      </c>
      <c r="P156">
        <v>0</v>
      </c>
      <c r="Q156">
        <v>0</v>
      </c>
      <c r="R156">
        <v>0</v>
      </c>
      <c r="S156">
        <v>1</v>
      </c>
      <c r="T156">
        <v>0</v>
      </c>
      <c r="U156" t="s">
        <v>671</v>
      </c>
      <c r="V156" t="s">
        <v>809</v>
      </c>
    </row>
    <row r="157" spans="1:22" x14ac:dyDescent="0.35">
      <c r="A157" t="s">
        <v>20</v>
      </c>
      <c r="B157">
        <v>17646</v>
      </c>
      <c r="C157" t="s">
        <v>666</v>
      </c>
      <c r="D157" t="s">
        <v>667</v>
      </c>
      <c r="E157" t="s">
        <v>4390</v>
      </c>
      <c r="F157" t="s">
        <v>923</v>
      </c>
      <c r="G157" t="s">
        <v>923</v>
      </c>
      <c r="H157" t="s">
        <v>4548</v>
      </c>
      <c r="N157" t="s">
        <v>33</v>
      </c>
      <c r="O157" s="1">
        <v>6.134259259259259E-4</v>
      </c>
      <c r="P157">
        <v>0</v>
      </c>
      <c r="Q157">
        <v>0</v>
      </c>
      <c r="R157">
        <v>0</v>
      </c>
      <c r="S157">
        <v>1</v>
      </c>
      <c r="T157">
        <v>0</v>
      </c>
      <c r="U157" t="s">
        <v>671</v>
      </c>
      <c r="V157" t="s">
        <v>809</v>
      </c>
    </row>
    <row r="158" spans="1:22" x14ac:dyDescent="0.35">
      <c r="A158" t="s">
        <v>20</v>
      </c>
      <c r="B158">
        <v>17646</v>
      </c>
      <c r="C158" t="s">
        <v>666</v>
      </c>
      <c r="D158" t="s">
        <v>667</v>
      </c>
      <c r="E158" t="s">
        <v>4392</v>
      </c>
      <c r="F158" t="s">
        <v>785</v>
      </c>
      <c r="G158" t="s">
        <v>785</v>
      </c>
      <c r="H158" t="s">
        <v>4549</v>
      </c>
      <c r="N158" t="s">
        <v>33</v>
      </c>
      <c r="O158" s="1">
        <v>3.7037037037037041E-4</v>
      </c>
      <c r="P158">
        <v>0</v>
      </c>
      <c r="Q158">
        <v>0</v>
      </c>
      <c r="R158">
        <v>0</v>
      </c>
      <c r="S158">
        <v>1</v>
      </c>
      <c r="T158">
        <v>0</v>
      </c>
      <c r="U158" t="s">
        <v>671</v>
      </c>
      <c r="V158" t="s">
        <v>809</v>
      </c>
    </row>
    <row r="159" spans="1:22" x14ac:dyDescent="0.35">
      <c r="A159" t="s">
        <v>20</v>
      </c>
      <c r="B159">
        <v>17646</v>
      </c>
      <c r="C159" t="s">
        <v>666</v>
      </c>
      <c r="D159" t="s">
        <v>667</v>
      </c>
      <c r="E159" t="s">
        <v>4394</v>
      </c>
      <c r="F159" t="s">
        <v>4072</v>
      </c>
      <c r="G159" t="s">
        <v>4072</v>
      </c>
      <c r="H159" t="s">
        <v>4550</v>
      </c>
      <c r="N159" t="s">
        <v>33</v>
      </c>
      <c r="O159" s="1">
        <v>6.4814814814814813E-4</v>
      </c>
      <c r="P159">
        <v>0</v>
      </c>
      <c r="Q159">
        <v>0</v>
      </c>
      <c r="R159">
        <v>0</v>
      </c>
      <c r="S159">
        <v>1</v>
      </c>
      <c r="T159">
        <v>0</v>
      </c>
      <c r="U159" t="s">
        <v>671</v>
      </c>
      <c r="V159" t="s">
        <v>809</v>
      </c>
    </row>
    <row r="160" spans="1:22" x14ac:dyDescent="0.35">
      <c r="A160" t="s">
        <v>20</v>
      </c>
      <c r="B160">
        <v>17646</v>
      </c>
      <c r="C160" t="s">
        <v>666</v>
      </c>
      <c r="D160" t="s">
        <v>667</v>
      </c>
      <c r="E160" t="s">
        <v>4396</v>
      </c>
      <c r="F160" t="s">
        <v>4074</v>
      </c>
      <c r="G160" t="s">
        <v>4074</v>
      </c>
      <c r="H160" t="s">
        <v>4551</v>
      </c>
      <c r="N160" t="s">
        <v>33</v>
      </c>
      <c r="O160" s="1">
        <v>5.7870370370370373E-5</v>
      </c>
      <c r="P160">
        <v>1</v>
      </c>
      <c r="Q160">
        <v>0</v>
      </c>
      <c r="R160">
        <v>0</v>
      </c>
      <c r="S160">
        <v>0</v>
      </c>
      <c r="T160">
        <v>0</v>
      </c>
      <c r="U160" t="s">
        <v>671</v>
      </c>
      <c r="V160" t="s">
        <v>809</v>
      </c>
    </row>
    <row r="161" spans="1:22" x14ac:dyDescent="0.35">
      <c r="A161" t="s">
        <v>20</v>
      </c>
      <c r="B161">
        <v>17646</v>
      </c>
      <c r="C161" t="s">
        <v>666</v>
      </c>
      <c r="D161" t="s">
        <v>667</v>
      </c>
      <c r="E161" t="s">
        <v>4398</v>
      </c>
      <c r="F161" t="s">
        <v>929</v>
      </c>
      <c r="G161" t="s">
        <v>929</v>
      </c>
      <c r="H161" t="s">
        <v>4552</v>
      </c>
      <c r="N161" t="s">
        <v>33</v>
      </c>
      <c r="O161" s="1">
        <v>4.3981481481481481E-4</v>
      </c>
      <c r="P161">
        <v>0</v>
      </c>
      <c r="Q161">
        <v>0</v>
      </c>
      <c r="R161">
        <v>0</v>
      </c>
      <c r="S161">
        <v>1</v>
      </c>
      <c r="T161">
        <v>0</v>
      </c>
      <c r="U161" t="s">
        <v>671</v>
      </c>
      <c r="V161" t="s">
        <v>809</v>
      </c>
    </row>
    <row r="162" spans="1:22" x14ac:dyDescent="0.35">
      <c r="A162" t="s">
        <v>20</v>
      </c>
      <c r="B162">
        <v>17646</v>
      </c>
      <c r="C162" t="s">
        <v>666</v>
      </c>
      <c r="D162" t="s">
        <v>667</v>
      </c>
      <c r="E162" t="s">
        <v>4400</v>
      </c>
      <c r="F162" t="s">
        <v>794</v>
      </c>
      <c r="G162" t="s">
        <v>794</v>
      </c>
      <c r="H162" t="s">
        <v>4553</v>
      </c>
      <c r="N162" t="s">
        <v>33</v>
      </c>
      <c r="O162" s="1">
        <v>4.7453703703703698E-4</v>
      </c>
      <c r="P162">
        <v>0</v>
      </c>
      <c r="Q162">
        <v>0</v>
      </c>
      <c r="R162">
        <v>0</v>
      </c>
      <c r="S162">
        <v>1</v>
      </c>
      <c r="T162">
        <v>0</v>
      </c>
      <c r="U162" t="s">
        <v>671</v>
      </c>
      <c r="V162" t="s">
        <v>809</v>
      </c>
    </row>
    <row r="163" spans="1:22" x14ac:dyDescent="0.35">
      <c r="A163" t="s">
        <v>20</v>
      </c>
      <c r="B163">
        <v>17646</v>
      </c>
      <c r="C163" t="s">
        <v>666</v>
      </c>
      <c r="D163" t="s">
        <v>667</v>
      </c>
      <c r="E163" t="s">
        <v>4402</v>
      </c>
      <c r="F163" t="s">
        <v>797</v>
      </c>
      <c r="G163" t="s">
        <v>797</v>
      </c>
      <c r="H163" t="s">
        <v>4554</v>
      </c>
      <c r="N163" t="s">
        <v>33</v>
      </c>
      <c r="O163" s="1">
        <v>6.9444444444444444E-5</v>
      </c>
      <c r="P163">
        <v>1</v>
      </c>
      <c r="Q163">
        <v>0</v>
      </c>
      <c r="R163">
        <v>0</v>
      </c>
      <c r="S163">
        <v>0</v>
      </c>
      <c r="T163">
        <v>0</v>
      </c>
      <c r="U163" t="s">
        <v>671</v>
      </c>
      <c r="V163" t="s">
        <v>809</v>
      </c>
    </row>
    <row r="164" spans="1:22" x14ac:dyDescent="0.35">
      <c r="A164" t="s">
        <v>20</v>
      </c>
      <c r="B164">
        <v>17646</v>
      </c>
      <c r="C164" t="s">
        <v>666</v>
      </c>
      <c r="D164" t="s">
        <v>667</v>
      </c>
      <c r="E164" t="s">
        <v>4404</v>
      </c>
      <c r="F164" t="s">
        <v>4079</v>
      </c>
      <c r="G164" t="s">
        <v>4079</v>
      </c>
      <c r="H164" t="s">
        <v>4555</v>
      </c>
      <c r="N164" t="s">
        <v>33</v>
      </c>
      <c r="O164" s="1">
        <v>2.7777777777777778E-4</v>
      </c>
      <c r="P164">
        <v>0</v>
      </c>
      <c r="Q164">
        <v>0</v>
      </c>
      <c r="R164">
        <v>1</v>
      </c>
      <c r="S164">
        <v>0</v>
      </c>
      <c r="T164">
        <v>0</v>
      </c>
      <c r="U164" t="s">
        <v>671</v>
      </c>
      <c r="V164" t="s">
        <v>809</v>
      </c>
    </row>
    <row r="165" spans="1:22" x14ac:dyDescent="0.35">
      <c r="A165" t="s">
        <v>20</v>
      </c>
      <c r="B165">
        <v>17646</v>
      </c>
      <c r="C165" t="s">
        <v>666</v>
      </c>
      <c r="D165" t="s">
        <v>667</v>
      </c>
      <c r="E165" t="s">
        <v>4407</v>
      </c>
      <c r="F165" t="s">
        <v>932</v>
      </c>
      <c r="G165" t="s">
        <v>932</v>
      </c>
      <c r="H165" t="s">
        <v>4556</v>
      </c>
      <c r="N165" t="s">
        <v>33</v>
      </c>
      <c r="O165" s="1">
        <v>2.5462962962962961E-4</v>
      </c>
      <c r="P165">
        <v>0</v>
      </c>
      <c r="Q165">
        <v>0</v>
      </c>
      <c r="R165">
        <v>1</v>
      </c>
      <c r="S165">
        <v>0</v>
      </c>
      <c r="T165">
        <v>0</v>
      </c>
      <c r="U165" t="s">
        <v>671</v>
      </c>
      <c r="V165" t="s">
        <v>809</v>
      </c>
    </row>
    <row r="166" spans="1:22" x14ac:dyDescent="0.35">
      <c r="A166" t="s">
        <v>20</v>
      </c>
      <c r="B166">
        <v>17646</v>
      </c>
      <c r="C166" t="s">
        <v>666</v>
      </c>
      <c r="D166" t="s">
        <v>667</v>
      </c>
      <c r="E166" t="s">
        <v>4409</v>
      </c>
      <c r="F166" t="s">
        <v>935</v>
      </c>
      <c r="G166" t="s">
        <v>935</v>
      </c>
      <c r="H166" t="s">
        <v>4557</v>
      </c>
      <c r="N166" t="s">
        <v>33</v>
      </c>
      <c r="O166" s="1">
        <v>3.9351851851851852E-4</v>
      </c>
      <c r="P166">
        <v>0</v>
      </c>
      <c r="Q166">
        <v>0</v>
      </c>
      <c r="R166">
        <v>0</v>
      </c>
      <c r="S166">
        <v>1</v>
      </c>
      <c r="T166">
        <v>0</v>
      </c>
      <c r="U166" t="s">
        <v>671</v>
      </c>
      <c r="V166" t="s">
        <v>809</v>
      </c>
    </row>
    <row r="167" spans="1:22" x14ac:dyDescent="0.35">
      <c r="A167" t="s">
        <v>20</v>
      </c>
      <c r="B167">
        <v>17646</v>
      </c>
      <c r="C167" t="s">
        <v>666</v>
      </c>
      <c r="D167" t="s">
        <v>667</v>
      </c>
      <c r="E167" t="s">
        <v>4412</v>
      </c>
      <c r="F167" t="s">
        <v>938</v>
      </c>
      <c r="G167" t="s">
        <v>938</v>
      </c>
      <c r="H167" t="s">
        <v>4558</v>
      </c>
      <c r="N167" t="s">
        <v>33</v>
      </c>
      <c r="O167" s="1">
        <v>7.0601851851851847E-4</v>
      </c>
      <c r="P167">
        <v>0</v>
      </c>
      <c r="Q167">
        <v>0</v>
      </c>
      <c r="R167">
        <v>0</v>
      </c>
      <c r="S167">
        <v>0</v>
      </c>
      <c r="T167">
        <v>1</v>
      </c>
      <c r="U167" t="s">
        <v>671</v>
      </c>
      <c r="V167" t="s">
        <v>809</v>
      </c>
    </row>
    <row r="168" spans="1:22" x14ac:dyDescent="0.35">
      <c r="A168" t="s">
        <v>20</v>
      </c>
      <c r="B168">
        <v>17646</v>
      </c>
      <c r="C168" t="s">
        <v>666</v>
      </c>
      <c r="D168" t="s">
        <v>667</v>
      </c>
      <c r="E168" t="s">
        <v>4414</v>
      </c>
      <c r="F168" t="s">
        <v>942</v>
      </c>
      <c r="G168" t="s">
        <v>942</v>
      </c>
      <c r="H168" t="s">
        <v>4559</v>
      </c>
      <c r="N168" t="s">
        <v>33</v>
      </c>
      <c r="O168" s="1">
        <v>7.9861111111111116E-4</v>
      </c>
      <c r="P168">
        <v>0</v>
      </c>
      <c r="Q168">
        <v>0</v>
      </c>
      <c r="R168">
        <v>0</v>
      </c>
      <c r="S168">
        <v>0</v>
      </c>
      <c r="T168">
        <v>1</v>
      </c>
      <c r="U168" t="s">
        <v>671</v>
      </c>
      <c r="V168" t="s">
        <v>809</v>
      </c>
    </row>
    <row r="169" spans="1:22" x14ac:dyDescent="0.35">
      <c r="A169" t="s">
        <v>20</v>
      </c>
      <c r="B169">
        <v>17646</v>
      </c>
      <c r="C169" t="s">
        <v>666</v>
      </c>
      <c r="D169" t="s">
        <v>667</v>
      </c>
      <c r="E169" t="s">
        <v>4416</v>
      </c>
      <c r="F169" t="s">
        <v>4085</v>
      </c>
      <c r="G169" t="s">
        <v>4085</v>
      </c>
      <c r="H169" t="s">
        <v>4560</v>
      </c>
      <c r="N169" t="s">
        <v>33</v>
      </c>
      <c r="O169" s="1">
        <v>1.157407407407407E-4</v>
      </c>
      <c r="P169">
        <v>1</v>
      </c>
      <c r="Q169">
        <v>0</v>
      </c>
      <c r="R169">
        <v>0</v>
      </c>
      <c r="S169">
        <v>0</v>
      </c>
      <c r="T169">
        <v>0</v>
      </c>
      <c r="U169" t="s">
        <v>671</v>
      </c>
      <c r="V169" t="s">
        <v>809</v>
      </c>
    </row>
    <row r="170" spans="1:22" x14ac:dyDescent="0.35">
      <c r="A170" t="s">
        <v>20</v>
      </c>
      <c r="B170">
        <v>17645</v>
      </c>
      <c r="C170" t="s">
        <v>949</v>
      </c>
      <c r="D170" t="s">
        <v>950</v>
      </c>
      <c r="E170" t="s">
        <v>4294</v>
      </c>
      <c r="F170" t="s">
        <v>4561</v>
      </c>
      <c r="G170" t="s">
        <v>4561</v>
      </c>
      <c r="H170" t="s">
        <v>4562</v>
      </c>
      <c r="N170" t="s">
        <v>33</v>
      </c>
      <c r="O170" s="1">
        <v>4.7453703703703698E-4</v>
      </c>
      <c r="P170">
        <v>0</v>
      </c>
      <c r="Q170">
        <v>0</v>
      </c>
      <c r="R170">
        <v>0</v>
      </c>
      <c r="S170">
        <v>1</v>
      </c>
      <c r="T170">
        <v>0</v>
      </c>
      <c r="U170" t="s">
        <v>954</v>
      </c>
      <c r="V170" t="s">
        <v>1090</v>
      </c>
    </row>
    <row r="171" spans="1:22" x14ac:dyDescent="0.35">
      <c r="A171" t="s">
        <v>20</v>
      </c>
      <c r="B171">
        <v>17645</v>
      </c>
      <c r="C171" t="s">
        <v>949</v>
      </c>
      <c r="D171" t="s">
        <v>950</v>
      </c>
      <c r="E171" t="s">
        <v>4297</v>
      </c>
      <c r="F171" t="s">
        <v>1091</v>
      </c>
      <c r="G171" t="s">
        <v>1091</v>
      </c>
      <c r="H171" t="s">
        <v>4563</v>
      </c>
      <c r="N171" t="s">
        <v>33</v>
      </c>
      <c r="O171" s="1">
        <v>2.199074074074074E-4</v>
      </c>
      <c r="P171">
        <v>0</v>
      </c>
      <c r="Q171">
        <v>1</v>
      </c>
      <c r="R171">
        <v>0</v>
      </c>
      <c r="S171">
        <v>0</v>
      </c>
      <c r="T171">
        <v>0</v>
      </c>
      <c r="U171" t="s">
        <v>954</v>
      </c>
      <c r="V171" t="s">
        <v>1090</v>
      </c>
    </row>
    <row r="172" spans="1:22" x14ac:dyDescent="0.35">
      <c r="A172" t="s">
        <v>20</v>
      </c>
      <c r="B172">
        <v>17645</v>
      </c>
      <c r="C172" t="s">
        <v>949</v>
      </c>
      <c r="D172" t="s">
        <v>950</v>
      </c>
      <c r="E172" t="s">
        <v>4299</v>
      </c>
      <c r="F172" t="s">
        <v>1094</v>
      </c>
      <c r="G172" t="s">
        <v>1094</v>
      </c>
      <c r="H172" t="s">
        <v>4564</v>
      </c>
      <c r="N172" t="s">
        <v>33</v>
      </c>
      <c r="O172" s="1">
        <v>1.6203703703703701E-4</v>
      </c>
      <c r="P172">
        <v>0</v>
      </c>
      <c r="Q172">
        <v>1</v>
      </c>
      <c r="R172">
        <v>0</v>
      </c>
      <c r="S172">
        <v>0</v>
      </c>
      <c r="T172">
        <v>0</v>
      </c>
      <c r="U172" t="s">
        <v>954</v>
      </c>
      <c r="V172" t="s">
        <v>1090</v>
      </c>
    </row>
    <row r="173" spans="1:22" x14ac:dyDescent="0.35">
      <c r="A173" t="s">
        <v>20</v>
      </c>
      <c r="B173">
        <v>17645</v>
      </c>
      <c r="C173" t="s">
        <v>949</v>
      </c>
      <c r="D173" t="s">
        <v>950</v>
      </c>
      <c r="E173" t="s">
        <v>4301</v>
      </c>
      <c r="F173" t="s">
        <v>4565</v>
      </c>
      <c r="G173" t="s">
        <v>4565</v>
      </c>
      <c r="H173" t="s">
        <v>4566</v>
      </c>
      <c r="N173" t="s">
        <v>33</v>
      </c>
      <c r="O173" s="1">
        <v>1.3888888888888889E-4</v>
      </c>
      <c r="P173">
        <v>0</v>
      </c>
      <c r="Q173">
        <v>1</v>
      </c>
      <c r="R173">
        <v>0</v>
      </c>
      <c r="S173">
        <v>0</v>
      </c>
      <c r="T173">
        <v>0</v>
      </c>
      <c r="U173" t="s">
        <v>954</v>
      </c>
      <c r="V173" t="s">
        <v>1090</v>
      </c>
    </row>
    <row r="174" spans="1:22" x14ac:dyDescent="0.35">
      <c r="A174" t="s">
        <v>20</v>
      </c>
      <c r="B174">
        <v>17645</v>
      </c>
      <c r="C174" t="s">
        <v>949</v>
      </c>
      <c r="D174" t="s">
        <v>950</v>
      </c>
      <c r="E174" t="s">
        <v>4303</v>
      </c>
      <c r="F174" t="s">
        <v>4095</v>
      </c>
      <c r="G174" t="s">
        <v>4095</v>
      </c>
      <c r="H174" t="s">
        <v>4567</v>
      </c>
      <c r="N174" t="s">
        <v>33</v>
      </c>
      <c r="O174" s="1">
        <v>2.4305555555555549E-4</v>
      </c>
      <c r="P174">
        <v>0</v>
      </c>
      <c r="Q174">
        <v>0</v>
      </c>
      <c r="R174">
        <v>1</v>
      </c>
      <c r="S174">
        <v>0</v>
      </c>
      <c r="T174">
        <v>0</v>
      </c>
      <c r="U174" t="s">
        <v>954</v>
      </c>
      <c r="V174" t="s">
        <v>1090</v>
      </c>
    </row>
    <row r="175" spans="1:22" x14ac:dyDescent="0.35">
      <c r="A175" t="s">
        <v>20</v>
      </c>
      <c r="B175">
        <v>17645</v>
      </c>
      <c r="C175" t="s">
        <v>949</v>
      </c>
      <c r="D175" t="s">
        <v>950</v>
      </c>
      <c r="E175" t="s">
        <v>4305</v>
      </c>
      <c r="F175" t="s">
        <v>1103</v>
      </c>
      <c r="G175" t="s">
        <v>1103</v>
      </c>
      <c r="H175" t="s">
        <v>4568</v>
      </c>
      <c r="N175" t="s">
        <v>33</v>
      </c>
      <c r="O175" s="1">
        <v>9.2592592592592588E-5</v>
      </c>
      <c r="P175">
        <v>1</v>
      </c>
      <c r="Q175">
        <v>0</v>
      </c>
      <c r="R175">
        <v>0</v>
      </c>
      <c r="S175">
        <v>0</v>
      </c>
      <c r="T175">
        <v>0</v>
      </c>
      <c r="U175" t="s">
        <v>954</v>
      </c>
      <c r="V175" t="s">
        <v>1090</v>
      </c>
    </row>
    <row r="176" spans="1:22" x14ac:dyDescent="0.35">
      <c r="A176" t="s">
        <v>20</v>
      </c>
      <c r="B176">
        <v>17645</v>
      </c>
      <c r="C176" t="s">
        <v>949</v>
      </c>
      <c r="D176" t="s">
        <v>950</v>
      </c>
      <c r="E176" t="s">
        <v>4307</v>
      </c>
      <c r="F176" t="s">
        <v>1106</v>
      </c>
      <c r="G176" t="s">
        <v>1106</v>
      </c>
      <c r="H176" t="s">
        <v>4569</v>
      </c>
      <c r="N176" t="s">
        <v>33</v>
      </c>
      <c r="O176" s="1">
        <v>8.3333333333333339E-4</v>
      </c>
      <c r="P176">
        <v>0</v>
      </c>
      <c r="Q176">
        <v>0</v>
      </c>
      <c r="R176">
        <v>0</v>
      </c>
      <c r="S176">
        <v>0</v>
      </c>
      <c r="T176">
        <v>1</v>
      </c>
      <c r="U176" t="s">
        <v>954</v>
      </c>
      <c r="V176" t="s">
        <v>1090</v>
      </c>
    </row>
    <row r="177" spans="1:22" x14ac:dyDescent="0.35">
      <c r="A177" t="s">
        <v>20</v>
      </c>
      <c r="B177">
        <v>17645</v>
      </c>
      <c r="C177" t="s">
        <v>949</v>
      </c>
      <c r="D177" t="s">
        <v>950</v>
      </c>
      <c r="E177" t="s">
        <v>4310</v>
      </c>
      <c r="F177" t="s">
        <v>1114</v>
      </c>
      <c r="G177" t="s">
        <v>1114</v>
      </c>
      <c r="H177" t="s">
        <v>4570</v>
      </c>
      <c r="N177" t="s">
        <v>33</v>
      </c>
      <c r="O177" s="1">
        <v>6.9444444444444444E-5</v>
      </c>
      <c r="P177">
        <v>1</v>
      </c>
      <c r="Q177">
        <v>0</v>
      </c>
      <c r="R177">
        <v>0</v>
      </c>
      <c r="S177">
        <v>0</v>
      </c>
      <c r="T177">
        <v>0</v>
      </c>
      <c r="U177" t="s">
        <v>954</v>
      </c>
      <c r="V177" t="s">
        <v>1090</v>
      </c>
    </row>
    <row r="178" spans="1:22" x14ac:dyDescent="0.35">
      <c r="A178" t="s">
        <v>20</v>
      </c>
      <c r="B178">
        <v>17645</v>
      </c>
      <c r="C178" t="s">
        <v>949</v>
      </c>
      <c r="D178" t="s">
        <v>950</v>
      </c>
      <c r="E178" t="s">
        <v>4312</v>
      </c>
      <c r="F178" t="s">
        <v>4100</v>
      </c>
      <c r="G178" t="s">
        <v>4100</v>
      </c>
      <c r="H178" t="s">
        <v>4571</v>
      </c>
      <c r="N178" t="s">
        <v>33</v>
      </c>
      <c r="O178" s="1">
        <v>6.9444444444444444E-5</v>
      </c>
      <c r="P178">
        <v>1</v>
      </c>
      <c r="Q178">
        <v>0</v>
      </c>
      <c r="R178">
        <v>0</v>
      </c>
      <c r="S178">
        <v>0</v>
      </c>
      <c r="T178">
        <v>0</v>
      </c>
      <c r="U178" t="s">
        <v>954</v>
      </c>
      <c r="V178" t="s">
        <v>1090</v>
      </c>
    </row>
    <row r="179" spans="1:22" x14ac:dyDescent="0.35">
      <c r="A179" t="s">
        <v>20</v>
      </c>
      <c r="B179">
        <v>17645</v>
      </c>
      <c r="C179" t="s">
        <v>949</v>
      </c>
      <c r="D179" t="s">
        <v>950</v>
      </c>
      <c r="E179" t="s">
        <v>4314</v>
      </c>
      <c r="F179" t="s">
        <v>4102</v>
      </c>
      <c r="G179" t="s">
        <v>4102</v>
      </c>
      <c r="H179" t="s">
        <v>4572</v>
      </c>
      <c r="N179" t="s">
        <v>33</v>
      </c>
      <c r="O179" s="1">
        <v>1.50462962962963E-4</v>
      </c>
      <c r="P179">
        <v>0</v>
      </c>
      <c r="Q179">
        <v>1</v>
      </c>
      <c r="R179">
        <v>0</v>
      </c>
      <c r="S179">
        <v>0</v>
      </c>
      <c r="T179">
        <v>0</v>
      </c>
      <c r="U179" t="s">
        <v>954</v>
      </c>
      <c r="V179" t="s">
        <v>1090</v>
      </c>
    </row>
    <row r="180" spans="1:22" x14ac:dyDescent="0.35">
      <c r="A180" t="s">
        <v>20</v>
      </c>
      <c r="B180">
        <v>17645</v>
      </c>
      <c r="C180" t="s">
        <v>949</v>
      </c>
      <c r="D180" t="s">
        <v>950</v>
      </c>
      <c r="E180" t="s">
        <v>4316</v>
      </c>
      <c r="F180" t="s">
        <v>964</v>
      </c>
      <c r="G180" t="s">
        <v>964</v>
      </c>
      <c r="H180" t="s">
        <v>4573</v>
      </c>
      <c r="N180" t="s">
        <v>33</v>
      </c>
      <c r="O180" s="1">
        <v>1.9675925925925929E-4</v>
      </c>
      <c r="P180">
        <v>0</v>
      </c>
      <c r="Q180">
        <v>1</v>
      </c>
      <c r="R180">
        <v>0</v>
      </c>
      <c r="S180">
        <v>0</v>
      </c>
      <c r="T180">
        <v>0</v>
      </c>
      <c r="U180" t="s">
        <v>954</v>
      </c>
      <c r="V180" t="s">
        <v>1090</v>
      </c>
    </row>
    <row r="181" spans="1:22" x14ac:dyDescent="0.35">
      <c r="A181" t="s">
        <v>20</v>
      </c>
      <c r="B181">
        <v>17645</v>
      </c>
      <c r="C181" t="s">
        <v>949</v>
      </c>
      <c r="D181" t="s">
        <v>950</v>
      </c>
      <c r="E181" t="s">
        <v>4317</v>
      </c>
      <c r="F181" t="s">
        <v>4574</v>
      </c>
      <c r="G181" t="s">
        <v>4574</v>
      </c>
      <c r="H181" t="s">
        <v>4575</v>
      </c>
      <c r="N181" t="s">
        <v>33</v>
      </c>
      <c r="O181" s="1">
        <v>4.1666666666666669E-4</v>
      </c>
      <c r="P181">
        <v>0</v>
      </c>
      <c r="Q181">
        <v>0</v>
      </c>
      <c r="R181">
        <v>0</v>
      </c>
      <c r="S181">
        <v>1</v>
      </c>
      <c r="T181">
        <v>0</v>
      </c>
      <c r="U181" t="s">
        <v>954</v>
      </c>
      <c r="V181" t="s">
        <v>1090</v>
      </c>
    </row>
    <row r="182" spans="1:22" x14ac:dyDescent="0.35">
      <c r="A182" t="s">
        <v>20</v>
      </c>
      <c r="B182">
        <v>17645</v>
      </c>
      <c r="C182" t="s">
        <v>949</v>
      </c>
      <c r="D182" t="s">
        <v>950</v>
      </c>
      <c r="E182" t="s">
        <v>4319</v>
      </c>
      <c r="F182" t="s">
        <v>1123</v>
      </c>
      <c r="G182" t="s">
        <v>1123</v>
      </c>
      <c r="H182" t="s">
        <v>4576</v>
      </c>
      <c r="N182" t="s">
        <v>33</v>
      </c>
      <c r="O182" s="1">
        <v>6.9444444444444444E-5</v>
      </c>
      <c r="P182">
        <v>1</v>
      </c>
      <c r="Q182">
        <v>0</v>
      </c>
      <c r="R182">
        <v>0</v>
      </c>
      <c r="S182">
        <v>0</v>
      </c>
      <c r="T182">
        <v>0</v>
      </c>
      <c r="U182" t="s">
        <v>954</v>
      </c>
      <c r="V182" t="s">
        <v>1090</v>
      </c>
    </row>
    <row r="183" spans="1:22" x14ac:dyDescent="0.35">
      <c r="A183" t="s">
        <v>20</v>
      </c>
      <c r="B183">
        <v>17645</v>
      </c>
      <c r="C183" t="s">
        <v>949</v>
      </c>
      <c r="D183" t="s">
        <v>950</v>
      </c>
      <c r="E183" t="s">
        <v>4322</v>
      </c>
      <c r="F183" t="s">
        <v>970</v>
      </c>
      <c r="G183" t="s">
        <v>970</v>
      </c>
      <c r="H183" t="s">
        <v>4577</v>
      </c>
      <c r="N183" t="s">
        <v>33</v>
      </c>
      <c r="O183" s="1">
        <v>3.1250000000000001E-4</v>
      </c>
      <c r="P183">
        <v>0</v>
      </c>
      <c r="Q183">
        <v>0</v>
      </c>
      <c r="R183">
        <v>1</v>
      </c>
      <c r="S183">
        <v>0</v>
      </c>
      <c r="T183">
        <v>0</v>
      </c>
      <c r="U183" t="s">
        <v>954</v>
      </c>
      <c r="V183" t="s">
        <v>1090</v>
      </c>
    </row>
    <row r="184" spans="1:22" x14ac:dyDescent="0.35">
      <c r="A184" t="s">
        <v>20</v>
      </c>
      <c r="B184">
        <v>17645</v>
      </c>
      <c r="C184" t="s">
        <v>949</v>
      </c>
      <c r="D184" t="s">
        <v>950</v>
      </c>
      <c r="E184" t="s">
        <v>4324</v>
      </c>
      <c r="F184" t="s">
        <v>973</v>
      </c>
      <c r="G184" t="s">
        <v>973</v>
      </c>
      <c r="H184" t="s">
        <v>4578</v>
      </c>
      <c r="N184" t="s">
        <v>33</v>
      </c>
      <c r="O184" s="1">
        <v>1.273148148148148E-4</v>
      </c>
      <c r="P184">
        <v>0</v>
      </c>
      <c r="Q184">
        <v>1</v>
      </c>
      <c r="R184">
        <v>0</v>
      </c>
      <c r="S184">
        <v>0</v>
      </c>
      <c r="T184">
        <v>0</v>
      </c>
      <c r="U184" t="s">
        <v>954</v>
      </c>
      <c r="V184" t="s">
        <v>1090</v>
      </c>
    </row>
    <row r="185" spans="1:22" x14ac:dyDescent="0.35">
      <c r="A185" t="s">
        <v>20</v>
      </c>
      <c r="B185">
        <v>17645</v>
      </c>
      <c r="C185" t="s">
        <v>949</v>
      </c>
      <c r="D185" t="s">
        <v>950</v>
      </c>
      <c r="E185" t="s">
        <v>4326</v>
      </c>
      <c r="F185" t="s">
        <v>976</v>
      </c>
      <c r="G185" t="s">
        <v>976</v>
      </c>
      <c r="H185" t="s">
        <v>4579</v>
      </c>
      <c r="N185" t="s">
        <v>33</v>
      </c>
      <c r="O185" s="1">
        <v>4.861111111111111E-4</v>
      </c>
      <c r="P185">
        <v>0</v>
      </c>
      <c r="Q185">
        <v>0</v>
      </c>
      <c r="R185">
        <v>0</v>
      </c>
      <c r="S185">
        <v>1</v>
      </c>
      <c r="T185">
        <v>0</v>
      </c>
      <c r="U185" t="s">
        <v>954</v>
      </c>
      <c r="V185" t="s">
        <v>1090</v>
      </c>
    </row>
    <row r="186" spans="1:22" x14ac:dyDescent="0.35">
      <c r="A186" t="s">
        <v>20</v>
      </c>
      <c r="B186">
        <v>17645</v>
      </c>
      <c r="C186" t="s">
        <v>949</v>
      </c>
      <c r="D186" t="s">
        <v>950</v>
      </c>
      <c r="E186" t="s">
        <v>4328</v>
      </c>
      <c r="F186" t="s">
        <v>4580</v>
      </c>
      <c r="G186" t="s">
        <v>4580</v>
      </c>
      <c r="H186" t="s">
        <v>4581</v>
      </c>
      <c r="N186" t="s">
        <v>33</v>
      </c>
      <c r="O186" s="1">
        <v>1.273148148148148E-4</v>
      </c>
      <c r="P186">
        <v>0</v>
      </c>
      <c r="Q186">
        <v>1</v>
      </c>
      <c r="R186">
        <v>0</v>
      </c>
      <c r="S186">
        <v>0</v>
      </c>
      <c r="T186">
        <v>0</v>
      </c>
      <c r="U186" t="s">
        <v>954</v>
      </c>
      <c r="V186" t="s">
        <v>1090</v>
      </c>
    </row>
    <row r="187" spans="1:22" x14ac:dyDescent="0.35">
      <c r="A187" t="s">
        <v>20</v>
      </c>
      <c r="B187">
        <v>17645</v>
      </c>
      <c r="C187" t="s">
        <v>949</v>
      </c>
      <c r="D187" t="s">
        <v>950</v>
      </c>
      <c r="E187" t="s">
        <v>4330</v>
      </c>
      <c r="F187" t="s">
        <v>979</v>
      </c>
      <c r="G187" t="s">
        <v>979</v>
      </c>
      <c r="H187" t="s">
        <v>4582</v>
      </c>
      <c r="N187" t="s">
        <v>33</v>
      </c>
      <c r="O187" s="1">
        <v>1.851851851851852E-4</v>
      </c>
      <c r="P187">
        <v>0</v>
      </c>
      <c r="Q187">
        <v>1</v>
      </c>
      <c r="R187">
        <v>0</v>
      </c>
      <c r="S187">
        <v>0</v>
      </c>
      <c r="T187">
        <v>0</v>
      </c>
      <c r="U187" t="s">
        <v>954</v>
      </c>
      <c r="V187" t="s">
        <v>1090</v>
      </c>
    </row>
    <row r="188" spans="1:22" x14ac:dyDescent="0.35">
      <c r="A188" t="s">
        <v>20</v>
      </c>
      <c r="B188">
        <v>17645</v>
      </c>
      <c r="C188" t="s">
        <v>949</v>
      </c>
      <c r="D188" t="s">
        <v>950</v>
      </c>
      <c r="E188" t="s">
        <v>4332</v>
      </c>
      <c r="F188" t="s">
        <v>982</v>
      </c>
      <c r="G188" t="s">
        <v>982</v>
      </c>
      <c r="H188" t="s">
        <v>4583</v>
      </c>
      <c r="N188" t="s">
        <v>33</v>
      </c>
      <c r="O188" s="1">
        <v>1.041666666666667E-4</v>
      </c>
      <c r="P188">
        <v>1</v>
      </c>
      <c r="Q188">
        <v>0</v>
      </c>
      <c r="R188">
        <v>0</v>
      </c>
      <c r="S188">
        <v>0</v>
      </c>
      <c r="T188">
        <v>0</v>
      </c>
      <c r="U188" t="s">
        <v>954</v>
      </c>
      <c r="V188" t="s">
        <v>1090</v>
      </c>
    </row>
    <row r="189" spans="1:22" x14ac:dyDescent="0.35">
      <c r="A189" t="s">
        <v>20</v>
      </c>
      <c r="B189">
        <v>17645</v>
      </c>
      <c r="C189" t="s">
        <v>949</v>
      </c>
      <c r="D189" t="s">
        <v>950</v>
      </c>
      <c r="E189" t="s">
        <v>4335</v>
      </c>
      <c r="F189" t="s">
        <v>985</v>
      </c>
      <c r="G189" t="s">
        <v>985</v>
      </c>
      <c r="H189" t="s">
        <v>4584</v>
      </c>
      <c r="N189" t="s">
        <v>33</v>
      </c>
      <c r="O189" s="1">
        <v>1.50462962962963E-4</v>
      </c>
      <c r="P189">
        <v>0</v>
      </c>
      <c r="Q189">
        <v>1</v>
      </c>
      <c r="R189">
        <v>0</v>
      </c>
      <c r="S189">
        <v>0</v>
      </c>
      <c r="T189">
        <v>0</v>
      </c>
      <c r="U189" t="s">
        <v>954</v>
      </c>
      <c r="V189" t="s">
        <v>1090</v>
      </c>
    </row>
    <row r="190" spans="1:22" x14ac:dyDescent="0.35">
      <c r="A190" t="s">
        <v>20</v>
      </c>
      <c r="B190">
        <v>17645</v>
      </c>
      <c r="C190" t="s">
        <v>949</v>
      </c>
      <c r="D190" t="s">
        <v>950</v>
      </c>
      <c r="E190" t="s">
        <v>4337</v>
      </c>
      <c r="F190" t="s">
        <v>4116</v>
      </c>
      <c r="G190" t="s">
        <v>4116</v>
      </c>
      <c r="H190" t="s">
        <v>4585</v>
      </c>
      <c r="N190" t="s">
        <v>33</v>
      </c>
      <c r="O190" s="1">
        <v>6.9444444444444444E-5</v>
      </c>
      <c r="P190">
        <v>1</v>
      </c>
      <c r="Q190">
        <v>0</v>
      </c>
      <c r="R190">
        <v>0</v>
      </c>
      <c r="S190">
        <v>0</v>
      </c>
      <c r="T190">
        <v>0</v>
      </c>
      <c r="U190" t="s">
        <v>954</v>
      </c>
      <c r="V190" t="s">
        <v>1090</v>
      </c>
    </row>
    <row r="191" spans="1:22" x14ac:dyDescent="0.35">
      <c r="A191" t="s">
        <v>20</v>
      </c>
      <c r="B191">
        <v>17645</v>
      </c>
      <c r="C191" t="s">
        <v>949</v>
      </c>
      <c r="D191" t="s">
        <v>950</v>
      </c>
      <c r="E191" t="s">
        <v>4339</v>
      </c>
      <c r="F191" t="s">
        <v>4118</v>
      </c>
      <c r="G191" t="s">
        <v>4118</v>
      </c>
      <c r="H191" t="s">
        <v>4586</v>
      </c>
      <c r="N191" t="s">
        <v>33</v>
      </c>
      <c r="O191" s="1">
        <v>2.199074074074074E-4</v>
      </c>
      <c r="P191">
        <v>0</v>
      </c>
      <c r="Q191">
        <v>1</v>
      </c>
      <c r="R191">
        <v>0</v>
      </c>
      <c r="S191">
        <v>0</v>
      </c>
      <c r="T191">
        <v>0</v>
      </c>
      <c r="U191" t="s">
        <v>954</v>
      </c>
      <c r="V191" t="s">
        <v>1090</v>
      </c>
    </row>
    <row r="192" spans="1:22" x14ac:dyDescent="0.35">
      <c r="A192" t="s">
        <v>20</v>
      </c>
      <c r="B192">
        <v>17645</v>
      </c>
      <c r="C192" t="s">
        <v>949</v>
      </c>
      <c r="D192" t="s">
        <v>950</v>
      </c>
      <c r="E192" t="s">
        <v>4340</v>
      </c>
      <c r="F192" t="s">
        <v>4120</v>
      </c>
      <c r="G192" t="s">
        <v>4120</v>
      </c>
      <c r="H192" t="s">
        <v>4587</v>
      </c>
      <c r="N192" t="s">
        <v>33</v>
      </c>
      <c r="O192" s="1">
        <v>5.7870370370370373E-5</v>
      </c>
      <c r="P192">
        <v>1</v>
      </c>
      <c r="Q192">
        <v>0</v>
      </c>
      <c r="R192">
        <v>0</v>
      </c>
      <c r="S192">
        <v>0</v>
      </c>
      <c r="T192">
        <v>0</v>
      </c>
      <c r="U192" t="s">
        <v>954</v>
      </c>
      <c r="V192" t="s">
        <v>1090</v>
      </c>
    </row>
    <row r="193" spans="1:22" x14ac:dyDescent="0.35">
      <c r="A193" t="s">
        <v>20</v>
      </c>
      <c r="B193">
        <v>17645</v>
      </c>
      <c r="C193" t="s">
        <v>949</v>
      </c>
      <c r="D193" t="s">
        <v>950</v>
      </c>
      <c r="E193" t="s">
        <v>4342</v>
      </c>
      <c r="F193" t="s">
        <v>1137</v>
      </c>
      <c r="G193" t="s">
        <v>1137</v>
      </c>
      <c r="H193" t="s">
        <v>4588</v>
      </c>
      <c r="N193" t="s">
        <v>33</v>
      </c>
      <c r="O193" s="1">
        <v>3.2407407407407412E-4</v>
      </c>
      <c r="P193">
        <v>0</v>
      </c>
      <c r="Q193">
        <v>0</v>
      </c>
      <c r="R193">
        <v>1</v>
      </c>
      <c r="S193">
        <v>0</v>
      </c>
      <c r="T193">
        <v>0</v>
      </c>
      <c r="U193" t="s">
        <v>954</v>
      </c>
      <c r="V193" t="s">
        <v>1090</v>
      </c>
    </row>
    <row r="194" spans="1:22" x14ac:dyDescent="0.35">
      <c r="A194" t="s">
        <v>20</v>
      </c>
      <c r="B194">
        <v>17645</v>
      </c>
      <c r="C194" t="s">
        <v>949</v>
      </c>
      <c r="D194" t="s">
        <v>950</v>
      </c>
      <c r="E194" t="s">
        <v>4345</v>
      </c>
      <c r="F194" t="s">
        <v>1140</v>
      </c>
      <c r="G194" t="s">
        <v>1140</v>
      </c>
      <c r="H194" t="s">
        <v>4589</v>
      </c>
      <c r="N194" t="s">
        <v>33</v>
      </c>
      <c r="O194" s="1">
        <v>1.3888888888888889E-4</v>
      </c>
      <c r="P194">
        <v>0</v>
      </c>
      <c r="Q194">
        <v>1</v>
      </c>
      <c r="R194">
        <v>0</v>
      </c>
      <c r="S194">
        <v>0</v>
      </c>
      <c r="T194">
        <v>0</v>
      </c>
      <c r="U194" t="s">
        <v>954</v>
      </c>
      <c r="V194" t="s">
        <v>1090</v>
      </c>
    </row>
    <row r="195" spans="1:22" x14ac:dyDescent="0.35">
      <c r="A195" t="s">
        <v>20</v>
      </c>
      <c r="B195">
        <v>17645</v>
      </c>
      <c r="C195" t="s">
        <v>949</v>
      </c>
      <c r="D195" t="s">
        <v>950</v>
      </c>
      <c r="E195" t="s">
        <v>4347</v>
      </c>
      <c r="F195" t="s">
        <v>4128</v>
      </c>
      <c r="G195" t="s">
        <v>4128</v>
      </c>
      <c r="H195" t="s">
        <v>4590</v>
      </c>
      <c r="N195" t="s">
        <v>33</v>
      </c>
      <c r="O195" s="1">
        <v>3.8194444444444452E-4</v>
      </c>
      <c r="P195">
        <v>0</v>
      </c>
      <c r="Q195">
        <v>0</v>
      </c>
      <c r="R195">
        <v>0</v>
      </c>
      <c r="S195">
        <v>1</v>
      </c>
      <c r="T195">
        <v>0</v>
      </c>
      <c r="U195" t="s">
        <v>954</v>
      </c>
      <c r="V195" t="s">
        <v>1090</v>
      </c>
    </row>
    <row r="196" spans="1:22" x14ac:dyDescent="0.35">
      <c r="A196" t="s">
        <v>20</v>
      </c>
      <c r="B196">
        <v>17645</v>
      </c>
      <c r="C196" t="s">
        <v>949</v>
      </c>
      <c r="D196" t="s">
        <v>950</v>
      </c>
      <c r="E196" t="s">
        <v>4349</v>
      </c>
      <c r="F196" t="s">
        <v>1000</v>
      </c>
      <c r="G196" t="s">
        <v>1000</v>
      </c>
      <c r="H196" t="s">
        <v>4591</v>
      </c>
      <c r="N196" t="s">
        <v>33</v>
      </c>
      <c r="O196" s="1">
        <v>6.3657407407407413E-4</v>
      </c>
      <c r="P196">
        <v>0</v>
      </c>
      <c r="Q196">
        <v>0</v>
      </c>
      <c r="R196">
        <v>0</v>
      </c>
      <c r="S196">
        <v>1</v>
      </c>
      <c r="T196">
        <v>0</v>
      </c>
      <c r="U196" t="s">
        <v>954</v>
      </c>
      <c r="V196" t="s">
        <v>1090</v>
      </c>
    </row>
    <row r="197" spans="1:22" x14ac:dyDescent="0.35">
      <c r="A197" t="s">
        <v>20</v>
      </c>
      <c r="B197">
        <v>17645</v>
      </c>
      <c r="C197" t="s">
        <v>949</v>
      </c>
      <c r="D197" t="s">
        <v>950</v>
      </c>
      <c r="E197" t="s">
        <v>4351</v>
      </c>
      <c r="F197" t="s">
        <v>1148</v>
      </c>
      <c r="G197" t="s">
        <v>1148</v>
      </c>
      <c r="H197" t="s">
        <v>4592</v>
      </c>
      <c r="N197" t="s">
        <v>33</v>
      </c>
      <c r="O197" s="1">
        <v>3.1250000000000001E-4</v>
      </c>
      <c r="P197">
        <v>0</v>
      </c>
      <c r="Q197">
        <v>0</v>
      </c>
      <c r="R197">
        <v>1</v>
      </c>
      <c r="S197">
        <v>0</v>
      </c>
      <c r="T197">
        <v>0</v>
      </c>
      <c r="U197" t="s">
        <v>954</v>
      </c>
      <c r="V197" t="s">
        <v>1090</v>
      </c>
    </row>
    <row r="198" spans="1:22" x14ac:dyDescent="0.35">
      <c r="A198" t="s">
        <v>20</v>
      </c>
      <c r="B198">
        <v>17645</v>
      </c>
      <c r="C198" t="s">
        <v>949</v>
      </c>
      <c r="D198" t="s">
        <v>950</v>
      </c>
      <c r="E198" t="s">
        <v>4354</v>
      </c>
      <c r="F198" t="s">
        <v>4593</v>
      </c>
      <c r="G198" t="s">
        <v>4593</v>
      </c>
      <c r="H198" t="s">
        <v>4594</v>
      </c>
      <c r="N198" t="s">
        <v>33</v>
      </c>
      <c r="O198" s="1">
        <v>2.8935185185185178E-4</v>
      </c>
      <c r="P198">
        <v>0</v>
      </c>
      <c r="Q198">
        <v>0</v>
      </c>
      <c r="R198">
        <v>1</v>
      </c>
      <c r="S198">
        <v>0</v>
      </c>
      <c r="T198">
        <v>0</v>
      </c>
      <c r="U198" t="s">
        <v>954</v>
      </c>
      <c r="V198" t="s">
        <v>1090</v>
      </c>
    </row>
    <row r="199" spans="1:22" x14ac:dyDescent="0.35">
      <c r="A199" t="s">
        <v>20</v>
      </c>
      <c r="B199">
        <v>17645</v>
      </c>
      <c r="C199" t="s">
        <v>949</v>
      </c>
      <c r="D199" t="s">
        <v>950</v>
      </c>
      <c r="E199" t="s">
        <v>4356</v>
      </c>
      <c r="F199" t="s">
        <v>4595</v>
      </c>
      <c r="G199" t="s">
        <v>4595</v>
      </c>
      <c r="H199" t="s">
        <v>4596</v>
      </c>
      <c r="N199" t="s">
        <v>33</v>
      </c>
      <c r="O199" s="1">
        <v>2.5462962962962961E-4</v>
      </c>
      <c r="P199">
        <v>0</v>
      </c>
      <c r="Q199">
        <v>0</v>
      </c>
      <c r="R199">
        <v>1</v>
      </c>
      <c r="S199">
        <v>0</v>
      </c>
      <c r="T199">
        <v>0</v>
      </c>
      <c r="U199" t="s">
        <v>954</v>
      </c>
      <c r="V199" t="s">
        <v>1090</v>
      </c>
    </row>
    <row r="200" spans="1:22" x14ac:dyDescent="0.35">
      <c r="A200" t="s">
        <v>20</v>
      </c>
      <c r="B200">
        <v>17645</v>
      </c>
      <c r="C200" t="s">
        <v>949</v>
      </c>
      <c r="D200" t="s">
        <v>950</v>
      </c>
      <c r="E200" t="s">
        <v>4358</v>
      </c>
      <c r="F200" t="s">
        <v>1003</v>
      </c>
      <c r="G200" t="s">
        <v>1003</v>
      </c>
      <c r="H200" t="s">
        <v>4597</v>
      </c>
      <c r="N200" t="s">
        <v>33</v>
      </c>
      <c r="O200" s="1">
        <v>4.9768518518518521E-4</v>
      </c>
      <c r="P200">
        <v>0</v>
      </c>
      <c r="Q200">
        <v>0</v>
      </c>
      <c r="R200">
        <v>0</v>
      </c>
      <c r="S200">
        <v>1</v>
      </c>
      <c r="T200">
        <v>0</v>
      </c>
      <c r="U200" t="s">
        <v>954</v>
      </c>
      <c r="V200" t="s">
        <v>1090</v>
      </c>
    </row>
    <row r="201" spans="1:22" x14ac:dyDescent="0.35">
      <c r="A201" t="s">
        <v>20</v>
      </c>
      <c r="B201">
        <v>17645</v>
      </c>
      <c r="C201" t="s">
        <v>949</v>
      </c>
      <c r="D201" t="s">
        <v>950</v>
      </c>
      <c r="E201" t="s">
        <v>4360</v>
      </c>
      <c r="F201" t="s">
        <v>4137</v>
      </c>
      <c r="G201" t="s">
        <v>4137</v>
      </c>
      <c r="H201" t="s">
        <v>4598</v>
      </c>
      <c r="N201" t="s">
        <v>33</v>
      </c>
      <c r="O201" s="1">
        <v>2.3148148148148149E-4</v>
      </c>
      <c r="P201">
        <v>0</v>
      </c>
      <c r="Q201">
        <v>1</v>
      </c>
      <c r="R201">
        <v>0</v>
      </c>
      <c r="S201">
        <v>0</v>
      </c>
      <c r="T201">
        <v>0</v>
      </c>
      <c r="U201" t="s">
        <v>954</v>
      </c>
      <c r="V201" t="s">
        <v>1090</v>
      </c>
    </row>
    <row r="202" spans="1:22" x14ac:dyDescent="0.35">
      <c r="A202" t="s">
        <v>20</v>
      </c>
      <c r="B202">
        <v>17645</v>
      </c>
      <c r="C202" t="s">
        <v>949</v>
      </c>
      <c r="D202" t="s">
        <v>950</v>
      </c>
      <c r="E202" t="s">
        <v>4362</v>
      </c>
      <c r="F202" t="s">
        <v>4139</v>
      </c>
      <c r="G202" t="s">
        <v>4139</v>
      </c>
      <c r="H202" t="s">
        <v>4599</v>
      </c>
      <c r="N202" t="s">
        <v>33</v>
      </c>
      <c r="O202" s="1">
        <v>4.861111111111111E-4</v>
      </c>
      <c r="P202">
        <v>0</v>
      </c>
      <c r="Q202">
        <v>0</v>
      </c>
      <c r="R202">
        <v>0</v>
      </c>
      <c r="S202">
        <v>1</v>
      </c>
      <c r="T202">
        <v>0</v>
      </c>
      <c r="U202" t="s">
        <v>954</v>
      </c>
      <c r="V202" t="s">
        <v>1090</v>
      </c>
    </row>
    <row r="203" spans="1:22" x14ac:dyDescent="0.35">
      <c r="A203" t="s">
        <v>20</v>
      </c>
      <c r="B203">
        <v>17645</v>
      </c>
      <c r="C203" t="s">
        <v>949</v>
      </c>
      <c r="D203" t="s">
        <v>950</v>
      </c>
      <c r="E203" t="s">
        <v>4365</v>
      </c>
      <c r="F203" t="s">
        <v>4600</v>
      </c>
      <c r="G203" t="s">
        <v>4600</v>
      </c>
      <c r="H203" t="s">
        <v>4601</v>
      </c>
      <c r="N203" t="s">
        <v>33</v>
      </c>
      <c r="O203" s="1">
        <v>8.1018518518518516E-5</v>
      </c>
      <c r="P203">
        <v>1</v>
      </c>
      <c r="Q203">
        <v>0</v>
      </c>
      <c r="R203">
        <v>0</v>
      </c>
      <c r="S203">
        <v>0</v>
      </c>
      <c r="T203">
        <v>0</v>
      </c>
      <c r="U203" t="s">
        <v>954</v>
      </c>
      <c r="V203" t="s">
        <v>1090</v>
      </c>
    </row>
    <row r="204" spans="1:22" x14ac:dyDescent="0.35">
      <c r="A204" t="s">
        <v>20</v>
      </c>
      <c r="B204">
        <v>17645</v>
      </c>
      <c r="C204" t="s">
        <v>949</v>
      </c>
      <c r="D204" t="s">
        <v>950</v>
      </c>
      <c r="E204" t="s">
        <v>4367</v>
      </c>
      <c r="F204" t="s">
        <v>4602</v>
      </c>
      <c r="G204" t="s">
        <v>4602</v>
      </c>
      <c r="H204" t="s">
        <v>4603</v>
      </c>
      <c r="N204" t="s">
        <v>33</v>
      </c>
      <c r="O204" s="1">
        <v>5.4398148148148144E-4</v>
      </c>
      <c r="P204">
        <v>0</v>
      </c>
      <c r="Q204">
        <v>0</v>
      </c>
      <c r="R204">
        <v>0</v>
      </c>
      <c r="S204">
        <v>1</v>
      </c>
      <c r="T204">
        <v>0</v>
      </c>
      <c r="U204" t="s">
        <v>954</v>
      </c>
      <c r="V204" t="s">
        <v>1090</v>
      </c>
    </row>
    <row r="205" spans="1:22" x14ac:dyDescent="0.35">
      <c r="A205" t="s">
        <v>20</v>
      </c>
      <c r="B205">
        <v>17645</v>
      </c>
      <c r="C205" t="s">
        <v>949</v>
      </c>
      <c r="D205" t="s">
        <v>950</v>
      </c>
      <c r="E205" t="s">
        <v>4369</v>
      </c>
      <c r="F205" t="s">
        <v>1018</v>
      </c>
      <c r="G205" t="s">
        <v>1018</v>
      </c>
      <c r="H205" t="s">
        <v>4604</v>
      </c>
      <c r="N205" t="s">
        <v>33</v>
      </c>
      <c r="O205" s="1">
        <v>3.3564814814814812E-4</v>
      </c>
      <c r="P205">
        <v>0</v>
      </c>
      <c r="Q205">
        <v>0</v>
      </c>
      <c r="R205">
        <v>1</v>
      </c>
      <c r="S205">
        <v>0</v>
      </c>
      <c r="T205">
        <v>0</v>
      </c>
      <c r="U205" t="s">
        <v>954</v>
      </c>
      <c r="V205" t="s">
        <v>1090</v>
      </c>
    </row>
    <row r="206" spans="1:22" x14ac:dyDescent="0.35">
      <c r="A206" t="s">
        <v>20</v>
      </c>
      <c r="B206">
        <v>17645</v>
      </c>
      <c r="C206" t="s">
        <v>949</v>
      </c>
      <c r="D206" t="s">
        <v>950</v>
      </c>
      <c r="E206" t="s">
        <v>4372</v>
      </c>
      <c r="F206" t="s">
        <v>1024</v>
      </c>
      <c r="G206" t="s">
        <v>1024</v>
      </c>
      <c r="H206" t="s">
        <v>4605</v>
      </c>
      <c r="N206" t="s">
        <v>33</v>
      </c>
      <c r="O206" s="1">
        <v>3.3564814814814812E-4</v>
      </c>
      <c r="P206">
        <v>0</v>
      </c>
      <c r="Q206">
        <v>0</v>
      </c>
      <c r="R206">
        <v>1</v>
      </c>
      <c r="S206">
        <v>0</v>
      </c>
      <c r="T206">
        <v>0</v>
      </c>
      <c r="U206" t="s">
        <v>954</v>
      </c>
      <c r="V206" t="s">
        <v>1090</v>
      </c>
    </row>
    <row r="207" spans="1:22" x14ac:dyDescent="0.35">
      <c r="A207" t="s">
        <v>20</v>
      </c>
      <c r="B207">
        <v>17645</v>
      </c>
      <c r="C207" t="s">
        <v>949</v>
      </c>
      <c r="D207" t="s">
        <v>950</v>
      </c>
      <c r="E207" t="s">
        <v>4374</v>
      </c>
      <c r="F207" t="s">
        <v>4606</v>
      </c>
      <c r="G207" t="s">
        <v>4606</v>
      </c>
      <c r="H207" t="s">
        <v>4607</v>
      </c>
      <c r="N207" t="s">
        <v>33</v>
      </c>
      <c r="O207" s="1">
        <v>4.1666666666666669E-4</v>
      </c>
      <c r="P207">
        <v>0</v>
      </c>
      <c r="Q207">
        <v>0</v>
      </c>
      <c r="R207">
        <v>0</v>
      </c>
      <c r="S207">
        <v>1</v>
      </c>
      <c r="T207">
        <v>0</v>
      </c>
      <c r="U207" t="s">
        <v>954</v>
      </c>
      <c r="V207" t="s">
        <v>1090</v>
      </c>
    </row>
    <row r="208" spans="1:22" x14ac:dyDescent="0.35">
      <c r="A208" t="s">
        <v>20</v>
      </c>
      <c r="B208">
        <v>17645</v>
      </c>
      <c r="C208" t="s">
        <v>949</v>
      </c>
      <c r="D208" t="s">
        <v>950</v>
      </c>
      <c r="E208" t="s">
        <v>4376</v>
      </c>
      <c r="F208" t="s">
        <v>4149</v>
      </c>
      <c r="G208" t="s">
        <v>4149</v>
      </c>
      <c r="H208" t="s">
        <v>4608</v>
      </c>
      <c r="N208" t="s">
        <v>33</v>
      </c>
      <c r="O208" s="1">
        <v>6.9444444444444444E-5</v>
      </c>
      <c r="P208">
        <v>1</v>
      </c>
      <c r="Q208">
        <v>0</v>
      </c>
      <c r="R208">
        <v>0</v>
      </c>
      <c r="S208">
        <v>0</v>
      </c>
      <c r="T208">
        <v>0</v>
      </c>
      <c r="U208" t="s">
        <v>954</v>
      </c>
      <c r="V208" t="s">
        <v>1090</v>
      </c>
    </row>
    <row r="209" spans="1:22" x14ac:dyDescent="0.35">
      <c r="A209" t="s">
        <v>20</v>
      </c>
      <c r="B209">
        <v>17645</v>
      </c>
      <c r="C209" t="s">
        <v>949</v>
      </c>
      <c r="D209" t="s">
        <v>950</v>
      </c>
      <c r="E209" t="s">
        <v>4378</v>
      </c>
      <c r="F209" t="s">
        <v>4609</v>
      </c>
      <c r="G209" t="s">
        <v>4609</v>
      </c>
      <c r="H209" t="s">
        <v>4610</v>
      </c>
      <c r="N209" t="s">
        <v>33</v>
      </c>
      <c r="O209" s="1">
        <v>4.1666666666666669E-4</v>
      </c>
      <c r="P209">
        <v>0</v>
      </c>
      <c r="Q209">
        <v>0</v>
      </c>
      <c r="R209">
        <v>0</v>
      </c>
      <c r="S209">
        <v>1</v>
      </c>
      <c r="T209">
        <v>0</v>
      </c>
      <c r="U209" t="s">
        <v>954</v>
      </c>
      <c r="V209" t="s">
        <v>1090</v>
      </c>
    </row>
    <row r="210" spans="1:22" x14ac:dyDescent="0.35">
      <c r="A210" t="s">
        <v>20</v>
      </c>
      <c r="B210">
        <v>17645</v>
      </c>
      <c r="C210" t="s">
        <v>949</v>
      </c>
      <c r="D210" t="s">
        <v>950</v>
      </c>
      <c r="E210" t="s">
        <v>4380</v>
      </c>
      <c r="F210" t="s">
        <v>4611</v>
      </c>
      <c r="G210" t="s">
        <v>4611</v>
      </c>
      <c r="H210" t="s">
        <v>4612</v>
      </c>
      <c r="N210" t="s">
        <v>33</v>
      </c>
      <c r="O210" s="1">
        <v>3.8194444444444452E-4</v>
      </c>
      <c r="P210">
        <v>0</v>
      </c>
      <c r="Q210">
        <v>0</v>
      </c>
      <c r="R210">
        <v>0</v>
      </c>
      <c r="S210">
        <v>1</v>
      </c>
      <c r="T210">
        <v>0</v>
      </c>
      <c r="U210" t="s">
        <v>954</v>
      </c>
      <c r="V210" t="s">
        <v>1090</v>
      </c>
    </row>
    <row r="211" spans="1:22" x14ac:dyDescent="0.35">
      <c r="A211" t="s">
        <v>20</v>
      </c>
      <c r="B211">
        <v>17645</v>
      </c>
      <c r="C211" t="s">
        <v>949</v>
      </c>
      <c r="D211" t="s">
        <v>950</v>
      </c>
      <c r="E211" t="s">
        <v>4382</v>
      </c>
      <c r="F211" t="s">
        <v>1030</v>
      </c>
      <c r="G211" t="s">
        <v>1030</v>
      </c>
      <c r="H211" t="s">
        <v>4613</v>
      </c>
      <c r="N211" t="s">
        <v>33</v>
      </c>
      <c r="O211" s="1">
        <v>5.2083333333333333E-4</v>
      </c>
      <c r="P211">
        <v>0</v>
      </c>
      <c r="Q211">
        <v>0</v>
      </c>
      <c r="R211">
        <v>0</v>
      </c>
      <c r="S211">
        <v>1</v>
      </c>
      <c r="T211">
        <v>0</v>
      </c>
      <c r="U211" t="s">
        <v>954</v>
      </c>
      <c r="V211" t="s">
        <v>1090</v>
      </c>
    </row>
    <row r="212" spans="1:22" x14ac:dyDescent="0.35">
      <c r="A212" t="s">
        <v>20</v>
      </c>
      <c r="B212">
        <v>17645</v>
      </c>
      <c r="C212" t="s">
        <v>949</v>
      </c>
      <c r="D212" t="s">
        <v>950</v>
      </c>
      <c r="E212" t="s">
        <v>4384</v>
      </c>
      <c r="F212" t="s">
        <v>1190</v>
      </c>
      <c r="G212" t="s">
        <v>1190</v>
      </c>
      <c r="H212" t="s">
        <v>4614</v>
      </c>
      <c r="N212" t="s">
        <v>33</v>
      </c>
      <c r="O212" s="1">
        <v>8.7962962962962962E-4</v>
      </c>
      <c r="P212">
        <v>0</v>
      </c>
      <c r="Q212">
        <v>0</v>
      </c>
      <c r="R212">
        <v>0</v>
      </c>
      <c r="S212">
        <v>0</v>
      </c>
      <c r="T212">
        <v>1</v>
      </c>
      <c r="U212" t="s">
        <v>954</v>
      </c>
      <c r="V212" t="s">
        <v>1090</v>
      </c>
    </row>
    <row r="213" spans="1:22" x14ac:dyDescent="0.35">
      <c r="A213" t="s">
        <v>20</v>
      </c>
      <c r="B213">
        <v>17645</v>
      </c>
      <c r="C213" t="s">
        <v>949</v>
      </c>
      <c r="D213" t="s">
        <v>950</v>
      </c>
      <c r="E213" t="s">
        <v>4386</v>
      </c>
      <c r="F213" t="s">
        <v>4157</v>
      </c>
      <c r="G213" t="s">
        <v>4157</v>
      </c>
      <c r="H213" t="s">
        <v>4615</v>
      </c>
      <c r="N213" t="s">
        <v>33</v>
      </c>
      <c r="O213" s="1">
        <v>3.9351851851851852E-4</v>
      </c>
      <c r="P213">
        <v>0</v>
      </c>
      <c r="Q213">
        <v>0</v>
      </c>
      <c r="R213">
        <v>0</v>
      </c>
      <c r="S213">
        <v>1</v>
      </c>
      <c r="T213">
        <v>0</v>
      </c>
      <c r="U213" t="s">
        <v>954</v>
      </c>
      <c r="V213" t="s">
        <v>1090</v>
      </c>
    </row>
    <row r="214" spans="1:22" x14ac:dyDescent="0.35">
      <c r="A214" t="s">
        <v>20</v>
      </c>
      <c r="B214">
        <v>17645</v>
      </c>
      <c r="C214" t="s">
        <v>949</v>
      </c>
      <c r="D214" t="s">
        <v>950</v>
      </c>
      <c r="E214" t="s">
        <v>4388</v>
      </c>
      <c r="F214" t="s">
        <v>4159</v>
      </c>
      <c r="G214" t="s">
        <v>4159</v>
      </c>
      <c r="H214" t="s">
        <v>4616</v>
      </c>
      <c r="N214" t="s">
        <v>33</v>
      </c>
      <c r="O214" s="1">
        <v>1.50462962962963E-4</v>
      </c>
      <c r="P214">
        <v>0</v>
      </c>
      <c r="Q214">
        <v>1</v>
      </c>
      <c r="R214">
        <v>0</v>
      </c>
      <c r="S214">
        <v>0</v>
      </c>
      <c r="T214">
        <v>0</v>
      </c>
      <c r="U214" t="s">
        <v>954</v>
      </c>
      <c r="V214" t="s">
        <v>1090</v>
      </c>
    </row>
    <row r="215" spans="1:22" x14ac:dyDescent="0.35">
      <c r="A215" t="s">
        <v>20</v>
      </c>
      <c r="B215">
        <v>17645</v>
      </c>
      <c r="C215" t="s">
        <v>949</v>
      </c>
      <c r="D215" t="s">
        <v>950</v>
      </c>
      <c r="E215" t="s">
        <v>4390</v>
      </c>
      <c r="F215" t="s">
        <v>1051</v>
      </c>
      <c r="G215" t="s">
        <v>1051</v>
      </c>
      <c r="H215" t="s">
        <v>4617</v>
      </c>
      <c r="N215" t="s">
        <v>33</v>
      </c>
      <c r="O215" s="1">
        <v>1.7361111111111109E-4</v>
      </c>
      <c r="P215">
        <v>0</v>
      </c>
      <c r="Q215">
        <v>1</v>
      </c>
      <c r="R215">
        <v>0</v>
      </c>
      <c r="S215">
        <v>0</v>
      </c>
      <c r="T215">
        <v>0</v>
      </c>
      <c r="U215" t="s">
        <v>954</v>
      </c>
      <c r="V215" t="s">
        <v>1090</v>
      </c>
    </row>
    <row r="216" spans="1:22" x14ac:dyDescent="0.35">
      <c r="A216" t="s">
        <v>20</v>
      </c>
      <c r="B216">
        <v>17645</v>
      </c>
      <c r="C216" t="s">
        <v>949</v>
      </c>
      <c r="D216" t="s">
        <v>950</v>
      </c>
      <c r="E216" t="s">
        <v>4392</v>
      </c>
      <c r="F216" t="s">
        <v>4162</v>
      </c>
      <c r="G216" t="s">
        <v>4162</v>
      </c>
      <c r="H216" t="s">
        <v>4618</v>
      </c>
      <c r="N216" t="s">
        <v>33</v>
      </c>
      <c r="O216" s="1">
        <v>8.1018518518518516E-5</v>
      </c>
      <c r="P216">
        <v>1</v>
      </c>
      <c r="Q216">
        <v>0</v>
      </c>
      <c r="R216">
        <v>0</v>
      </c>
      <c r="S216">
        <v>0</v>
      </c>
      <c r="T216">
        <v>0</v>
      </c>
      <c r="U216" t="s">
        <v>954</v>
      </c>
      <c r="V216" t="s">
        <v>1090</v>
      </c>
    </row>
    <row r="217" spans="1:22" x14ac:dyDescent="0.35">
      <c r="A217" t="s">
        <v>20</v>
      </c>
      <c r="B217">
        <v>17645</v>
      </c>
      <c r="C217" t="s">
        <v>949</v>
      </c>
      <c r="D217" t="s">
        <v>950</v>
      </c>
      <c r="E217" t="s">
        <v>4394</v>
      </c>
      <c r="F217" t="s">
        <v>4164</v>
      </c>
      <c r="G217" t="s">
        <v>4164</v>
      </c>
      <c r="H217" t="s">
        <v>4619</v>
      </c>
      <c r="N217" t="s">
        <v>33</v>
      </c>
      <c r="O217" s="1">
        <v>3.0092592592592589E-4</v>
      </c>
      <c r="P217">
        <v>0</v>
      </c>
      <c r="Q217">
        <v>0</v>
      </c>
      <c r="R217">
        <v>1</v>
      </c>
      <c r="S217">
        <v>0</v>
      </c>
      <c r="T217">
        <v>0</v>
      </c>
      <c r="U217" t="s">
        <v>954</v>
      </c>
      <c r="V217" t="s">
        <v>1090</v>
      </c>
    </row>
    <row r="218" spans="1:22" x14ac:dyDescent="0.35">
      <c r="A218" t="s">
        <v>20</v>
      </c>
      <c r="B218">
        <v>17645</v>
      </c>
      <c r="C218" t="s">
        <v>949</v>
      </c>
      <c r="D218" t="s">
        <v>950</v>
      </c>
      <c r="E218" t="s">
        <v>4396</v>
      </c>
      <c r="F218" t="s">
        <v>4166</v>
      </c>
      <c r="G218" t="s">
        <v>4166</v>
      </c>
      <c r="H218" t="s">
        <v>4620</v>
      </c>
      <c r="N218" t="s">
        <v>33</v>
      </c>
      <c r="O218" s="1">
        <v>1.3888888888888889E-4</v>
      </c>
      <c r="P218">
        <v>0</v>
      </c>
      <c r="Q218">
        <v>1</v>
      </c>
      <c r="R218">
        <v>0</v>
      </c>
      <c r="S218">
        <v>0</v>
      </c>
      <c r="T218">
        <v>0</v>
      </c>
      <c r="U218" t="s">
        <v>954</v>
      </c>
      <c r="V218" t="s">
        <v>1090</v>
      </c>
    </row>
    <row r="219" spans="1:22" x14ac:dyDescent="0.35">
      <c r="A219" t="s">
        <v>20</v>
      </c>
      <c r="B219">
        <v>17645</v>
      </c>
      <c r="C219" t="s">
        <v>949</v>
      </c>
      <c r="D219" t="s">
        <v>950</v>
      </c>
      <c r="E219" t="s">
        <v>4398</v>
      </c>
      <c r="F219" t="s">
        <v>4621</v>
      </c>
      <c r="G219" t="s">
        <v>4621</v>
      </c>
      <c r="H219" t="s">
        <v>4622</v>
      </c>
      <c r="N219" t="s">
        <v>33</v>
      </c>
      <c r="O219" s="1">
        <v>8.564814814814815E-4</v>
      </c>
      <c r="P219">
        <v>0</v>
      </c>
      <c r="Q219">
        <v>0</v>
      </c>
      <c r="R219">
        <v>0</v>
      </c>
      <c r="S219">
        <v>0</v>
      </c>
      <c r="T219">
        <v>1</v>
      </c>
      <c r="U219" t="s">
        <v>954</v>
      </c>
      <c r="V219" t="s">
        <v>1090</v>
      </c>
    </row>
    <row r="220" spans="1:22" x14ac:dyDescent="0.35">
      <c r="A220" t="s">
        <v>20</v>
      </c>
      <c r="B220">
        <v>17645</v>
      </c>
      <c r="C220" t="s">
        <v>949</v>
      </c>
      <c r="D220" t="s">
        <v>950</v>
      </c>
      <c r="E220" t="s">
        <v>4400</v>
      </c>
      <c r="F220" t="s">
        <v>4170</v>
      </c>
      <c r="G220" t="s">
        <v>4170</v>
      </c>
      <c r="H220" t="s">
        <v>4171</v>
      </c>
      <c r="N220" t="s">
        <v>33</v>
      </c>
      <c r="O220" s="1">
        <v>8.1018518518518516E-5</v>
      </c>
      <c r="P220">
        <v>1</v>
      </c>
      <c r="Q220">
        <v>0</v>
      </c>
      <c r="R220">
        <v>0</v>
      </c>
      <c r="S220">
        <v>0</v>
      </c>
      <c r="T220">
        <v>0</v>
      </c>
      <c r="U220" t="s">
        <v>954</v>
      </c>
      <c r="V220" t="s">
        <v>1090</v>
      </c>
    </row>
    <row r="221" spans="1:22" x14ac:dyDescent="0.35">
      <c r="A221" t="s">
        <v>20</v>
      </c>
      <c r="B221">
        <v>17645</v>
      </c>
      <c r="C221" t="s">
        <v>949</v>
      </c>
      <c r="D221" t="s">
        <v>950</v>
      </c>
      <c r="E221" t="s">
        <v>4402</v>
      </c>
      <c r="F221" t="s">
        <v>4623</v>
      </c>
      <c r="G221" t="s">
        <v>4623</v>
      </c>
      <c r="H221" t="s">
        <v>4624</v>
      </c>
      <c r="N221" t="s">
        <v>33</v>
      </c>
      <c r="O221" s="1">
        <v>2.199074074074074E-4</v>
      </c>
      <c r="P221">
        <v>0</v>
      </c>
      <c r="Q221">
        <v>1</v>
      </c>
      <c r="R221">
        <v>0</v>
      </c>
      <c r="S221">
        <v>0</v>
      </c>
      <c r="T221">
        <v>0</v>
      </c>
      <c r="U221" t="s">
        <v>954</v>
      </c>
      <c r="V221" t="s">
        <v>1090</v>
      </c>
    </row>
    <row r="222" spans="1:22" x14ac:dyDescent="0.35">
      <c r="A222" t="s">
        <v>20</v>
      </c>
      <c r="B222">
        <v>17645</v>
      </c>
      <c r="C222" t="s">
        <v>949</v>
      </c>
      <c r="D222" t="s">
        <v>950</v>
      </c>
      <c r="E222" t="s">
        <v>4404</v>
      </c>
      <c r="F222" t="s">
        <v>4174</v>
      </c>
      <c r="G222" t="s">
        <v>4174</v>
      </c>
      <c r="H222" t="s">
        <v>4625</v>
      </c>
      <c r="N222" t="s">
        <v>33</v>
      </c>
      <c r="O222" s="1">
        <v>1.041666666666667E-4</v>
      </c>
      <c r="P222">
        <v>1</v>
      </c>
      <c r="Q222">
        <v>0</v>
      </c>
      <c r="R222">
        <v>0</v>
      </c>
      <c r="S222">
        <v>0</v>
      </c>
      <c r="T222">
        <v>0</v>
      </c>
      <c r="U222" t="s">
        <v>954</v>
      </c>
      <c r="V222" t="s">
        <v>1090</v>
      </c>
    </row>
    <row r="223" spans="1:22" x14ac:dyDescent="0.35">
      <c r="A223" t="s">
        <v>20</v>
      </c>
      <c r="B223">
        <v>17645</v>
      </c>
      <c r="C223" t="s">
        <v>949</v>
      </c>
      <c r="D223" t="s">
        <v>950</v>
      </c>
      <c r="E223" t="s">
        <v>4407</v>
      </c>
      <c r="F223" t="s">
        <v>1060</v>
      </c>
      <c r="G223" t="s">
        <v>1060</v>
      </c>
      <c r="H223" t="s">
        <v>4626</v>
      </c>
      <c r="N223" t="s">
        <v>33</v>
      </c>
      <c r="O223" s="1">
        <v>5.7870370370370373E-5</v>
      </c>
      <c r="P223">
        <v>1</v>
      </c>
      <c r="Q223">
        <v>0</v>
      </c>
      <c r="R223">
        <v>0</v>
      </c>
      <c r="S223">
        <v>0</v>
      </c>
      <c r="T223">
        <v>0</v>
      </c>
      <c r="U223" t="s">
        <v>954</v>
      </c>
      <c r="V223" t="s">
        <v>1090</v>
      </c>
    </row>
    <row r="224" spans="1:22" x14ac:dyDescent="0.35">
      <c r="A224" t="s">
        <v>20</v>
      </c>
      <c r="B224">
        <v>17645</v>
      </c>
      <c r="C224" t="s">
        <v>949</v>
      </c>
      <c r="D224" t="s">
        <v>950</v>
      </c>
      <c r="E224" t="s">
        <v>4409</v>
      </c>
      <c r="F224" t="s">
        <v>1063</v>
      </c>
      <c r="G224" t="s">
        <v>1063</v>
      </c>
      <c r="H224" t="s">
        <v>4627</v>
      </c>
      <c r="N224" t="s">
        <v>33</v>
      </c>
      <c r="O224" s="1">
        <v>1.9675925925925929E-4</v>
      </c>
      <c r="P224">
        <v>0</v>
      </c>
      <c r="Q224">
        <v>1</v>
      </c>
      <c r="R224">
        <v>0</v>
      </c>
      <c r="S224">
        <v>0</v>
      </c>
      <c r="T224">
        <v>0</v>
      </c>
      <c r="U224" t="s">
        <v>954</v>
      </c>
      <c r="V224" t="s">
        <v>1090</v>
      </c>
    </row>
    <row r="225" spans="1:22" x14ac:dyDescent="0.35">
      <c r="A225" t="s">
        <v>20</v>
      </c>
      <c r="B225">
        <v>17645</v>
      </c>
      <c r="C225" t="s">
        <v>949</v>
      </c>
      <c r="D225" t="s">
        <v>950</v>
      </c>
      <c r="E225" t="s">
        <v>4412</v>
      </c>
      <c r="F225" t="s">
        <v>4179</v>
      </c>
      <c r="G225" t="s">
        <v>4179</v>
      </c>
      <c r="H225" t="s">
        <v>4628</v>
      </c>
      <c r="N225" t="s">
        <v>33</v>
      </c>
      <c r="O225" s="1">
        <v>2.6620370370370372E-4</v>
      </c>
      <c r="P225">
        <v>0</v>
      </c>
      <c r="Q225">
        <v>0</v>
      </c>
      <c r="R225">
        <v>1</v>
      </c>
      <c r="S225">
        <v>0</v>
      </c>
      <c r="T225">
        <v>0</v>
      </c>
      <c r="U225" t="s">
        <v>954</v>
      </c>
      <c r="V225" t="s">
        <v>1090</v>
      </c>
    </row>
    <row r="226" spans="1:22" x14ac:dyDescent="0.35">
      <c r="A226" t="s">
        <v>20</v>
      </c>
      <c r="B226">
        <v>17645</v>
      </c>
      <c r="C226" t="s">
        <v>949</v>
      </c>
      <c r="D226" t="s">
        <v>950</v>
      </c>
      <c r="E226" t="s">
        <v>4414</v>
      </c>
      <c r="F226" t="s">
        <v>4181</v>
      </c>
      <c r="G226" t="s">
        <v>4181</v>
      </c>
      <c r="H226" t="s">
        <v>4629</v>
      </c>
      <c r="N226" t="s">
        <v>33</v>
      </c>
      <c r="O226" s="1">
        <v>3.4722222222222222E-5</v>
      </c>
      <c r="P226">
        <v>1</v>
      </c>
      <c r="Q226">
        <v>0</v>
      </c>
      <c r="R226">
        <v>0</v>
      </c>
      <c r="S226">
        <v>0</v>
      </c>
      <c r="T226">
        <v>0</v>
      </c>
      <c r="U226" t="s">
        <v>954</v>
      </c>
      <c r="V226" t="s">
        <v>1090</v>
      </c>
    </row>
    <row r="227" spans="1:22" x14ac:dyDescent="0.35">
      <c r="A227" t="s">
        <v>20</v>
      </c>
      <c r="B227">
        <v>17645</v>
      </c>
      <c r="C227" t="s">
        <v>949</v>
      </c>
      <c r="D227" t="s">
        <v>950</v>
      </c>
      <c r="E227" t="s">
        <v>4416</v>
      </c>
      <c r="F227" t="s">
        <v>1233</v>
      </c>
      <c r="G227" t="s">
        <v>1233</v>
      </c>
      <c r="H227" t="s">
        <v>4630</v>
      </c>
      <c r="N227" t="s">
        <v>33</v>
      </c>
      <c r="O227" s="1">
        <v>3.0092592592592589E-4</v>
      </c>
      <c r="P227">
        <v>0</v>
      </c>
      <c r="Q227">
        <v>0</v>
      </c>
      <c r="R227">
        <v>1</v>
      </c>
      <c r="S227">
        <v>0</v>
      </c>
      <c r="T227">
        <v>0</v>
      </c>
      <c r="U227" t="s">
        <v>954</v>
      </c>
      <c r="V227" t="s">
        <v>1090</v>
      </c>
    </row>
    <row r="228" spans="1:22" x14ac:dyDescent="0.35">
      <c r="A228" t="s">
        <v>20</v>
      </c>
      <c r="B228">
        <v>17645</v>
      </c>
      <c r="C228" t="s">
        <v>949</v>
      </c>
      <c r="D228" t="s">
        <v>950</v>
      </c>
      <c r="E228" t="s">
        <v>4631</v>
      </c>
      <c r="F228" t="s">
        <v>1237</v>
      </c>
      <c r="G228" t="s">
        <v>1237</v>
      </c>
      <c r="H228" t="s">
        <v>4632</v>
      </c>
      <c r="N228" t="s">
        <v>33</v>
      </c>
      <c r="O228" s="1">
        <v>3.1250000000000001E-4</v>
      </c>
      <c r="P228">
        <v>0</v>
      </c>
      <c r="Q228">
        <v>0</v>
      </c>
      <c r="R228">
        <v>1</v>
      </c>
      <c r="S228">
        <v>0</v>
      </c>
      <c r="T228">
        <v>0</v>
      </c>
      <c r="U228" t="s">
        <v>954</v>
      </c>
      <c r="V228" t="s">
        <v>1090</v>
      </c>
    </row>
    <row r="229" spans="1:22" x14ac:dyDescent="0.35">
      <c r="A229" t="s">
        <v>20</v>
      </c>
      <c r="B229">
        <v>17645</v>
      </c>
      <c r="C229" t="s">
        <v>949</v>
      </c>
      <c r="D229" t="s">
        <v>950</v>
      </c>
      <c r="E229" t="s">
        <v>4633</v>
      </c>
      <c r="F229" t="s">
        <v>1069</v>
      </c>
      <c r="G229" t="s">
        <v>1069</v>
      </c>
      <c r="H229" t="s">
        <v>4634</v>
      </c>
      <c r="N229" t="s">
        <v>33</v>
      </c>
      <c r="O229" s="1">
        <v>5.7870370370370373E-5</v>
      </c>
      <c r="P229">
        <v>1</v>
      </c>
      <c r="Q229">
        <v>0</v>
      </c>
      <c r="R229">
        <v>0</v>
      </c>
      <c r="S229">
        <v>0</v>
      </c>
      <c r="T229">
        <v>0</v>
      </c>
      <c r="U229" t="s">
        <v>954</v>
      </c>
      <c r="V229" t="s">
        <v>1090</v>
      </c>
    </row>
    <row r="230" spans="1:22" x14ac:dyDescent="0.35">
      <c r="A230" t="s">
        <v>20</v>
      </c>
      <c r="B230">
        <v>17645</v>
      </c>
      <c r="C230" t="s">
        <v>949</v>
      </c>
      <c r="D230" t="s">
        <v>950</v>
      </c>
      <c r="E230" t="s">
        <v>4635</v>
      </c>
      <c r="F230" t="s">
        <v>1241</v>
      </c>
      <c r="G230" t="s">
        <v>1241</v>
      </c>
      <c r="H230" t="s">
        <v>4636</v>
      </c>
      <c r="N230" t="s">
        <v>33</v>
      </c>
      <c r="O230" s="1">
        <v>3.7037037037037041E-4</v>
      </c>
      <c r="P230">
        <v>0</v>
      </c>
      <c r="Q230">
        <v>0</v>
      </c>
      <c r="R230">
        <v>0</v>
      </c>
      <c r="S230">
        <v>1</v>
      </c>
      <c r="T230">
        <v>0</v>
      </c>
      <c r="U230" t="s">
        <v>954</v>
      </c>
      <c r="V230" t="s">
        <v>1090</v>
      </c>
    </row>
    <row r="231" spans="1:22" x14ac:dyDescent="0.35">
      <c r="A231" t="s">
        <v>20</v>
      </c>
      <c r="B231">
        <v>17645</v>
      </c>
      <c r="C231" t="s">
        <v>949</v>
      </c>
      <c r="D231" t="s">
        <v>950</v>
      </c>
      <c r="E231" t="s">
        <v>4637</v>
      </c>
      <c r="F231" t="s">
        <v>1072</v>
      </c>
      <c r="G231" t="s">
        <v>1072</v>
      </c>
      <c r="H231" t="s">
        <v>4638</v>
      </c>
      <c r="N231" t="s">
        <v>33</v>
      </c>
      <c r="O231" s="1">
        <v>9.9537037037037042E-4</v>
      </c>
      <c r="P231">
        <v>0</v>
      </c>
      <c r="Q231">
        <v>0</v>
      </c>
      <c r="R231">
        <v>0</v>
      </c>
      <c r="S231">
        <v>0</v>
      </c>
      <c r="T231">
        <v>1</v>
      </c>
      <c r="U231" t="s">
        <v>954</v>
      </c>
      <c r="V231" t="s">
        <v>1090</v>
      </c>
    </row>
    <row r="232" spans="1:22" x14ac:dyDescent="0.35">
      <c r="A232" t="s">
        <v>20</v>
      </c>
      <c r="B232">
        <v>17645</v>
      </c>
      <c r="C232" t="s">
        <v>949</v>
      </c>
      <c r="D232" t="s">
        <v>950</v>
      </c>
      <c r="E232" t="s">
        <v>4639</v>
      </c>
      <c r="F232" t="s">
        <v>1078</v>
      </c>
      <c r="G232" t="s">
        <v>1078</v>
      </c>
      <c r="H232" t="s">
        <v>4640</v>
      </c>
      <c r="N232" t="s">
        <v>33</v>
      </c>
      <c r="O232" s="1">
        <v>9.2592592592592588E-5</v>
      </c>
      <c r="P232">
        <v>1</v>
      </c>
      <c r="Q232">
        <v>0</v>
      </c>
      <c r="R232">
        <v>0</v>
      </c>
      <c r="S232">
        <v>0</v>
      </c>
      <c r="T232">
        <v>0</v>
      </c>
      <c r="U232" t="s">
        <v>954</v>
      </c>
      <c r="V232" t="s">
        <v>1090</v>
      </c>
    </row>
    <row r="233" spans="1:22" x14ac:dyDescent="0.35">
      <c r="A233" t="s">
        <v>20</v>
      </c>
      <c r="B233">
        <v>17645</v>
      </c>
      <c r="C233" t="s">
        <v>949</v>
      </c>
      <c r="D233" t="s">
        <v>950</v>
      </c>
      <c r="E233" t="s">
        <v>4641</v>
      </c>
      <c r="F233" t="s">
        <v>1081</v>
      </c>
      <c r="G233" t="s">
        <v>1081</v>
      </c>
      <c r="H233" t="s">
        <v>4642</v>
      </c>
      <c r="N233" t="s">
        <v>33</v>
      </c>
      <c r="O233" s="1">
        <v>2.7777777777777778E-4</v>
      </c>
      <c r="P233">
        <v>0</v>
      </c>
      <c r="Q233">
        <v>0</v>
      </c>
      <c r="R233">
        <v>1</v>
      </c>
      <c r="S233">
        <v>0</v>
      </c>
      <c r="T233">
        <v>0</v>
      </c>
      <c r="U233" t="s">
        <v>954</v>
      </c>
      <c r="V233" t="s">
        <v>1090</v>
      </c>
    </row>
    <row r="234" spans="1:22" x14ac:dyDescent="0.35">
      <c r="A234" t="s">
        <v>20</v>
      </c>
      <c r="B234">
        <v>17645</v>
      </c>
      <c r="C234" t="s">
        <v>949</v>
      </c>
      <c r="D234" t="s">
        <v>950</v>
      </c>
      <c r="E234" t="s">
        <v>4643</v>
      </c>
      <c r="F234" t="s">
        <v>1084</v>
      </c>
      <c r="G234" t="s">
        <v>1084</v>
      </c>
      <c r="H234" t="s">
        <v>4644</v>
      </c>
      <c r="N234" t="s">
        <v>33</v>
      </c>
      <c r="O234" s="1">
        <v>2.3148148148148149E-4</v>
      </c>
      <c r="P234">
        <v>0</v>
      </c>
      <c r="Q234">
        <v>1</v>
      </c>
      <c r="R234">
        <v>0</v>
      </c>
      <c r="S234">
        <v>0</v>
      </c>
      <c r="T234">
        <v>0</v>
      </c>
      <c r="U234" t="s">
        <v>954</v>
      </c>
      <c r="V234" t="s">
        <v>1090</v>
      </c>
    </row>
    <row r="235" spans="1:22" x14ac:dyDescent="0.35">
      <c r="A235" t="s">
        <v>20</v>
      </c>
      <c r="B235">
        <v>17647</v>
      </c>
      <c r="C235" t="s">
        <v>1252</v>
      </c>
      <c r="D235" t="s">
        <v>1253</v>
      </c>
      <c r="E235" t="s">
        <v>4294</v>
      </c>
      <c r="F235" t="s">
        <v>4645</v>
      </c>
      <c r="G235" t="s">
        <v>4645</v>
      </c>
      <c r="H235" t="s">
        <v>4646</v>
      </c>
      <c r="N235" t="s">
        <v>33</v>
      </c>
      <c r="O235" s="1">
        <v>1.435185185185185E-3</v>
      </c>
      <c r="P235">
        <v>0</v>
      </c>
      <c r="Q235">
        <v>0</v>
      </c>
      <c r="R235">
        <v>0</v>
      </c>
      <c r="S235">
        <v>0</v>
      </c>
      <c r="T235">
        <v>1</v>
      </c>
      <c r="U235" t="s">
        <v>1257</v>
      </c>
      <c r="V235" t="s">
        <v>1395</v>
      </c>
    </row>
    <row r="236" spans="1:22" x14ac:dyDescent="0.35">
      <c r="A236" t="s">
        <v>20</v>
      </c>
      <c r="B236">
        <v>17647</v>
      </c>
      <c r="C236" t="s">
        <v>1252</v>
      </c>
      <c r="D236" t="s">
        <v>1253</v>
      </c>
      <c r="E236" t="s">
        <v>4297</v>
      </c>
      <c r="F236" t="s">
        <v>1396</v>
      </c>
      <c r="G236" t="s">
        <v>1396</v>
      </c>
      <c r="H236" t="s">
        <v>4647</v>
      </c>
      <c r="N236" t="s">
        <v>33</v>
      </c>
      <c r="O236" s="1">
        <v>6.9444444444444444E-5</v>
      </c>
      <c r="P236">
        <v>1</v>
      </c>
      <c r="Q236">
        <v>0</v>
      </c>
      <c r="R236">
        <v>0</v>
      </c>
      <c r="S236">
        <v>0</v>
      </c>
      <c r="T236">
        <v>0</v>
      </c>
      <c r="U236" t="s">
        <v>1257</v>
      </c>
      <c r="V236" t="s">
        <v>1395</v>
      </c>
    </row>
    <row r="237" spans="1:22" x14ac:dyDescent="0.35">
      <c r="A237" t="s">
        <v>20</v>
      </c>
      <c r="B237">
        <v>17647</v>
      </c>
      <c r="C237" t="s">
        <v>1252</v>
      </c>
      <c r="D237" t="s">
        <v>1253</v>
      </c>
      <c r="E237" t="s">
        <v>4299</v>
      </c>
      <c r="F237" t="s">
        <v>4202</v>
      </c>
      <c r="G237" t="s">
        <v>4202</v>
      </c>
      <c r="H237" t="s">
        <v>4648</v>
      </c>
      <c r="N237" t="s">
        <v>33</v>
      </c>
      <c r="O237" s="1">
        <v>9.2592592592592588E-5</v>
      </c>
      <c r="P237">
        <v>1</v>
      </c>
      <c r="Q237">
        <v>0</v>
      </c>
      <c r="R237">
        <v>0</v>
      </c>
      <c r="S237">
        <v>0</v>
      </c>
      <c r="T237">
        <v>0</v>
      </c>
      <c r="U237" t="s">
        <v>1257</v>
      </c>
      <c r="V237" t="s">
        <v>1395</v>
      </c>
    </row>
    <row r="238" spans="1:22" x14ac:dyDescent="0.35">
      <c r="A238" t="s">
        <v>20</v>
      </c>
      <c r="B238">
        <v>17647</v>
      </c>
      <c r="C238" t="s">
        <v>1252</v>
      </c>
      <c r="D238" t="s">
        <v>1253</v>
      </c>
      <c r="E238" t="s">
        <v>4301</v>
      </c>
      <c r="F238" t="s">
        <v>4204</v>
      </c>
      <c r="G238" t="s">
        <v>4204</v>
      </c>
      <c r="H238" t="s">
        <v>4649</v>
      </c>
      <c r="N238" t="s">
        <v>33</v>
      </c>
      <c r="O238" s="1">
        <v>1.006944444444444E-3</v>
      </c>
      <c r="P238">
        <v>0</v>
      </c>
      <c r="Q238">
        <v>0</v>
      </c>
      <c r="R238">
        <v>0</v>
      </c>
      <c r="S238">
        <v>0</v>
      </c>
      <c r="T238">
        <v>1</v>
      </c>
      <c r="U238" t="s">
        <v>1257</v>
      </c>
      <c r="V238" t="s">
        <v>1395</v>
      </c>
    </row>
    <row r="239" spans="1:22" x14ac:dyDescent="0.35">
      <c r="A239" t="s">
        <v>20</v>
      </c>
      <c r="B239">
        <v>17647</v>
      </c>
      <c r="C239" t="s">
        <v>1252</v>
      </c>
      <c r="D239" t="s">
        <v>1253</v>
      </c>
      <c r="E239" t="s">
        <v>4303</v>
      </c>
      <c r="F239" t="s">
        <v>4206</v>
      </c>
      <c r="G239" t="s">
        <v>4206</v>
      </c>
      <c r="H239" t="s">
        <v>4650</v>
      </c>
      <c r="N239" t="s">
        <v>33</v>
      </c>
      <c r="O239" s="1">
        <v>5.7870370370370373E-5</v>
      </c>
      <c r="P239">
        <v>1</v>
      </c>
      <c r="Q239">
        <v>0</v>
      </c>
      <c r="R239">
        <v>0</v>
      </c>
      <c r="S239">
        <v>0</v>
      </c>
      <c r="T239">
        <v>0</v>
      </c>
      <c r="U239" t="s">
        <v>1257</v>
      </c>
      <c r="V239" t="s">
        <v>1395</v>
      </c>
    </row>
    <row r="240" spans="1:22" x14ac:dyDescent="0.35">
      <c r="A240" t="s">
        <v>20</v>
      </c>
      <c r="B240">
        <v>17647</v>
      </c>
      <c r="C240" t="s">
        <v>1252</v>
      </c>
      <c r="D240" t="s">
        <v>1253</v>
      </c>
      <c r="E240" t="s">
        <v>4305</v>
      </c>
      <c r="F240" t="s">
        <v>4208</v>
      </c>
      <c r="G240" t="s">
        <v>4208</v>
      </c>
      <c r="H240" t="s">
        <v>4651</v>
      </c>
      <c r="N240" t="s">
        <v>33</v>
      </c>
      <c r="O240" s="1">
        <v>1.157407407407407E-4</v>
      </c>
      <c r="P240">
        <v>1</v>
      </c>
      <c r="Q240">
        <v>0</v>
      </c>
      <c r="R240">
        <v>0</v>
      </c>
      <c r="S240">
        <v>0</v>
      </c>
      <c r="T240">
        <v>0</v>
      </c>
      <c r="U240" t="s">
        <v>1257</v>
      </c>
      <c r="V240" t="s">
        <v>1395</v>
      </c>
    </row>
    <row r="241" spans="1:22" x14ac:dyDescent="0.35">
      <c r="A241" t="s">
        <v>20</v>
      </c>
      <c r="B241">
        <v>17647</v>
      </c>
      <c r="C241" t="s">
        <v>1252</v>
      </c>
      <c r="D241" t="s">
        <v>1253</v>
      </c>
      <c r="E241" t="s">
        <v>4307</v>
      </c>
      <c r="F241" t="s">
        <v>1264</v>
      </c>
      <c r="G241" t="s">
        <v>1264</v>
      </c>
      <c r="H241" t="s">
        <v>4652</v>
      </c>
      <c r="N241" t="s">
        <v>33</v>
      </c>
      <c r="O241" s="1">
        <v>8.1018518518518516E-5</v>
      </c>
      <c r="P241">
        <v>1</v>
      </c>
      <c r="Q241">
        <v>0</v>
      </c>
      <c r="R241">
        <v>0</v>
      </c>
      <c r="S241">
        <v>0</v>
      </c>
      <c r="T241">
        <v>0</v>
      </c>
      <c r="U241" t="s">
        <v>1257</v>
      </c>
      <c r="V241" t="s">
        <v>1395</v>
      </c>
    </row>
    <row r="242" spans="1:22" x14ac:dyDescent="0.35">
      <c r="A242" t="s">
        <v>20</v>
      </c>
      <c r="B242">
        <v>17647</v>
      </c>
      <c r="C242" t="s">
        <v>1252</v>
      </c>
      <c r="D242" t="s">
        <v>1253</v>
      </c>
      <c r="E242" t="s">
        <v>4310</v>
      </c>
      <c r="F242" t="s">
        <v>1267</v>
      </c>
      <c r="G242" t="s">
        <v>1267</v>
      </c>
      <c r="H242" t="s">
        <v>4653</v>
      </c>
      <c r="N242" t="s">
        <v>33</v>
      </c>
      <c r="O242" s="1">
        <v>3.1250000000000001E-4</v>
      </c>
      <c r="P242">
        <v>0</v>
      </c>
      <c r="Q242">
        <v>0</v>
      </c>
      <c r="R242">
        <v>1</v>
      </c>
      <c r="S242">
        <v>0</v>
      </c>
      <c r="T242">
        <v>0</v>
      </c>
      <c r="U242" t="s">
        <v>1257</v>
      </c>
      <c r="V242" t="s">
        <v>1395</v>
      </c>
    </row>
    <row r="243" spans="1:22" x14ac:dyDescent="0.35">
      <c r="A243" t="s">
        <v>20</v>
      </c>
      <c r="B243">
        <v>17647</v>
      </c>
      <c r="C243" t="s">
        <v>1252</v>
      </c>
      <c r="D243" t="s">
        <v>1253</v>
      </c>
      <c r="E243" t="s">
        <v>4312</v>
      </c>
      <c r="F243" t="s">
        <v>4212</v>
      </c>
      <c r="G243" t="s">
        <v>4212</v>
      </c>
      <c r="H243" t="s">
        <v>4654</v>
      </c>
      <c r="N243" t="s">
        <v>33</v>
      </c>
      <c r="O243" s="1">
        <v>6.5972222222222224E-4</v>
      </c>
      <c r="P243">
        <v>0</v>
      </c>
      <c r="Q243">
        <v>0</v>
      </c>
      <c r="R243">
        <v>0</v>
      </c>
      <c r="S243">
        <v>1</v>
      </c>
      <c r="T243">
        <v>0</v>
      </c>
      <c r="U243" t="s">
        <v>1257</v>
      </c>
      <c r="V243" t="s">
        <v>1395</v>
      </c>
    </row>
    <row r="244" spans="1:22" x14ac:dyDescent="0.35">
      <c r="A244" t="s">
        <v>20</v>
      </c>
      <c r="B244">
        <v>17647</v>
      </c>
      <c r="C244" t="s">
        <v>1252</v>
      </c>
      <c r="D244" t="s">
        <v>1253</v>
      </c>
      <c r="E244" t="s">
        <v>4314</v>
      </c>
      <c r="F244" t="s">
        <v>1273</v>
      </c>
      <c r="G244" t="s">
        <v>1273</v>
      </c>
      <c r="H244" t="s">
        <v>4655</v>
      </c>
      <c r="N244" t="s">
        <v>33</v>
      </c>
      <c r="O244" s="1">
        <v>5.4398148148148144E-4</v>
      </c>
      <c r="P244">
        <v>0</v>
      </c>
      <c r="Q244">
        <v>0</v>
      </c>
      <c r="R244">
        <v>0</v>
      </c>
      <c r="S244">
        <v>1</v>
      </c>
      <c r="T244">
        <v>0</v>
      </c>
      <c r="U244" t="s">
        <v>1257</v>
      </c>
      <c r="V244" t="s">
        <v>1395</v>
      </c>
    </row>
    <row r="245" spans="1:22" x14ac:dyDescent="0.35">
      <c r="A245" t="s">
        <v>20</v>
      </c>
      <c r="B245">
        <v>17647</v>
      </c>
      <c r="C245" t="s">
        <v>1252</v>
      </c>
      <c r="D245" t="s">
        <v>1253</v>
      </c>
      <c r="E245" t="s">
        <v>4316</v>
      </c>
      <c r="F245" t="s">
        <v>1415</v>
      </c>
      <c r="G245" t="s">
        <v>1415</v>
      </c>
      <c r="H245" t="s">
        <v>4656</v>
      </c>
      <c r="N245" t="s">
        <v>33</v>
      </c>
      <c r="O245" s="1">
        <v>2.199074074074074E-4</v>
      </c>
      <c r="P245">
        <v>0</v>
      </c>
      <c r="Q245">
        <v>1</v>
      </c>
      <c r="R245">
        <v>0</v>
      </c>
      <c r="S245">
        <v>0</v>
      </c>
      <c r="T245">
        <v>0</v>
      </c>
      <c r="U245" t="s">
        <v>1257</v>
      </c>
      <c r="V245" t="s">
        <v>1395</v>
      </c>
    </row>
    <row r="246" spans="1:22" x14ac:dyDescent="0.35">
      <c r="A246" t="s">
        <v>20</v>
      </c>
      <c r="B246">
        <v>17647</v>
      </c>
      <c r="C246" t="s">
        <v>1252</v>
      </c>
      <c r="D246" t="s">
        <v>1253</v>
      </c>
      <c r="E246" t="s">
        <v>4317</v>
      </c>
      <c r="F246" t="s">
        <v>1418</v>
      </c>
      <c r="G246" t="s">
        <v>1418</v>
      </c>
      <c r="H246" t="s">
        <v>4657</v>
      </c>
      <c r="N246" t="s">
        <v>33</v>
      </c>
      <c r="O246" s="1">
        <v>6.2500000000000001E-4</v>
      </c>
      <c r="P246">
        <v>0</v>
      </c>
      <c r="Q246">
        <v>0</v>
      </c>
      <c r="R246">
        <v>0</v>
      </c>
      <c r="S246">
        <v>1</v>
      </c>
      <c r="T246">
        <v>0</v>
      </c>
      <c r="U246" t="s">
        <v>1257</v>
      </c>
      <c r="V246" t="s">
        <v>1395</v>
      </c>
    </row>
    <row r="247" spans="1:22" x14ac:dyDescent="0.35">
      <c r="A247" t="s">
        <v>20</v>
      </c>
      <c r="B247">
        <v>17647</v>
      </c>
      <c r="C247" t="s">
        <v>1252</v>
      </c>
      <c r="D247" t="s">
        <v>1253</v>
      </c>
      <c r="E247" t="s">
        <v>4319</v>
      </c>
      <c r="F247" t="s">
        <v>1421</v>
      </c>
      <c r="G247" t="s">
        <v>1421</v>
      </c>
      <c r="H247" t="s">
        <v>4658</v>
      </c>
      <c r="N247" t="s">
        <v>33</v>
      </c>
      <c r="O247" s="1">
        <v>5.7870370370370373E-5</v>
      </c>
      <c r="P247">
        <v>1</v>
      </c>
      <c r="Q247">
        <v>0</v>
      </c>
      <c r="R247">
        <v>0</v>
      </c>
      <c r="S247">
        <v>0</v>
      </c>
      <c r="T247">
        <v>0</v>
      </c>
      <c r="U247" t="s">
        <v>1257</v>
      </c>
      <c r="V247" t="s">
        <v>1395</v>
      </c>
    </row>
    <row r="248" spans="1:22" x14ac:dyDescent="0.35">
      <c r="A248" t="s">
        <v>20</v>
      </c>
      <c r="B248">
        <v>17647</v>
      </c>
      <c r="C248" t="s">
        <v>1252</v>
      </c>
      <c r="D248" t="s">
        <v>1253</v>
      </c>
      <c r="E248" t="s">
        <v>4322</v>
      </c>
      <c r="F248" t="s">
        <v>4218</v>
      </c>
      <c r="G248" t="s">
        <v>4218</v>
      </c>
      <c r="H248" t="s">
        <v>4659</v>
      </c>
      <c r="N248" t="s">
        <v>33</v>
      </c>
      <c r="O248" s="1">
        <v>1.041666666666667E-4</v>
      </c>
      <c r="P248">
        <v>1</v>
      </c>
      <c r="Q248">
        <v>0</v>
      </c>
      <c r="R248">
        <v>0</v>
      </c>
      <c r="S248">
        <v>0</v>
      </c>
      <c r="T248">
        <v>0</v>
      </c>
      <c r="U248" t="s">
        <v>1257</v>
      </c>
      <c r="V248" t="s">
        <v>1395</v>
      </c>
    </row>
    <row r="249" spans="1:22" x14ac:dyDescent="0.35">
      <c r="A249" t="s">
        <v>20</v>
      </c>
      <c r="B249">
        <v>17647</v>
      </c>
      <c r="C249" t="s">
        <v>1252</v>
      </c>
      <c r="D249" t="s">
        <v>1253</v>
      </c>
      <c r="E249" t="s">
        <v>4324</v>
      </c>
      <c r="F249" t="s">
        <v>1424</v>
      </c>
      <c r="G249" t="s">
        <v>1424</v>
      </c>
      <c r="H249" t="s">
        <v>4660</v>
      </c>
      <c r="N249" t="s">
        <v>33</v>
      </c>
      <c r="O249" s="1">
        <v>3.5879629629629629E-4</v>
      </c>
      <c r="P249">
        <v>0</v>
      </c>
      <c r="Q249">
        <v>0</v>
      </c>
      <c r="R249">
        <v>0</v>
      </c>
      <c r="S249">
        <v>1</v>
      </c>
      <c r="T249">
        <v>0</v>
      </c>
      <c r="U249" t="s">
        <v>1257</v>
      </c>
      <c r="V249" t="s">
        <v>1395</v>
      </c>
    </row>
    <row r="250" spans="1:22" x14ac:dyDescent="0.35">
      <c r="A250" t="s">
        <v>20</v>
      </c>
      <c r="B250">
        <v>17647</v>
      </c>
      <c r="C250" t="s">
        <v>1252</v>
      </c>
      <c r="D250" t="s">
        <v>1253</v>
      </c>
      <c r="E250" t="s">
        <v>4326</v>
      </c>
      <c r="F250" t="s">
        <v>1276</v>
      </c>
      <c r="G250" t="s">
        <v>1276</v>
      </c>
      <c r="H250" t="s">
        <v>4661</v>
      </c>
      <c r="N250" t="s">
        <v>33</v>
      </c>
      <c r="O250" s="1">
        <v>4.6296296296296287E-5</v>
      </c>
      <c r="P250">
        <v>1</v>
      </c>
      <c r="Q250">
        <v>0</v>
      </c>
      <c r="R250">
        <v>0</v>
      </c>
      <c r="S250">
        <v>0</v>
      </c>
      <c r="T250">
        <v>0</v>
      </c>
      <c r="U250" t="s">
        <v>1257</v>
      </c>
      <c r="V250" t="s">
        <v>1395</v>
      </c>
    </row>
    <row r="251" spans="1:22" x14ac:dyDescent="0.35">
      <c r="A251" t="s">
        <v>20</v>
      </c>
      <c r="B251">
        <v>17647</v>
      </c>
      <c r="C251" t="s">
        <v>1252</v>
      </c>
      <c r="D251" t="s">
        <v>1253</v>
      </c>
      <c r="E251" t="s">
        <v>4328</v>
      </c>
      <c r="F251" t="s">
        <v>1279</v>
      </c>
      <c r="G251" t="s">
        <v>1279</v>
      </c>
      <c r="H251" t="s">
        <v>4662</v>
      </c>
      <c r="N251" t="s">
        <v>33</v>
      </c>
      <c r="O251" s="1">
        <v>1.157407407407407E-4</v>
      </c>
      <c r="P251">
        <v>1</v>
      </c>
      <c r="Q251">
        <v>0</v>
      </c>
      <c r="R251">
        <v>0</v>
      </c>
      <c r="S251">
        <v>0</v>
      </c>
      <c r="T251">
        <v>0</v>
      </c>
      <c r="U251" t="s">
        <v>1257</v>
      </c>
      <c r="V251" t="s">
        <v>1395</v>
      </c>
    </row>
    <row r="252" spans="1:22" x14ac:dyDescent="0.35">
      <c r="A252" t="s">
        <v>20</v>
      </c>
      <c r="B252">
        <v>17647</v>
      </c>
      <c r="C252" t="s">
        <v>1252</v>
      </c>
      <c r="D252" t="s">
        <v>1253</v>
      </c>
      <c r="E252" t="s">
        <v>4330</v>
      </c>
      <c r="F252" t="s">
        <v>1282</v>
      </c>
      <c r="G252" t="s">
        <v>1282</v>
      </c>
      <c r="H252" t="s">
        <v>4663</v>
      </c>
      <c r="N252" t="s">
        <v>33</v>
      </c>
      <c r="O252" s="1">
        <v>7.8703703703703705E-4</v>
      </c>
      <c r="P252">
        <v>0</v>
      </c>
      <c r="Q252">
        <v>0</v>
      </c>
      <c r="R252">
        <v>0</v>
      </c>
      <c r="S252">
        <v>0</v>
      </c>
      <c r="T252">
        <v>1</v>
      </c>
      <c r="U252" t="s">
        <v>1257</v>
      </c>
      <c r="V252" t="s">
        <v>1395</v>
      </c>
    </row>
    <row r="253" spans="1:22" x14ac:dyDescent="0.35">
      <c r="A253" t="s">
        <v>20</v>
      </c>
      <c r="B253">
        <v>17647</v>
      </c>
      <c r="C253" t="s">
        <v>1252</v>
      </c>
      <c r="D253" t="s">
        <v>1253</v>
      </c>
      <c r="E253" t="s">
        <v>4332</v>
      </c>
      <c r="F253" t="s">
        <v>1429</v>
      </c>
      <c r="G253" t="s">
        <v>1429</v>
      </c>
      <c r="H253" t="s">
        <v>4664</v>
      </c>
      <c r="N253" t="s">
        <v>33</v>
      </c>
      <c r="O253" s="1">
        <v>1.3888888888888889E-4</v>
      </c>
      <c r="P253">
        <v>0</v>
      </c>
      <c r="Q253">
        <v>1</v>
      </c>
      <c r="R253">
        <v>0</v>
      </c>
      <c r="S253">
        <v>0</v>
      </c>
      <c r="T253">
        <v>0</v>
      </c>
      <c r="U253" t="s">
        <v>1257</v>
      </c>
      <c r="V253" t="s">
        <v>1395</v>
      </c>
    </row>
    <row r="254" spans="1:22" x14ac:dyDescent="0.35">
      <c r="A254" t="s">
        <v>20</v>
      </c>
      <c r="B254">
        <v>17647</v>
      </c>
      <c r="C254" t="s">
        <v>1252</v>
      </c>
      <c r="D254" t="s">
        <v>1253</v>
      </c>
      <c r="E254" t="s">
        <v>4335</v>
      </c>
      <c r="F254" t="s">
        <v>1288</v>
      </c>
      <c r="G254" t="s">
        <v>1288</v>
      </c>
      <c r="H254" t="s">
        <v>4665</v>
      </c>
      <c r="N254" t="s">
        <v>33</v>
      </c>
      <c r="O254" s="1">
        <v>1.157407407407407E-4</v>
      </c>
      <c r="P254">
        <v>1</v>
      </c>
      <c r="Q254">
        <v>0</v>
      </c>
      <c r="R254">
        <v>0</v>
      </c>
      <c r="S254">
        <v>0</v>
      </c>
      <c r="T254">
        <v>0</v>
      </c>
      <c r="U254" t="s">
        <v>1257</v>
      </c>
      <c r="V254" t="s">
        <v>1395</v>
      </c>
    </row>
    <row r="255" spans="1:22" x14ac:dyDescent="0.35">
      <c r="A255" t="s">
        <v>20</v>
      </c>
      <c r="B255">
        <v>17647</v>
      </c>
      <c r="C255" t="s">
        <v>1252</v>
      </c>
      <c r="D255" t="s">
        <v>1253</v>
      </c>
      <c r="E255" t="s">
        <v>4337</v>
      </c>
      <c r="F255" t="s">
        <v>1432</v>
      </c>
      <c r="G255" t="s">
        <v>1432</v>
      </c>
      <c r="H255" t="s">
        <v>4666</v>
      </c>
      <c r="N255" t="s">
        <v>33</v>
      </c>
      <c r="O255" s="1">
        <v>1.041666666666667E-4</v>
      </c>
      <c r="P255">
        <v>1</v>
      </c>
      <c r="Q255">
        <v>0</v>
      </c>
      <c r="R255">
        <v>0</v>
      </c>
      <c r="S255">
        <v>0</v>
      </c>
      <c r="T255">
        <v>0</v>
      </c>
      <c r="U255" t="s">
        <v>1257</v>
      </c>
      <c r="V255" t="s">
        <v>1395</v>
      </c>
    </row>
    <row r="256" spans="1:22" x14ac:dyDescent="0.35">
      <c r="A256" t="s">
        <v>20</v>
      </c>
      <c r="B256">
        <v>17647</v>
      </c>
      <c r="C256" t="s">
        <v>1252</v>
      </c>
      <c r="D256" t="s">
        <v>1253</v>
      </c>
      <c r="E256" t="s">
        <v>4339</v>
      </c>
      <c r="F256" t="s">
        <v>4227</v>
      </c>
      <c r="G256" t="s">
        <v>4227</v>
      </c>
      <c r="H256" t="s">
        <v>4667</v>
      </c>
      <c r="N256" t="s">
        <v>33</v>
      </c>
      <c r="O256" s="1">
        <v>5.6712962962962967E-4</v>
      </c>
      <c r="P256">
        <v>0</v>
      </c>
      <c r="Q256">
        <v>0</v>
      </c>
      <c r="R256">
        <v>0</v>
      </c>
      <c r="S256">
        <v>1</v>
      </c>
      <c r="T256">
        <v>0</v>
      </c>
      <c r="U256" t="s">
        <v>1257</v>
      </c>
      <c r="V256" t="s">
        <v>1395</v>
      </c>
    </row>
    <row r="257" spans="1:22" x14ac:dyDescent="0.35">
      <c r="A257" t="s">
        <v>20</v>
      </c>
      <c r="B257">
        <v>17647</v>
      </c>
      <c r="C257" t="s">
        <v>1252</v>
      </c>
      <c r="D257" t="s">
        <v>1253</v>
      </c>
      <c r="E257" t="s">
        <v>4342</v>
      </c>
      <c r="F257" t="s">
        <v>4668</v>
      </c>
      <c r="G257" t="s">
        <v>4668</v>
      </c>
      <c r="H257" t="s">
        <v>4669</v>
      </c>
      <c r="N257" t="s">
        <v>33</v>
      </c>
      <c r="O257" s="1">
        <v>5.6712962962962967E-4</v>
      </c>
      <c r="P257">
        <v>0</v>
      </c>
      <c r="Q257">
        <v>0</v>
      </c>
      <c r="R257">
        <v>0</v>
      </c>
      <c r="S257">
        <v>1</v>
      </c>
      <c r="T257">
        <v>0</v>
      </c>
      <c r="U257" t="s">
        <v>1257</v>
      </c>
      <c r="V257" t="s">
        <v>1395</v>
      </c>
    </row>
    <row r="258" spans="1:22" x14ac:dyDescent="0.35">
      <c r="A258" t="s">
        <v>20</v>
      </c>
      <c r="B258">
        <v>17647</v>
      </c>
      <c r="C258" t="s">
        <v>1252</v>
      </c>
      <c r="D258" t="s">
        <v>1253</v>
      </c>
      <c r="E258" t="s">
        <v>4345</v>
      </c>
      <c r="F258" t="s">
        <v>1303</v>
      </c>
      <c r="G258" t="s">
        <v>1303</v>
      </c>
      <c r="H258" t="s">
        <v>4670</v>
      </c>
      <c r="N258" t="s">
        <v>33</v>
      </c>
      <c r="O258" s="1">
        <v>1.157407407407407E-4</v>
      </c>
      <c r="P258">
        <v>1</v>
      </c>
      <c r="Q258">
        <v>0</v>
      </c>
      <c r="R258">
        <v>0</v>
      </c>
      <c r="S258">
        <v>0</v>
      </c>
      <c r="T258">
        <v>0</v>
      </c>
      <c r="U258" t="s">
        <v>1257</v>
      </c>
      <c r="V258" t="s">
        <v>1395</v>
      </c>
    </row>
    <row r="259" spans="1:22" x14ac:dyDescent="0.35">
      <c r="A259" t="s">
        <v>20</v>
      </c>
      <c r="B259">
        <v>17647</v>
      </c>
      <c r="C259" t="s">
        <v>1252</v>
      </c>
      <c r="D259" t="s">
        <v>1253</v>
      </c>
      <c r="E259" t="s">
        <v>4347</v>
      </c>
      <c r="F259" t="s">
        <v>1306</v>
      </c>
      <c r="G259" t="s">
        <v>1306</v>
      </c>
      <c r="H259" t="s">
        <v>4671</v>
      </c>
      <c r="N259" t="s">
        <v>33</v>
      </c>
      <c r="O259" s="1">
        <v>3.4722222222222218E-4</v>
      </c>
      <c r="P259">
        <v>0</v>
      </c>
      <c r="Q259">
        <v>0</v>
      </c>
      <c r="R259">
        <v>1</v>
      </c>
      <c r="S259">
        <v>0</v>
      </c>
      <c r="T259">
        <v>0</v>
      </c>
      <c r="U259" t="s">
        <v>1257</v>
      </c>
      <c r="V259" t="s">
        <v>1395</v>
      </c>
    </row>
    <row r="260" spans="1:22" x14ac:dyDescent="0.35">
      <c r="A260" t="s">
        <v>20</v>
      </c>
      <c r="B260">
        <v>17647</v>
      </c>
      <c r="C260" t="s">
        <v>1252</v>
      </c>
      <c r="D260" t="s">
        <v>1253</v>
      </c>
      <c r="E260" t="s">
        <v>4349</v>
      </c>
      <c r="F260" t="s">
        <v>1309</v>
      </c>
      <c r="G260" t="s">
        <v>1309</v>
      </c>
      <c r="H260" t="s">
        <v>4672</v>
      </c>
      <c r="N260" t="s">
        <v>33</v>
      </c>
      <c r="O260" s="1">
        <v>1.041666666666667E-4</v>
      </c>
      <c r="P260">
        <v>1</v>
      </c>
      <c r="Q260">
        <v>0</v>
      </c>
      <c r="R260">
        <v>0</v>
      </c>
      <c r="S260">
        <v>0</v>
      </c>
      <c r="T260">
        <v>0</v>
      </c>
      <c r="U260" t="s">
        <v>1257</v>
      </c>
      <c r="V260" t="s">
        <v>1395</v>
      </c>
    </row>
    <row r="261" spans="1:22" x14ac:dyDescent="0.35">
      <c r="A261" t="s">
        <v>20</v>
      </c>
      <c r="B261">
        <v>17647</v>
      </c>
      <c r="C261" t="s">
        <v>1252</v>
      </c>
      <c r="D261" t="s">
        <v>1253</v>
      </c>
      <c r="E261" t="s">
        <v>4351</v>
      </c>
      <c r="F261" t="s">
        <v>1447</v>
      </c>
      <c r="G261" t="s">
        <v>1447</v>
      </c>
      <c r="H261" t="s">
        <v>4673</v>
      </c>
      <c r="N261" t="s">
        <v>33</v>
      </c>
      <c r="O261" s="1">
        <v>3.3564814814814812E-4</v>
      </c>
      <c r="P261">
        <v>0</v>
      </c>
      <c r="Q261">
        <v>0</v>
      </c>
      <c r="R261">
        <v>1</v>
      </c>
      <c r="S261">
        <v>0</v>
      </c>
      <c r="T261">
        <v>0</v>
      </c>
      <c r="U261" t="s">
        <v>1257</v>
      </c>
      <c r="V261" t="s">
        <v>1395</v>
      </c>
    </row>
    <row r="262" spans="1:22" x14ac:dyDescent="0.35">
      <c r="A262" t="s">
        <v>20</v>
      </c>
      <c r="B262">
        <v>17647</v>
      </c>
      <c r="C262" t="s">
        <v>1252</v>
      </c>
      <c r="D262" t="s">
        <v>1253</v>
      </c>
      <c r="E262" t="s">
        <v>4354</v>
      </c>
      <c r="F262" t="s">
        <v>4234</v>
      </c>
      <c r="G262" t="s">
        <v>4234</v>
      </c>
      <c r="H262" t="s">
        <v>4674</v>
      </c>
      <c r="N262" t="s">
        <v>33</v>
      </c>
      <c r="O262" s="1">
        <v>5.7870370370370373E-5</v>
      </c>
      <c r="P262">
        <v>1</v>
      </c>
      <c r="Q262">
        <v>0</v>
      </c>
      <c r="R262">
        <v>0</v>
      </c>
      <c r="S262">
        <v>0</v>
      </c>
      <c r="T262">
        <v>0</v>
      </c>
      <c r="U262" t="s">
        <v>1257</v>
      </c>
      <c r="V262" t="s">
        <v>1395</v>
      </c>
    </row>
    <row r="263" spans="1:22" x14ac:dyDescent="0.35">
      <c r="A263" t="s">
        <v>20</v>
      </c>
      <c r="B263">
        <v>17647</v>
      </c>
      <c r="C263" t="s">
        <v>1252</v>
      </c>
      <c r="D263" t="s">
        <v>1253</v>
      </c>
      <c r="E263" t="s">
        <v>4356</v>
      </c>
      <c r="F263" t="s">
        <v>4236</v>
      </c>
      <c r="G263" t="s">
        <v>4236</v>
      </c>
      <c r="H263" t="s">
        <v>4675</v>
      </c>
      <c r="N263" t="s">
        <v>33</v>
      </c>
      <c r="O263" s="1">
        <v>1.7361111111111109E-4</v>
      </c>
      <c r="P263">
        <v>0</v>
      </c>
      <c r="Q263">
        <v>1</v>
      </c>
      <c r="R263">
        <v>0</v>
      </c>
      <c r="S263">
        <v>0</v>
      </c>
      <c r="T263">
        <v>0</v>
      </c>
      <c r="U263" t="s">
        <v>1257</v>
      </c>
      <c r="V263" t="s">
        <v>1395</v>
      </c>
    </row>
    <row r="264" spans="1:22" x14ac:dyDescent="0.35">
      <c r="A264" t="s">
        <v>20</v>
      </c>
      <c r="B264">
        <v>17647</v>
      </c>
      <c r="C264" t="s">
        <v>1252</v>
      </c>
      <c r="D264" t="s">
        <v>1253</v>
      </c>
      <c r="E264" t="s">
        <v>4358</v>
      </c>
      <c r="F264" t="s">
        <v>1312</v>
      </c>
      <c r="G264" t="s">
        <v>1312</v>
      </c>
      <c r="H264" t="s">
        <v>4676</v>
      </c>
      <c r="N264" t="s">
        <v>33</v>
      </c>
      <c r="O264" s="1">
        <v>1.851851851851852E-4</v>
      </c>
      <c r="P264">
        <v>0</v>
      </c>
      <c r="Q264">
        <v>1</v>
      </c>
      <c r="R264">
        <v>0</v>
      </c>
      <c r="S264">
        <v>0</v>
      </c>
      <c r="T264">
        <v>0</v>
      </c>
      <c r="U264" t="s">
        <v>1257</v>
      </c>
      <c r="V264" t="s">
        <v>1395</v>
      </c>
    </row>
    <row r="265" spans="1:22" x14ac:dyDescent="0.35">
      <c r="A265" t="s">
        <v>20</v>
      </c>
      <c r="B265">
        <v>17647</v>
      </c>
      <c r="C265" t="s">
        <v>1252</v>
      </c>
      <c r="D265" t="s">
        <v>1253</v>
      </c>
      <c r="E265" t="s">
        <v>4360</v>
      </c>
      <c r="F265" t="s">
        <v>1315</v>
      </c>
      <c r="G265" t="s">
        <v>1315</v>
      </c>
      <c r="H265" t="s">
        <v>4677</v>
      </c>
      <c r="N265" t="s">
        <v>33</v>
      </c>
      <c r="O265" s="1">
        <v>2.3148148148148149E-4</v>
      </c>
      <c r="P265">
        <v>0</v>
      </c>
      <c r="Q265">
        <v>1</v>
      </c>
      <c r="R265">
        <v>0</v>
      </c>
      <c r="S265">
        <v>0</v>
      </c>
      <c r="T265">
        <v>0</v>
      </c>
      <c r="U265" t="s">
        <v>1257</v>
      </c>
      <c r="V265" t="s">
        <v>1395</v>
      </c>
    </row>
    <row r="266" spans="1:22" x14ac:dyDescent="0.35">
      <c r="A266" t="s">
        <v>20</v>
      </c>
      <c r="B266">
        <v>17647</v>
      </c>
      <c r="C266" t="s">
        <v>1252</v>
      </c>
      <c r="D266" t="s">
        <v>1253</v>
      </c>
      <c r="E266" t="s">
        <v>4362</v>
      </c>
      <c r="F266" t="s">
        <v>1318</v>
      </c>
      <c r="G266" t="s">
        <v>1318</v>
      </c>
      <c r="H266" t="s">
        <v>4678</v>
      </c>
      <c r="N266" t="s">
        <v>33</v>
      </c>
      <c r="O266" s="1">
        <v>8.1018518518518516E-5</v>
      </c>
      <c r="P266">
        <v>1</v>
      </c>
      <c r="Q266">
        <v>0</v>
      </c>
      <c r="R266">
        <v>0</v>
      </c>
      <c r="S266">
        <v>0</v>
      </c>
      <c r="T266">
        <v>0</v>
      </c>
      <c r="U266" t="s">
        <v>1257</v>
      </c>
      <c r="V266" t="s">
        <v>1395</v>
      </c>
    </row>
    <row r="267" spans="1:22" x14ac:dyDescent="0.35">
      <c r="A267" t="s">
        <v>20</v>
      </c>
      <c r="B267">
        <v>17647</v>
      </c>
      <c r="C267" t="s">
        <v>1252</v>
      </c>
      <c r="D267" t="s">
        <v>1253</v>
      </c>
      <c r="E267" t="s">
        <v>4365</v>
      </c>
      <c r="F267" t="s">
        <v>1458</v>
      </c>
      <c r="G267" t="s">
        <v>1458</v>
      </c>
      <c r="H267" t="s">
        <v>4679</v>
      </c>
      <c r="N267" t="s">
        <v>33</v>
      </c>
      <c r="O267" s="1">
        <v>5.3240740740740744E-4</v>
      </c>
      <c r="P267">
        <v>0</v>
      </c>
      <c r="Q267">
        <v>0</v>
      </c>
      <c r="R267">
        <v>0</v>
      </c>
      <c r="S267">
        <v>1</v>
      </c>
      <c r="T267">
        <v>0</v>
      </c>
      <c r="U267" t="s">
        <v>1257</v>
      </c>
      <c r="V267" t="s">
        <v>1395</v>
      </c>
    </row>
    <row r="268" spans="1:22" x14ac:dyDescent="0.35">
      <c r="A268" t="s">
        <v>20</v>
      </c>
      <c r="B268">
        <v>17647</v>
      </c>
      <c r="C268" t="s">
        <v>1252</v>
      </c>
      <c r="D268" t="s">
        <v>1253</v>
      </c>
      <c r="E268" t="s">
        <v>4367</v>
      </c>
      <c r="F268" t="s">
        <v>4242</v>
      </c>
      <c r="G268" t="s">
        <v>4242</v>
      </c>
      <c r="H268" t="s">
        <v>4680</v>
      </c>
      <c r="N268" t="s">
        <v>33</v>
      </c>
      <c r="O268" s="1">
        <v>5.7870370370370373E-5</v>
      </c>
      <c r="P268">
        <v>1</v>
      </c>
      <c r="Q268">
        <v>0</v>
      </c>
      <c r="R268">
        <v>0</v>
      </c>
      <c r="S268">
        <v>0</v>
      </c>
      <c r="T268">
        <v>0</v>
      </c>
      <c r="U268" t="s">
        <v>1257</v>
      </c>
      <c r="V268" t="s">
        <v>1395</v>
      </c>
    </row>
    <row r="269" spans="1:22" x14ac:dyDescent="0.35">
      <c r="A269" t="s">
        <v>20</v>
      </c>
      <c r="B269">
        <v>17647</v>
      </c>
      <c r="C269" t="s">
        <v>1252</v>
      </c>
      <c r="D269" t="s">
        <v>1253</v>
      </c>
      <c r="E269" t="s">
        <v>4369</v>
      </c>
      <c r="F269" t="s">
        <v>4681</v>
      </c>
      <c r="G269" t="s">
        <v>4681</v>
      </c>
      <c r="H269" t="s">
        <v>4682</v>
      </c>
      <c r="N269" t="s">
        <v>33</v>
      </c>
      <c r="O269" s="1">
        <v>2.199074074074074E-4</v>
      </c>
      <c r="P269">
        <v>0</v>
      </c>
      <c r="Q269">
        <v>1</v>
      </c>
      <c r="R269">
        <v>0</v>
      </c>
      <c r="S269">
        <v>0</v>
      </c>
      <c r="T269">
        <v>0</v>
      </c>
      <c r="U269" t="s">
        <v>1257</v>
      </c>
      <c r="V269" t="s">
        <v>1395</v>
      </c>
    </row>
    <row r="270" spans="1:22" x14ac:dyDescent="0.35">
      <c r="A270" t="s">
        <v>20</v>
      </c>
      <c r="B270">
        <v>17647</v>
      </c>
      <c r="C270" t="s">
        <v>1252</v>
      </c>
      <c r="D270" t="s">
        <v>1253</v>
      </c>
      <c r="E270" t="s">
        <v>4372</v>
      </c>
      <c r="F270" t="s">
        <v>1324</v>
      </c>
      <c r="G270" t="s">
        <v>1324</v>
      </c>
      <c r="H270" t="s">
        <v>4683</v>
      </c>
      <c r="N270" t="s">
        <v>33</v>
      </c>
      <c r="O270" s="1">
        <v>2.8935185185185178E-4</v>
      </c>
      <c r="P270">
        <v>0</v>
      </c>
      <c r="Q270">
        <v>0</v>
      </c>
      <c r="R270">
        <v>1</v>
      </c>
      <c r="S270">
        <v>0</v>
      </c>
      <c r="T270">
        <v>0</v>
      </c>
      <c r="U270" t="s">
        <v>1257</v>
      </c>
      <c r="V270" t="s">
        <v>1395</v>
      </c>
    </row>
    <row r="271" spans="1:22" x14ac:dyDescent="0.35">
      <c r="A271" t="s">
        <v>20</v>
      </c>
      <c r="B271">
        <v>17647</v>
      </c>
      <c r="C271" t="s">
        <v>1252</v>
      </c>
      <c r="D271" t="s">
        <v>1253</v>
      </c>
      <c r="E271" t="s">
        <v>4374</v>
      </c>
      <c r="F271" t="s">
        <v>1466</v>
      </c>
      <c r="G271" t="s">
        <v>1466</v>
      </c>
      <c r="H271" t="s">
        <v>4684</v>
      </c>
      <c r="N271" t="s">
        <v>33</v>
      </c>
      <c r="O271" s="1">
        <v>5.4398148148148144E-4</v>
      </c>
      <c r="P271">
        <v>0</v>
      </c>
      <c r="Q271">
        <v>0</v>
      </c>
      <c r="R271">
        <v>0</v>
      </c>
      <c r="S271">
        <v>1</v>
      </c>
      <c r="T271">
        <v>0</v>
      </c>
      <c r="U271" t="s">
        <v>1257</v>
      </c>
      <c r="V271" t="s">
        <v>1395</v>
      </c>
    </row>
    <row r="272" spans="1:22" x14ac:dyDescent="0.35">
      <c r="A272" t="s">
        <v>20</v>
      </c>
      <c r="B272">
        <v>17647</v>
      </c>
      <c r="C272" t="s">
        <v>1252</v>
      </c>
      <c r="D272" t="s">
        <v>1253</v>
      </c>
      <c r="E272" t="s">
        <v>4376</v>
      </c>
      <c r="F272" t="s">
        <v>1472</v>
      </c>
      <c r="G272" t="s">
        <v>1472</v>
      </c>
      <c r="H272" t="s">
        <v>4685</v>
      </c>
      <c r="N272" t="s">
        <v>33</v>
      </c>
      <c r="O272" s="1">
        <v>8.1018518518518516E-5</v>
      </c>
      <c r="P272">
        <v>1</v>
      </c>
      <c r="Q272">
        <v>0</v>
      </c>
      <c r="R272">
        <v>0</v>
      </c>
      <c r="S272">
        <v>0</v>
      </c>
      <c r="T272">
        <v>0</v>
      </c>
      <c r="U272" t="s">
        <v>1257</v>
      </c>
      <c r="V272" t="s">
        <v>1395</v>
      </c>
    </row>
    <row r="273" spans="1:22" x14ac:dyDescent="0.35">
      <c r="A273" t="s">
        <v>20</v>
      </c>
      <c r="B273">
        <v>17647</v>
      </c>
      <c r="C273" t="s">
        <v>1252</v>
      </c>
      <c r="D273" t="s">
        <v>1253</v>
      </c>
      <c r="E273" t="s">
        <v>4378</v>
      </c>
      <c r="F273" t="s">
        <v>4686</v>
      </c>
      <c r="G273" t="s">
        <v>4686</v>
      </c>
      <c r="H273" t="s">
        <v>4687</v>
      </c>
      <c r="N273" t="s">
        <v>33</v>
      </c>
      <c r="O273" s="1">
        <v>2.5462962962962961E-4</v>
      </c>
      <c r="P273">
        <v>0</v>
      </c>
      <c r="Q273">
        <v>0</v>
      </c>
      <c r="R273">
        <v>1</v>
      </c>
      <c r="S273">
        <v>0</v>
      </c>
      <c r="T273">
        <v>0</v>
      </c>
      <c r="U273" t="s">
        <v>1257</v>
      </c>
      <c r="V273" t="s">
        <v>1395</v>
      </c>
    </row>
    <row r="274" spans="1:22" x14ac:dyDescent="0.35">
      <c r="A274" t="s">
        <v>20</v>
      </c>
      <c r="B274">
        <v>17647</v>
      </c>
      <c r="C274" t="s">
        <v>1252</v>
      </c>
      <c r="D274" t="s">
        <v>1253</v>
      </c>
      <c r="E274" t="s">
        <v>4380</v>
      </c>
      <c r="F274" t="s">
        <v>1333</v>
      </c>
      <c r="G274" t="s">
        <v>1333</v>
      </c>
      <c r="H274" t="s">
        <v>4688</v>
      </c>
      <c r="N274" t="s">
        <v>33</v>
      </c>
      <c r="O274" s="1">
        <v>1.041666666666667E-4</v>
      </c>
      <c r="P274">
        <v>1</v>
      </c>
      <c r="Q274">
        <v>0</v>
      </c>
      <c r="R274">
        <v>0</v>
      </c>
      <c r="S274">
        <v>0</v>
      </c>
      <c r="T274">
        <v>0</v>
      </c>
      <c r="U274" t="s">
        <v>1257</v>
      </c>
      <c r="V274" t="s">
        <v>1395</v>
      </c>
    </row>
    <row r="275" spans="1:22" x14ac:dyDescent="0.35">
      <c r="A275" t="s">
        <v>20</v>
      </c>
      <c r="B275">
        <v>17647</v>
      </c>
      <c r="C275" t="s">
        <v>1252</v>
      </c>
      <c r="D275" t="s">
        <v>1253</v>
      </c>
      <c r="E275" t="s">
        <v>4382</v>
      </c>
      <c r="F275" t="s">
        <v>1478</v>
      </c>
      <c r="G275" t="s">
        <v>1478</v>
      </c>
      <c r="H275" t="s">
        <v>4689</v>
      </c>
      <c r="N275" t="s">
        <v>33</v>
      </c>
      <c r="O275" s="1">
        <v>6.4814814814814813E-4</v>
      </c>
      <c r="P275">
        <v>0</v>
      </c>
      <c r="Q275">
        <v>0</v>
      </c>
      <c r="R275">
        <v>0</v>
      </c>
      <c r="S275">
        <v>1</v>
      </c>
      <c r="T275">
        <v>0</v>
      </c>
      <c r="U275" t="s">
        <v>1257</v>
      </c>
      <c r="V275" t="s">
        <v>1395</v>
      </c>
    </row>
    <row r="276" spans="1:22" x14ac:dyDescent="0.35">
      <c r="A276" t="s">
        <v>20</v>
      </c>
      <c r="B276">
        <v>17647</v>
      </c>
      <c r="C276" t="s">
        <v>1252</v>
      </c>
      <c r="D276" t="s">
        <v>1253</v>
      </c>
      <c r="E276" t="s">
        <v>4384</v>
      </c>
      <c r="F276" t="s">
        <v>1339</v>
      </c>
      <c r="G276" t="s">
        <v>1339</v>
      </c>
      <c r="H276" t="s">
        <v>4690</v>
      </c>
      <c r="N276" t="s">
        <v>33</v>
      </c>
      <c r="O276" s="1">
        <v>5.6712962962962967E-4</v>
      </c>
      <c r="P276">
        <v>0</v>
      </c>
      <c r="Q276">
        <v>0</v>
      </c>
      <c r="R276">
        <v>0</v>
      </c>
      <c r="S276">
        <v>1</v>
      </c>
      <c r="T276">
        <v>0</v>
      </c>
      <c r="U276" t="s">
        <v>1257</v>
      </c>
      <c r="V276" t="s">
        <v>1395</v>
      </c>
    </row>
    <row r="277" spans="1:22" x14ac:dyDescent="0.35">
      <c r="A277" t="s">
        <v>20</v>
      </c>
      <c r="B277">
        <v>17647</v>
      </c>
      <c r="C277" t="s">
        <v>1252</v>
      </c>
      <c r="D277" t="s">
        <v>1253</v>
      </c>
      <c r="E277" t="s">
        <v>4386</v>
      </c>
      <c r="F277" t="s">
        <v>4255</v>
      </c>
      <c r="G277" t="s">
        <v>4255</v>
      </c>
      <c r="H277" t="s">
        <v>4691</v>
      </c>
      <c r="N277" t="s">
        <v>33</v>
      </c>
      <c r="O277" s="1">
        <v>1.6203703703703701E-4</v>
      </c>
      <c r="P277">
        <v>0</v>
      </c>
      <c r="Q277">
        <v>1</v>
      </c>
      <c r="R277">
        <v>0</v>
      </c>
      <c r="S277">
        <v>0</v>
      </c>
      <c r="T277">
        <v>0</v>
      </c>
      <c r="U277" t="s">
        <v>1257</v>
      </c>
      <c r="V277" t="s">
        <v>1395</v>
      </c>
    </row>
    <row r="278" spans="1:22" x14ac:dyDescent="0.35">
      <c r="A278" t="s">
        <v>20</v>
      </c>
      <c r="B278">
        <v>17647</v>
      </c>
      <c r="C278" t="s">
        <v>1252</v>
      </c>
      <c r="D278" t="s">
        <v>1253</v>
      </c>
      <c r="E278" t="s">
        <v>4388</v>
      </c>
      <c r="F278" t="s">
        <v>1484</v>
      </c>
      <c r="G278" t="s">
        <v>1484</v>
      </c>
      <c r="H278" t="s">
        <v>4692</v>
      </c>
      <c r="N278" t="s">
        <v>33</v>
      </c>
      <c r="O278" s="1">
        <v>6.9444444444444444E-5</v>
      </c>
      <c r="P278">
        <v>1</v>
      </c>
      <c r="Q278">
        <v>0</v>
      </c>
      <c r="R278">
        <v>0</v>
      </c>
      <c r="S278">
        <v>0</v>
      </c>
      <c r="T278">
        <v>0</v>
      </c>
      <c r="U278" t="s">
        <v>1257</v>
      </c>
      <c r="V278" t="s">
        <v>1395</v>
      </c>
    </row>
    <row r="279" spans="1:22" x14ac:dyDescent="0.35">
      <c r="A279" t="s">
        <v>20</v>
      </c>
      <c r="B279">
        <v>17647</v>
      </c>
      <c r="C279" t="s">
        <v>1252</v>
      </c>
      <c r="D279" t="s">
        <v>1253</v>
      </c>
      <c r="E279" t="s">
        <v>4390</v>
      </c>
      <c r="F279" t="s">
        <v>1345</v>
      </c>
      <c r="G279" t="s">
        <v>1345</v>
      </c>
      <c r="H279" t="s">
        <v>4693</v>
      </c>
      <c r="N279" t="s">
        <v>33</v>
      </c>
      <c r="O279" s="1">
        <v>6.5972222222222224E-4</v>
      </c>
      <c r="P279">
        <v>0</v>
      </c>
      <c r="Q279">
        <v>0</v>
      </c>
      <c r="R279">
        <v>0</v>
      </c>
      <c r="S279">
        <v>1</v>
      </c>
      <c r="T279">
        <v>0</v>
      </c>
      <c r="U279" t="s">
        <v>1257</v>
      </c>
      <c r="V279" t="s">
        <v>1395</v>
      </c>
    </row>
    <row r="280" spans="1:22" x14ac:dyDescent="0.35">
      <c r="A280" t="s">
        <v>20</v>
      </c>
      <c r="B280">
        <v>17647</v>
      </c>
      <c r="C280" t="s">
        <v>1252</v>
      </c>
      <c r="D280" t="s">
        <v>1253</v>
      </c>
      <c r="E280" t="s">
        <v>4392</v>
      </c>
      <c r="F280" t="s">
        <v>1348</v>
      </c>
      <c r="G280" t="s">
        <v>1348</v>
      </c>
      <c r="H280" t="s">
        <v>4694</v>
      </c>
      <c r="N280" t="s">
        <v>33</v>
      </c>
      <c r="O280" s="1">
        <v>3.4722222222222218E-4</v>
      </c>
      <c r="P280">
        <v>0</v>
      </c>
      <c r="Q280">
        <v>0</v>
      </c>
      <c r="R280">
        <v>1</v>
      </c>
      <c r="S280">
        <v>0</v>
      </c>
      <c r="T280">
        <v>0</v>
      </c>
      <c r="U280" t="s">
        <v>1257</v>
      </c>
      <c r="V280" t="s">
        <v>1395</v>
      </c>
    </row>
    <row r="281" spans="1:22" x14ac:dyDescent="0.35">
      <c r="A281" t="s">
        <v>20</v>
      </c>
      <c r="B281">
        <v>17647</v>
      </c>
      <c r="C281" t="s">
        <v>1252</v>
      </c>
      <c r="D281" t="s">
        <v>1253</v>
      </c>
      <c r="E281" t="s">
        <v>4394</v>
      </c>
      <c r="F281" t="s">
        <v>4261</v>
      </c>
      <c r="G281" t="s">
        <v>4261</v>
      </c>
      <c r="H281" t="s">
        <v>4262</v>
      </c>
      <c r="N281" t="s">
        <v>33</v>
      </c>
      <c r="O281" s="1">
        <v>5.7870370370370373E-5</v>
      </c>
      <c r="P281">
        <v>1</v>
      </c>
      <c r="Q281">
        <v>0</v>
      </c>
      <c r="R281">
        <v>0</v>
      </c>
      <c r="S281">
        <v>0</v>
      </c>
      <c r="T281">
        <v>0</v>
      </c>
      <c r="U281" t="s">
        <v>1257</v>
      </c>
      <c r="V281" t="s">
        <v>1395</v>
      </c>
    </row>
    <row r="282" spans="1:22" x14ac:dyDescent="0.35">
      <c r="A282" t="s">
        <v>20</v>
      </c>
      <c r="B282">
        <v>17647</v>
      </c>
      <c r="C282" t="s">
        <v>1252</v>
      </c>
      <c r="D282" t="s">
        <v>1253</v>
      </c>
      <c r="E282" t="s">
        <v>4396</v>
      </c>
      <c r="F282" t="s">
        <v>4263</v>
      </c>
      <c r="G282" t="s">
        <v>4263</v>
      </c>
      <c r="H282" t="s">
        <v>4695</v>
      </c>
      <c r="N282" t="s">
        <v>33</v>
      </c>
      <c r="O282" s="1">
        <v>9.2592592592592588E-5</v>
      </c>
      <c r="P282">
        <v>1</v>
      </c>
      <c r="Q282">
        <v>0</v>
      </c>
      <c r="R282">
        <v>0</v>
      </c>
      <c r="S282">
        <v>0</v>
      </c>
      <c r="T282">
        <v>0</v>
      </c>
      <c r="U282" t="s">
        <v>1257</v>
      </c>
      <c r="V282" t="s">
        <v>1395</v>
      </c>
    </row>
    <row r="283" spans="1:22" x14ac:dyDescent="0.35">
      <c r="A283" t="s">
        <v>20</v>
      </c>
      <c r="B283">
        <v>17647</v>
      </c>
      <c r="C283" t="s">
        <v>1252</v>
      </c>
      <c r="D283" t="s">
        <v>1253</v>
      </c>
      <c r="E283" t="s">
        <v>4398</v>
      </c>
      <c r="F283" t="s">
        <v>1353</v>
      </c>
      <c r="G283" t="s">
        <v>1353</v>
      </c>
      <c r="H283" t="s">
        <v>4696</v>
      </c>
      <c r="N283" t="s">
        <v>33</v>
      </c>
      <c r="O283" s="1">
        <v>3.5879629629629629E-4</v>
      </c>
      <c r="P283">
        <v>0</v>
      </c>
      <c r="Q283">
        <v>0</v>
      </c>
      <c r="R283">
        <v>0</v>
      </c>
      <c r="S283">
        <v>1</v>
      </c>
      <c r="T283">
        <v>0</v>
      </c>
      <c r="U283" t="s">
        <v>1257</v>
      </c>
      <c r="V283" t="s">
        <v>1395</v>
      </c>
    </row>
    <row r="284" spans="1:22" x14ac:dyDescent="0.35">
      <c r="A284" t="s">
        <v>20</v>
      </c>
      <c r="B284">
        <v>17647</v>
      </c>
      <c r="C284" t="s">
        <v>1252</v>
      </c>
      <c r="D284" t="s">
        <v>1253</v>
      </c>
      <c r="E284" t="s">
        <v>4400</v>
      </c>
      <c r="F284" t="s">
        <v>4697</v>
      </c>
      <c r="G284" t="s">
        <v>4697</v>
      </c>
      <c r="H284" t="s">
        <v>4698</v>
      </c>
      <c r="N284" t="s">
        <v>33</v>
      </c>
      <c r="O284" s="1">
        <v>9.2592592592592596E-4</v>
      </c>
      <c r="P284">
        <v>0</v>
      </c>
      <c r="Q284">
        <v>0</v>
      </c>
      <c r="R284">
        <v>0</v>
      </c>
      <c r="S284">
        <v>0</v>
      </c>
      <c r="T284">
        <v>1</v>
      </c>
      <c r="U284" t="s">
        <v>1257</v>
      </c>
      <c r="V284" t="s">
        <v>1395</v>
      </c>
    </row>
    <row r="285" spans="1:22" x14ac:dyDescent="0.35">
      <c r="A285" t="s">
        <v>20</v>
      </c>
      <c r="B285">
        <v>17647</v>
      </c>
      <c r="C285" t="s">
        <v>1252</v>
      </c>
      <c r="D285" t="s">
        <v>1253</v>
      </c>
      <c r="E285" t="s">
        <v>4402</v>
      </c>
      <c r="F285" t="s">
        <v>1492</v>
      </c>
      <c r="G285" t="s">
        <v>1492</v>
      </c>
      <c r="H285" t="s">
        <v>4268</v>
      </c>
      <c r="N285" t="s">
        <v>33</v>
      </c>
      <c r="O285" s="1">
        <v>2.8935185185185178E-4</v>
      </c>
      <c r="P285">
        <v>0</v>
      </c>
      <c r="Q285">
        <v>0</v>
      </c>
      <c r="R285">
        <v>1</v>
      </c>
      <c r="S285">
        <v>0</v>
      </c>
      <c r="T285">
        <v>0</v>
      </c>
      <c r="U285" t="s">
        <v>1257</v>
      </c>
      <c r="V285" t="s">
        <v>1395</v>
      </c>
    </row>
    <row r="286" spans="1:22" x14ac:dyDescent="0.35">
      <c r="A286" t="s">
        <v>20</v>
      </c>
      <c r="B286">
        <v>17647</v>
      </c>
      <c r="C286" t="s">
        <v>1252</v>
      </c>
      <c r="D286" t="s">
        <v>1253</v>
      </c>
      <c r="E286" t="s">
        <v>4404</v>
      </c>
      <c r="F286" t="s">
        <v>4269</v>
      </c>
      <c r="G286" t="s">
        <v>4269</v>
      </c>
      <c r="H286" t="s">
        <v>4699</v>
      </c>
      <c r="N286" t="s">
        <v>33</v>
      </c>
      <c r="O286" s="1">
        <v>3.0092592592592589E-4</v>
      </c>
      <c r="P286">
        <v>0</v>
      </c>
      <c r="Q286">
        <v>0</v>
      </c>
      <c r="R286">
        <v>1</v>
      </c>
      <c r="S286">
        <v>0</v>
      </c>
      <c r="T286">
        <v>0</v>
      </c>
      <c r="U286" t="s">
        <v>1257</v>
      </c>
      <c r="V286" t="s">
        <v>1395</v>
      </c>
    </row>
    <row r="287" spans="1:22" x14ac:dyDescent="0.35">
      <c r="A287" t="s">
        <v>20</v>
      </c>
      <c r="B287">
        <v>17647</v>
      </c>
      <c r="C287" t="s">
        <v>1252</v>
      </c>
      <c r="D287" t="s">
        <v>1253</v>
      </c>
      <c r="E287" t="s">
        <v>4407</v>
      </c>
      <c r="F287" t="s">
        <v>4700</v>
      </c>
      <c r="G287" t="s">
        <v>4700</v>
      </c>
      <c r="H287" t="s">
        <v>4701</v>
      </c>
      <c r="N287" t="s">
        <v>33</v>
      </c>
      <c r="O287" s="1">
        <v>3.1250000000000001E-4</v>
      </c>
      <c r="P287">
        <v>0</v>
      </c>
      <c r="Q287">
        <v>0</v>
      </c>
      <c r="R287">
        <v>1</v>
      </c>
      <c r="S287">
        <v>0</v>
      </c>
      <c r="T287">
        <v>0</v>
      </c>
      <c r="U287" t="s">
        <v>1257</v>
      </c>
      <c r="V287" t="s">
        <v>1395</v>
      </c>
    </row>
    <row r="288" spans="1:22" x14ac:dyDescent="0.35">
      <c r="A288" t="s">
        <v>20</v>
      </c>
      <c r="B288">
        <v>17647</v>
      </c>
      <c r="C288" t="s">
        <v>1252</v>
      </c>
      <c r="D288" t="s">
        <v>1253</v>
      </c>
      <c r="E288" t="s">
        <v>4409</v>
      </c>
      <c r="F288" t="s">
        <v>4273</v>
      </c>
      <c r="G288" t="s">
        <v>4273</v>
      </c>
      <c r="H288" t="s">
        <v>4702</v>
      </c>
      <c r="N288" t="s">
        <v>33</v>
      </c>
      <c r="O288" s="1">
        <v>8.3333333333333339E-4</v>
      </c>
      <c r="P288">
        <v>0</v>
      </c>
      <c r="Q288">
        <v>0</v>
      </c>
      <c r="R288">
        <v>0</v>
      </c>
      <c r="S288">
        <v>0</v>
      </c>
      <c r="T288">
        <v>1</v>
      </c>
      <c r="U288" t="s">
        <v>1257</v>
      </c>
      <c r="V288" t="s">
        <v>1395</v>
      </c>
    </row>
    <row r="289" spans="1:22" x14ac:dyDescent="0.35">
      <c r="A289" t="s">
        <v>20</v>
      </c>
      <c r="B289">
        <v>17647</v>
      </c>
      <c r="C289" t="s">
        <v>1252</v>
      </c>
      <c r="D289" t="s">
        <v>1253</v>
      </c>
      <c r="E289" t="s">
        <v>4412</v>
      </c>
      <c r="F289" t="s">
        <v>1508</v>
      </c>
      <c r="G289" t="s">
        <v>1508</v>
      </c>
      <c r="H289" t="s">
        <v>4703</v>
      </c>
      <c r="N289" t="s">
        <v>33</v>
      </c>
      <c r="O289" s="1">
        <v>7.1759259259259259E-4</v>
      </c>
      <c r="P289">
        <v>0</v>
      </c>
      <c r="Q289">
        <v>0</v>
      </c>
      <c r="R289">
        <v>0</v>
      </c>
      <c r="S289">
        <v>0</v>
      </c>
      <c r="T289">
        <v>1</v>
      </c>
      <c r="U289" t="s">
        <v>1257</v>
      </c>
      <c r="V289" t="s">
        <v>1395</v>
      </c>
    </row>
    <row r="290" spans="1:22" x14ac:dyDescent="0.35">
      <c r="A290" t="s">
        <v>20</v>
      </c>
      <c r="B290">
        <v>17647</v>
      </c>
      <c r="C290" t="s">
        <v>1252</v>
      </c>
      <c r="D290" t="s">
        <v>1253</v>
      </c>
      <c r="E290" t="s">
        <v>4414</v>
      </c>
      <c r="F290" t="s">
        <v>1368</v>
      </c>
      <c r="G290" t="s">
        <v>1368</v>
      </c>
      <c r="H290" t="s">
        <v>4278</v>
      </c>
      <c r="N290" t="s">
        <v>33</v>
      </c>
      <c r="O290" s="1">
        <v>1.296296296296296E-3</v>
      </c>
      <c r="P290">
        <v>0</v>
      </c>
      <c r="Q290">
        <v>0</v>
      </c>
      <c r="R290">
        <v>0</v>
      </c>
      <c r="S290">
        <v>0</v>
      </c>
      <c r="T290">
        <v>1</v>
      </c>
      <c r="U290" t="s">
        <v>1257</v>
      </c>
      <c r="V290" t="s">
        <v>1395</v>
      </c>
    </row>
    <row r="291" spans="1:22" x14ac:dyDescent="0.35">
      <c r="A291" t="s">
        <v>20</v>
      </c>
      <c r="B291">
        <v>17647</v>
      </c>
      <c r="C291" t="s">
        <v>1252</v>
      </c>
      <c r="D291" t="s">
        <v>1253</v>
      </c>
      <c r="E291" t="s">
        <v>4416</v>
      </c>
      <c r="F291" t="s">
        <v>1377</v>
      </c>
      <c r="G291" t="s">
        <v>1377</v>
      </c>
      <c r="H291" t="s">
        <v>800</v>
      </c>
      <c r="N291" t="s">
        <v>33</v>
      </c>
      <c r="O291" s="1">
        <v>1.041666666666667E-4</v>
      </c>
      <c r="P291">
        <v>1</v>
      </c>
      <c r="Q291">
        <v>0</v>
      </c>
      <c r="R291">
        <v>0</v>
      </c>
      <c r="S291">
        <v>0</v>
      </c>
      <c r="T291">
        <v>0</v>
      </c>
      <c r="U291" t="s">
        <v>1257</v>
      </c>
      <c r="V291" t="s">
        <v>1395</v>
      </c>
    </row>
    <row r="292" spans="1:22" x14ac:dyDescent="0.35">
      <c r="A292" t="s">
        <v>20</v>
      </c>
      <c r="B292">
        <v>17647</v>
      </c>
      <c r="C292" t="s">
        <v>1252</v>
      </c>
      <c r="D292" t="s">
        <v>1253</v>
      </c>
      <c r="E292" t="s">
        <v>4631</v>
      </c>
      <c r="F292" t="s">
        <v>4280</v>
      </c>
      <c r="G292" t="s">
        <v>4280</v>
      </c>
      <c r="H292" t="s">
        <v>4704</v>
      </c>
      <c r="N292" t="s">
        <v>33</v>
      </c>
      <c r="O292" s="1">
        <v>1.3773148148148149E-3</v>
      </c>
      <c r="P292">
        <v>0</v>
      </c>
      <c r="Q292">
        <v>0</v>
      </c>
      <c r="R292">
        <v>0</v>
      </c>
      <c r="S292">
        <v>0</v>
      </c>
      <c r="T292">
        <v>1</v>
      </c>
      <c r="U292" t="s">
        <v>1257</v>
      </c>
      <c r="V292" t="s">
        <v>1395</v>
      </c>
    </row>
    <row r="293" spans="1:22" x14ac:dyDescent="0.35">
      <c r="A293" t="s">
        <v>20</v>
      </c>
      <c r="B293">
        <v>17647</v>
      </c>
      <c r="C293" t="s">
        <v>1252</v>
      </c>
      <c r="D293" t="s">
        <v>1253</v>
      </c>
      <c r="E293" t="s">
        <v>4633</v>
      </c>
      <c r="F293" t="s">
        <v>1519</v>
      </c>
      <c r="G293" t="s">
        <v>1519</v>
      </c>
      <c r="H293" t="s">
        <v>4705</v>
      </c>
      <c r="N293" t="s">
        <v>33</v>
      </c>
      <c r="O293" s="1">
        <v>3.5879629629629629E-4</v>
      </c>
      <c r="P293">
        <v>0</v>
      </c>
      <c r="Q293">
        <v>0</v>
      </c>
      <c r="R293">
        <v>0</v>
      </c>
      <c r="S293">
        <v>1</v>
      </c>
      <c r="T293">
        <v>0</v>
      </c>
      <c r="U293" t="s">
        <v>1257</v>
      </c>
      <c r="V293" t="s">
        <v>1395</v>
      </c>
    </row>
    <row r="294" spans="1:22" x14ac:dyDescent="0.35">
      <c r="A294" t="s">
        <v>20</v>
      </c>
      <c r="B294">
        <v>17647</v>
      </c>
      <c r="C294" t="s">
        <v>1252</v>
      </c>
      <c r="D294" t="s">
        <v>1253</v>
      </c>
      <c r="E294" t="s">
        <v>4635</v>
      </c>
      <c r="F294" t="s">
        <v>4706</v>
      </c>
      <c r="G294" t="s">
        <v>4706</v>
      </c>
      <c r="H294" t="s">
        <v>4707</v>
      </c>
      <c r="N294" t="s">
        <v>33</v>
      </c>
      <c r="O294" s="1">
        <v>2.0833333333333329E-4</v>
      </c>
      <c r="P294">
        <v>0</v>
      </c>
      <c r="Q294">
        <v>1</v>
      </c>
      <c r="R294">
        <v>0</v>
      </c>
      <c r="S294">
        <v>0</v>
      </c>
      <c r="T294">
        <v>0</v>
      </c>
      <c r="U294" t="s">
        <v>1257</v>
      </c>
      <c r="V294" t="s">
        <v>1395</v>
      </c>
    </row>
    <row r="295" spans="1:22" x14ac:dyDescent="0.35">
      <c r="A295" t="s">
        <v>20</v>
      </c>
      <c r="B295">
        <v>17647</v>
      </c>
      <c r="C295" t="s">
        <v>1252</v>
      </c>
      <c r="D295" t="s">
        <v>1253</v>
      </c>
      <c r="E295" t="s">
        <v>4637</v>
      </c>
      <c r="F295" t="s">
        <v>1386</v>
      </c>
      <c r="G295" t="s">
        <v>1386</v>
      </c>
      <c r="H295" t="s">
        <v>4708</v>
      </c>
      <c r="N295" t="s">
        <v>33</v>
      </c>
      <c r="O295" s="1">
        <v>4.3981481481481481E-4</v>
      </c>
      <c r="P295">
        <v>0</v>
      </c>
      <c r="Q295">
        <v>0</v>
      </c>
      <c r="R295">
        <v>0</v>
      </c>
      <c r="S295">
        <v>1</v>
      </c>
      <c r="T295">
        <v>0</v>
      </c>
      <c r="U295" t="s">
        <v>1257</v>
      </c>
      <c r="V295" t="s">
        <v>1395</v>
      </c>
    </row>
    <row r="296" spans="1:22" x14ac:dyDescent="0.35">
      <c r="A296" t="s">
        <v>20</v>
      </c>
      <c r="B296">
        <v>17647</v>
      </c>
      <c r="C296" t="s">
        <v>1252</v>
      </c>
      <c r="D296" t="s">
        <v>1253</v>
      </c>
      <c r="E296" t="s">
        <v>4639</v>
      </c>
      <c r="F296" t="s">
        <v>1525</v>
      </c>
      <c r="G296" t="s">
        <v>1525</v>
      </c>
      <c r="H296" t="s">
        <v>4709</v>
      </c>
      <c r="N296" t="s">
        <v>33</v>
      </c>
      <c r="O296" s="1">
        <v>5.9027777777777778E-4</v>
      </c>
      <c r="P296">
        <v>0</v>
      </c>
      <c r="Q296">
        <v>0</v>
      </c>
      <c r="R296">
        <v>0</v>
      </c>
      <c r="S296">
        <v>1</v>
      </c>
      <c r="T296">
        <v>0</v>
      </c>
      <c r="U296" t="s">
        <v>1257</v>
      </c>
      <c r="V296" t="s">
        <v>1395</v>
      </c>
    </row>
    <row r="297" spans="1:22" x14ac:dyDescent="0.35">
      <c r="A297" t="s">
        <v>20</v>
      </c>
      <c r="B297">
        <v>17647</v>
      </c>
      <c r="C297" t="s">
        <v>1252</v>
      </c>
      <c r="D297" t="s">
        <v>1253</v>
      </c>
      <c r="E297" t="s">
        <v>4641</v>
      </c>
      <c r="F297" t="s">
        <v>1389</v>
      </c>
      <c r="G297" t="s">
        <v>1389</v>
      </c>
      <c r="H297" t="s">
        <v>4710</v>
      </c>
      <c r="N297" t="s">
        <v>33</v>
      </c>
      <c r="O297" s="1">
        <v>2.0833333333333329E-4</v>
      </c>
      <c r="P297">
        <v>0</v>
      </c>
      <c r="Q297">
        <v>1</v>
      </c>
      <c r="R297">
        <v>0</v>
      </c>
      <c r="S297">
        <v>0</v>
      </c>
      <c r="T297">
        <v>0</v>
      </c>
      <c r="U297" t="s">
        <v>1257</v>
      </c>
      <c r="V297" t="s">
        <v>1395</v>
      </c>
    </row>
    <row r="298" spans="1:22" x14ac:dyDescent="0.35">
      <c r="A298" t="s">
        <v>20</v>
      </c>
      <c r="B298">
        <v>17643</v>
      </c>
      <c r="C298" t="s">
        <v>426</v>
      </c>
      <c r="D298" t="s">
        <v>427</v>
      </c>
      <c r="E298" t="s">
        <v>4345</v>
      </c>
      <c r="F298" t="s">
        <v>4418</v>
      </c>
      <c r="G298" t="s">
        <v>4419</v>
      </c>
      <c r="H298" t="s">
        <v>4420</v>
      </c>
      <c r="N298" t="s">
        <v>33</v>
      </c>
      <c r="O298" s="1">
        <v>1.1226851851851849E-3</v>
      </c>
      <c r="P298">
        <v>0</v>
      </c>
      <c r="Q298">
        <v>0</v>
      </c>
      <c r="R298">
        <v>0</v>
      </c>
      <c r="S298">
        <v>0</v>
      </c>
      <c r="T298">
        <v>1</v>
      </c>
      <c r="U298" t="s">
        <v>431</v>
      </c>
      <c r="V298" t="s">
        <v>557</v>
      </c>
    </row>
    <row r="299" spans="1:22" x14ac:dyDescent="0.35">
      <c r="A299" t="s">
        <v>20</v>
      </c>
      <c r="B299">
        <v>17643</v>
      </c>
      <c r="C299" t="s">
        <v>426</v>
      </c>
      <c r="D299" t="s">
        <v>427</v>
      </c>
      <c r="E299" t="s">
        <v>4294</v>
      </c>
      <c r="F299" t="s">
        <v>4421</v>
      </c>
      <c r="G299" t="s">
        <v>4421</v>
      </c>
      <c r="H299" t="s">
        <v>4422</v>
      </c>
      <c r="N299" t="s">
        <v>33</v>
      </c>
      <c r="O299" s="1">
        <v>6.7129629629629625E-4</v>
      </c>
      <c r="P299">
        <v>0</v>
      </c>
      <c r="Q299">
        <v>0</v>
      </c>
      <c r="R299">
        <v>0</v>
      </c>
      <c r="S299">
        <v>1</v>
      </c>
      <c r="T299">
        <v>0</v>
      </c>
      <c r="U299" t="s">
        <v>431</v>
      </c>
      <c r="V299" t="s">
        <v>557</v>
      </c>
    </row>
    <row r="300" spans="1:22" x14ac:dyDescent="0.35">
      <c r="A300" t="s">
        <v>20</v>
      </c>
      <c r="B300">
        <v>17643</v>
      </c>
      <c r="C300" t="s">
        <v>426</v>
      </c>
      <c r="D300" t="s">
        <v>427</v>
      </c>
      <c r="E300" t="s">
        <v>4297</v>
      </c>
      <c r="F300" t="s">
        <v>3928</v>
      </c>
      <c r="G300" t="s">
        <v>3928</v>
      </c>
      <c r="H300" t="s">
        <v>4423</v>
      </c>
      <c r="N300" t="s">
        <v>33</v>
      </c>
      <c r="O300" s="1">
        <v>8.7962962962962962E-4</v>
      </c>
      <c r="P300">
        <v>0</v>
      </c>
      <c r="Q300">
        <v>0</v>
      </c>
      <c r="R300">
        <v>0</v>
      </c>
      <c r="S300">
        <v>0</v>
      </c>
      <c r="T300">
        <v>1</v>
      </c>
      <c r="U300" t="s">
        <v>431</v>
      </c>
      <c r="V300" t="s">
        <v>557</v>
      </c>
    </row>
    <row r="301" spans="1:22" x14ac:dyDescent="0.35">
      <c r="A301" t="s">
        <v>20</v>
      </c>
      <c r="B301">
        <v>17643</v>
      </c>
      <c r="C301" t="s">
        <v>426</v>
      </c>
      <c r="D301" t="s">
        <v>427</v>
      </c>
      <c r="E301" t="s">
        <v>4299</v>
      </c>
      <c r="F301" t="s">
        <v>567</v>
      </c>
      <c r="G301" t="s">
        <v>567</v>
      </c>
      <c r="H301" t="s">
        <v>4424</v>
      </c>
      <c r="N301" t="s">
        <v>33</v>
      </c>
      <c r="O301" s="1">
        <v>5.5555555555555556E-4</v>
      </c>
      <c r="P301">
        <v>0</v>
      </c>
      <c r="Q301">
        <v>0</v>
      </c>
      <c r="R301">
        <v>0</v>
      </c>
      <c r="S301">
        <v>1</v>
      </c>
      <c r="T301">
        <v>0</v>
      </c>
      <c r="U301" t="s">
        <v>431</v>
      </c>
      <c r="V301" t="s">
        <v>557</v>
      </c>
    </row>
    <row r="302" spans="1:22" x14ac:dyDescent="0.35">
      <c r="A302" t="s">
        <v>20</v>
      </c>
      <c r="B302">
        <v>17643</v>
      </c>
      <c r="C302" t="s">
        <v>426</v>
      </c>
      <c r="D302" t="s">
        <v>427</v>
      </c>
      <c r="E302" t="s">
        <v>4301</v>
      </c>
      <c r="F302" t="s">
        <v>3931</v>
      </c>
      <c r="G302" t="s">
        <v>3931</v>
      </c>
      <c r="H302" t="s">
        <v>4425</v>
      </c>
      <c r="N302" t="s">
        <v>33</v>
      </c>
      <c r="O302" s="1">
        <v>5.3240740740740744E-4</v>
      </c>
      <c r="P302">
        <v>0</v>
      </c>
      <c r="Q302">
        <v>0</v>
      </c>
      <c r="R302">
        <v>0</v>
      </c>
      <c r="S302">
        <v>1</v>
      </c>
      <c r="T302">
        <v>0</v>
      </c>
      <c r="U302" t="s">
        <v>431</v>
      </c>
      <c r="V302" t="s">
        <v>557</v>
      </c>
    </row>
    <row r="303" spans="1:22" x14ac:dyDescent="0.35">
      <c r="A303" t="s">
        <v>20</v>
      </c>
      <c r="B303">
        <v>17643</v>
      </c>
      <c r="C303" t="s">
        <v>426</v>
      </c>
      <c r="D303" t="s">
        <v>427</v>
      </c>
      <c r="E303" t="s">
        <v>4303</v>
      </c>
      <c r="F303" t="s">
        <v>576</v>
      </c>
      <c r="G303" t="s">
        <v>576</v>
      </c>
      <c r="H303" t="s">
        <v>4426</v>
      </c>
      <c r="N303" t="s">
        <v>33</v>
      </c>
      <c r="O303" s="1">
        <v>5.3240740740740744E-4</v>
      </c>
      <c r="P303">
        <v>0</v>
      </c>
      <c r="Q303">
        <v>0</v>
      </c>
      <c r="R303">
        <v>0</v>
      </c>
      <c r="S303">
        <v>1</v>
      </c>
      <c r="T303">
        <v>0</v>
      </c>
      <c r="U303" t="s">
        <v>431</v>
      </c>
      <c r="V303" t="s">
        <v>557</v>
      </c>
    </row>
    <row r="304" spans="1:22" x14ac:dyDescent="0.35">
      <c r="A304" t="s">
        <v>20</v>
      </c>
      <c r="B304">
        <v>17643</v>
      </c>
      <c r="C304" t="s">
        <v>426</v>
      </c>
      <c r="D304" t="s">
        <v>427</v>
      </c>
      <c r="E304" t="s">
        <v>4305</v>
      </c>
      <c r="F304" t="s">
        <v>579</v>
      </c>
      <c r="G304" t="s">
        <v>579</v>
      </c>
      <c r="H304" t="s">
        <v>4427</v>
      </c>
      <c r="N304" t="s">
        <v>33</v>
      </c>
      <c r="O304" s="1">
        <v>2.8935185185185178E-4</v>
      </c>
      <c r="P304">
        <v>0</v>
      </c>
      <c r="Q304">
        <v>0</v>
      </c>
      <c r="R304">
        <v>1</v>
      </c>
      <c r="S304">
        <v>0</v>
      </c>
      <c r="T304">
        <v>0</v>
      </c>
      <c r="U304" t="s">
        <v>431</v>
      </c>
      <c r="V304" t="s">
        <v>557</v>
      </c>
    </row>
    <row r="305" spans="1:22" x14ac:dyDescent="0.35">
      <c r="A305" t="s">
        <v>20</v>
      </c>
      <c r="B305">
        <v>17643</v>
      </c>
      <c r="C305" t="s">
        <v>426</v>
      </c>
      <c r="D305" t="s">
        <v>427</v>
      </c>
      <c r="E305" t="s">
        <v>4307</v>
      </c>
      <c r="F305" t="s">
        <v>3935</v>
      </c>
      <c r="G305" t="s">
        <v>3935</v>
      </c>
      <c r="H305" t="s">
        <v>4428</v>
      </c>
      <c r="N305" t="s">
        <v>33</v>
      </c>
      <c r="O305" s="1">
        <v>9.9537037037037042E-4</v>
      </c>
      <c r="P305">
        <v>0</v>
      </c>
      <c r="Q305">
        <v>0</v>
      </c>
      <c r="R305">
        <v>0</v>
      </c>
      <c r="S305">
        <v>0</v>
      </c>
      <c r="T305">
        <v>1</v>
      </c>
      <c r="U305" t="s">
        <v>431</v>
      </c>
      <c r="V305" t="s">
        <v>557</v>
      </c>
    </row>
    <row r="306" spans="1:22" x14ac:dyDescent="0.35">
      <c r="A306" t="s">
        <v>20</v>
      </c>
      <c r="B306">
        <v>17643</v>
      </c>
      <c r="C306" t="s">
        <v>426</v>
      </c>
      <c r="D306" t="s">
        <v>427</v>
      </c>
      <c r="E306" t="s">
        <v>4310</v>
      </c>
      <c r="F306" t="s">
        <v>4429</v>
      </c>
      <c r="G306" t="s">
        <v>4429</v>
      </c>
      <c r="H306" t="s">
        <v>4430</v>
      </c>
      <c r="N306" t="s">
        <v>33</v>
      </c>
      <c r="O306" s="1">
        <v>6.8287037037037036E-4</v>
      </c>
      <c r="P306">
        <v>0</v>
      </c>
      <c r="Q306">
        <v>0</v>
      </c>
      <c r="R306">
        <v>0</v>
      </c>
      <c r="S306">
        <v>1</v>
      </c>
      <c r="T306">
        <v>0</v>
      </c>
      <c r="U306" t="s">
        <v>431</v>
      </c>
      <c r="V306" t="s">
        <v>557</v>
      </c>
    </row>
    <row r="307" spans="1:22" x14ac:dyDescent="0.35">
      <c r="A307" t="s">
        <v>20</v>
      </c>
      <c r="B307">
        <v>17643</v>
      </c>
      <c r="C307" t="s">
        <v>426</v>
      </c>
      <c r="D307" t="s">
        <v>427</v>
      </c>
      <c r="E307" t="s">
        <v>4312</v>
      </c>
      <c r="F307" t="s">
        <v>463</v>
      </c>
      <c r="G307" t="s">
        <v>463</v>
      </c>
      <c r="H307" t="s">
        <v>4431</v>
      </c>
      <c r="N307" t="s">
        <v>33</v>
      </c>
      <c r="O307" s="1">
        <v>5.9027777777777778E-4</v>
      </c>
      <c r="P307">
        <v>0</v>
      </c>
      <c r="Q307">
        <v>0</v>
      </c>
      <c r="R307">
        <v>0</v>
      </c>
      <c r="S307">
        <v>1</v>
      </c>
      <c r="T307">
        <v>0</v>
      </c>
      <c r="U307" t="s">
        <v>431</v>
      </c>
      <c r="V307" t="s">
        <v>557</v>
      </c>
    </row>
    <row r="308" spans="1:22" x14ac:dyDescent="0.35">
      <c r="A308" t="s">
        <v>20</v>
      </c>
      <c r="B308">
        <v>17643</v>
      </c>
      <c r="C308" t="s">
        <v>426</v>
      </c>
      <c r="D308" t="s">
        <v>427</v>
      </c>
      <c r="E308" t="s">
        <v>4314</v>
      </c>
      <c r="F308" t="s">
        <v>469</v>
      </c>
      <c r="G308" t="s">
        <v>469</v>
      </c>
      <c r="H308" t="s">
        <v>4432</v>
      </c>
      <c r="N308" t="s">
        <v>33</v>
      </c>
      <c r="O308" s="1">
        <v>1.50462962962963E-4</v>
      </c>
      <c r="P308">
        <v>0</v>
      </c>
      <c r="Q308">
        <v>1</v>
      </c>
      <c r="R308">
        <v>0</v>
      </c>
      <c r="S308">
        <v>0</v>
      </c>
      <c r="T308">
        <v>0</v>
      </c>
      <c r="U308" t="s">
        <v>431</v>
      </c>
      <c r="V308" t="s">
        <v>557</v>
      </c>
    </row>
    <row r="309" spans="1:22" x14ac:dyDescent="0.35">
      <c r="A309" t="s">
        <v>20</v>
      </c>
      <c r="B309">
        <v>17643</v>
      </c>
      <c r="C309" t="s">
        <v>426</v>
      </c>
      <c r="D309" t="s">
        <v>427</v>
      </c>
      <c r="E309" t="s">
        <v>4316</v>
      </c>
      <c r="F309" t="s">
        <v>587</v>
      </c>
      <c r="G309" t="s">
        <v>587</v>
      </c>
      <c r="H309" t="s">
        <v>4433</v>
      </c>
      <c r="N309" t="s">
        <v>33</v>
      </c>
      <c r="O309" s="1">
        <v>1.273148148148148E-4</v>
      </c>
      <c r="P309">
        <v>0</v>
      </c>
      <c r="Q309">
        <v>1</v>
      </c>
      <c r="R309">
        <v>0</v>
      </c>
      <c r="S309">
        <v>0</v>
      </c>
      <c r="T309">
        <v>0</v>
      </c>
      <c r="U309" t="s">
        <v>431</v>
      </c>
      <c r="V309" t="s">
        <v>557</v>
      </c>
    </row>
    <row r="310" spans="1:22" x14ac:dyDescent="0.35">
      <c r="A310" t="s">
        <v>20</v>
      </c>
      <c r="B310">
        <v>17643</v>
      </c>
      <c r="C310" t="s">
        <v>426</v>
      </c>
      <c r="D310" t="s">
        <v>427</v>
      </c>
      <c r="E310" t="s">
        <v>4317</v>
      </c>
      <c r="F310" t="s">
        <v>472</v>
      </c>
      <c r="G310" t="s">
        <v>472</v>
      </c>
      <c r="H310" t="s">
        <v>4434</v>
      </c>
      <c r="N310" t="s">
        <v>33</v>
      </c>
      <c r="O310" s="1">
        <v>5.7870370370370373E-5</v>
      </c>
      <c r="P310">
        <v>1</v>
      </c>
      <c r="Q310">
        <v>0</v>
      </c>
      <c r="R310">
        <v>0</v>
      </c>
      <c r="S310">
        <v>0</v>
      </c>
      <c r="T310">
        <v>0</v>
      </c>
      <c r="U310" t="s">
        <v>431</v>
      </c>
      <c r="V310" t="s">
        <v>557</v>
      </c>
    </row>
    <row r="311" spans="1:22" x14ac:dyDescent="0.35">
      <c r="A311" t="s">
        <v>20</v>
      </c>
      <c r="B311">
        <v>17643</v>
      </c>
      <c r="C311" t="s">
        <v>426</v>
      </c>
      <c r="D311" t="s">
        <v>427</v>
      </c>
      <c r="E311" t="s">
        <v>4319</v>
      </c>
      <c r="F311" t="s">
        <v>4435</v>
      </c>
      <c r="G311" t="s">
        <v>4435</v>
      </c>
      <c r="H311" t="s">
        <v>4436</v>
      </c>
      <c r="N311" t="s">
        <v>33</v>
      </c>
      <c r="O311" s="1">
        <v>2.7777777777777778E-4</v>
      </c>
      <c r="P311">
        <v>0</v>
      </c>
      <c r="Q311">
        <v>0</v>
      </c>
      <c r="R311">
        <v>1</v>
      </c>
      <c r="S311">
        <v>0</v>
      </c>
      <c r="T311">
        <v>0</v>
      </c>
      <c r="U311" t="s">
        <v>431</v>
      </c>
      <c r="V311" t="s">
        <v>557</v>
      </c>
    </row>
    <row r="312" spans="1:22" x14ac:dyDescent="0.35">
      <c r="A312" t="s">
        <v>20</v>
      </c>
      <c r="B312">
        <v>17643</v>
      </c>
      <c r="C312" t="s">
        <v>426</v>
      </c>
      <c r="D312" t="s">
        <v>427</v>
      </c>
      <c r="E312" t="s">
        <v>4322</v>
      </c>
      <c r="F312" t="s">
        <v>4437</v>
      </c>
      <c r="G312" t="s">
        <v>4437</v>
      </c>
      <c r="H312" t="s">
        <v>4438</v>
      </c>
      <c r="N312" t="s">
        <v>33</v>
      </c>
      <c r="O312" s="1">
        <v>4.6296296296296287E-5</v>
      </c>
      <c r="P312">
        <v>1</v>
      </c>
      <c r="Q312">
        <v>0</v>
      </c>
      <c r="R312">
        <v>0</v>
      </c>
      <c r="S312">
        <v>0</v>
      </c>
      <c r="T312">
        <v>0</v>
      </c>
      <c r="U312" t="s">
        <v>431</v>
      </c>
      <c r="V312" t="s">
        <v>557</v>
      </c>
    </row>
    <row r="313" spans="1:22" x14ac:dyDescent="0.35">
      <c r="A313" t="s">
        <v>20</v>
      </c>
      <c r="B313">
        <v>17643</v>
      </c>
      <c r="C313" t="s">
        <v>426</v>
      </c>
      <c r="D313" t="s">
        <v>427</v>
      </c>
      <c r="E313" t="s">
        <v>4324</v>
      </c>
      <c r="F313" t="s">
        <v>593</v>
      </c>
      <c r="G313" t="s">
        <v>593</v>
      </c>
      <c r="H313" t="s">
        <v>4439</v>
      </c>
      <c r="N313" t="s">
        <v>33</v>
      </c>
      <c r="O313" s="1">
        <v>5.5555555555555556E-4</v>
      </c>
      <c r="P313">
        <v>0</v>
      </c>
      <c r="Q313">
        <v>0</v>
      </c>
      <c r="R313">
        <v>0</v>
      </c>
      <c r="S313">
        <v>1</v>
      </c>
      <c r="T313">
        <v>0</v>
      </c>
      <c r="U313" t="s">
        <v>431</v>
      </c>
      <c r="V313" t="s">
        <v>557</v>
      </c>
    </row>
    <row r="314" spans="1:22" x14ac:dyDescent="0.35">
      <c r="A314" t="s">
        <v>20</v>
      </c>
      <c r="B314">
        <v>17643</v>
      </c>
      <c r="C314" t="s">
        <v>426</v>
      </c>
      <c r="D314" t="s">
        <v>427</v>
      </c>
      <c r="E314" t="s">
        <v>4326</v>
      </c>
      <c r="F314" t="s">
        <v>482</v>
      </c>
      <c r="G314" t="s">
        <v>482</v>
      </c>
      <c r="H314" t="s">
        <v>4440</v>
      </c>
      <c r="N314" t="s">
        <v>33</v>
      </c>
      <c r="O314" s="1">
        <v>1.041666666666667E-4</v>
      </c>
      <c r="P314">
        <v>1</v>
      </c>
      <c r="Q314">
        <v>0</v>
      </c>
      <c r="R314">
        <v>0</v>
      </c>
      <c r="S314">
        <v>0</v>
      </c>
      <c r="T314">
        <v>0</v>
      </c>
      <c r="U314" t="s">
        <v>431</v>
      </c>
      <c r="V314" t="s">
        <v>557</v>
      </c>
    </row>
    <row r="315" spans="1:22" x14ac:dyDescent="0.35">
      <c r="A315" t="s">
        <v>20</v>
      </c>
      <c r="B315">
        <v>17643</v>
      </c>
      <c r="C315" t="s">
        <v>426</v>
      </c>
      <c r="D315" t="s">
        <v>427</v>
      </c>
      <c r="E315" t="s">
        <v>4328</v>
      </c>
      <c r="F315" t="s">
        <v>596</v>
      </c>
      <c r="G315" t="s">
        <v>596</v>
      </c>
      <c r="H315" t="s">
        <v>4441</v>
      </c>
      <c r="N315" t="s">
        <v>33</v>
      </c>
      <c r="O315" s="1">
        <v>7.0601851851851847E-4</v>
      </c>
      <c r="P315">
        <v>0</v>
      </c>
      <c r="Q315">
        <v>0</v>
      </c>
      <c r="R315">
        <v>0</v>
      </c>
      <c r="S315">
        <v>0</v>
      </c>
      <c r="T315">
        <v>1</v>
      </c>
      <c r="U315" t="s">
        <v>431</v>
      </c>
      <c r="V315" t="s">
        <v>557</v>
      </c>
    </row>
    <row r="316" spans="1:22" x14ac:dyDescent="0.35">
      <c r="A316" t="s">
        <v>20</v>
      </c>
      <c r="B316">
        <v>17643</v>
      </c>
      <c r="C316" t="s">
        <v>426</v>
      </c>
      <c r="D316" t="s">
        <v>427</v>
      </c>
      <c r="E316" t="s">
        <v>4330</v>
      </c>
      <c r="F316" t="s">
        <v>599</v>
      </c>
      <c r="G316" t="s">
        <v>599</v>
      </c>
      <c r="H316" t="s">
        <v>4442</v>
      </c>
      <c r="N316" t="s">
        <v>33</v>
      </c>
      <c r="O316" s="1">
        <v>5.9027777777777778E-4</v>
      </c>
      <c r="P316">
        <v>0</v>
      </c>
      <c r="Q316">
        <v>0</v>
      </c>
      <c r="R316">
        <v>0</v>
      </c>
      <c r="S316">
        <v>1</v>
      </c>
      <c r="T316">
        <v>0</v>
      </c>
      <c r="U316" t="s">
        <v>431</v>
      </c>
      <c r="V316" t="s">
        <v>557</v>
      </c>
    </row>
    <row r="317" spans="1:22" x14ac:dyDescent="0.35">
      <c r="A317" t="s">
        <v>20</v>
      </c>
      <c r="B317">
        <v>17643</v>
      </c>
      <c r="C317" t="s">
        <v>426</v>
      </c>
      <c r="D317" t="s">
        <v>427</v>
      </c>
      <c r="E317" t="s">
        <v>4332</v>
      </c>
      <c r="F317" t="s">
        <v>602</v>
      </c>
      <c r="G317" t="s">
        <v>602</v>
      </c>
      <c r="H317" t="s">
        <v>4443</v>
      </c>
      <c r="N317" t="s">
        <v>33</v>
      </c>
      <c r="O317" s="1">
        <v>1.273148148148148E-4</v>
      </c>
      <c r="P317">
        <v>0</v>
      </c>
      <c r="Q317">
        <v>1</v>
      </c>
      <c r="R317">
        <v>0</v>
      </c>
      <c r="S317">
        <v>0</v>
      </c>
      <c r="T317">
        <v>0</v>
      </c>
      <c r="U317" t="s">
        <v>431</v>
      </c>
      <c r="V317" t="s">
        <v>557</v>
      </c>
    </row>
    <row r="318" spans="1:22" x14ac:dyDescent="0.35">
      <c r="A318" t="s">
        <v>20</v>
      </c>
      <c r="B318">
        <v>17643</v>
      </c>
      <c r="C318" t="s">
        <v>426</v>
      </c>
      <c r="D318" t="s">
        <v>427</v>
      </c>
      <c r="E318" t="s">
        <v>4335</v>
      </c>
      <c r="F318" t="s">
        <v>4444</v>
      </c>
      <c r="G318" t="s">
        <v>4444</v>
      </c>
      <c r="H318" t="s">
        <v>4445</v>
      </c>
      <c r="N318" t="s">
        <v>33</v>
      </c>
      <c r="O318" s="1">
        <v>1.7361111111111109E-4</v>
      </c>
      <c r="P318">
        <v>0</v>
      </c>
      <c r="Q318">
        <v>1</v>
      </c>
      <c r="R318">
        <v>0</v>
      </c>
      <c r="S318">
        <v>0</v>
      </c>
      <c r="T318">
        <v>0</v>
      </c>
      <c r="U318" t="s">
        <v>431</v>
      </c>
      <c r="V318" t="s">
        <v>557</v>
      </c>
    </row>
    <row r="319" spans="1:22" x14ac:dyDescent="0.35">
      <c r="A319" t="s">
        <v>20</v>
      </c>
      <c r="B319">
        <v>17643</v>
      </c>
      <c r="C319" t="s">
        <v>426</v>
      </c>
      <c r="D319" t="s">
        <v>427</v>
      </c>
      <c r="E319" t="s">
        <v>4337</v>
      </c>
      <c r="F319" t="s">
        <v>4446</v>
      </c>
      <c r="G319" t="s">
        <v>4446</v>
      </c>
      <c r="H319" t="s">
        <v>4447</v>
      </c>
      <c r="N319" t="s">
        <v>33</v>
      </c>
      <c r="O319" s="1">
        <v>4.6296296296296287E-5</v>
      </c>
      <c r="P319">
        <v>1</v>
      </c>
      <c r="Q319">
        <v>0</v>
      </c>
      <c r="R319">
        <v>0</v>
      </c>
      <c r="S319">
        <v>0</v>
      </c>
      <c r="T319">
        <v>0</v>
      </c>
      <c r="U319" t="s">
        <v>431</v>
      </c>
      <c r="V319" t="s">
        <v>557</v>
      </c>
    </row>
    <row r="320" spans="1:22" x14ac:dyDescent="0.35">
      <c r="A320" t="s">
        <v>20</v>
      </c>
      <c r="B320">
        <v>17643</v>
      </c>
      <c r="C320" t="s">
        <v>426</v>
      </c>
      <c r="D320" t="s">
        <v>427</v>
      </c>
      <c r="E320" t="s">
        <v>4339</v>
      </c>
      <c r="F320" t="s">
        <v>4448</v>
      </c>
      <c r="G320" t="s">
        <v>4448</v>
      </c>
      <c r="H320" t="s">
        <v>4449</v>
      </c>
      <c r="N320" t="s">
        <v>33</v>
      </c>
      <c r="O320" s="1">
        <v>1.3888888888888889E-4</v>
      </c>
      <c r="P320">
        <v>0</v>
      </c>
      <c r="Q320">
        <v>1</v>
      </c>
      <c r="R320">
        <v>0</v>
      </c>
      <c r="S320">
        <v>0</v>
      </c>
      <c r="T320">
        <v>0</v>
      </c>
      <c r="U320" t="s">
        <v>431</v>
      </c>
      <c r="V320" t="s">
        <v>557</v>
      </c>
    </row>
    <row r="321" spans="1:22" x14ac:dyDescent="0.35">
      <c r="A321" t="s">
        <v>20</v>
      </c>
      <c r="B321">
        <v>17643</v>
      </c>
      <c r="C321" t="s">
        <v>426</v>
      </c>
      <c r="D321" t="s">
        <v>427</v>
      </c>
      <c r="E321" t="s">
        <v>4340</v>
      </c>
      <c r="F321" t="s">
        <v>491</v>
      </c>
      <c r="G321" t="s">
        <v>491</v>
      </c>
      <c r="H321" t="s">
        <v>4450</v>
      </c>
      <c r="N321" t="s">
        <v>33</v>
      </c>
      <c r="O321" s="1">
        <v>3.9351851851851852E-4</v>
      </c>
      <c r="P321">
        <v>0</v>
      </c>
      <c r="Q321">
        <v>0</v>
      </c>
      <c r="R321">
        <v>0</v>
      </c>
      <c r="S321">
        <v>1</v>
      </c>
      <c r="T321">
        <v>0</v>
      </c>
      <c r="U321" t="s">
        <v>431</v>
      </c>
      <c r="V321" t="s">
        <v>557</v>
      </c>
    </row>
    <row r="322" spans="1:22" x14ac:dyDescent="0.35">
      <c r="A322" t="s">
        <v>20</v>
      </c>
      <c r="B322">
        <v>17643</v>
      </c>
      <c r="C322" t="s">
        <v>426</v>
      </c>
      <c r="D322" t="s">
        <v>427</v>
      </c>
      <c r="E322" t="s">
        <v>4342</v>
      </c>
      <c r="F322" t="s">
        <v>4451</v>
      </c>
      <c r="G322" t="s">
        <v>4451</v>
      </c>
      <c r="H322" t="s">
        <v>4452</v>
      </c>
      <c r="N322" t="s">
        <v>33</v>
      </c>
      <c r="O322" s="1">
        <v>2.0833333333333329E-4</v>
      </c>
      <c r="P322">
        <v>0</v>
      </c>
      <c r="Q322">
        <v>1</v>
      </c>
      <c r="R322">
        <v>0</v>
      </c>
      <c r="S322">
        <v>0</v>
      </c>
      <c r="T322">
        <v>0</v>
      </c>
      <c r="U322" t="s">
        <v>431</v>
      </c>
      <c r="V322" t="s">
        <v>557</v>
      </c>
    </row>
    <row r="323" spans="1:22" x14ac:dyDescent="0.35">
      <c r="A323" t="s">
        <v>20</v>
      </c>
      <c r="B323">
        <v>17643</v>
      </c>
      <c r="C323" t="s">
        <v>426</v>
      </c>
      <c r="D323" t="s">
        <v>427</v>
      </c>
      <c r="E323" t="s">
        <v>4347</v>
      </c>
      <c r="F323" t="s">
        <v>4453</v>
      </c>
      <c r="G323" t="s">
        <v>4453</v>
      </c>
      <c r="H323" t="s">
        <v>4454</v>
      </c>
      <c r="N323" t="s">
        <v>33</v>
      </c>
      <c r="O323" s="1">
        <v>8.1018518518518516E-5</v>
      </c>
      <c r="P323">
        <v>1</v>
      </c>
      <c r="Q323">
        <v>0</v>
      </c>
      <c r="R323">
        <v>0</v>
      </c>
      <c r="S323">
        <v>0</v>
      </c>
      <c r="T323">
        <v>0</v>
      </c>
      <c r="U323" t="s">
        <v>431</v>
      </c>
      <c r="V323" t="s">
        <v>557</v>
      </c>
    </row>
    <row r="324" spans="1:22" x14ac:dyDescent="0.35">
      <c r="A324" t="s">
        <v>20</v>
      </c>
      <c r="B324">
        <v>17643</v>
      </c>
      <c r="C324" t="s">
        <v>426</v>
      </c>
      <c r="D324" t="s">
        <v>427</v>
      </c>
      <c r="E324" t="s">
        <v>4349</v>
      </c>
      <c r="F324" t="s">
        <v>613</v>
      </c>
      <c r="G324" t="s">
        <v>613</v>
      </c>
      <c r="H324" t="s">
        <v>4455</v>
      </c>
      <c r="N324" t="s">
        <v>33</v>
      </c>
      <c r="O324" s="1">
        <v>9.2592592592592596E-4</v>
      </c>
      <c r="P324">
        <v>0</v>
      </c>
      <c r="Q324">
        <v>0</v>
      </c>
      <c r="R324">
        <v>0</v>
      </c>
      <c r="S324">
        <v>0</v>
      </c>
      <c r="T324">
        <v>1</v>
      </c>
      <c r="U324" t="s">
        <v>431</v>
      </c>
      <c r="V324" t="s">
        <v>557</v>
      </c>
    </row>
    <row r="325" spans="1:22" x14ac:dyDescent="0.35">
      <c r="A325" t="s">
        <v>20</v>
      </c>
      <c r="B325">
        <v>17643</v>
      </c>
      <c r="C325" t="s">
        <v>426</v>
      </c>
      <c r="D325" t="s">
        <v>427</v>
      </c>
      <c r="E325" t="s">
        <v>4351</v>
      </c>
      <c r="F325" t="s">
        <v>497</v>
      </c>
      <c r="G325" t="s">
        <v>497</v>
      </c>
      <c r="H325" t="s">
        <v>4456</v>
      </c>
      <c r="N325" t="s">
        <v>33</v>
      </c>
      <c r="O325" s="1">
        <v>1.6203703703703701E-4</v>
      </c>
      <c r="P325">
        <v>0</v>
      </c>
      <c r="Q325">
        <v>1</v>
      </c>
      <c r="R325">
        <v>0</v>
      </c>
      <c r="S325">
        <v>0</v>
      </c>
      <c r="T325">
        <v>0</v>
      </c>
      <c r="U325" t="s">
        <v>431</v>
      </c>
      <c r="V325" t="s">
        <v>557</v>
      </c>
    </row>
    <row r="326" spans="1:22" x14ac:dyDescent="0.35">
      <c r="A326" t="s">
        <v>20</v>
      </c>
      <c r="B326">
        <v>17643</v>
      </c>
      <c r="C326" t="s">
        <v>426</v>
      </c>
      <c r="D326" t="s">
        <v>427</v>
      </c>
      <c r="E326" t="s">
        <v>4354</v>
      </c>
      <c r="F326" t="s">
        <v>618</v>
      </c>
      <c r="G326" t="s">
        <v>618</v>
      </c>
      <c r="H326" t="s">
        <v>4457</v>
      </c>
      <c r="N326" t="s">
        <v>33</v>
      </c>
      <c r="O326" s="1">
        <v>2.6620370370370372E-4</v>
      </c>
      <c r="P326">
        <v>0</v>
      </c>
      <c r="Q326">
        <v>0</v>
      </c>
      <c r="R326">
        <v>1</v>
      </c>
      <c r="S326">
        <v>0</v>
      </c>
      <c r="T326">
        <v>0</v>
      </c>
      <c r="U326" t="s">
        <v>431</v>
      </c>
      <c r="V326" t="s">
        <v>557</v>
      </c>
    </row>
    <row r="327" spans="1:22" x14ac:dyDescent="0.35">
      <c r="A327" t="s">
        <v>20</v>
      </c>
      <c r="B327">
        <v>17643</v>
      </c>
      <c r="C327" t="s">
        <v>426</v>
      </c>
      <c r="D327" t="s">
        <v>427</v>
      </c>
      <c r="E327" t="s">
        <v>4356</v>
      </c>
      <c r="F327" t="s">
        <v>500</v>
      </c>
      <c r="G327" t="s">
        <v>500</v>
      </c>
      <c r="H327" t="s">
        <v>4458</v>
      </c>
      <c r="N327" t="s">
        <v>33</v>
      </c>
      <c r="O327" s="1">
        <v>2.0833333333333329E-4</v>
      </c>
      <c r="P327">
        <v>0</v>
      </c>
      <c r="Q327">
        <v>1</v>
      </c>
      <c r="R327">
        <v>0</v>
      </c>
      <c r="S327">
        <v>0</v>
      </c>
      <c r="T327">
        <v>0</v>
      </c>
      <c r="U327" t="s">
        <v>431</v>
      </c>
      <c r="V327" t="s">
        <v>557</v>
      </c>
    </row>
    <row r="328" spans="1:22" x14ac:dyDescent="0.35">
      <c r="A328" t="s">
        <v>20</v>
      </c>
      <c r="B328">
        <v>17643</v>
      </c>
      <c r="C328" t="s">
        <v>426</v>
      </c>
      <c r="D328" t="s">
        <v>427</v>
      </c>
      <c r="E328" t="s">
        <v>4358</v>
      </c>
      <c r="F328" t="s">
        <v>503</v>
      </c>
      <c r="G328" t="s">
        <v>503</v>
      </c>
      <c r="H328" t="s">
        <v>4459</v>
      </c>
      <c r="N328" t="s">
        <v>33</v>
      </c>
      <c r="O328" s="1">
        <v>2.8935185185185178E-4</v>
      </c>
      <c r="P328">
        <v>0</v>
      </c>
      <c r="Q328">
        <v>0</v>
      </c>
      <c r="R328">
        <v>1</v>
      </c>
      <c r="S328">
        <v>0</v>
      </c>
      <c r="T328">
        <v>0</v>
      </c>
      <c r="U328" t="s">
        <v>431</v>
      </c>
      <c r="V328" t="s">
        <v>557</v>
      </c>
    </row>
    <row r="329" spans="1:22" x14ac:dyDescent="0.35">
      <c r="A329" t="s">
        <v>20</v>
      </c>
      <c r="B329">
        <v>17643</v>
      </c>
      <c r="C329" t="s">
        <v>426</v>
      </c>
      <c r="D329" t="s">
        <v>427</v>
      </c>
      <c r="E329" t="s">
        <v>4360</v>
      </c>
      <c r="F329" t="s">
        <v>4460</v>
      </c>
      <c r="G329" t="s">
        <v>4460</v>
      </c>
      <c r="H329" t="s">
        <v>4461</v>
      </c>
      <c r="N329" t="s">
        <v>33</v>
      </c>
      <c r="O329" s="1">
        <v>2.6620370370370372E-4</v>
      </c>
      <c r="P329">
        <v>0</v>
      </c>
      <c r="Q329">
        <v>0</v>
      </c>
      <c r="R329">
        <v>1</v>
      </c>
      <c r="S329">
        <v>0</v>
      </c>
      <c r="T329">
        <v>0</v>
      </c>
      <c r="U329" t="s">
        <v>431</v>
      </c>
      <c r="V329" t="s">
        <v>557</v>
      </c>
    </row>
    <row r="330" spans="1:22" x14ac:dyDescent="0.35">
      <c r="A330" t="s">
        <v>20</v>
      </c>
      <c r="B330">
        <v>17643</v>
      </c>
      <c r="C330" t="s">
        <v>426</v>
      </c>
      <c r="D330" t="s">
        <v>427</v>
      </c>
      <c r="E330" t="s">
        <v>4365</v>
      </c>
      <c r="F330" t="s">
        <v>4462</v>
      </c>
      <c r="G330" t="s">
        <v>4462</v>
      </c>
      <c r="H330" t="s">
        <v>4463</v>
      </c>
      <c r="N330" t="s">
        <v>33</v>
      </c>
      <c r="O330" s="1">
        <v>1.7361111111111109E-4</v>
      </c>
      <c r="P330">
        <v>0</v>
      </c>
      <c r="Q330">
        <v>1</v>
      </c>
      <c r="R330">
        <v>0</v>
      </c>
      <c r="S330">
        <v>0</v>
      </c>
      <c r="T330">
        <v>0</v>
      </c>
      <c r="U330" t="s">
        <v>431</v>
      </c>
      <c r="V330" t="s">
        <v>557</v>
      </c>
    </row>
    <row r="331" spans="1:22" x14ac:dyDescent="0.35">
      <c r="A331" t="s">
        <v>20</v>
      </c>
      <c r="B331">
        <v>17643</v>
      </c>
      <c r="C331" t="s">
        <v>426</v>
      </c>
      <c r="D331" t="s">
        <v>427</v>
      </c>
      <c r="E331" t="s">
        <v>4367</v>
      </c>
      <c r="F331" t="s">
        <v>512</v>
      </c>
      <c r="G331" t="s">
        <v>512</v>
      </c>
      <c r="H331" t="s">
        <v>4464</v>
      </c>
      <c r="N331" t="s">
        <v>33</v>
      </c>
      <c r="O331" s="1">
        <v>4.6296296296296298E-4</v>
      </c>
      <c r="P331">
        <v>0</v>
      </c>
      <c r="Q331">
        <v>0</v>
      </c>
      <c r="R331">
        <v>0</v>
      </c>
      <c r="S331">
        <v>1</v>
      </c>
      <c r="T331">
        <v>0</v>
      </c>
      <c r="U331" t="s">
        <v>431</v>
      </c>
      <c r="V331" t="s">
        <v>557</v>
      </c>
    </row>
    <row r="332" spans="1:22" x14ac:dyDescent="0.35">
      <c r="A332" t="s">
        <v>20</v>
      </c>
      <c r="B332">
        <v>17643</v>
      </c>
      <c r="C332" t="s">
        <v>426</v>
      </c>
      <c r="D332" t="s">
        <v>427</v>
      </c>
      <c r="E332" t="s">
        <v>4369</v>
      </c>
      <c r="F332" t="s">
        <v>3972</v>
      </c>
      <c r="G332" t="s">
        <v>3972</v>
      </c>
      <c r="H332" t="s">
        <v>4465</v>
      </c>
      <c r="N332" t="s">
        <v>33</v>
      </c>
      <c r="O332" s="1">
        <v>1.1226851851851849E-3</v>
      </c>
      <c r="P332">
        <v>0</v>
      </c>
      <c r="Q332">
        <v>0</v>
      </c>
      <c r="R332">
        <v>0</v>
      </c>
      <c r="S332">
        <v>0</v>
      </c>
      <c r="T332">
        <v>1</v>
      </c>
      <c r="U332" t="s">
        <v>431</v>
      </c>
      <c r="V332" t="s">
        <v>557</v>
      </c>
    </row>
    <row r="333" spans="1:22" x14ac:dyDescent="0.35">
      <c r="A333" t="s">
        <v>20</v>
      </c>
      <c r="B333">
        <v>17643</v>
      </c>
      <c r="C333" t="s">
        <v>426</v>
      </c>
      <c r="D333" t="s">
        <v>427</v>
      </c>
      <c r="E333" t="s">
        <v>4372</v>
      </c>
      <c r="F333" t="s">
        <v>4466</v>
      </c>
      <c r="G333" t="s">
        <v>4466</v>
      </c>
      <c r="H333" t="s">
        <v>4467</v>
      </c>
      <c r="N333" t="s">
        <v>33</v>
      </c>
      <c r="O333" s="1">
        <v>7.5231481481481482E-4</v>
      </c>
      <c r="P333">
        <v>0</v>
      </c>
      <c r="Q333">
        <v>0</v>
      </c>
      <c r="R333">
        <v>0</v>
      </c>
      <c r="S333">
        <v>0</v>
      </c>
      <c r="T333">
        <v>1</v>
      </c>
      <c r="U333" t="s">
        <v>431</v>
      </c>
      <c r="V333" t="s">
        <v>557</v>
      </c>
    </row>
    <row r="334" spans="1:22" x14ac:dyDescent="0.35">
      <c r="A334" t="s">
        <v>20</v>
      </c>
      <c r="B334">
        <v>17643</v>
      </c>
      <c r="C334" t="s">
        <v>426</v>
      </c>
      <c r="D334" t="s">
        <v>427</v>
      </c>
      <c r="E334" t="s">
        <v>4374</v>
      </c>
      <c r="F334" t="s">
        <v>521</v>
      </c>
      <c r="G334" t="s">
        <v>521</v>
      </c>
      <c r="H334" t="s">
        <v>4468</v>
      </c>
      <c r="N334" t="s">
        <v>33</v>
      </c>
      <c r="O334" s="1">
        <v>1.273148148148148E-4</v>
      </c>
      <c r="P334">
        <v>0</v>
      </c>
      <c r="Q334">
        <v>1</v>
      </c>
      <c r="R334">
        <v>0</v>
      </c>
      <c r="S334">
        <v>0</v>
      </c>
      <c r="T334">
        <v>0</v>
      </c>
      <c r="U334" t="s">
        <v>431</v>
      </c>
      <c r="V334" t="s">
        <v>557</v>
      </c>
    </row>
    <row r="335" spans="1:22" x14ac:dyDescent="0.35">
      <c r="A335" t="s">
        <v>20</v>
      </c>
      <c r="B335">
        <v>17643</v>
      </c>
      <c r="C335" t="s">
        <v>426</v>
      </c>
      <c r="D335" t="s">
        <v>427</v>
      </c>
      <c r="E335" t="s">
        <v>4376</v>
      </c>
      <c r="F335" t="s">
        <v>4469</v>
      </c>
      <c r="G335" t="s">
        <v>4469</v>
      </c>
      <c r="H335" t="s">
        <v>4470</v>
      </c>
      <c r="N335" t="s">
        <v>33</v>
      </c>
      <c r="O335" s="1">
        <v>2.6620370370370372E-4</v>
      </c>
      <c r="P335">
        <v>0</v>
      </c>
      <c r="Q335">
        <v>0</v>
      </c>
      <c r="R335">
        <v>1</v>
      </c>
      <c r="S335">
        <v>0</v>
      </c>
      <c r="T335">
        <v>0</v>
      </c>
      <c r="U335" t="s">
        <v>431</v>
      </c>
      <c r="V335" t="s">
        <v>557</v>
      </c>
    </row>
    <row r="336" spans="1:22" x14ac:dyDescent="0.35">
      <c r="A336" t="s">
        <v>20</v>
      </c>
      <c r="B336">
        <v>17643</v>
      </c>
      <c r="C336" t="s">
        <v>426</v>
      </c>
      <c r="D336" t="s">
        <v>427</v>
      </c>
      <c r="E336" t="s">
        <v>4378</v>
      </c>
      <c r="F336" t="s">
        <v>639</v>
      </c>
      <c r="G336" t="s">
        <v>639</v>
      </c>
      <c r="H336" t="s">
        <v>4471</v>
      </c>
      <c r="N336" t="s">
        <v>33</v>
      </c>
      <c r="O336" s="1">
        <v>1.50462962962963E-4</v>
      </c>
      <c r="P336">
        <v>0</v>
      </c>
      <c r="Q336">
        <v>1</v>
      </c>
      <c r="R336">
        <v>0</v>
      </c>
      <c r="S336">
        <v>0</v>
      </c>
      <c r="T336">
        <v>0</v>
      </c>
      <c r="U336" t="s">
        <v>431</v>
      </c>
      <c r="V336" t="s">
        <v>557</v>
      </c>
    </row>
    <row r="337" spans="1:22" x14ac:dyDescent="0.35">
      <c r="A337" t="s">
        <v>20</v>
      </c>
      <c r="B337">
        <v>17643</v>
      </c>
      <c r="C337" t="s">
        <v>426</v>
      </c>
      <c r="D337" t="s">
        <v>427</v>
      </c>
      <c r="E337" t="s">
        <v>4380</v>
      </c>
      <c r="F337" t="s">
        <v>4472</v>
      </c>
      <c r="G337" t="s">
        <v>4472</v>
      </c>
      <c r="H337" t="s">
        <v>4473</v>
      </c>
      <c r="N337" t="s">
        <v>33</v>
      </c>
      <c r="O337" s="1">
        <v>4.6296296296296287E-5</v>
      </c>
      <c r="P337">
        <v>1</v>
      </c>
      <c r="Q337">
        <v>0</v>
      </c>
      <c r="R337">
        <v>0</v>
      </c>
      <c r="S337">
        <v>0</v>
      </c>
      <c r="T337">
        <v>0</v>
      </c>
      <c r="U337" t="s">
        <v>431</v>
      </c>
      <c r="V337" t="s">
        <v>557</v>
      </c>
    </row>
    <row r="338" spans="1:22" x14ac:dyDescent="0.35">
      <c r="A338" t="s">
        <v>20</v>
      </c>
      <c r="B338">
        <v>17643</v>
      </c>
      <c r="C338" t="s">
        <v>426</v>
      </c>
      <c r="D338" t="s">
        <v>427</v>
      </c>
      <c r="E338" t="s">
        <v>4382</v>
      </c>
      <c r="F338" t="s">
        <v>527</v>
      </c>
      <c r="G338" t="s">
        <v>527</v>
      </c>
      <c r="H338" t="s">
        <v>4474</v>
      </c>
      <c r="N338" t="s">
        <v>33</v>
      </c>
      <c r="O338" s="1">
        <v>1.157407407407407E-4</v>
      </c>
      <c r="P338">
        <v>1</v>
      </c>
      <c r="Q338">
        <v>0</v>
      </c>
      <c r="R338">
        <v>0</v>
      </c>
      <c r="S338">
        <v>0</v>
      </c>
      <c r="T338">
        <v>0</v>
      </c>
      <c r="U338" t="s">
        <v>431</v>
      </c>
      <c r="V338" t="s">
        <v>557</v>
      </c>
    </row>
    <row r="339" spans="1:22" x14ac:dyDescent="0.35">
      <c r="A339" t="s">
        <v>20</v>
      </c>
      <c r="B339">
        <v>17643</v>
      </c>
      <c r="C339" t="s">
        <v>426</v>
      </c>
      <c r="D339" t="s">
        <v>427</v>
      </c>
      <c r="E339" t="s">
        <v>4384</v>
      </c>
      <c r="F339" t="s">
        <v>530</v>
      </c>
      <c r="G339" t="s">
        <v>530</v>
      </c>
      <c r="H339" t="s">
        <v>4475</v>
      </c>
      <c r="N339" t="s">
        <v>33</v>
      </c>
      <c r="O339" s="1">
        <v>1.041666666666667E-4</v>
      </c>
      <c r="P339">
        <v>1</v>
      </c>
      <c r="Q339">
        <v>0</v>
      </c>
      <c r="R339">
        <v>0</v>
      </c>
      <c r="S339">
        <v>0</v>
      </c>
      <c r="T339">
        <v>0</v>
      </c>
      <c r="U339" t="s">
        <v>431</v>
      </c>
      <c r="V339" t="s">
        <v>557</v>
      </c>
    </row>
    <row r="340" spans="1:22" x14ac:dyDescent="0.35">
      <c r="A340" t="s">
        <v>20</v>
      </c>
      <c r="B340">
        <v>17643</v>
      </c>
      <c r="C340" t="s">
        <v>426</v>
      </c>
      <c r="D340" t="s">
        <v>427</v>
      </c>
      <c r="E340" t="s">
        <v>4386</v>
      </c>
      <c r="F340" t="s">
        <v>645</v>
      </c>
      <c r="G340" t="s">
        <v>645</v>
      </c>
      <c r="H340" t="s">
        <v>4476</v>
      </c>
      <c r="N340" t="s">
        <v>33</v>
      </c>
      <c r="O340" s="1">
        <v>4.6296296296296287E-5</v>
      </c>
      <c r="P340">
        <v>1</v>
      </c>
      <c r="Q340">
        <v>0</v>
      </c>
      <c r="R340">
        <v>0</v>
      </c>
      <c r="S340">
        <v>0</v>
      </c>
      <c r="T340">
        <v>0</v>
      </c>
      <c r="U340" t="s">
        <v>431</v>
      </c>
      <c r="V340" t="s">
        <v>557</v>
      </c>
    </row>
    <row r="341" spans="1:22" x14ac:dyDescent="0.35">
      <c r="A341" t="s">
        <v>20</v>
      </c>
      <c r="B341">
        <v>17643</v>
      </c>
      <c r="C341" t="s">
        <v>426</v>
      </c>
      <c r="D341" t="s">
        <v>427</v>
      </c>
      <c r="E341" t="s">
        <v>4388</v>
      </c>
      <c r="F341" t="s">
        <v>533</v>
      </c>
      <c r="G341" t="s">
        <v>533</v>
      </c>
      <c r="H341" t="s">
        <v>4477</v>
      </c>
      <c r="N341" t="s">
        <v>33</v>
      </c>
      <c r="O341" s="1">
        <v>7.0601851851851847E-4</v>
      </c>
      <c r="P341">
        <v>0</v>
      </c>
      <c r="Q341">
        <v>0</v>
      </c>
      <c r="R341">
        <v>0</v>
      </c>
      <c r="S341">
        <v>0</v>
      </c>
      <c r="T341">
        <v>1</v>
      </c>
      <c r="U341" t="s">
        <v>431</v>
      </c>
      <c r="V341" t="s">
        <v>557</v>
      </c>
    </row>
    <row r="342" spans="1:22" x14ac:dyDescent="0.35">
      <c r="A342" t="s">
        <v>20</v>
      </c>
      <c r="B342">
        <v>17643</v>
      </c>
      <c r="C342" t="s">
        <v>426</v>
      </c>
      <c r="D342" t="s">
        <v>427</v>
      </c>
      <c r="E342" t="s">
        <v>4390</v>
      </c>
      <c r="F342" t="s">
        <v>536</v>
      </c>
      <c r="G342" t="s">
        <v>536</v>
      </c>
      <c r="H342" t="s">
        <v>4478</v>
      </c>
      <c r="N342" t="s">
        <v>33</v>
      </c>
      <c r="O342" s="1">
        <v>3.4722222222222218E-4</v>
      </c>
      <c r="P342">
        <v>0</v>
      </c>
      <c r="Q342">
        <v>0</v>
      </c>
      <c r="R342">
        <v>1</v>
      </c>
      <c r="S342">
        <v>0</v>
      </c>
      <c r="T342">
        <v>0</v>
      </c>
      <c r="U342" t="s">
        <v>431</v>
      </c>
      <c r="V342" t="s">
        <v>557</v>
      </c>
    </row>
    <row r="343" spans="1:22" x14ac:dyDescent="0.35">
      <c r="A343" t="s">
        <v>20</v>
      </c>
      <c r="B343">
        <v>17643</v>
      </c>
      <c r="C343" t="s">
        <v>426</v>
      </c>
      <c r="D343" t="s">
        <v>427</v>
      </c>
      <c r="E343" t="s">
        <v>4392</v>
      </c>
      <c r="F343" t="s">
        <v>3988</v>
      </c>
      <c r="G343" t="s">
        <v>3988</v>
      </c>
      <c r="H343" t="s">
        <v>4479</v>
      </c>
      <c r="N343" t="s">
        <v>33</v>
      </c>
      <c r="O343" s="1">
        <v>6.4814814814814813E-4</v>
      </c>
      <c r="P343">
        <v>0</v>
      </c>
      <c r="Q343">
        <v>0</v>
      </c>
      <c r="R343">
        <v>0</v>
      </c>
      <c r="S343">
        <v>1</v>
      </c>
      <c r="T343">
        <v>0</v>
      </c>
      <c r="U343" t="s">
        <v>431</v>
      </c>
      <c r="V343" t="s">
        <v>557</v>
      </c>
    </row>
    <row r="344" spans="1:22" x14ac:dyDescent="0.35">
      <c r="A344" t="s">
        <v>20</v>
      </c>
      <c r="B344">
        <v>17643</v>
      </c>
      <c r="C344" t="s">
        <v>426</v>
      </c>
      <c r="D344" t="s">
        <v>427</v>
      </c>
      <c r="E344" t="s">
        <v>4394</v>
      </c>
      <c r="F344" t="s">
        <v>4480</v>
      </c>
      <c r="G344" t="s">
        <v>4480</v>
      </c>
      <c r="H344" t="s">
        <v>4481</v>
      </c>
      <c r="N344" t="s">
        <v>33</v>
      </c>
      <c r="O344" s="1">
        <v>4.7453703703703698E-4</v>
      </c>
      <c r="P344">
        <v>0</v>
      </c>
      <c r="Q344">
        <v>0</v>
      </c>
      <c r="R344">
        <v>0</v>
      </c>
      <c r="S344">
        <v>1</v>
      </c>
      <c r="T344">
        <v>0</v>
      </c>
      <c r="U344" t="s">
        <v>431</v>
      </c>
      <c r="V344" t="s">
        <v>557</v>
      </c>
    </row>
    <row r="345" spans="1:22" x14ac:dyDescent="0.35">
      <c r="A345" t="s">
        <v>20</v>
      </c>
      <c r="B345">
        <v>17643</v>
      </c>
      <c r="C345" t="s">
        <v>426</v>
      </c>
      <c r="D345" t="s">
        <v>427</v>
      </c>
      <c r="E345" t="s">
        <v>4396</v>
      </c>
      <c r="F345" t="s">
        <v>651</v>
      </c>
      <c r="G345" t="s">
        <v>651</v>
      </c>
      <c r="H345" t="s">
        <v>4482</v>
      </c>
      <c r="N345" t="s">
        <v>33</v>
      </c>
      <c r="O345" s="1">
        <v>2.4305555555555549E-4</v>
      </c>
      <c r="P345">
        <v>0</v>
      </c>
      <c r="Q345">
        <v>0</v>
      </c>
      <c r="R345">
        <v>1</v>
      </c>
      <c r="S345">
        <v>0</v>
      </c>
      <c r="T345">
        <v>0</v>
      </c>
      <c r="U345" t="s">
        <v>431</v>
      </c>
      <c r="V345" t="s">
        <v>557</v>
      </c>
    </row>
    <row r="346" spans="1:22" x14ac:dyDescent="0.35">
      <c r="A346" t="s">
        <v>20</v>
      </c>
      <c r="B346">
        <v>17643</v>
      </c>
      <c r="C346" t="s">
        <v>426</v>
      </c>
      <c r="D346" t="s">
        <v>427</v>
      </c>
      <c r="E346" t="s">
        <v>4398</v>
      </c>
      <c r="F346" t="s">
        <v>4483</v>
      </c>
      <c r="G346" t="s">
        <v>4483</v>
      </c>
      <c r="H346" t="s">
        <v>4484</v>
      </c>
      <c r="N346" t="s">
        <v>33</v>
      </c>
      <c r="O346" s="1">
        <v>8.564814814814815E-4</v>
      </c>
      <c r="P346">
        <v>0</v>
      </c>
      <c r="Q346">
        <v>0</v>
      </c>
      <c r="R346">
        <v>0</v>
      </c>
      <c r="S346">
        <v>0</v>
      </c>
      <c r="T346">
        <v>1</v>
      </c>
      <c r="U346" t="s">
        <v>431</v>
      </c>
      <c r="V346" t="s">
        <v>557</v>
      </c>
    </row>
    <row r="347" spans="1:22" x14ac:dyDescent="0.35">
      <c r="A347" t="s">
        <v>20</v>
      </c>
      <c r="B347">
        <v>17643</v>
      </c>
      <c r="C347" t="s">
        <v>426</v>
      </c>
      <c r="D347" t="s">
        <v>427</v>
      </c>
      <c r="E347" t="s">
        <v>4400</v>
      </c>
      <c r="F347" t="s">
        <v>4485</v>
      </c>
      <c r="G347" t="s">
        <v>4485</v>
      </c>
      <c r="H347" t="s">
        <v>4486</v>
      </c>
      <c r="N347" t="s">
        <v>33</v>
      </c>
      <c r="O347" s="1">
        <v>5.7870370370370367E-4</v>
      </c>
      <c r="P347">
        <v>0</v>
      </c>
      <c r="Q347">
        <v>0</v>
      </c>
      <c r="R347">
        <v>0</v>
      </c>
      <c r="S347">
        <v>1</v>
      </c>
      <c r="T347">
        <v>0</v>
      </c>
      <c r="U347" t="s">
        <v>431</v>
      </c>
      <c r="V347" t="s">
        <v>557</v>
      </c>
    </row>
    <row r="348" spans="1:22" x14ac:dyDescent="0.35">
      <c r="A348" t="s">
        <v>20</v>
      </c>
      <c r="B348">
        <v>17643</v>
      </c>
      <c r="C348" t="s">
        <v>426</v>
      </c>
      <c r="D348" t="s">
        <v>427</v>
      </c>
      <c r="E348" t="s">
        <v>4402</v>
      </c>
      <c r="F348" t="s">
        <v>4487</v>
      </c>
      <c r="G348" t="s">
        <v>4487</v>
      </c>
      <c r="H348" t="s">
        <v>4488</v>
      </c>
      <c r="N348" t="s">
        <v>33</v>
      </c>
      <c r="O348" s="1">
        <v>9.3749999999999997E-4</v>
      </c>
      <c r="P348">
        <v>0</v>
      </c>
      <c r="Q348">
        <v>0</v>
      </c>
      <c r="R348">
        <v>0</v>
      </c>
      <c r="S348">
        <v>0</v>
      </c>
      <c r="T348">
        <v>1</v>
      </c>
      <c r="U348" t="s">
        <v>431</v>
      </c>
      <c r="V348" t="s">
        <v>557</v>
      </c>
    </row>
    <row r="349" spans="1:22" x14ac:dyDescent="0.35">
      <c r="A349" t="s">
        <v>20</v>
      </c>
      <c r="B349">
        <v>17643</v>
      </c>
      <c r="C349" t="s">
        <v>426</v>
      </c>
      <c r="D349" t="s">
        <v>427</v>
      </c>
      <c r="E349" t="s">
        <v>4404</v>
      </c>
      <c r="F349" t="s">
        <v>4489</v>
      </c>
      <c r="G349" t="s">
        <v>4489</v>
      </c>
      <c r="H349" t="s">
        <v>4490</v>
      </c>
      <c r="N349" t="s">
        <v>33</v>
      </c>
      <c r="O349" s="1">
        <v>4.7453703703703698E-4</v>
      </c>
      <c r="P349">
        <v>0</v>
      </c>
      <c r="Q349">
        <v>0</v>
      </c>
      <c r="R349">
        <v>0</v>
      </c>
      <c r="S349">
        <v>1</v>
      </c>
      <c r="T349">
        <v>0</v>
      </c>
      <c r="U349" t="s">
        <v>431</v>
      </c>
      <c r="V349" t="s">
        <v>557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8"/>
  <sheetViews>
    <sheetView workbookViewId="0">
      <selection activeCell="I2" sqref="I2:I11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  <c r="M1" t="s">
        <v>15</v>
      </c>
      <c r="N1" t="s">
        <v>19</v>
      </c>
      <c r="O1" t="s">
        <v>4711</v>
      </c>
    </row>
    <row r="2" spans="1:15" x14ac:dyDescent="0.35">
      <c r="A2" t="s">
        <v>20</v>
      </c>
      <c r="B2">
        <v>17644</v>
      </c>
      <c r="C2" t="s">
        <v>21</v>
      </c>
      <c r="D2" t="s">
        <v>22</v>
      </c>
      <c r="E2" t="s">
        <v>4712</v>
      </c>
      <c r="F2" t="s">
        <v>4713</v>
      </c>
      <c r="G2" t="s">
        <v>4714</v>
      </c>
      <c r="H2" t="s">
        <v>4715</v>
      </c>
      <c r="I2" t="s">
        <v>27</v>
      </c>
      <c r="K2" t="s">
        <v>28</v>
      </c>
      <c r="L2" t="s">
        <v>4716</v>
      </c>
      <c r="M2" t="s">
        <v>33</v>
      </c>
      <c r="O2">
        <v>516</v>
      </c>
    </row>
    <row r="3" spans="1:15" x14ac:dyDescent="0.35">
      <c r="A3" t="s">
        <v>20</v>
      </c>
      <c r="B3">
        <v>17644</v>
      </c>
      <c r="C3" t="s">
        <v>21</v>
      </c>
      <c r="D3" t="s">
        <v>22</v>
      </c>
      <c r="E3" t="s">
        <v>4717</v>
      </c>
      <c r="F3" t="s">
        <v>4718</v>
      </c>
      <c r="G3" t="s">
        <v>4719</v>
      </c>
      <c r="H3" t="s">
        <v>4720</v>
      </c>
      <c r="I3" t="s">
        <v>27</v>
      </c>
      <c r="K3" t="s">
        <v>28</v>
      </c>
      <c r="L3" t="s">
        <v>4721</v>
      </c>
      <c r="M3" t="s">
        <v>33</v>
      </c>
      <c r="O3">
        <v>524</v>
      </c>
    </row>
    <row r="4" spans="1:15" x14ac:dyDescent="0.35">
      <c r="A4" t="s">
        <v>20</v>
      </c>
      <c r="B4">
        <v>17644</v>
      </c>
      <c r="C4" t="s">
        <v>21</v>
      </c>
      <c r="D4" t="s">
        <v>22</v>
      </c>
      <c r="E4" t="s">
        <v>4722</v>
      </c>
      <c r="F4" t="s">
        <v>4723</v>
      </c>
      <c r="G4" t="s">
        <v>4724</v>
      </c>
      <c r="H4" t="s">
        <v>4725</v>
      </c>
      <c r="I4" t="s">
        <v>27</v>
      </c>
      <c r="K4" t="s">
        <v>61</v>
      </c>
      <c r="L4" t="s">
        <v>4726</v>
      </c>
      <c r="M4" t="s">
        <v>33</v>
      </c>
      <c r="O4">
        <v>995</v>
      </c>
    </row>
    <row r="5" spans="1:15" x14ac:dyDescent="0.35">
      <c r="A5" t="s">
        <v>20</v>
      </c>
      <c r="B5">
        <v>17644</v>
      </c>
      <c r="C5" t="s">
        <v>21</v>
      </c>
      <c r="D5" t="s">
        <v>22</v>
      </c>
      <c r="E5" t="s">
        <v>4727</v>
      </c>
      <c r="F5" t="s">
        <v>4728</v>
      </c>
      <c r="G5" t="s">
        <v>4729</v>
      </c>
      <c r="H5" t="s">
        <v>4730</v>
      </c>
      <c r="I5" t="s">
        <v>27</v>
      </c>
      <c r="K5" t="s">
        <v>61</v>
      </c>
      <c r="L5" t="s">
        <v>4721</v>
      </c>
      <c r="M5" t="s">
        <v>33</v>
      </c>
      <c r="O5">
        <v>1004</v>
      </c>
    </row>
    <row r="6" spans="1:15" x14ac:dyDescent="0.35">
      <c r="A6" t="s">
        <v>20</v>
      </c>
      <c r="B6">
        <v>17644</v>
      </c>
      <c r="C6" t="s">
        <v>21</v>
      </c>
      <c r="D6" t="s">
        <v>22</v>
      </c>
      <c r="E6" t="s">
        <v>4731</v>
      </c>
      <c r="F6" t="s">
        <v>4732</v>
      </c>
      <c r="G6" t="s">
        <v>4733</v>
      </c>
      <c r="H6" t="s">
        <v>4734</v>
      </c>
      <c r="I6" t="s">
        <v>27</v>
      </c>
      <c r="K6" t="s">
        <v>61</v>
      </c>
      <c r="L6" t="s">
        <v>4721</v>
      </c>
      <c r="M6" t="s">
        <v>33</v>
      </c>
      <c r="O6">
        <v>1008</v>
      </c>
    </row>
    <row r="7" spans="1:15" x14ac:dyDescent="0.35">
      <c r="A7" t="s">
        <v>20</v>
      </c>
      <c r="B7">
        <v>17644</v>
      </c>
      <c r="C7" t="s">
        <v>21</v>
      </c>
      <c r="D7" t="s">
        <v>22</v>
      </c>
      <c r="E7" t="s">
        <v>4735</v>
      </c>
      <c r="F7" t="s">
        <v>4736</v>
      </c>
      <c r="G7" t="s">
        <v>4737</v>
      </c>
      <c r="H7" t="s">
        <v>4738</v>
      </c>
      <c r="I7" t="s">
        <v>27</v>
      </c>
      <c r="K7" t="s">
        <v>61</v>
      </c>
      <c r="L7" t="s">
        <v>4721</v>
      </c>
      <c r="M7" t="s">
        <v>33</v>
      </c>
      <c r="O7">
        <v>1013</v>
      </c>
    </row>
    <row r="8" spans="1:15" x14ac:dyDescent="0.35">
      <c r="A8" t="s">
        <v>20</v>
      </c>
      <c r="B8">
        <v>17644</v>
      </c>
      <c r="C8" t="s">
        <v>21</v>
      </c>
      <c r="D8" t="s">
        <v>22</v>
      </c>
      <c r="E8" t="s">
        <v>4739</v>
      </c>
      <c r="F8" t="s">
        <v>4740</v>
      </c>
      <c r="G8" t="s">
        <v>4741</v>
      </c>
      <c r="H8" t="s">
        <v>4742</v>
      </c>
      <c r="I8" t="s">
        <v>27</v>
      </c>
      <c r="K8" t="s">
        <v>61</v>
      </c>
      <c r="L8" t="s">
        <v>4721</v>
      </c>
      <c r="M8" t="s">
        <v>33</v>
      </c>
      <c r="O8">
        <v>1022</v>
      </c>
    </row>
    <row r="9" spans="1:15" x14ac:dyDescent="0.35">
      <c r="A9" t="s">
        <v>20</v>
      </c>
      <c r="B9">
        <v>17644</v>
      </c>
      <c r="C9" t="s">
        <v>21</v>
      </c>
      <c r="D9" t="s">
        <v>22</v>
      </c>
      <c r="E9" t="s">
        <v>4743</v>
      </c>
      <c r="F9" t="s">
        <v>4744</v>
      </c>
      <c r="G9" t="s">
        <v>4745</v>
      </c>
      <c r="H9" t="s">
        <v>4746</v>
      </c>
      <c r="I9" t="s">
        <v>27</v>
      </c>
      <c r="K9" t="s">
        <v>61</v>
      </c>
      <c r="L9" t="s">
        <v>4721</v>
      </c>
      <c r="M9" t="s">
        <v>33</v>
      </c>
      <c r="O9">
        <v>1032</v>
      </c>
    </row>
    <row r="10" spans="1:15" x14ac:dyDescent="0.35">
      <c r="A10" t="s">
        <v>20</v>
      </c>
      <c r="B10">
        <v>17644</v>
      </c>
      <c r="C10" t="s">
        <v>21</v>
      </c>
      <c r="D10" t="s">
        <v>22</v>
      </c>
      <c r="E10" t="s">
        <v>4747</v>
      </c>
      <c r="F10" t="s">
        <v>4748</v>
      </c>
      <c r="G10" t="s">
        <v>4749</v>
      </c>
      <c r="H10" t="s">
        <v>4750</v>
      </c>
      <c r="I10" t="s">
        <v>27</v>
      </c>
      <c r="K10" t="s">
        <v>61</v>
      </c>
      <c r="L10" t="s">
        <v>4726</v>
      </c>
      <c r="M10" t="s">
        <v>33</v>
      </c>
      <c r="O10">
        <v>1039</v>
      </c>
    </row>
    <row r="11" spans="1:15" x14ac:dyDescent="0.35">
      <c r="A11" t="s">
        <v>20</v>
      </c>
      <c r="B11">
        <v>17644</v>
      </c>
      <c r="C11" t="s">
        <v>21</v>
      </c>
      <c r="D11" t="s">
        <v>22</v>
      </c>
      <c r="E11" t="s">
        <v>4751</v>
      </c>
      <c r="F11" t="s">
        <v>4752</v>
      </c>
      <c r="G11" t="s">
        <v>4753</v>
      </c>
      <c r="H11" t="s">
        <v>4754</v>
      </c>
      <c r="I11" t="s">
        <v>27</v>
      </c>
      <c r="K11" t="s">
        <v>61</v>
      </c>
      <c r="L11" t="s">
        <v>4726</v>
      </c>
      <c r="M11" t="s">
        <v>33</v>
      </c>
      <c r="O11">
        <v>1049</v>
      </c>
    </row>
    <row r="12" spans="1:15" x14ac:dyDescent="0.35">
      <c r="A12" t="s">
        <v>20</v>
      </c>
      <c r="B12">
        <v>17644</v>
      </c>
      <c r="C12" t="s">
        <v>21</v>
      </c>
      <c r="D12" t="s">
        <v>22</v>
      </c>
      <c r="E12" t="s">
        <v>4755</v>
      </c>
      <c r="F12" t="s">
        <v>4756</v>
      </c>
      <c r="G12" t="s">
        <v>4757</v>
      </c>
      <c r="H12" t="s">
        <v>4758</v>
      </c>
      <c r="I12" t="s">
        <v>27</v>
      </c>
      <c r="K12" t="s">
        <v>61</v>
      </c>
      <c r="L12" t="s">
        <v>4726</v>
      </c>
      <c r="M12" t="s">
        <v>33</v>
      </c>
      <c r="O12">
        <v>1062</v>
      </c>
    </row>
    <row r="13" spans="1:15" x14ac:dyDescent="0.35">
      <c r="A13" t="s">
        <v>20</v>
      </c>
      <c r="B13">
        <v>17644</v>
      </c>
      <c r="C13" t="s">
        <v>21</v>
      </c>
      <c r="D13" t="s">
        <v>22</v>
      </c>
      <c r="E13" t="s">
        <v>4759</v>
      </c>
      <c r="F13" t="s">
        <v>4760</v>
      </c>
      <c r="G13" t="s">
        <v>4761</v>
      </c>
      <c r="H13" t="s">
        <v>4762</v>
      </c>
      <c r="I13" t="s">
        <v>27</v>
      </c>
      <c r="K13" t="s">
        <v>61</v>
      </c>
      <c r="L13" t="s">
        <v>4721</v>
      </c>
      <c r="M13" t="s">
        <v>33</v>
      </c>
      <c r="O13">
        <v>1066</v>
      </c>
    </row>
    <row r="14" spans="1:15" x14ac:dyDescent="0.35">
      <c r="A14" t="s">
        <v>20</v>
      </c>
      <c r="B14">
        <v>17644</v>
      </c>
      <c r="C14" t="s">
        <v>21</v>
      </c>
      <c r="D14" t="s">
        <v>22</v>
      </c>
      <c r="E14" t="s">
        <v>4763</v>
      </c>
      <c r="F14" t="s">
        <v>4764</v>
      </c>
      <c r="G14" t="s">
        <v>4765</v>
      </c>
      <c r="H14" t="s">
        <v>4766</v>
      </c>
      <c r="I14" t="s">
        <v>27</v>
      </c>
      <c r="K14" t="s">
        <v>61</v>
      </c>
      <c r="L14" t="s">
        <v>4716</v>
      </c>
      <c r="M14" t="s">
        <v>33</v>
      </c>
      <c r="O14">
        <v>1076</v>
      </c>
    </row>
    <row r="15" spans="1:15" x14ac:dyDescent="0.35">
      <c r="A15" t="s">
        <v>20</v>
      </c>
      <c r="B15">
        <v>17644</v>
      </c>
      <c r="C15" t="s">
        <v>21</v>
      </c>
      <c r="D15" t="s">
        <v>22</v>
      </c>
      <c r="E15" t="s">
        <v>4767</v>
      </c>
      <c r="F15" t="s">
        <v>4768</v>
      </c>
      <c r="G15" t="s">
        <v>4769</v>
      </c>
      <c r="H15" t="s">
        <v>4770</v>
      </c>
      <c r="I15" t="s">
        <v>27</v>
      </c>
      <c r="K15" t="s">
        <v>61</v>
      </c>
      <c r="L15" t="s">
        <v>4721</v>
      </c>
      <c r="M15" t="s">
        <v>33</v>
      </c>
      <c r="O15">
        <v>1083</v>
      </c>
    </row>
    <row r="16" spans="1:15" x14ac:dyDescent="0.35">
      <c r="A16" t="s">
        <v>20</v>
      </c>
      <c r="B16">
        <v>17644</v>
      </c>
      <c r="C16" t="s">
        <v>21</v>
      </c>
      <c r="D16" t="s">
        <v>22</v>
      </c>
      <c r="E16" t="s">
        <v>4771</v>
      </c>
      <c r="F16" t="s">
        <v>4772</v>
      </c>
      <c r="G16" t="s">
        <v>4773</v>
      </c>
      <c r="H16" t="s">
        <v>4774</v>
      </c>
      <c r="I16" t="s">
        <v>27</v>
      </c>
      <c r="K16" t="s">
        <v>61</v>
      </c>
      <c r="L16" t="s">
        <v>4721</v>
      </c>
      <c r="M16" t="s">
        <v>33</v>
      </c>
      <c r="O16">
        <v>1086</v>
      </c>
    </row>
    <row r="17" spans="1:15" x14ac:dyDescent="0.35">
      <c r="A17" t="s">
        <v>20</v>
      </c>
      <c r="B17">
        <v>17644</v>
      </c>
      <c r="C17" t="s">
        <v>21</v>
      </c>
      <c r="D17" t="s">
        <v>22</v>
      </c>
      <c r="E17" t="s">
        <v>4775</v>
      </c>
      <c r="F17" t="s">
        <v>4776</v>
      </c>
      <c r="G17" t="s">
        <v>4777</v>
      </c>
      <c r="H17" t="s">
        <v>4778</v>
      </c>
      <c r="I17" t="s">
        <v>27</v>
      </c>
      <c r="K17" t="s">
        <v>61</v>
      </c>
      <c r="L17" t="s">
        <v>4721</v>
      </c>
      <c r="M17" t="s">
        <v>33</v>
      </c>
      <c r="O17">
        <v>1090</v>
      </c>
    </row>
    <row r="18" spans="1:15" x14ac:dyDescent="0.35">
      <c r="A18" t="s">
        <v>20</v>
      </c>
      <c r="B18">
        <v>17644</v>
      </c>
      <c r="C18" t="s">
        <v>21</v>
      </c>
      <c r="D18" t="s">
        <v>22</v>
      </c>
      <c r="E18" t="s">
        <v>4779</v>
      </c>
      <c r="F18" t="s">
        <v>4780</v>
      </c>
      <c r="G18" t="s">
        <v>4781</v>
      </c>
      <c r="H18" t="s">
        <v>4782</v>
      </c>
      <c r="I18" t="s">
        <v>27</v>
      </c>
      <c r="K18" t="s">
        <v>61</v>
      </c>
      <c r="L18" t="s">
        <v>4721</v>
      </c>
      <c r="M18" t="s">
        <v>33</v>
      </c>
      <c r="O18">
        <v>1096</v>
      </c>
    </row>
    <row r="19" spans="1:15" x14ac:dyDescent="0.35">
      <c r="A19" t="s">
        <v>20</v>
      </c>
      <c r="B19">
        <v>17644</v>
      </c>
      <c r="C19" t="s">
        <v>21</v>
      </c>
      <c r="D19" t="s">
        <v>22</v>
      </c>
      <c r="E19" t="s">
        <v>4783</v>
      </c>
      <c r="F19" t="s">
        <v>4784</v>
      </c>
      <c r="G19" t="s">
        <v>4785</v>
      </c>
      <c r="H19" t="s">
        <v>4786</v>
      </c>
      <c r="I19" t="s">
        <v>27</v>
      </c>
      <c r="K19" t="s">
        <v>46</v>
      </c>
      <c r="L19" t="s">
        <v>4716</v>
      </c>
      <c r="M19" t="s">
        <v>33</v>
      </c>
      <c r="O19">
        <v>1183</v>
      </c>
    </row>
    <row r="20" spans="1:15" x14ac:dyDescent="0.35">
      <c r="A20" t="s">
        <v>20</v>
      </c>
      <c r="B20">
        <v>17644</v>
      </c>
      <c r="C20" t="s">
        <v>21</v>
      </c>
      <c r="D20" t="s">
        <v>22</v>
      </c>
      <c r="E20" t="s">
        <v>4787</v>
      </c>
      <c r="F20" t="s">
        <v>4788</v>
      </c>
      <c r="G20" t="s">
        <v>4789</v>
      </c>
      <c r="H20" t="s">
        <v>4790</v>
      </c>
      <c r="I20" t="s">
        <v>27</v>
      </c>
      <c r="K20" t="s">
        <v>28</v>
      </c>
      <c r="L20" t="s">
        <v>4721</v>
      </c>
      <c r="M20" t="s">
        <v>33</v>
      </c>
      <c r="O20">
        <v>1232</v>
      </c>
    </row>
    <row r="21" spans="1:15" x14ac:dyDescent="0.35">
      <c r="A21" t="s">
        <v>20</v>
      </c>
      <c r="B21">
        <v>17644</v>
      </c>
      <c r="C21" t="s">
        <v>21</v>
      </c>
      <c r="D21" t="s">
        <v>22</v>
      </c>
      <c r="E21" t="s">
        <v>4791</v>
      </c>
      <c r="F21" t="s">
        <v>4792</v>
      </c>
      <c r="G21" t="s">
        <v>4793</v>
      </c>
      <c r="H21" t="s">
        <v>4794</v>
      </c>
      <c r="I21" t="s">
        <v>27</v>
      </c>
      <c r="K21" t="s">
        <v>46</v>
      </c>
      <c r="L21" t="s">
        <v>4716</v>
      </c>
      <c r="M21" t="s">
        <v>33</v>
      </c>
      <c r="O21">
        <v>1751</v>
      </c>
    </row>
    <row r="22" spans="1:15" x14ac:dyDescent="0.35">
      <c r="A22" t="s">
        <v>20</v>
      </c>
      <c r="B22">
        <v>17644</v>
      </c>
      <c r="C22" t="s">
        <v>21</v>
      </c>
      <c r="D22" t="s">
        <v>22</v>
      </c>
      <c r="E22" t="s">
        <v>4795</v>
      </c>
      <c r="F22" t="s">
        <v>4796</v>
      </c>
      <c r="G22" t="s">
        <v>4797</v>
      </c>
      <c r="H22" t="s">
        <v>4798</v>
      </c>
      <c r="I22" t="s">
        <v>27</v>
      </c>
      <c r="K22" t="s">
        <v>46</v>
      </c>
      <c r="L22" t="s">
        <v>4799</v>
      </c>
      <c r="M22" t="s">
        <v>33</v>
      </c>
      <c r="O22">
        <v>1766</v>
      </c>
    </row>
    <row r="23" spans="1:15" x14ac:dyDescent="0.35">
      <c r="A23" t="s">
        <v>20</v>
      </c>
      <c r="B23">
        <v>17644</v>
      </c>
      <c r="C23" t="s">
        <v>21</v>
      </c>
      <c r="D23" t="s">
        <v>22</v>
      </c>
      <c r="E23" t="s">
        <v>4800</v>
      </c>
      <c r="F23" t="s">
        <v>4801</v>
      </c>
      <c r="G23" t="s">
        <v>4802</v>
      </c>
      <c r="H23" t="s">
        <v>4803</v>
      </c>
      <c r="I23" t="s">
        <v>27</v>
      </c>
      <c r="K23" t="s">
        <v>28</v>
      </c>
      <c r="L23" t="s">
        <v>4721</v>
      </c>
      <c r="M23" t="s">
        <v>33</v>
      </c>
      <c r="O23">
        <v>1795</v>
      </c>
    </row>
    <row r="24" spans="1:15" x14ac:dyDescent="0.35">
      <c r="A24" t="s">
        <v>20</v>
      </c>
      <c r="B24">
        <v>17644</v>
      </c>
      <c r="C24" t="s">
        <v>21</v>
      </c>
      <c r="D24" t="s">
        <v>22</v>
      </c>
      <c r="E24" t="s">
        <v>4804</v>
      </c>
      <c r="F24" t="s">
        <v>4805</v>
      </c>
      <c r="G24" t="s">
        <v>4806</v>
      </c>
      <c r="H24" t="s">
        <v>4807</v>
      </c>
      <c r="I24" t="s">
        <v>27</v>
      </c>
      <c r="K24" t="s">
        <v>28</v>
      </c>
      <c r="L24" t="s">
        <v>4721</v>
      </c>
      <c r="M24" t="s">
        <v>33</v>
      </c>
      <c r="O24">
        <v>1806</v>
      </c>
    </row>
    <row r="25" spans="1:15" x14ac:dyDescent="0.35">
      <c r="A25" t="s">
        <v>20</v>
      </c>
      <c r="B25">
        <v>17644</v>
      </c>
      <c r="C25" t="s">
        <v>21</v>
      </c>
      <c r="D25" t="s">
        <v>22</v>
      </c>
      <c r="E25" t="s">
        <v>4808</v>
      </c>
      <c r="F25" t="s">
        <v>4809</v>
      </c>
      <c r="G25" t="s">
        <v>4810</v>
      </c>
      <c r="H25" t="s">
        <v>4811</v>
      </c>
      <c r="I25" t="s">
        <v>27</v>
      </c>
      <c r="K25" t="s">
        <v>28</v>
      </c>
      <c r="L25" t="s">
        <v>4726</v>
      </c>
      <c r="M25" t="s">
        <v>33</v>
      </c>
      <c r="O25">
        <v>1811</v>
      </c>
    </row>
    <row r="26" spans="1:15" x14ac:dyDescent="0.35">
      <c r="A26" t="s">
        <v>20</v>
      </c>
      <c r="B26">
        <v>17644</v>
      </c>
      <c r="C26" t="s">
        <v>21</v>
      </c>
      <c r="D26" t="s">
        <v>22</v>
      </c>
      <c r="E26" t="s">
        <v>4812</v>
      </c>
      <c r="F26" t="s">
        <v>4813</v>
      </c>
      <c r="G26" t="s">
        <v>4814</v>
      </c>
      <c r="H26" t="s">
        <v>4815</v>
      </c>
      <c r="I26" t="s">
        <v>27</v>
      </c>
      <c r="K26" t="s">
        <v>28</v>
      </c>
      <c r="L26" t="s">
        <v>4721</v>
      </c>
      <c r="M26" t="s">
        <v>33</v>
      </c>
      <c r="O26">
        <v>1819</v>
      </c>
    </row>
    <row r="27" spans="1:15" x14ac:dyDescent="0.35">
      <c r="A27" t="s">
        <v>20</v>
      </c>
      <c r="B27">
        <v>17644</v>
      </c>
      <c r="C27" t="s">
        <v>21</v>
      </c>
      <c r="D27" t="s">
        <v>22</v>
      </c>
      <c r="E27" t="s">
        <v>4816</v>
      </c>
      <c r="F27" t="s">
        <v>4817</v>
      </c>
      <c r="G27" t="s">
        <v>4818</v>
      </c>
      <c r="H27" t="s">
        <v>4819</v>
      </c>
      <c r="I27" t="s">
        <v>27</v>
      </c>
      <c r="K27" t="s">
        <v>61</v>
      </c>
      <c r="L27" t="s">
        <v>4721</v>
      </c>
      <c r="M27" t="s">
        <v>33</v>
      </c>
      <c r="O27">
        <v>1825</v>
      </c>
    </row>
    <row r="28" spans="1:15" x14ac:dyDescent="0.35">
      <c r="A28" t="s">
        <v>20</v>
      </c>
      <c r="B28">
        <v>17644</v>
      </c>
      <c r="C28" t="s">
        <v>21</v>
      </c>
      <c r="D28" t="s">
        <v>22</v>
      </c>
      <c r="E28" t="s">
        <v>4820</v>
      </c>
      <c r="F28" t="s">
        <v>4821</v>
      </c>
      <c r="G28" t="s">
        <v>4822</v>
      </c>
      <c r="H28" t="s">
        <v>4823</v>
      </c>
      <c r="I28" t="s">
        <v>27</v>
      </c>
      <c r="K28" t="s">
        <v>61</v>
      </c>
      <c r="L28" t="s">
        <v>4716</v>
      </c>
      <c r="M28" t="s">
        <v>33</v>
      </c>
      <c r="O28">
        <v>1835</v>
      </c>
    </row>
    <row r="29" spans="1:15" x14ac:dyDescent="0.35">
      <c r="A29" t="s">
        <v>20</v>
      </c>
      <c r="B29">
        <v>17644</v>
      </c>
      <c r="C29" t="s">
        <v>21</v>
      </c>
      <c r="D29" t="s">
        <v>22</v>
      </c>
      <c r="E29" t="s">
        <v>4824</v>
      </c>
      <c r="F29" t="s">
        <v>4825</v>
      </c>
      <c r="G29" t="s">
        <v>4826</v>
      </c>
      <c r="H29" t="s">
        <v>4827</v>
      </c>
      <c r="I29" t="s">
        <v>27</v>
      </c>
      <c r="K29" t="s">
        <v>61</v>
      </c>
      <c r="L29" t="s">
        <v>4721</v>
      </c>
      <c r="M29" t="s">
        <v>33</v>
      </c>
      <c r="O29">
        <v>1845</v>
      </c>
    </row>
    <row r="30" spans="1:15" x14ac:dyDescent="0.35">
      <c r="A30" t="s">
        <v>20</v>
      </c>
      <c r="B30">
        <v>17644</v>
      </c>
      <c r="C30" t="s">
        <v>21</v>
      </c>
      <c r="D30" t="s">
        <v>22</v>
      </c>
      <c r="E30" t="s">
        <v>4828</v>
      </c>
      <c r="F30" t="s">
        <v>4829</v>
      </c>
      <c r="G30" t="s">
        <v>4830</v>
      </c>
      <c r="H30" t="s">
        <v>4831</v>
      </c>
      <c r="I30" t="s">
        <v>27</v>
      </c>
      <c r="K30" t="s">
        <v>61</v>
      </c>
      <c r="L30" t="s">
        <v>4716</v>
      </c>
      <c r="M30" t="s">
        <v>33</v>
      </c>
      <c r="O30">
        <v>1855</v>
      </c>
    </row>
    <row r="31" spans="1:15" x14ac:dyDescent="0.35">
      <c r="A31" t="s">
        <v>20</v>
      </c>
      <c r="B31">
        <v>17644</v>
      </c>
      <c r="C31" t="s">
        <v>21</v>
      </c>
      <c r="D31" t="s">
        <v>22</v>
      </c>
      <c r="E31" t="s">
        <v>4832</v>
      </c>
      <c r="F31" t="s">
        <v>4833</v>
      </c>
      <c r="G31" t="s">
        <v>4834</v>
      </c>
      <c r="H31" t="s">
        <v>4835</v>
      </c>
      <c r="I31" t="s">
        <v>27</v>
      </c>
      <c r="K31" t="s">
        <v>61</v>
      </c>
      <c r="L31" t="s">
        <v>4716</v>
      </c>
      <c r="M31" t="s">
        <v>33</v>
      </c>
      <c r="O31">
        <v>1863</v>
      </c>
    </row>
    <row r="32" spans="1:15" x14ac:dyDescent="0.35">
      <c r="A32" t="s">
        <v>20</v>
      </c>
      <c r="B32">
        <v>17644</v>
      </c>
      <c r="C32" t="s">
        <v>21</v>
      </c>
      <c r="D32" t="s">
        <v>22</v>
      </c>
      <c r="E32" t="s">
        <v>4836</v>
      </c>
      <c r="F32" t="s">
        <v>4837</v>
      </c>
      <c r="G32" t="s">
        <v>4838</v>
      </c>
      <c r="H32" t="s">
        <v>4839</v>
      </c>
      <c r="I32" t="s">
        <v>27</v>
      </c>
      <c r="K32" t="s">
        <v>61</v>
      </c>
      <c r="L32" t="s">
        <v>4726</v>
      </c>
      <c r="M32" t="s">
        <v>33</v>
      </c>
      <c r="O32">
        <v>1868</v>
      </c>
    </row>
    <row r="33" spans="1:15" x14ac:dyDescent="0.35">
      <c r="A33" t="s">
        <v>20</v>
      </c>
      <c r="B33">
        <v>17644</v>
      </c>
      <c r="C33" t="s">
        <v>21</v>
      </c>
      <c r="D33" t="s">
        <v>22</v>
      </c>
      <c r="E33" t="s">
        <v>4840</v>
      </c>
      <c r="F33" t="s">
        <v>4841</v>
      </c>
      <c r="G33" t="s">
        <v>4842</v>
      </c>
      <c r="H33" t="s">
        <v>4843</v>
      </c>
      <c r="I33" t="s">
        <v>27</v>
      </c>
      <c r="K33" t="s">
        <v>61</v>
      </c>
      <c r="L33" t="s">
        <v>4721</v>
      </c>
      <c r="M33" t="s">
        <v>33</v>
      </c>
      <c r="O33">
        <v>1874</v>
      </c>
    </row>
    <row r="34" spans="1:15" x14ac:dyDescent="0.35">
      <c r="A34" t="s">
        <v>20</v>
      </c>
      <c r="B34">
        <v>17644</v>
      </c>
      <c r="C34" t="s">
        <v>21</v>
      </c>
      <c r="D34" t="s">
        <v>22</v>
      </c>
      <c r="E34" t="s">
        <v>4844</v>
      </c>
      <c r="F34" t="s">
        <v>4845</v>
      </c>
      <c r="G34" t="s">
        <v>4846</v>
      </c>
      <c r="H34" t="s">
        <v>4847</v>
      </c>
      <c r="I34" t="s">
        <v>27</v>
      </c>
      <c r="K34" t="s">
        <v>61</v>
      </c>
      <c r="L34" t="s">
        <v>4721</v>
      </c>
      <c r="M34" t="s">
        <v>33</v>
      </c>
      <c r="O34">
        <v>1884</v>
      </c>
    </row>
    <row r="35" spans="1:15" x14ac:dyDescent="0.35">
      <c r="A35" t="s">
        <v>20</v>
      </c>
      <c r="B35">
        <v>17644</v>
      </c>
      <c r="C35" t="s">
        <v>21</v>
      </c>
      <c r="D35" t="s">
        <v>22</v>
      </c>
      <c r="E35" t="s">
        <v>4848</v>
      </c>
      <c r="F35" t="s">
        <v>4849</v>
      </c>
      <c r="G35" t="s">
        <v>4850</v>
      </c>
      <c r="H35" t="s">
        <v>4851</v>
      </c>
      <c r="I35" t="s">
        <v>27</v>
      </c>
      <c r="K35" t="s">
        <v>61</v>
      </c>
      <c r="L35" t="s">
        <v>4721</v>
      </c>
      <c r="M35" t="s">
        <v>33</v>
      </c>
      <c r="O35">
        <v>1894</v>
      </c>
    </row>
    <row r="36" spans="1:15" x14ac:dyDescent="0.35">
      <c r="A36" t="s">
        <v>20</v>
      </c>
      <c r="B36">
        <v>17644</v>
      </c>
      <c r="C36" t="s">
        <v>21</v>
      </c>
      <c r="D36" t="s">
        <v>22</v>
      </c>
      <c r="E36" t="s">
        <v>4852</v>
      </c>
      <c r="F36" t="s">
        <v>4853</v>
      </c>
      <c r="G36" t="s">
        <v>4854</v>
      </c>
      <c r="H36" t="s">
        <v>4855</v>
      </c>
      <c r="I36" t="s">
        <v>27</v>
      </c>
      <c r="K36" t="s">
        <v>61</v>
      </c>
      <c r="L36" t="s">
        <v>4721</v>
      </c>
      <c r="M36" t="s">
        <v>33</v>
      </c>
      <c r="O36">
        <v>1899</v>
      </c>
    </row>
    <row r="37" spans="1:15" x14ac:dyDescent="0.35">
      <c r="A37" t="s">
        <v>20</v>
      </c>
      <c r="B37">
        <v>17644</v>
      </c>
      <c r="C37" t="s">
        <v>21</v>
      </c>
      <c r="D37" t="s">
        <v>22</v>
      </c>
      <c r="E37" t="s">
        <v>4856</v>
      </c>
      <c r="F37" t="s">
        <v>4857</v>
      </c>
      <c r="G37" t="s">
        <v>4858</v>
      </c>
      <c r="H37" t="s">
        <v>4859</v>
      </c>
      <c r="I37" t="s">
        <v>27</v>
      </c>
      <c r="K37" t="s">
        <v>61</v>
      </c>
      <c r="L37" t="s">
        <v>4721</v>
      </c>
      <c r="M37" t="s">
        <v>33</v>
      </c>
      <c r="O37">
        <v>1909</v>
      </c>
    </row>
    <row r="38" spans="1:15" x14ac:dyDescent="0.35">
      <c r="A38" t="s">
        <v>20</v>
      </c>
      <c r="B38">
        <v>17644</v>
      </c>
      <c r="C38" t="s">
        <v>21</v>
      </c>
      <c r="D38" t="s">
        <v>22</v>
      </c>
      <c r="E38" t="s">
        <v>4860</v>
      </c>
      <c r="F38" t="s">
        <v>4861</v>
      </c>
      <c r="G38" t="s">
        <v>4862</v>
      </c>
      <c r="H38" t="s">
        <v>4863</v>
      </c>
      <c r="I38" t="s">
        <v>27</v>
      </c>
      <c r="K38" t="s">
        <v>61</v>
      </c>
      <c r="L38" t="s">
        <v>4721</v>
      </c>
      <c r="M38" t="s">
        <v>33</v>
      </c>
      <c r="O38">
        <v>1916</v>
      </c>
    </row>
    <row r="39" spans="1:15" x14ac:dyDescent="0.35">
      <c r="A39" t="s">
        <v>20</v>
      </c>
      <c r="B39">
        <v>17644</v>
      </c>
      <c r="C39" t="s">
        <v>21</v>
      </c>
      <c r="D39" t="s">
        <v>22</v>
      </c>
      <c r="E39" t="s">
        <v>4864</v>
      </c>
      <c r="F39" t="s">
        <v>4865</v>
      </c>
      <c r="G39" t="s">
        <v>4866</v>
      </c>
      <c r="H39" t="s">
        <v>4867</v>
      </c>
      <c r="I39" t="s">
        <v>27</v>
      </c>
      <c r="K39" t="s">
        <v>61</v>
      </c>
      <c r="L39" t="s">
        <v>4726</v>
      </c>
      <c r="M39" t="s">
        <v>33</v>
      </c>
      <c r="O39">
        <v>1926</v>
      </c>
    </row>
    <row r="40" spans="1:15" x14ac:dyDescent="0.35">
      <c r="A40" t="s">
        <v>20</v>
      </c>
      <c r="B40">
        <v>17644</v>
      </c>
      <c r="C40" t="s">
        <v>21</v>
      </c>
      <c r="D40" t="s">
        <v>22</v>
      </c>
      <c r="E40" t="s">
        <v>4868</v>
      </c>
      <c r="F40" t="s">
        <v>4869</v>
      </c>
      <c r="G40" t="s">
        <v>4870</v>
      </c>
      <c r="H40" t="s">
        <v>4871</v>
      </c>
      <c r="I40" t="s">
        <v>27</v>
      </c>
      <c r="K40" t="s">
        <v>61</v>
      </c>
      <c r="L40" t="s">
        <v>4726</v>
      </c>
      <c r="M40" t="s">
        <v>33</v>
      </c>
      <c r="O40">
        <v>1935</v>
      </c>
    </row>
    <row r="41" spans="1:15" x14ac:dyDescent="0.35">
      <c r="A41" t="s">
        <v>20</v>
      </c>
      <c r="B41">
        <v>17644</v>
      </c>
      <c r="C41" t="s">
        <v>21</v>
      </c>
      <c r="D41" t="s">
        <v>22</v>
      </c>
      <c r="E41" t="s">
        <v>4872</v>
      </c>
      <c r="F41" t="s">
        <v>4869</v>
      </c>
      <c r="G41" t="s">
        <v>4870</v>
      </c>
      <c r="H41" t="s">
        <v>4871</v>
      </c>
      <c r="I41" t="s">
        <v>27</v>
      </c>
      <c r="M41" t="s">
        <v>33</v>
      </c>
      <c r="O41">
        <v>1935</v>
      </c>
    </row>
    <row r="42" spans="1:15" x14ac:dyDescent="0.35">
      <c r="A42" t="s">
        <v>20</v>
      </c>
      <c r="B42">
        <v>17644</v>
      </c>
      <c r="C42" t="s">
        <v>21</v>
      </c>
      <c r="D42" t="s">
        <v>22</v>
      </c>
      <c r="E42" t="s">
        <v>4873</v>
      </c>
      <c r="F42" t="s">
        <v>4869</v>
      </c>
      <c r="G42" t="s">
        <v>4870</v>
      </c>
      <c r="H42" t="s">
        <v>4871</v>
      </c>
      <c r="I42" t="s">
        <v>27</v>
      </c>
      <c r="M42" t="s">
        <v>33</v>
      </c>
      <c r="O42">
        <v>1935</v>
      </c>
    </row>
    <row r="43" spans="1:15" x14ac:dyDescent="0.35">
      <c r="A43" t="s">
        <v>20</v>
      </c>
      <c r="B43">
        <v>17644</v>
      </c>
      <c r="C43" t="s">
        <v>21</v>
      </c>
      <c r="D43" t="s">
        <v>22</v>
      </c>
      <c r="E43" t="s">
        <v>4874</v>
      </c>
      <c r="F43" t="s">
        <v>4869</v>
      </c>
      <c r="G43" t="s">
        <v>4870</v>
      </c>
      <c r="H43" t="s">
        <v>4871</v>
      </c>
      <c r="I43" t="s">
        <v>27</v>
      </c>
      <c r="M43" t="s">
        <v>33</v>
      </c>
      <c r="O43">
        <v>1935</v>
      </c>
    </row>
    <row r="44" spans="1:15" x14ac:dyDescent="0.35">
      <c r="A44" t="s">
        <v>20</v>
      </c>
      <c r="B44">
        <v>17644</v>
      </c>
      <c r="C44" t="s">
        <v>21</v>
      </c>
      <c r="D44" t="s">
        <v>22</v>
      </c>
      <c r="E44" t="s">
        <v>4875</v>
      </c>
      <c r="F44" t="s">
        <v>4876</v>
      </c>
      <c r="G44" t="s">
        <v>4877</v>
      </c>
      <c r="H44" t="s">
        <v>4878</v>
      </c>
      <c r="I44" t="s">
        <v>27</v>
      </c>
      <c r="K44" t="s">
        <v>61</v>
      </c>
      <c r="L44" t="s">
        <v>4716</v>
      </c>
      <c r="M44" t="s">
        <v>33</v>
      </c>
      <c r="O44">
        <v>1941</v>
      </c>
    </row>
    <row r="45" spans="1:15" x14ac:dyDescent="0.35">
      <c r="A45" t="s">
        <v>20</v>
      </c>
      <c r="B45">
        <v>17644</v>
      </c>
      <c r="C45" t="s">
        <v>21</v>
      </c>
      <c r="D45" t="s">
        <v>22</v>
      </c>
      <c r="E45" t="s">
        <v>4879</v>
      </c>
      <c r="F45" t="s">
        <v>4880</v>
      </c>
      <c r="G45" t="s">
        <v>4881</v>
      </c>
      <c r="H45" t="s">
        <v>4882</v>
      </c>
      <c r="I45" t="s">
        <v>27</v>
      </c>
      <c r="K45" t="s">
        <v>61</v>
      </c>
      <c r="L45" t="s">
        <v>4721</v>
      </c>
      <c r="M45" t="s">
        <v>33</v>
      </c>
      <c r="O45">
        <v>1944</v>
      </c>
    </row>
    <row r="46" spans="1:15" x14ac:dyDescent="0.35">
      <c r="A46" t="s">
        <v>20</v>
      </c>
      <c r="B46">
        <v>17644</v>
      </c>
      <c r="C46" t="s">
        <v>21</v>
      </c>
      <c r="D46" t="s">
        <v>22</v>
      </c>
      <c r="E46" t="s">
        <v>4883</v>
      </c>
      <c r="F46" t="s">
        <v>4884</v>
      </c>
      <c r="G46" t="s">
        <v>4885</v>
      </c>
      <c r="H46" t="s">
        <v>4886</v>
      </c>
      <c r="I46" t="s">
        <v>27</v>
      </c>
      <c r="K46" t="s">
        <v>61</v>
      </c>
      <c r="L46" t="s">
        <v>4726</v>
      </c>
      <c r="M46" t="s">
        <v>33</v>
      </c>
      <c r="O46">
        <v>1998</v>
      </c>
    </row>
    <row r="47" spans="1:15" x14ac:dyDescent="0.35">
      <c r="A47" t="s">
        <v>20</v>
      </c>
      <c r="B47">
        <v>17644</v>
      </c>
      <c r="C47" t="s">
        <v>21</v>
      </c>
      <c r="D47" t="s">
        <v>22</v>
      </c>
      <c r="E47" t="s">
        <v>4887</v>
      </c>
      <c r="F47" t="s">
        <v>4888</v>
      </c>
      <c r="G47" t="s">
        <v>4889</v>
      </c>
      <c r="H47" t="s">
        <v>4890</v>
      </c>
      <c r="I47" t="s">
        <v>27</v>
      </c>
      <c r="K47" t="s">
        <v>61</v>
      </c>
      <c r="L47" t="s">
        <v>4716</v>
      </c>
      <c r="M47" t="s">
        <v>33</v>
      </c>
      <c r="O47">
        <v>2006</v>
      </c>
    </row>
    <row r="48" spans="1:15" x14ac:dyDescent="0.35">
      <c r="A48" t="s">
        <v>20</v>
      </c>
      <c r="B48">
        <v>17644</v>
      </c>
      <c r="C48" t="s">
        <v>21</v>
      </c>
      <c r="D48" t="s">
        <v>22</v>
      </c>
      <c r="E48" t="s">
        <v>4891</v>
      </c>
      <c r="F48" t="s">
        <v>4892</v>
      </c>
      <c r="G48" t="s">
        <v>4893</v>
      </c>
      <c r="H48" t="s">
        <v>4894</v>
      </c>
      <c r="I48" t="s">
        <v>27</v>
      </c>
      <c r="K48" t="s">
        <v>61</v>
      </c>
      <c r="L48" t="s">
        <v>4716</v>
      </c>
      <c r="M48" t="s">
        <v>33</v>
      </c>
      <c r="O48">
        <v>2012</v>
      </c>
    </row>
    <row r="49" spans="1:15" x14ac:dyDescent="0.35">
      <c r="A49" t="s">
        <v>20</v>
      </c>
      <c r="B49">
        <v>17644</v>
      </c>
      <c r="C49" t="s">
        <v>21</v>
      </c>
      <c r="D49" t="s">
        <v>22</v>
      </c>
      <c r="E49" t="s">
        <v>4895</v>
      </c>
      <c r="F49" t="s">
        <v>4896</v>
      </c>
      <c r="G49" t="s">
        <v>4897</v>
      </c>
      <c r="H49" t="s">
        <v>4898</v>
      </c>
      <c r="I49" t="s">
        <v>27</v>
      </c>
      <c r="K49" t="s">
        <v>46</v>
      </c>
      <c r="L49" t="s">
        <v>4716</v>
      </c>
      <c r="M49" t="s">
        <v>33</v>
      </c>
      <c r="O49">
        <v>2108</v>
      </c>
    </row>
    <row r="50" spans="1:15" x14ac:dyDescent="0.35">
      <c r="A50" t="s">
        <v>20</v>
      </c>
      <c r="B50">
        <v>17644</v>
      </c>
      <c r="C50" t="s">
        <v>21</v>
      </c>
      <c r="D50" t="s">
        <v>22</v>
      </c>
      <c r="E50" t="s">
        <v>4899</v>
      </c>
      <c r="F50" t="s">
        <v>4900</v>
      </c>
      <c r="G50" t="s">
        <v>4901</v>
      </c>
      <c r="H50" t="s">
        <v>4902</v>
      </c>
      <c r="I50" t="s">
        <v>27</v>
      </c>
      <c r="K50" t="s">
        <v>38</v>
      </c>
      <c r="L50" t="s">
        <v>4799</v>
      </c>
      <c r="M50" t="s">
        <v>33</v>
      </c>
      <c r="O50">
        <v>2122</v>
      </c>
    </row>
    <row r="51" spans="1:15" x14ac:dyDescent="0.35">
      <c r="A51" t="s">
        <v>20</v>
      </c>
      <c r="B51">
        <v>17644</v>
      </c>
      <c r="C51" t="s">
        <v>21</v>
      </c>
      <c r="D51" t="s">
        <v>22</v>
      </c>
      <c r="E51" t="s">
        <v>4903</v>
      </c>
      <c r="F51" t="s">
        <v>4904</v>
      </c>
      <c r="G51" t="s">
        <v>4905</v>
      </c>
      <c r="H51" t="s">
        <v>4906</v>
      </c>
      <c r="I51" t="s">
        <v>27</v>
      </c>
      <c r="K51" t="s">
        <v>28</v>
      </c>
      <c r="L51" t="s">
        <v>4726</v>
      </c>
      <c r="M51" t="s">
        <v>33</v>
      </c>
      <c r="O51">
        <v>2722</v>
      </c>
    </row>
    <row r="52" spans="1:15" x14ac:dyDescent="0.35">
      <c r="A52" t="s">
        <v>20</v>
      </c>
      <c r="B52">
        <v>17644</v>
      </c>
      <c r="C52" t="s">
        <v>21</v>
      </c>
      <c r="D52" t="s">
        <v>22</v>
      </c>
      <c r="E52" t="s">
        <v>4907</v>
      </c>
      <c r="F52" t="s">
        <v>4908</v>
      </c>
      <c r="G52" t="s">
        <v>4909</v>
      </c>
      <c r="H52" t="s">
        <v>4910</v>
      </c>
      <c r="I52" t="s">
        <v>27</v>
      </c>
      <c r="K52" t="s">
        <v>28</v>
      </c>
      <c r="L52" t="s">
        <v>4721</v>
      </c>
      <c r="M52" t="s">
        <v>33</v>
      </c>
      <c r="O52">
        <v>2729</v>
      </c>
    </row>
    <row r="53" spans="1:15" x14ac:dyDescent="0.35">
      <c r="A53" t="s">
        <v>20</v>
      </c>
      <c r="B53">
        <v>17644</v>
      </c>
      <c r="C53" t="s">
        <v>21</v>
      </c>
      <c r="D53" t="s">
        <v>22</v>
      </c>
      <c r="E53" t="s">
        <v>4911</v>
      </c>
      <c r="F53" t="s">
        <v>4912</v>
      </c>
      <c r="G53" t="s">
        <v>4913</v>
      </c>
      <c r="H53" t="s">
        <v>4914</v>
      </c>
      <c r="I53" t="s">
        <v>27</v>
      </c>
      <c r="K53" t="s">
        <v>28</v>
      </c>
      <c r="L53" t="s">
        <v>4721</v>
      </c>
      <c r="M53" t="s">
        <v>33</v>
      </c>
      <c r="O53">
        <v>2737</v>
      </c>
    </row>
    <row r="54" spans="1:15" x14ac:dyDescent="0.35">
      <c r="A54" t="s">
        <v>20</v>
      </c>
      <c r="B54">
        <v>17644</v>
      </c>
      <c r="C54" t="s">
        <v>21</v>
      </c>
      <c r="D54" t="s">
        <v>22</v>
      </c>
      <c r="E54" t="s">
        <v>4915</v>
      </c>
      <c r="F54" t="s">
        <v>4916</v>
      </c>
      <c r="G54" t="s">
        <v>4917</v>
      </c>
      <c r="H54" t="s">
        <v>4918</v>
      </c>
      <c r="I54" t="s">
        <v>27</v>
      </c>
      <c r="K54" t="s">
        <v>28</v>
      </c>
      <c r="L54" t="s">
        <v>4721</v>
      </c>
      <c r="M54" t="s">
        <v>33</v>
      </c>
      <c r="O54">
        <v>2743</v>
      </c>
    </row>
    <row r="55" spans="1:15" x14ac:dyDescent="0.35">
      <c r="A55" t="s">
        <v>20</v>
      </c>
      <c r="B55">
        <v>17644</v>
      </c>
      <c r="C55" t="s">
        <v>21</v>
      </c>
      <c r="D55" t="s">
        <v>22</v>
      </c>
      <c r="E55" t="s">
        <v>4919</v>
      </c>
      <c r="F55" t="s">
        <v>4920</v>
      </c>
      <c r="G55" t="s">
        <v>4921</v>
      </c>
      <c r="H55" t="s">
        <v>4922</v>
      </c>
      <c r="I55" t="s">
        <v>27</v>
      </c>
      <c r="M55" t="s">
        <v>33</v>
      </c>
      <c r="O55">
        <v>2749</v>
      </c>
    </row>
    <row r="56" spans="1:15" x14ac:dyDescent="0.35">
      <c r="A56" t="s">
        <v>20</v>
      </c>
      <c r="B56">
        <v>17644</v>
      </c>
      <c r="C56" t="s">
        <v>21</v>
      </c>
      <c r="D56" t="s">
        <v>22</v>
      </c>
      <c r="E56" t="s">
        <v>4923</v>
      </c>
      <c r="F56" t="s">
        <v>4924</v>
      </c>
      <c r="G56" t="s">
        <v>4925</v>
      </c>
      <c r="H56" t="s">
        <v>4926</v>
      </c>
      <c r="I56" t="s">
        <v>27</v>
      </c>
      <c r="K56" t="s">
        <v>46</v>
      </c>
      <c r="L56" t="s">
        <v>4726</v>
      </c>
      <c r="M56" t="s">
        <v>33</v>
      </c>
      <c r="O56">
        <v>2880</v>
      </c>
    </row>
    <row r="57" spans="1:15" x14ac:dyDescent="0.35">
      <c r="A57" t="s">
        <v>20</v>
      </c>
      <c r="B57">
        <v>17644</v>
      </c>
      <c r="C57" t="s">
        <v>21</v>
      </c>
      <c r="D57" t="s">
        <v>22</v>
      </c>
      <c r="E57" t="s">
        <v>4927</v>
      </c>
      <c r="F57" t="s">
        <v>4928</v>
      </c>
      <c r="G57" t="s">
        <v>4929</v>
      </c>
      <c r="H57" t="s">
        <v>4930</v>
      </c>
      <c r="I57" t="s">
        <v>27</v>
      </c>
      <c r="K57" t="s">
        <v>28</v>
      </c>
      <c r="L57" t="s">
        <v>4721</v>
      </c>
      <c r="M57" t="s">
        <v>33</v>
      </c>
      <c r="O57">
        <v>2890</v>
      </c>
    </row>
    <row r="58" spans="1:15" x14ac:dyDescent="0.35">
      <c r="A58" t="s">
        <v>20</v>
      </c>
      <c r="B58">
        <v>17644</v>
      </c>
      <c r="C58" t="s">
        <v>21</v>
      </c>
      <c r="D58" t="s">
        <v>22</v>
      </c>
      <c r="E58" t="s">
        <v>4931</v>
      </c>
      <c r="F58" t="s">
        <v>4932</v>
      </c>
      <c r="G58" t="s">
        <v>4933</v>
      </c>
      <c r="H58" t="s">
        <v>4934</v>
      </c>
      <c r="I58" t="s">
        <v>27</v>
      </c>
      <c r="K58" t="s">
        <v>46</v>
      </c>
      <c r="L58" t="s">
        <v>4799</v>
      </c>
      <c r="M58" t="s">
        <v>33</v>
      </c>
      <c r="O58">
        <v>4049</v>
      </c>
    </row>
    <row r="59" spans="1:15" x14ac:dyDescent="0.35">
      <c r="A59" t="s">
        <v>20</v>
      </c>
      <c r="B59">
        <v>17644</v>
      </c>
      <c r="C59" t="s">
        <v>21</v>
      </c>
      <c r="D59" t="s">
        <v>22</v>
      </c>
      <c r="E59" t="s">
        <v>4935</v>
      </c>
      <c r="F59" t="s">
        <v>4936</v>
      </c>
      <c r="G59" t="s">
        <v>4937</v>
      </c>
      <c r="H59" t="s">
        <v>4938</v>
      </c>
      <c r="I59" t="s">
        <v>27</v>
      </c>
      <c r="K59" t="s">
        <v>28</v>
      </c>
      <c r="L59" t="s">
        <v>4716</v>
      </c>
      <c r="M59" t="s">
        <v>33</v>
      </c>
      <c r="O59">
        <v>4130</v>
      </c>
    </row>
    <row r="60" spans="1:15" x14ac:dyDescent="0.35">
      <c r="A60" t="s">
        <v>20</v>
      </c>
      <c r="B60">
        <v>17644</v>
      </c>
      <c r="C60" t="s">
        <v>21</v>
      </c>
      <c r="D60" t="s">
        <v>22</v>
      </c>
      <c r="E60" t="s">
        <v>4939</v>
      </c>
      <c r="F60" t="s">
        <v>4940</v>
      </c>
      <c r="G60" t="s">
        <v>4941</v>
      </c>
      <c r="H60" t="s">
        <v>4942</v>
      </c>
      <c r="I60" t="s">
        <v>27</v>
      </c>
      <c r="K60" t="s">
        <v>28</v>
      </c>
      <c r="L60" t="s">
        <v>4721</v>
      </c>
      <c r="M60" t="s">
        <v>33</v>
      </c>
      <c r="O60">
        <v>4140</v>
      </c>
    </row>
    <row r="61" spans="1:15" x14ac:dyDescent="0.35">
      <c r="A61" t="s">
        <v>20</v>
      </c>
      <c r="B61">
        <v>17644</v>
      </c>
      <c r="C61" t="s">
        <v>21</v>
      </c>
      <c r="D61" t="s">
        <v>22</v>
      </c>
      <c r="E61" t="s">
        <v>4943</v>
      </c>
      <c r="F61" t="s">
        <v>4944</v>
      </c>
      <c r="G61" t="s">
        <v>4945</v>
      </c>
      <c r="H61" t="s">
        <v>4946</v>
      </c>
      <c r="I61" t="s">
        <v>27</v>
      </c>
      <c r="K61" t="s">
        <v>28</v>
      </c>
      <c r="L61" t="s">
        <v>4721</v>
      </c>
      <c r="M61" t="s">
        <v>33</v>
      </c>
      <c r="O61">
        <v>4150</v>
      </c>
    </row>
    <row r="62" spans="1:15" x14ac:dyDescent="0.35">
      <c r="A62" t="s">
        <v>20</v>
      </c>
      <c r="B62">
        <v>17644</v>
      </c>
      <c r="C62" t="s">
        <v>21</v>
      </c>
      <c r="D62" t="s">
        <v>22</v>
      </c>
      <c r="E62" t="s">
        <v>4947</v>
      </c>
      <c r="F62" t="s">
        <v>4948</v>
      </c>
      <c r="G62" t="s">
        <v>4949</v>
      </c>
      <c r="H62" t="s">
        <v>4950</v>
      </c>
      <c r="I62" t="s">
        <v>27</v>
      </c>
      <c r="K62" t="s">
        <v>28</v>
      </c>
      <c r="L62" t="s">
        <v>4721</v>
      </c>
      <c r="M62" t="s">
        <v>33</v>
      </c>
      <c r="O62">
        <v>4162</v>
      </c>
    </row>
    <row r="63" spans="1:15" x14ac:dyDescent="0.35">
      <c r="A63" t="s">
        <v>20</v>
      </c>
      <c r="B63">
        <v>17644</v>
      </c>
      <c r="C63" t="s">
        <v>21</v>
      </c>
      <c r="D63" t="s">
        <v>22</v>
      </c>
      <c r="E63" t="s">
        <v>4951</v>
      </c>
      <c r="F63" t="s">
        <v>4952</v>
      </c>
      <c r="G63" t="s">
        <v>4953</v>
      </c>
      <c r="H63" t="s">
        <v>4954</v>
      </c>
      <c r="I63" t="s">
        <v>27</v>
      </c>
      <c r="K63" t="s">
        <v>28</v>
      </c>
      <c r="L63" t="s">
        <v>4721</v>
      </c>
      <c r="M63" t="s">
        <v>33</v>
      </c>
      <c r="O63">
        <v>4168</v>
      </c>
    </row>
    <row r="64" spans="1:15" x14ac:dyDescent="0.35">
      <c r="A64" t="s">
        <v>20</v>
      </c>
      <c r="B64">
        <v>17644</v>
      </c>
      <c r="C64" t="s">
        <v>21</v>
      </c>
      <c r="D64" t="s">
        <v>22</v>
      </c>
      <c r="E64" t="s">
        <v>4955</v>
      </c>
      <c r="F64" t="s">
        <v>4956</v>
      </c>
      <c r="G64" t="s">
        <v>4957</v>
      </c>
      <c r="H64" t="s">
        <v>4958</v>
      </c>
      <c r="I64" t="s">
        <v>27</v>
      </c>
      <c r="K64" t="s">
        <v>28</v>
      </c>
      <c r="L64" t="s">
        <v>4721</v>
      </c>
      <c r="M64" t="s">
        <v>33</v>
      </c>
      <c r="O64">
        <v>4175</v>
      </c>
    </row>
    <row r="65" spans="1:15" x14ac:dyDescent="0.35">
      <c r="A65" t="s">
        <v>20</v>
      </c>
      <c r="B65">
        <v>17644</v>
      </c>
      <c r="C65" t="s">
        <v>21</v>
      </c>
      <c r="D65" t="s">
        <v>22</v>
      </c>
      <c r="E65" t="s">
        <v>4959</v>
      </c>
      <c r="F65" t="s">
        <v>4960</v>
      </c>
      <c r="G65" t="s">
        <v>4961</v>
      </c>
      <c r="H65" t="s">
        <v>4962</v>
      </c>
      <c r="I65" t="s">
        <v>27</v>
      </c>
      <c r="K65" t="s">
        <v>28</v>
      </c>
      <c r="L65" t="s">
        <v>4721</v>
      </c>
      <c r="M65" t="s">
        <v>33</v>
      </c>
      <c r="O65">
        <v>4188</v>
      </c>
    </row>
    <row r="66" spans="1:15" x14ac:dyDescent="0.35">
      <c r="A66" t="s">
        <v>20</v>
      </c>
      <c r="B66">
        <v>17644</v>
      </c>
      <c r="C66" t="s">
        <v>21</v>
      </c>
      <c r="D66" t="s">
        <v>22</v>
      </c>
      <c r="E66" t="s">
        <v>4963</v>
      </c>
      <c r="F66" t="s">
        <v>4964</v>
      </c>
      <c r="G66" t="s">
        <v>4965</v>
      </c>
      <c r="H66" t="s">
        <v>4966</v>
      </c>
      <c r="I66" t="s">
        <v>27</v>
      </c>
      <c r="K66" t="s">
        <v>28</v>
      </c>
      <c r="L66" t="s">
        <v>4721</v>
      </c>
      <c r="M66" t="s">
        <v>33</v>
      </c>
      <c r="O66">
        <v>4192</v>
      </c>
    </row>
    <row r="67" spans="1:15" x14ac:dyDescent="0.35">
      <c r="A67" t="s">
        <v>20</v>
      </c>
      <c r="B67">
        <v>17644</v>
      </c>
      <c r="C67" t="s">
        <v>21</v>
      </c>
      <c r="D67" t="s">
        <v>22</v>
      </c>
      <c r="E67" t="s">
        <v>4967</v>
      </c>
      <c r="F67" t="s">
        <v>4968</v>
      </c>
      <c r="G67" t="s">
        <v>4969</v>
      </c>
      <c r="H67" t="s">
        <v>4970</v>
      </c>
      <c r="I67" t="s">
        <v>27</v>
      </c>
      <c r="K67" t="s">
        <v>28</v>
      </c>
      <c r="L67" t="s">
        <v>4721</v>
      </c>
      <c r="M67" t="s">
        <v>33</v>
      </c>
      <c r="O67">
        <v>4202</v>
      </c>
    </row>
    <row r="68" spans="1:15" x14ac:dyDescent="0.35">
      <c r="A68" t="s">
        <v>20</v>
      </c>
      <c r="B68">
        <v>17644</v>
      </c>
      <c r="C68" t="s">
        <v>21</v>
      </c>
      <c r="D68" t="s">
        <v>22</v>
      </c>
      <c r="E68" t="s">
        <v>4971</v>
      </c>
      <c r="F68" t="s">
        <v>4972</v>
      </c>
      <c r="G68" t="s">
        <v>4973</v>
      </c>
      <c r="H68" t="s">
        <v>4974</v>
      </c>
      <c r="I68" t="s">
        <v>27</v>
      </c>
      <c r="K68" t="s">
        <v>28</v>
      </c>
      <c r="L68" t="s">
        <v>4721</v>
      </c>
      <c r="M68" t="s">
        <v>33</v>
      </c>
      <c r="O68">
        <v>4524</v>
      </c>
    </row>
    <row r="69" spans="1:15" x14ac:dyDescent="0.35">
      <c r="A69" t="s">
        <v>20</v>
      </c>
      <c r="B69">
        <v>17644</v>
      </c>
      <c r="C69" t="s">
        <v>21</v>
      </c>
      <c r="D69" t="s">
        <v>22</v>
      </c>
      <c r="E69" t="s">
        <v>4975</v>
      </c>
      <c r="F69" t="s">
        <v>4976</v>
      </c>
      <c r="G69" t="s">
        <v>4977</v>
      </c>
      <c r="H69" t="s">
        <v>4978</v>
      </c>
      <c r="I69" t="s">
        <v>27</v>
      </c>
      <c r="K69" t="s">
        <v>28</v>
      </c>
      <c r="L69" t="s">
        <v>4721</v>
      </c>
      <c r="M69" t="s">
        <v>33</v>
      </c>
      <c r="O69">
        <v>4530</v>
      </c>
    </row>
    <row r="70" spans="1:15" x14ac:dyDescent="0.35">
      <c r="A70" t="s">
        <v>20</v>
      </c>
      <c r="B70">
        <v>17644</v>
      </c>
      <c r="C70" t="s">
        <v>21</v>
      </c>
      <c r="D70" t="s">
        <v>22</v>
      </c>
      <c r="E70" t="s">
        <v>4979</v>
      </c>
      <c r="F70" t="s">
        <v>4980</v>
      </c>
      <c r="G70" t="s">
        <v>4981</v>
      </c>
      <c r="H70" t="s">
        <v>4982</v>
      </c>
      <c r="I70" t="s">
        <v>27</v>
      </c>
      <c r="K70" t="s">
        <v>28</v>
      </c>
      <c r="L70" t="s">
        <v>4726</v>
      </c>
      <c r="M70" t="s">
        <v>33</v>
      </c>
      <c r="O70">
        <v>4547</v>
      </c>
    </row>
    <row r="71" spans="1:15" x14ac:dyDescent="0.35">
      <c r="A71" t="s">
        <v>20</v>
      </c>
      <c r="B71">
        <v>17644</v>
      </c>
      <c r="C71" t="s">
        <v>21</v>
      </c>
      <c r="D71" t="s">
        <v>22</v>
      </c>
      <c r="E71" t="s">
        <v>4983</v>
      </c>
      <c r="F71" t="s">
        <v>4984</v>
      </c>
      <c r="G71" t="s">
        <v>4985</v>
      </c>
      <c r="H71" t="s">
        <v>4986</v>
      </c>
      <c r="I71" t="s">
        <v>27</v>
      </c>
      <c r="K71" t="s">
        <v>28</v>
      </c>
      <c r="L71" t="s">
        <v>4721</v>
      </c>
      <c r="M71" t="s">
        <v>33</v>
      </c>
      <c r="O71">
        <v>4552</v>
      </c>
    </row>
    <row r="72" spans="1:15" x14ac:dyDescent="0.35">
      <c r="A72" t="s">
        <v>20</v>
      </c>
      <c r="B72">
        <v>17644</v>
      </c>
      <c r="C72" t="s">
        <v>21</v>
      </c>
      <c r="D72" t="s">
        <v>22</v>
      </c>
      <c r="E72" t="s">
        <v>4987</v>
      </c>
      <c r="F72" t="s">
        <v>4988</v>
      </c>
      <c r="G72" t="s">
        <v>4989</v>
      </c>
      <c r="H72" t="s">
        <v>4990</v>
      </c>
      <c r="I72" t="s">
        <v>27</v>
      </c>
      <c r="K72" t="s">
        <v>61</v>
      </c>
      <c r="L72" t="s">
        <v>4721</v>
      </c>
      <c r="M72" t="s">
        <v>33</v>
      </c>
      <c r="O72">
        <v>4562</v>
      </c>
    </row>
    <row r="73" spans="1:15" x14ac:dyDescent="0.35">
      <c r="A73" t="s">
        <v>20</v>
      </c>
      <c r="B73">
        <v>17644</v>
      </c>
      <c r="C73" t="s">
        <v>21</v>
      </c>
      <c r="D73" t="s">
        <v>22</v>
      </c>
      <c r="E73" t="s">
        <v>4991</v>
      </c>
      <c r="F73" t="s">
        <v>4992</v>
      </c>
      <c r="G73" t="s">
        <v>4993</v>
      </c>
      <c r="H73" t="s">
        <v>4994</v>
      </c>
      <c r="I73" t="s">
        <v>27</v>
      </c>
      <c r="K73" t="s">
        <v>61</v>
      </c>
      <c r="L73" t="s">
        <v>4726</v>
      </c>
      <c r="M73" t="s">
        <v>33</v>
      </c>
      <c r="O73">
        <v>4571</v>
      </c>
    </row>
    <row r="74" spans="1:15" x14ac:dyDescent="0.35">
      <c r="A74" t="s">
        <v>20</v>
      </c>
      <c r="B74">
        <v>17644</v>
      </c>
      <c r="C74" t="s">
        <v>21</v>
      </c>
      <c r="D74" t="s">
        <v>22</v>
      </c>
      <c r="E74" t="s">
        <v>4995</v>
      </c>
      <c r="F74" t="s">
        <v>4996</v>
      </c>
      <c r="G74" t="s">
        <v>4997</v>
      </c>
      <c r="H74" t="s">
        <v>4998</v>
      </c>
      <c r="I74" t="s">
        <v>27</v>
      </c>
      <c r="K74" t="s">
        <v>46</v>
      </c>
      <c r="L74" t="s">
        <v>4721</v>
      </c>
      <c r="M74" t="s">
        <v>33</v>
      </c>
      <c r="O74">
        <v>4673</v>
      </c>
    </row>
    <row r="75" spans="1:15" x14ac:dyDescent="0.35">
      <c r="A75" t="s">
        <v>20</v>
      </c>
      <c r="B75">
        <v>17644</v>
      </c>
      <c r="C75" t="s">
        <v>21</v>
      </c>
      <c r="D75" t="s">
        <v>22</v>
      </c>
      <c r="E75" t="s">
        <v>4999</v>
      </c>
      <c r="F75" t="s">
        <v>5000</v>
      </c>
      <c r="G75" t="s">
        <v>5001</v>
      </c>
      <c r="H75" t="s">
        <v>5002</v>
      </c>
      <c r="I75" t="s">
        <v>27</v>
      </c>
      <c r="K75" t="s">
        <v>46</v>
      </c>
      <c r="L75" t="s">
        <v>4721</v>
      </c>
      <c r="M75" t="s">
        <v>33</v>
      </c>
      <c r="O75">
        <v>4678</v>
      </c>
    </row>
    <row r="76" spans="1:15" x14ac:dyDescent="0.35">
      <c r="A76" t="s">
        <v>20</v>
      </c>
      <c r="B76">
        <v>17644</v>
      </c>
      <c r="C76" t="s">
        <v>21</v>
      </c>
      <c r="D76" t="s">
        <v>22</v>
      </c>
      <c r="E76" t="s">
        <v>5003</v>
      </c>
      <c r="F76" t="s">
        <v>5004</v>
      </c>
      <c r="G76" t="s">
        <v>5005</v>
      </c>
      <c r="H76" t="s">
        <v>5006</v>
      </c>
      <c r="I76" t="s">
        <v>27</v>
      </c>
      <c r="K76" t="s">
        <v>46</v>
      </c>
      <c r="L76" t="s">
        <v>4721</v>
      </c>
      <c r="M76" t="s">
        <v>33</v>
      </c>
      <c r="O76">
        <v>4681</v>
      </c>
    </row>
    <row r="77" spans="1:15" x14ac:dyDescent="0.35">
      <c r="A77" t="s">
        <v>20</v>
      </c>
      <c r="B77">
        <v>17644</v>
      </c>
      <c r="C77" t="s">
        <v>21</v>
      </c>
      <c r="D77" t="s">
        <v>22</v>
      </c>
      <c r="E77" t="s">
        <v>5007</v>
      </c>
      <c r="F77" t="s">
        <v>5008</v>
      </c>
      <c r="G77" t="s">
        <v>5009</v>
      </c>
      <c r="H77" t="s">
        <v>5010</v>
      </c>
      <c r="I77" t="s">
        <v>27</v>
      </c>
      <c r="K77" t="s">
        <v>46</v>
      </c>
      <c r="L77" t="s">
        <v>4799</v>
      </c>
      <c r="M77" t="s">
        <v>33</v>
      </c>
      <c r="O77">
        <v>4754</v>
      </c>
    </row>
    <row r="78" spans="1:15" x14ac:dyDescent="0.35">
      <c r="A78" t="s">
        <v>20</v>
      </c>
      <c r="B78">
        <v>17644</v>
      </c>
      <c r="C78" t="s">
        <v>21</v>
      </c>
      <c r="D78" t="s">
        <v>22</v>
      </c>
      <c r="E78" t="s">
        <v>5011</v>
      </c>
      <c r="F78" t="s">
        <v>5012</v>
      </c>
      <c r="G78" t="s">
        <v>5013</v>
      </c>
      <c r="H78" t="s">
        <v>5014</v>
      </c>
      <c r="I78" t="s">
        <v>27</v>
      </c>
      <c r="K78" t="s">
        <v>28</v>
      </c>
      <c r="L78" t="s">
        <v>4726</v>
      </c>
      <c r="M78" t="s">
        <v>33</v>
      </c>
      <c r="O78">
        <v>4886</v>
      </c>
    </row>
    <row r="79" spans="1:15" x14ac:dyDescent="0.35">
      <c r="A79" t="s">
        <v>20</v>
      </c>
      <c r="B79">
        <v>17644</v>
      </c>
      <c r="C79" t="s">
        <v>21</v>
      </c>
      <c r="D79" t="s">
        <v>22</v>
      </c>
      <c r="E79" t="s">
        <v>5015</v>
      </c>
      <c r="F79" t="s">
        <v>5016</v>
      </c>
      <c r="G79" t="s">
        <v>5017</v>
      </c>
      <c r="H79" t="s">
        <v>5018</v>
      </c>
      <c r="I79" t="s">
        <v>27</v>
      </c>
      <c r="K79" t="s">
        <v>28</v>
      </c>
      <c r="L79" t="s">
        <v>4721</v>
      </c>
      <c r="M79" t="s">
        <v>33</v>
      </c>
      <c r="O79">
        <v>4898</v>
      </c>
    </row>
    <row r="80" spans="1:15" x14ac:dyDescent="0.35">
      <c r="A80" t="s">
        <v>20</v>
      </c>
      <c r="B80">
        <v>17644</v>
      </c>
      <c r="C80" t="s">
        <v>21</v>
      </c>
      <c r="D80" t="s">
        <v>22</v>
      </c>
      <c r="E80" t="s">
        <v>5019</v>
      </c>
      <c r="F80" t="s">
        <v>5020</v>
      </c>
      <c r="G80" t="s">
        <v>5021</v>
      </c>
      <c r="H80" t="s">
        <v>5022</v>
      </c>
      <c r="I80" t="s">
        <v>27</v>
      </c>
      <c r="K80" t="s">
        <v>46</v>
      </c>
      <c r="L80" t="s">
        <v>4716</v>
      </c>
      <c r="M80" t="s">
        <v>33</v>
      </c>
      <c r="O80">
        <v>4988</v>
      </c>
    </row>
    <row r="81" spans="1:15" x14ac:dyDescent="0.35">
      <c r="A81" t="s">
        <v>20</v>
      </c>
      <c r="B81">
        <v>17644</v>
      </c>
      <c r="C81" t="s">
        <v>21</v>
      </c>
      <c r="D81" t="s">
        <v>22</v>
      </c>
      <c r="E81" t="s">
        <v>5023</v>
      </c>
      <c r="F81" t="s">
        <v>5024</v>
      </c>
      <c r="G81" t="s">
        <v>5025</v>
      </c>
      <c r="H81" t="s">
        <v>5026</v>
      </c>
      <c r="I81" t="s">
        <v>27</v>
      </c>
      <c r="K81" t="s">
        <v>46</v>
      </c>
      <c r="L81" t="s">
        <v>4716</v>
      </c>
      <c r="M81" t="s">
        <v>33</v>
      </c>
      <c r="O81">
        <v>5010</v>
      </c>
    </row>
    <row r="82" spans="1:15" x14ac:dyDescent="0.35">
      <c r="A82" t="s">
        <v>20</v>
      </c>
      <c r="B82">
        <v>17644</v>
      </c>
      <c r="C82" t="s">
        <v>21</v>
      </c>
      <c r="D82" t="s">
        <v>22</v>
      </c>
      <c r="E82" t="s">
        <v>5027</v>
      </c>
      <c r="F82" t="s">
        <v>5028</v>
      </c>
      <c r="G82" t="s">
        <v>5029</v>
      </c>
      <c r="H82" t="s">
        <v>5030</v>
      </c>
      <c r="I82" t="s">
        <v>27</v>
      </c>
      <c r="K82" t="s">
        <v>28</v>
      </c>
      <c r="L82" t="s">
        <v>4726</v>
      </c>
      <c r="M82" t="s">
        <v>33</v>
      </c>
      <c r="O82">
        <v>5368</v>
      </c>
    </row>
    <row r="83" spans="1:15" x14ac:dyDescent="0.35">
      <c r="A83" t="s">
        <v>20</v>
      </c>
      <c r="B83">
        <v>17644</v>
      </c>
      <c r="C83" t="s">
        <v>21</v>
      </c>
      <c r="D83" t="s">
        <v>22</v>
      </c>
      <c r="E83" t="s">
        <v>5031</v>
      </c>
      <c r="F83" t="s">
        <v>5032</v>
      </c>
      <c r="G83" t="s">
        <v>5033</v>
      </c>
      <c r="H83" t="s">
        <v>5034</v>
      </c>
      <c r="I83" t="s">
        <v>27</v>
      </c>
      <c r="K83" t="s">
        <v>28</v>
      </c>
      <c r="L83" t="s">
        <v>4721</v>
      </c>
      <c r="M83" t="s">
        <v>33</v>
      </c>
      <c r="O83">
        <v>5376</v>
      </c>
    </row>
    <row r="84" spans="1:15" x14ac:dyDescent="0.35">
      <c r="A84" t="s">
        <v>20</v>
      </c>
      <c r="B84">
        <v>17644</v>
      </c>
      <c r="C84" t="s">
        <v>21</v>
      </c>
      <c r="D84" t="s">
        <v>22</v>
      </c>
      <c r="E84" t="s">
        <v>5035</v>
      </c>
      <c r="F84" t="s">
        <v>5036</v>
      </c>
      <c r="G84" t="s">
        <v>5037</v>
      </c>
      <c r="H84" t="s">
        <v>5038</v>
      </c>
      <c r="I84" t="s">
        <v>27</v>
      </c>
      <c r="K84" t="s">
        <v>28</v>
      </c>
      <c r="L84" t="s">
        <v>4721</v>
      </c>
      <c r="M84" t="s">
        <v>33</v>
      </c>
      <c r="O84">
        <v>5387</v>
      </c>
    </row>
    <row r="85" spans="1:15" x14ac:dyDescent="0.35">
      <c r="A85" t="s">
        <v>20</v>
      </c>
      <c r="B85">
        <v>17644</v>
      </c>
      <c r="C85" t="s">
        <v>21</v>
      </c>
      <c r="D85" t="s">
        <v>22</v>
      </c>
      <c r="E85" t="s">
        <v>5039</v>
      </c>
      <c r="F85" t="s">
        <v>5040</v>
      </c>
      <c r="G85" t="s">
        <v>5041</v>
      </c>
      <c r="H85" t="s">
        <v>5042</v>
      </c>
      <c r="I85" t="s">
        <v>27</v>
      </c>
      <c r="K85" t="s">
        <v>28</v>
      </c>
      <c r="L85" t="s">
        <v>4721</v>
      </c>
      <c r="M85" t="s">
        <v>33</v>
      </c>
      <c r="O85">
        <v>5396</v>
      </c>
    </row>
    <row r="86" spans="1:15" x14ac:dyDescent="0.35">
      <c r="A86" t="s">
        <v>20</v>
      </c>
      <c r="B86">
        <v>17644</v>
      </c>
      <c r="C86" t="s">
        <v>21</v>
      </c>
      <c r="D86" t="s">
        <v>22</v>
      </c>
      <c r="E86" t="s">
        <v>5043</v>
      </c>
      <c r="F86" t="s">
        <v>5044</v>
      </c>
      <c r="G86" t="s">
        <v>5045</v>
      </c>
      <c r="H86" t="s">
        <v>5046</v>
      </c>
      <c r="I86" t="s">
        <v>27</v>
      </c>
      <c r="K86" t="s">
        <v>46</v>
      </c>
      <c r="L86" t="s">
        <v>4726</v>
      </c>
      <c r="M86" t="s">
        <v>33</v>
      </c>
      <c r="O86">
        <v>5560</v>
      </c>
    </row>
    <row r="87" spans="1:15" x14ac:dyDescent="0.35">
      <c r="A87" t="s">
        <v>20</v>
      </c>
      <c r="B87">
        <v>17644</v>
      </c>
      <c r="C87" t="s">
        <v>21</v>
      </c>
      <c r="D87" t="s">
        <v>22</v>
      </c>
      <c r="E87" t="s">
        <v>5047</v>
      </c>
      <c r="F87" t="s">
        <v>5048</v>
      </c>
      <c r="G87" t="s">
        <v>5049</v>
      </c>
      <c r="H87" t="s">
        <v>5050</v>
      </c>
      <c r="I87" t="s">
        <v>27</v>
      </c>
      <c r="K87" t="s">
        <v>61</v>
      </c>
      <c r="L87" t="s">
        <v>4721</v>
      </c>
      <c r="M87" t="s">
        <v>33</v>
      </c>
      <c r="O87">
        <v>5673</v>
      </c>
    </row>
    <row r="88" spans="1:15" x14ac:dyDescent="0.35">
      <c r="A88" t="s">
        <v>20</v>
      </c>
      <c r="B88">
        <v>17644</v>
      </c>
      <c r="C88" t="s">
        <v>21</v>
      </c>
      <c r="D88" t="s">
        <v>22</v>
      </c>
      <c r="E88" t="s">
        <v>5051</v>
      </c>
      <c r="F88" t="s">
        <v>5052</v>
      </c>
      <c r="G88" t="s">
        <v>5053</v>
      </c>
      <c r="H88" t="s">
        <v>5054</v>
      </c>
      <c r="I88" t="s">
        <v>27</v>
      </c>
      <c r="K88" t="s">
        <v>61</v>
      </c>
      <c r="L88" t="s">
        <v>4721</v>
      </c>
      <c r="M88" t="s">
        <v>33</v>
      </c>
      <c r="O88">
        <v>5681</v>
      </c>
    </row>
    <row r="89" spans="1:15" x14ac:dyDescent="0.35">
      <c r="A89" t="s">
        <v>20</v>
      </c>
      <c r="B89">
        <v>17644</v>
      </c>
      <c r="C89" t="s">
        <v>21</v>
      </c>
      <c r="D89" t="s">
        <v>22</v>
      </c>
      <c r="E89" t="s">
        <v>5055</v>
      </c>
      <c r="F89" t="s">
        <v>5056</v>
      </c>
      <c r="G89" t="s">
        <v>5057</v>
      </c>
      <c r="H89" t="s">
        <v>5058</v>
      </c>
      <c r="I89" t="s">
        <v>27</v>
      </c>
      <c r="K89" t="s">
        <v>61</v>
      </c>
      <c r="L89" t="s">
        <v>4721</v>
      </c>
      <c r="M89" t="s">
        <v>33</v>
      </c>
      <c r="O89">
        <v>5687</v>
      </c>
    </row>
    <row r="90" spans="1:15" x14ac:dyDescent="0.35">
      <c r="A90" t="s">
        <v>20</v>
      </c>
      <c r="B90">
        <v>17644</v>
      </c>
      <c r="C90" t="s">
        <v>21</v>
      </c>
      <c r="D90" t="s">
        <v>22</v>
      </c>
      <c r="E90" t="s">
        <v>5059</v>
      </c>
      <c r="F90" t="s">
        <v>5060</v>
      </c>
      <c r="G90" t="s">
        <v>5061</v>
      </c>
      <c r="H90" t="s">
        <v>5062</v>
      </c>
      <c r="I90" t="s">
        <v>27</v>
      </c>
      <c r="K90" t="s">
        <v>28</v>
      </c>
      <c r="L90" t="s">
        <v>4721</v>
      </c>
      <c r="M90" t="s">
        <v>33</v>
      </c>
      <c r="O90">
        <v>5846</v>
      </c>
    </row>
    <row r="91" spans="1:15" x14ac:dyDescent="0.35">
      <c r="A91" t="s">
        <v>20</v>
      </c>
      <c r="B91">
        <v>17644</v>
      </c>
      <c r="C91" t="s">
        <v>21</v>
      </c>
      <c r="D91" t="s">
        <v>22</v>
      </c>
      <c r="E91" t="s">
        <v>5063</v>
      </c>
      <c r="F91" t="s">
        <v>5064</v>
      </c>
      <c r="G91" t="s">
        <v>5065</v>
      </c>
      <c r="H91" t="s">
        <v>5066</v>
      </c>
      <c r="I91" t="s">
        <v>27</v>
      </c>
      <c r="K91" t="s">
        <v>46</v>
      </c>
      <c r="L91" t="s">
        <v>4799</v>
      </c>
      <c r="M91" t="s">
        <v>33</v>
      </c>
      <c r="O91">
        <v>5867</v>
      </c>
    </row>
    <row r="92" spans="1:15" x14ac:dyDescent="0.35">
      <c r="A92" t="s">
        <v>20</v>
      </c>
      <c r="B92">
        <v>17644</v>
      </c>
      <c r="C92" t="s">
        <v>21</v>
      </c>
      <c r="D92" t="s">
        <v>22</v>
      </c>
      <c r="E92" t="s">
        <v>5067</v>
      </c>
      <c r="F92" t="s">
        <v>5068</v>
      </c>
      <c r="G92" t="s">
        <v>5069</v>
      </c>
      <c r="H92" t="s">
        <v>5070</v>
      </c>
      <c r="I92" t="s">
        <v>27</v>
      </c>
      <c r="K92" t="s">
        <v>46</v>
      </c>
      <c r="L92" t="s">
        <v>4799</v>
      </c>
      <c r="M92" t="s">
        <v>33</v>
      </c>
      <c r="O92">
        <v>5928</v>
      </c>
    </row>
    <row r="93" spans="1:15" x14ac:dyDescent="0.35">
      <c r="A93" t="s">
        <v>20</v>
      </c>
      <c r="B93">
        <v>17644</v>
      </c>
      <c r="C93" t="s">
        <v>21</v>
      </c>
      <c r="D93" t="s">
        <v>22</v>
      </c>
      <c r="E93" t="s">
        <v>5071</v>
      </c>
      <c r="F93" t="s">
        <v>5072</v>
      </c>
      <c r="G93" t="s">
        <v>5073</v>
      </c>
      <c r="H93" t="s">
        <v>5074</v>
      </c>
      <c r="I93" t="s">
        <v>27</v>
      </c>
      <c r="K93" t="s">
        <v>61</v>
      </c>
      <c r="L93" t="s">
        <v>4726</v>
      </c>
      <c r="M93" t="s">
        <v>33</v>
      </c>
      <c r="O93">
        <v>5945</v>
      </c>
    </row>
    <row r="94" spans="1:15" x14ac:dyDescent="0.35">
      <c r="A94" t="s">
        <v>20</v>
      </c>
      <c r="B94">
        <v>17644</v>
      </c>
      <c r="C94" t="s">
        <v>21</v>
      </c>
      <c r="D94" t="s">
        <v>22</v>
      </c>
      <c r="E94" t="s">
        <v>5075</v>
      </c>
      <c r="F94" t="s">
        <v>5076</v>
      </c>
      <c r="G94" t="s">
        <v>5077</v>
      </c>
      <c r="H94" t="s">
        <v>5078</v>
      </c>
      <c r="I94" t="s">
        <v>27</v>
      </c>
      <c r="K94" t="s">
        <v>61</v>
      </c>
      <c r="L94" t="s">
        <v>4726</v>
      </c>
      <c r="M94" t="s">
        <v>33</v>
      </c>
      <c r="O94">
        <v>5956</v>
      </c>
    </row>
    <row r="95" spans="1:15" x14ac:dyDescent="0.35">
      <c r="A95" t="s">
        <v>20</v>
      </c>
      <c r="B95">
        <v>17644</v>
      </c>
      <c r="C95" t="s">
        <v>21</v>
      </c>
      <c r="D95" t="s">
        <v>22</v>
      </c>
      <c r="E95" t="s">
        <v>5079</v>
      </c>
      <c r="F95" t="s">
        <v>5080</v>
      </c>
      <c r="G95" t="s">
        <v>5081</v>
      </c>
      <c r="H95" t="s">
        <v>5082</v>
      </c>
      <c r="I95" t="s">
        <v>27</v>
      </c>
      <c r="K95" t="s">
        <v>61</v>
      </c>
      <c r="L95" t="s">
        <v>4721</v>
      </c>
      <c r="M95" t="s">
        <v>33</v>
      </c>
      <c r="O95">
        <v>5965</v>
      </c>
    </row>
    <row r="96" spans="1:15" x14ac:dyDescent="0.35">
      <c r="A96" t="s">
        <v>20</v>
      </c>
      <c r="B96">
        <v>17644</v>
      </c>
      <c r="C96" t="s">
        <v>21</v>
      </c>
      <c r="D96" t="s">
        <v>22</v>
      </c>
      <c r="E96" t="s">
        <v>5083</v>
      </c>
      <c r="F96" t="s">
        <v>5084</v>
      </c>
      <c r="G96" t="s">
        <v>5085</v>
      </c>
      <c r="H96" t="s">
        <v>5086</v>
      </c>
      <c r="I96" t="s">
        <v>27</v>
      </c>
      <c r="K96" t="s">
        <v>46</v>
      </c>
      <c r="L96" t="s">
        <v>4799</v>
      </c>
      <c r="M96" t="s">
        <v>33</v>
      </c>
      <c r="O96">
        <v>6113</v>
      </c>
    </row>
    <row r="97" spans="1:15" x14ac:dyDescent="0.35">
      <c r="A97" t="s">
        <v>20</v>
      </c>
      <c r="B97">
        <v>17644</v>
      </c>
      <c r="C97" t="s">
        <v>21</v>
      </c>
      <c r="D97" t="s">
        <v>22</v>
      </c>
      <c r="E97" t="s">
        <v>5087</v>
      </c>
      <c r="F97" t="s">
        <v>5088</v>
      </c>
      <c r="G97" t="s">
        <v>5089</v>
      </c>
      <c r="H97" t="s">
        <v>5090</v>
      </c>
      <c r="I97" t="s">
        <v>27</v>
      </c>
      <c r="K97" t="s">
        <v>28</v>
      </c>
      <c r="L97" t="s">
        <v>4721</v>
      </c>
      <c r="M97" t="s">
        <v>33</v>
      </c>
      <c r="O97">
        <v>6123</v>
      </c>
    </row>
    <row r="98" spans="1:15" x14ac:dyDescent="0.35">
      <c r="A98" t="s">
        <v>20</v>
      </c>
      <c r="B98">
        <v>17644</v>
      </c>
      <c r="C98" t="s">
        <v>21</v>
      </c>
      <c r="D98" t="s">
        <v>22</v>
      </c>
      <c r="E98" t="s">
        <v>5091</v>
      </c>
      <c r="F98" t="s">
        <v>5092</v>
      </c>
      <c r="G98" t="s">
        <v>5093</v>
      </c>
      <c r="H98" t="s">
        <v>5094</v>
      </c>
      <c r="I98" t="s">
        <v>27</v>
      </c>
      <c r="K98" t="s">
        <v>28</v>
      </c>
      <c r="L98" t="s">
        <v>4721</v>
      </c>
      <c r="M98" t="s">
        <v>33</v>
      </c>
      <c r="O98">
        <v>6126</v>
      </c>
    </row>
    <row r="99" spans="1:15" x14ac:dyDescent="0.35">
      <c r="A99" t="s">
        <v>20</v>
      </c>
      <c r="B99">
        <v>17644</v>
      </c>
      <c r="C99" t="s">
        <v>21</v>
      </c>
      <c r="D99" t="s">
        <v>22</v>
      </c>
      <c r="E99" t="s">
        <v>5095</v>
      </c>
      <c r="F99" t="s">
        <v>5096</v>
      </c>
      <c r="G99" t="s">
        <v>5097</v>
      </c>
      <c r="H99" t="s">
        <v>5098</v>
      </c>
      <c r="I99" t="s">
        <v>27</v>
      </c>
      <c r="K99" t="s">
        <v>28</v>
      </c>
      <c r="L99" t="s">
        <v>4721</v>
      </c>
      <c r="M99" t="s">
        <v>33</v>
      </c>
      <c r="O99">
        <v>6130</v>
      </c>
    </row>
    <row r="100" spans="1:15" x14ac:dyDescent="0.35">
      <c r="A100" t="s">
        <v>20</v>
      </c>
      <c r="B100">
        <v>17644</v>
      </c>
      <c r="C100" t="s">
        <v>21</v>
      </c>
      <c r="D100" t="s">
        <v>22</v>
      </c>
      <c r="E100" t="s">
        <v>5099</v>
      </c>
      <c r="F100" t="s">
        <v>5100</v>
      </c>
      <c r="G100" t="s">
        <v>5101</v>
      </c>
      <c r="H100" t="s">
        <v>5102</v>
      </c>
      <c r="I100" t="s">
        <v>27</v>
      </c>
      <c r="K100" t="s">
        <v>28</v>
      </c>
      <c r="L100" t="s">
        <v>4721</v>
      </c>
      <c r="M100" t="s">
        <v>33</v>
      </c>
      <c r="O100">
        <v>6232</v>
      </c>
    </row>
    <row r="101" spans="1:15" x14ac:dyDescent="0.35">
      <c r="A101" t="s">
        <v>20</v>
      </c>
      <c r="B101">
        <v>17644</v>
      </c>
      <c r="C101" t="s">
        <v>21</v>
      </c>
      <c r="D101" t="s">
        <v>22</v>
      </c>
      <c r="E101" t="s">
        <v>5103</v>
      </c>
      <c r="F101" t="s">
        <v>5104</v>
      </c>
      <c r="G101" t="s">
        <v>5105</v>
      </c>
      <c r="H101" t="s">
        <v>5106</v>
      </c>
      <c r="I101" t="s">
        <v>27</v>
      </c>
      <c r="K101" t="s">
        <v>28</v>
      </c>
      <c r="L101" t="s">
        <v>4726</v>
      </c>
      <c r="M101" t="s">
        <v>33</v>
      </c>
      <c r="O101">
        <v>6237</v>
      </c>
    </row>
    <row r="102" spans="1:15" x14ac:dyDescent="0.35">
      <c r="A102" t="s">
        <v>20</v>
      </c>
      <c r="B102">
        <v>17644</v>
      </c>
      <c r="C102" t="s">
        <v>21</v>
      </c>
      <c r="D102" t="s">
        <v>22</v>
      </c>
      <c r="E102" t="s">
        <v>5107</v>
      </c>
      <c r="F102" t="s">
        <v>5108</v>
      </c>
      <c r="G102" t="s">
        <v>5109</v>
      </c>
      <c r="H102" t="s">
        <v>5110</v>
      </c>
      <c r="I102" t="s">
        <v>27</v>
      </c>
      <c r="K102" t="s">
        <v>28</v>
      </c>
      <c r="L102" t="s">
        <v>4726</v>
      </c>
      <c r="M102" t="s">
        <v>33</v>
      </c>
      <c r="O102">
        <v>6245</v>
      </c>
    </row>
    <row r="103" spans="1:15" x14ac:dyDescent="0.35">
      <c r="A103" t="s">
        <v>20</v>
      </c>
      <c r="B103">
        <v>17644</v>
      </c>
      <c r="C103" t="s">
        <v>21</v>
      </c>
      <c r="D103" t="s">
        <v>22</v>
      </c>
      <c r="E103" t="s">
        <v>5111</v>
      </c>
      <c r="F103" t="s">
        <v>5112</v>
      </c>
      <c r="G103" t="s">
        <v>5113</v>
      </c>
      <c r="H103" t="s">
        <v>5114</v>
      </c>
      <c r="I103" t="s">
        <v>27</v>
      </c>
      <c r="K103" t="s">
        <v>28</v>
      </c>
      <c r="L103" t="s">
        <v>4726</v>
      </c>
      <c r="M103" t="s">
        <v>33</v>
      </c>
      <c r="O103">
        <v>6254</v>
      </c>
    </row>
    <row r="104" spans="1:15" x14ac:dyDescent="0.35">
      <c r="A104" t="s">
        <v>20</v>
      </c>
      <c r="B104">
        <v>17644</v>
      </c>
      <c r="C104" t="s">
        <v>21</v>
      </c>
      <c r="D104" t="s">
        <v>22</v>
      </c>
      <c r="E104" t="s">
        <v>5115</v>
      </c>
      <c r="F104" t="s">
        <v>5116</v>
      </c>
      <c r="G104" t="s">
        <v>5117</v>
      </c>
      <c r="H104" t="s">
        <v>5118</v>
      </c>
      <c r="I104" t="s">
        <v>27</v>
      </c>
      <c r="K104" t="s">
        <v>61</v>
      </c>
      <c r="L104" t="s">
        <v>4721</v>
      </c>
      <c r="M104" t="s">
        <v>33</v>
      </c>
      <c r="O104">
        <v>6266</v>
      </c>
    </row>
    <row r="105" spans="1:15" x14ac:dyDescent="0.35">
      <c r="A105" t="s">
        <v>20</v>
      </c>
      <c r="B105">
        <v>17644</v>
      </c>
      <c r="C105" t="s">
        <v>21</v>
      </c>
      <c r="D105" t="s">
        <v>22</v>
      </c>
      <c r="E105" t="s">
        <v>5119</v>
      </c>
      <c r="F105" t="s">
        <v>5120</v>
      </c>
      <c r="G105" t="s">
        <v>5121</v>
      </c>
      <c r="H105" t="s">
        <v>5122</v>
      </c>
      <c r="I105" t="s">
        <v>27</v>
      </c>
      <c r="K105" t="s">
        <v>61</v>
      </c>
      <c r="L105" t="s">
        <v>4716</v>
      </c>
      <c r="M105" t="s">
        <v>33</v>
      </c>
      <c r="O105">
        <v>6275</v>
      </c>
    </row>
    <row r="106" spans="1:15" x14ac:dyDescent="0.35">
      <c r="A106" t="s">
        <v>20</v>
      </c>
      <c r="B106">
        <v>17644</v>
      </c>
      <c r="C106" t="s">
        <v>21</v>
      </c>
      <c r="D106" t="s">
        <v>22</v>
      </c>
      <c r="E106" t="s">
        <v>5123</v>
      </c>
      <c r="F106" t="s">
        <v>5124</v>
      </c>
      <c r="G106" t="s">
        <v>5125</v>
      </c>
      <c r="H106" t="s">
        <v>5126</v>
      </c>
      <c r="I106" t="s">
        <v>27</v>
      </c>
      <c r="K106" t="s">
        <v>61</v>
      </c>
      <c r="L106" t="s">
        <v>4721</v>
      </c>
      <c r="M106" t="s">
        <v>33</v>
      </c>
      <c r="O106">
        <v>6282</v>
      </c>
    </row>
    <row r="107" spans="1:15" x14ac:dyDescent="0.35">
      <c r="A107" t="s">
        <v>20</v>
      </c>
      <c r="B107">
        <v>17644</v>
      </c>
      <c r="C107" t="s">
        <v>21</v>
      </c>
      <c r="D107" t="s">
        <v>22</v>
      </c>
      <c r="E107" t="s">
        <v>5127</v>
      </c>
      <c r="F107" t="s">
        <v>5128</v>
      </c>
      <c r="G107" t="s">
        <v>5129</v>
      </c>
      <c r="H107" t="s">
        <v>5130</v>
      </c>
      <c r="I107" t="s">
        <v>27</v>
      </c>
      <c r="K107" t="s">
        <v>46</v>
      </c>
      <c r="L107" t="s">
        <v>4721</v>
      </c>
      <c r="M107" t="s">
        <v>33</v>
      </c>
      <c r="O107">
        <v>6406</v>
      </c>
    </row>
    <row r="108" spans="1:15" x14ac:dyDescent="0.35">
      <c r="A108" t="s">
        <v>20</v>
      </c>
      <c r="B108">
        <v>17644</v>
      </c>
      <c r="C108" t="s">
        <v>21</v>
      </c>
      <c r="D108" t="s">
        <v>22</v>
      </c>
      <c r="E108" t="s">
        <v>5131</v>
      </c>
      <c r="F108" t="s">
        <v>5132</v>
      </c>
      <c r="G108" t="s">
        <v>5133</v>
      </c>
      <c r="H108" t="s">
        <v>5134</v>
      </c>
      <c r="I108" t="s">
        <v>27</v>
      </c>
      <c r="K108" t="s">
        <v>46</v>
      </c>
      <c r="L108" t="s">
        <v>4726</v>
      </c>
      <c r="M108" t="s">
        <v>33</v>
      </c>
      <c r="O108">
        <v>6693</v>
      </c>
    </row>
    <row r="109" spans="1:15" x14ac:dyDescent="0.35">
      <c r="A109" t="s">
        <v>20</v>
      </c>
      <c r="B109">
        <v>17644</v>
      </c>
      <c r="C109" t="s">
        <v>21</v>
      </c>
      <c r="D109" t="s">
        <v>22</v>
      </c>
      <c r="E109" t="s">
        <v>5135</v>
      </c>
      <c r="F109" t="s">
        <v>5136</v>
      </c>
      <c r="G109" t="s">
        <v>5137</v>
      </c>
      <c r="H109" t="s">
        <v>5138</v>
      </c>
      <c r="I109" t="s">
        <v>27</v>
      </c>
      <c r="K109" t="s">
        <v>46</v>
      </c>
      <c r="L109" t="s">
        <v>4716</v>
      </c>
      <c r="M109" t="s">
        <v>33</v>
      </c>
      <c r="O109">
        <v>6702</v>
      </c>
    </row>
    <row r="110" spans="1:15" x14ac:dyDescent="0.35">
      <c r="A110" t="s">
        <v>20</v>
      </c>
      <c r="B110">
        <v>17644</v>
      </c>
      <c r="C110" t="s">
        <v>21</v>
      </c>
      <c r="D110" t="s">
        <v>22</v>
      </c>
      <c r="E110" t="s">
        <v>5139</v>
      </c>
      <c r="F110" t="s">
        <v>5140</v>
      </c>
      <c r="G110" t="s">
        <v>5141</v>
      </c>
      <c r="H110" t="s">
        <v>5142</v>
      </c>
      <c r="I110" t="s">
        <v>27</v>
      </c>
      <c r="K110" t="s">
        <v>46</v>
      </c>
      <c r="L110" t="s">
        <v>4799</v>
      </c>
      <c r="M110" t="s">
        <v>33</v>
      </c>
      <c r="O110">
        <v>6886</v>
      </c>
    </row>
    <row r="111" spans="1:15" x14ac:dyDescent="0.35">
      <c r="A111" t="s">
        <v>20</v>
      </c>
      <c r="B111">
        <v>17644</v>
      </c>
      <c r="C111" t="s">
        <v>21</v>
      </c>
      <c r="D111" t="s">
        <v>22</v>
      </c>
      <c r="E111" t="s">
        <v>5143</v>
      </c>
      <c r="F111" t="s">
        <v>5144</v>
      </c>
      <c r="G111" t="s">
        <v>5145</v>
      </c>
      <c r="H111" t="s">
        <v>5146</v>
      </c>
      <c r="I111" t="s">
        <v>27</v>
      </c>
      <c r="K111" t="s">
        <v>61</v>
      </c>
      <c r="L111" t="s">
        <v>4716</v>
      </c>
      <c r="M111" t="s">
        <v>33</v>
      </c>
      <c r="O111">
        <v>6951</v>
      </c>
    </row>
    <row r="112" spans="1:15" x14ac:dyDescent="0.35">
      <c r="A112" t="s">
        <v>20</v>
      </c>
      <c r="B112">
        <v>17644</v>
      </c>
      <c r="C112" t="s">
        <v>21</v>
      </c>
      <c r="D112" t="s">
        <v>22</v>
      </c>
      <c r="E112" t="s">
        <v>5147</v>
      </c>
      <c r="F112" t="s">
        <v>5148</v>
      </c>
      <c r="G112" t="s">
        <v>5149</v>
      </c>
      <c r="H112" t="s">
        <v>5150</v>
      </c>
      <c r="I112" t="s">
        <v>238</v>
      </c>
      <c r="K112" t="s">
        <v>38</v>
      </c>
      <c r="L112" t="s">
        <v>4726</v>
      </c>
      <c r="M112" t="s">
        <v>33</v>
      </c>
      <c r="O112">
        <v>493</v>
      </c>
    </row>
    <row r="113" spans="1:15" x14ac:dyDescent="0.35">
      <c r="A113" t="s">
        <v>20</v>
      </c>
      <c r="B113">
        <v>17644</v>
      </c>
      <c r="C113" t="s">
        <v>21</v>
      </c>
      <c r="D113" t="s">
        <v>22</v>
      </c>
      <c r="E113" t="s">
        <v>5151</v>
      </c>
      <c r="F113" t="s">
        <v>5152</v>
      </c>
      <c r="G113" t="s">
        <v>5153</v>
      </c>
      <c r="H113" t="s">
        <v>5154</v>
      </c>
      <c r="I113" t="s">
        <v>238</v>
      </c>
      <c r="K113" t="s">
        <v>38</v>
      </c>
      <c r="L113" t="s">
        <v>4799</v>
      </c>
      <c r="M113" t="s">
        <v>33</v>
      </c>
      <c r="O113">
        <v>505</v>
      </c>
    </row>
    <row r="114" spans="1:15" x14ac:dyDescent="0.35">
      <c r="A114" t="s">
        <v>20</v>
      </c>
      <c r="B114">
        <v>17644</v>
      </c>
      <c r="C114" t="s">
        <v>21</v>
      </c>
      <c r="D114" t="s">
        <v>22</v>
      </c>
      <c r="E114" t="s">
        <v>5155</v>
      </c>
      <c r="F114" t="s">
        <v>5156</v>
      </c>
      <c r="G114" t="s">
        <v>5157</v>
      </c>
      <c r="H114" t="s">
        <v>5158</v>
      </c>
      <c r="I114" t="s">
        <v>238</v>
      </c>
      <c r="K114" t="s">
        <v>28</v>
      </c>
      <c r="L114" t="s">
        <v>4721</v>
      </c>
      <c r="M114" t="s">
        <v>33</v>
      </c>
      <c r="O114">
        <v>619</v>
      </c>
    </row>
    <row r="115" spans="1:15" x14ac:dyDescent="0.35">
      <c r="A115" t="s">
        <v>20</v>
      </c>
      <c r="B115">
        <v>17644</v>
      </c>
      <c r="C115" t="s">
        <v>21</v>
      </c>
      <c r="D115" t="s">
        <v>22</v>
      </c>
      <c r="E115" t="s">
        <v>5159</v>
      </c>
      <c r="F115" t="s">
        <v>5160</v>
      </c>
      <c r="G115" t="s">
        <v>5161</v>
      </c>
      <c r="H115" t="s">
        <v>5162</v>
      </c>
      <c r="I115" t="s">
        <v>238</v>
      </c>
      <c r="K115" t="s">
        <v>28</v>
      </c>
      <c r="L115" t="s">
        <v>4721</v>
      </c>
      <c r="M115" t="s">
        <v>33</v>
      </c>
      <c r="O115">
        <v>631</v>
      </c>
    </row>
    <row r="116" spans="1:15" x14ac:dyDescent="0.35">
      <c r="A116" t="s">
        <v>20</v>
      </c>
      <c r="B116">
        <v>17644</v>
      </c>
      <c r="C116" t="s">
        <v>21</v>
      </c>
      <c r="D116" t="s">
        <v>22</v>
      </c>
      <c r="E116" t="s">
        <v>5163</v>
      </c>
      <c r="F116" t="s">
        <v>5164</v>
      </c>
      <c r="G116" t="s">
        <v>5165</v>
      </c>
      <c r="H116" t="s">
        <v>5166</v>
      </c>
      <c r="I116" t="s">
        <v>238</v>
      </c>
      <c r="K116" t="s">
        <v>28</v>
      </c>
      <c r="L116" t="s">
        <v>4721</v>
      </c>
      <c r="M116" t="s">
        <v>33</v>
      </c>
      <c r="O116">
        <v>697</v>
      </c>
    </row>
    <row r="117" spans="1:15" x14ac:dyDescent="0.35">
      <c r="A117" t="s">
        <v>20</v>
      </c>
      <c r="B117">
        <v>17644</v>
      </c>
      <c r="C117" t="s">
        <v>21</v>
      </c>
      <c r="D117" t="s">
        <v>22</v>
      </c>
      <c r="E117" t="s">
        <v>5167</v>
      </c>
      <c r="F117" t="s">
        <v>5168</v>
      </c>
      <c r="G117" t="s">
        <v>5169</v>
      </c>
      <c r="H117" t="s">
        <v>5170</v>
      </c>
      <c r="I117" t="s">
        <v>238</v>
      </c>
      <c r="K117" t="s">
        <v>28</v>
      </c>
      <c r="L117" t="s">
        <v>4721</v>
      </c>
      <c r="M117" t="s">
        <v>33</v>
      </c>
      <c r="O117">
        <v>704</v>
      </c>
    </row>
    <row r="118" spans="1:15" x14ac:dyDescent="0.35">
      <c r="A118" t="s">
        <v>20</v>
      </c>
      <c r="B118">
        <v>17644</v>
      </c>
      <c r="C118" t="s">
        <v>21</v>
      </c>
      <c r="D118" t="s">
        <v>22</v>
      </c>
      <c r="E118" t="s">
        <v>5171</v>
      </c>
      <c r="F118" t="s">
        <v>5172</v>
      </c>
      <c r="G118" t="s">
        <v>5173</v>
      </c>
      <c r="H118" t="s">
        <v>5174</v>
      </c>
      <c r="I118" t="s">
        <v>238</v>
      </c>
      <c r="K118" t="s">
        <v>28</v>
      </c>
      <c r="L118" t="s">
        <v>4721</v>
      </c>
      <c r="M118" t="s">
        <v>33</v>
      </c>
      <c r="O118">
        <v>708</v>
      </c>
    </row>
    <row r="119" spans="1:15" x14ac:dyDescent="0.35">
      <c r="A119" t="s">
        <v>20</v>
      </c>
      <c r="B119">
        <v>17644</v>
      </c>
      <c r="C119" t="s">
        <v>21</v>
      </c>
      <c r="D119" t="s">
        <v>22</v>
      </c>
      <c r="E119" t="s">
        <v>5175</v>
      </c>
      <c r="F119" t="s">
        <v>5176</v>
      </c>
      <c r="G119" t="s">
        <v>5177</v>
      </c>
      <c r="H119" t="s">
        <v>5178</v>
      </c>
      <c r="I119" t="s">
        <v>238</v>
      </c>
      <c r="K119" t="s">
        <v>28</v>
      </c>
      <c r="L119" t="s">
        <v>4721</v>
      </c>
      <c r="M119" t="s">
        <v>33</v>
      </c>
      <c r="O119">
        <v>716</v>
      </c>
    </row>
    <row r="120" spans="1:15" x14ac:dyDescent="0.35">
      <c r="A120" t="s">
        <v>20</v>
      </c>
      <c r="B120">
        <v>17644</v>
      </c>
      <c r="C120" t="s">
        <v>21</v>
      </c>
      <c r="D120" t="s">
        <v>22</v>
      </c>
      <c r="E120" t="s">
        <v>5179</v>
      </c>
      <c r="F120" t="s">
        <v>5180</v>
      </c>
      <c r="G120" t="s">
        <v>5181</v>
      </c>
      <c r="H120" t="s">
        <v>5182</v>
      </c>
      <c r="I120" t="s">
        <v>238</v>
      </c>
      <c r="K120" t="s">
        <v>28</v>
      </c>
      <c r="L120" t="s">
        <v>4721</v>
      </c>
      <c r="M120" t="s">
        <v>33</v>
      </c>
      <c r="O120">
        <v>723</v>
      </c>
    </row>
    <row r="121" spans="1:15" x14ac:dyDescent="0.35">
      <c r="A121" t="s">
        <v>20</v>
      </c>
      <c r="B121">
        <v>17644</v>
      </c>
      <c r="C121" t="s">
        <v>21</v>
      </c>
      <c r="D121" t="s">
        <v>22</v>
      </c>
      <c r="E121" t="s">
        <v>5183</v>
      </c>
      <c r="F121" t="s">
        <v>5184</v>
      </c>
      <c r="G121" t="s">
        <v>5185</v>
      </c>
      <c r="H121" t="s">
        <v>5186</v>
      </c>
      <c r="I121" t="s">
        <v>238</v>
      </c>
      <c r="K121" t="s">
        <v>28</v>
      </c>
      <c r="L121" t="s">
        <v>4721</v>
      </c>
      <c r="M121" t="s">
        <v>33</v>
      </c>
      <c r="O121">
        <v>729</v>
      </c>
    </row>
    <row r="122" spans="1:15" x14ac:dyDescent="0.35">
      <c r="A122" t="s">
        <v>20</v>
      </c>
      <c r="B122">
        <v>17644</v>
      </c>
      <c r="C122" t="s">
        <v>21</v>
      </c>
      <c r="D122" t="s">
        <v>22</v>
      </c>
      <c r="E122" t="s">
        <v>5187</v>
      </c>
      <c r="F122" t="s">
        <v>5188</v>
      </c>
      <c r="G122" t="s">
        <v>5189</v>
      </c>
      <c r="H122" t="s">
        <v>5190</v>
      </c>
      <c r="I122" t="s">
        <v>238</v>
      </c>
      <c r="K122" t="s">
        <v>61</v>
      </c>
      <c r="L122" t="s">
        <v>4716</v>
      </c>
      <c r="M122" t="s">
        <v>33</v>
      </c>
      <c r="O122">
        <v>786</v>
      </c>
    </row>
    <row r="123" spans="1:15" x14ac:dyDescent="0.35">
      <c r="A123" t="s">
        <v>20</v>
      </c>
      <c r="B123">
        <v>17644</v>
      </c>
      <c r="C123" t="s">
        <v>21</v>
      </c>
      <c r="D123" t="s">
        <v>22</v>
      </c>
      <c r="E123" t="s">
        <v>5191</v>
      </c>
      <c r="F123" t="s">
        <v>5192</v>
      </c>
      <c r="G123" t="s">
        <v>5193</v>
      </c>
      <c r="H123" t="s">
        <v>5194</v>
      </c>
      <c r="I123" t="s">
        <v>238</v>
      </c>
      <c r="K123" t="s">
        <v>61</v>
      </c>
      <c r="L123" t="s">
        <v>4721</v>
      </c>
      <c r="M123" t="s">
        <v>33</v>
      </c>
      <c r="O123">
        <v>793</v>
      </c>
    </row>
    <row r="124" spans="1:15" x14ac:dyDescent="0.35">
      <c r="A124" t="s">
        <v>20</v>
      </c>
      <c r="B124">
        <v>17644</v>
      </c>
      <c r="C124" t="s">
        <v>21</v>
      </c>
      <c r="D124" t="s">
        <v>22</v>
      </c>
      <c r="E124" t="s">
        <v>5195</v>
      </c>
      <c r="F124" t="s">
        <v>5196</v>
      </c>
      <c r="G124" t="s">
        <v>5197</v>
      </c>
      <c r="H124" t="s">
        <v>5198</v>
      </c>
      <c r="I124" t="s">
        <v>238</v>
      </c>
      <c r="K124" t="s">
        <v>61</v>
      </c>
      <c r="L124" t="s">
        <v>4721</v>
      </c>
      <c r="M124" t="s">
        <v>33</v>
      </c>
      <c r="O124">
        <v>805</v>
      </c>
    </row>
    <row r="125" spans="1:15" x14ac:dyDescent="0.35">
      <c r="A125" t="s">
        <v>20</v>
      </c>
      <c r="B125">
        <v>17644</v>
      </c>
      <c r="C125" t="s">
        <v>21</v>
      </c>
      <c r="D125" t="s">
        <v>22</v>
      </c>
      <c r="E125" t="s">
        <v>5199</v>
      </c>
      <c r="F125" t="s">
        <v>5200</v>
      </c>
      <c r="G125" t="s">
        <v>5201</v>
      </c>
      <c r="H125" t="s">
        <v>5202</v>
      </c>
      <c r="I125" t="s">
        <v>238</v>
      </c>
      <c r="K125" t="s">
        <v>61</v>
      </c>
      <c r="L125" t="s">
        <v>4721</v>
      </c>
      <c r="M125" t="s">
        <v>33</v>
      </c>
      <c r="O125">
        <v>809</v>
      </c>
    </row>
    <row r="126" spans="1:15" x14ac:dyDescent="0.35">
      <c r="A126" t="s">
        <v>20</v>
      </c>
      <c r="B126">
        <v>17644</v>
      </c>
      <c r="C126" t="s">
        <v>21</v>
      </c>
      <c r="D126" t="s">
        <v>22</v>
      </c>
      <c r="E126" t="s">
        <v>5203</v>
      </c>
      <c r="F126" t="s">
        <v>5204</v>
      </c>
      <c r="G126" t="s">
        <v>5205</v>
      </c>
      <c r="H126" t="s">
        <v>5206</v>
      </c>
      <c r="I126" t="s">
        <v>238</v>
      </c>
      <c r="K126" t="s">
        <v>61</v>
      </c>
      <c r="L126" t="s">
        <v>4721</v>
      </c>
      <c r="M126" t="s">
        <v>33</v>
      </c>
      <c r="O126">
        <v>816</v>
      </c>
    </row>
    <row r="127" spans="1:15" x14ac:dyDescent="0.35">
      <c r="A127" t="s">
        <v>20</v>
      </c>
      <c r="B127">
        <v>17644</v>
      </c>
      <c r="C127" t="s">
        <v>21</v>
      </c>
      <c r="D127" t="s">
        <v>22</v>
      </c>
      <c r="E127" t="s">
        <v>5207</v>
      </c>
      <c r="F127" t="s">
        <v>5208</v>
      </c>
      <c r="G127" t="s">
        <v>5209</v>
      </c>
      <c r="H127" t="s">
        <v>5210</v>
      </c>
      <c r="I127" t="s">
        <v>238</v>
      </c>
      <c r="L127" t="s">
        <v>4721</v>
      </c>
      <c r="M127" t="s">
        <v>33</v>
      </c>
      <c r="O127">
        <v>824</v>
      </c>
    </row>
    <row r="128" spans="1:15" x14ac:dyDescent="0.35">
      <c r="A128" t="s">
        <v>20</v>
      </c>
      <c r="B128">
        <v>17644</v>
      </c>
      <c r="C128" t="s">
        <v>21</v>
      </c>
      <c r="D128" t="s">
        <v>22</v>
      </c>
      <c r="E128" t="s">
        <v>5211</v>
      </c>
      <c r="F128" t="s">
        <v>5212</v>
      </c>
      <c r="G128" t="s">
        <v>5213</v>
      </c>
      <c r="H128" t="s">
        <v>5214</v>
      </c>
      <c r="I128" t="s">
        <v>238</v>
      </c>
      <c r="K128" t="s">
        <v>61</v>
      </c>
      <c r="L128" t="s">
        <v>4721</v>
      </c>
      <c r="M128" t="s">
        <v>33</v>
      </c>
      <c r="O128">
        <v>831</v>
      </c>
    </row>
    <row r="129" spans="1:15" x14ac:dyDescent="0.35">
      <c r="A129" t="s">
        <v>20</v>
      </c>
      <c r="B129">
        <v>17644</v>
      </c>
      <c r="C129" t="s">
        <v>21</v>
      </c>
      <c r="D129" t="s">
        <v>22</v>
      </c>
      <c r="E129" t="s">
        <v>5215</v>
      </c>
      <c r="F129" t="s">
        <v>5216</v>
      </c>
      <c r="G129" t="s">
        <v>5217</v>
      </c>
      <c r="H129" t="s">
        <v>5218</v>
      </c>
      <c r="I129" t="s">
        <v>238</v>
      </c>
      <c r="K129" t="s">
        <v>61</v>
      </c>
      <c r="L129" t="s">
        <v>4721</v>
      </c>
      <c r="M129" t="s">
        <v>33</v>
      </c>
      <c r="O129">
        <v>843</v>
      </c>
    </row>
    <row r="130" spans="1:15" x14ac:dyDescent="0.35">
      <c r="A130" t="s">
        <v>20</v>
      </c>
      <c r="B130">
        <v>17644</v>
      </c>
      <c r="C130" t="s">
        <v>21</v>
      </c>
      <c r="D130" t="s">
        <v>22</v>
      </c>
      <c r="E130" t="s">
        <v>5219</v>
      </c>
      <c r="F130" t="s">
        <v>5220</v>
      </c>
      <c r="G130" t="s">
        <v>5221</v>
      </c>
      <c r="H130" t="s">
        <v>5222</v>
      </c>
      <c r="I130" t="s">
        <v>238</v>
      </c>
      <c r="K130" t="s">
        <v>46</v>
      </c>
      <c r="L130" t="s">
        <v>4721</v>
      </c>
      <c r="M130" t="s">
        <v>33</v>
      </c>
      <c r="O130">
        <v>1377</v>
      </c>
    </row>
    <row r="131" spans="1:15" x14ac:dyDescent="0.35">
      <c r="A131" t="s">
        <v>20</v>
      </c>
      <c r="B131">
        <v>17644</v>
      </c>
      <c r="C131" t="s">
        <v>21</v>
      </c>
      <c r="D131" t="s">
        <v>22</v>
      </c>
      <c r="E131" t="s">
        <v>5223</v>
      </c>
      <c r="F131" t="s">
        <v>5224</v>
      </c>
      <c r="G131" t="s">
        <v>5225</v>
      </c>
      <c r="H131" t="s">
        <v>2504</v>
      </c>
      <c r="I131" t="s">
        <v>238</v>
      </c>
      <c r="K131" t="s">
        <v>61</v>
      </c>
      <c r="L131" t="s">
        <v>4721</v>
      </c>
      <c r="M131" t="s">
        <v>33</v>
      </c>
      <c r="O131">
        <v>1502</v>
      </c>
    </row>
    <row r="132" spans="1:15" x14ac:dyDescent="0.35">
      <c r="A132" t="s">
        <v>20</v>
      </c>
      <c r="B132">
        <v>17644</v>
      </c>
      <c r="C132" t="s">
        <v>21</v>
      </c>
      <c r="D132" t="s">
        <v>22</v>
      </c>
      <c r="E132" t="s">
        <v>5226</v>
      </c>
      <c r="F132" t="s">
        <v>5227</v>
      </c>
      <c r="G132" t="s">
        <v>5228</v>
      </c>
      <c r="H132" t="s">
        <v>5229</v>
      </c>
      <c r="I132" t="s">
        <v>238</v>
      </c>
      <c r="K132" t="s">
        <v>46</v>
      </c>
      <c r="L132" t="s">
        <v>4721</v>
      </c>
      <c r="M132" t="s">
        <v>33</v>
      </c>
      <c r="O132">
        <v>1713</v>
      </c>
    </row>
    <row r="133" spans="1:15" x14ac:dyDescent="0.35">
      <c r="A133" t="s">
        <v>20</v>
      </c>
      <c r="B133">
        <v>17644</v>
      </c>
      <c r="C133" t="s">
        <v>21</v>
      </c>
      <c r="D133" t="s">
        <v>22</v>
      </c>
      <c r="E133" t="s">
        <v>5230</v>
      </c>
      <c r="F133" t="s">
        <v>5231</v>
      </c>
      <c r="G133" t="s">
        <v>5232</v>
      </c>
      <c r="H133" t="s">
        <v>5233</v>
      </c>
      <c r="I133" t="s">
        <v>238</v>
      </c>
      <c r="K133" t="s">
        <v>46</v>
      </c>
      <c r="L133" t="s">
        <v>4721</v>
      </c>
      <c r="M133" t="s">
        <v>33</v>
      </c>
      <c r="O133">
        <v>1721</v>
      </c>
    </row>
    <row r="134" spans="1:15" x14ac:dyDescent="0.35">
      <c r="A134" t="s">
        <v>20</v>
      </c>
      <c r="B134">
        <v>17644</v>
      </c>
      <c r="C134" t="s">
        <v>21</v>
      </c>
      <c r="D134" t="s">
        <v>22</v>
      </c>
      <c r="E134" t="s">
        <v>5234</v>
      </c>
      <c r="F134" t="s">
        <v>5235</v>
      </c>
      <c r="G134" t="s">
        <v>5236</v>
      </c>
      <c r="H134" t="s">
        <v>5237</v>
      </c>
      <c r="I134" t="s">
        <v>238</v>
      </c>
      <c r="K134" t="s">
        <v>46</v>
      </c>
      <c r="L134" t="s">
        <v>4721</v>
      </c>
      <c r="M134" t="s">
        <v>33</v>
      </c>
      <c r="O134">
        <v>1732</v>
      </c>
    </row>
    <row r="135" spans="1:15" x14ac:dyDescent="0.35">
      <c r="A135" t="s">
        <v>20</v>
      </c>
      <c r="B135">
        <v>17644</v>
      </c>
      <c r="C135" t="s">
        <v>21</v>
      </c>
      <c r="D135" t="s">
        <v>22</v>
      </c>
      <c r="E135" t="s">
        <v>5238</v>
      </c>
      <c r="F135" t="s">
        <v>5239</v>
      </c>
      <c r="G135" t="s">
        <v>5240</v>
      </c>
      <c r="H135" t="s">
        <v>5241</v>
      </c>
      <c r="I135" t="s">
        <v>238</v>
      </c>
      <c r="K135" t="s">
        <v>46</v>
      </c>
      <c r="L135" t="s">
        <v>4799</v>
      </c>
      <c r="M135" t="s">
        <v>33</v>
      </c>
      <c r="O135">
        <v>1741</v>
      </c>
    </row>
    <row r="136" spans="1:15" x14ac:dyDescent="0.35">
      <c r="A136" t="s">
        <v>20</v>
      </c>
      <c r="B136">
        <v>17644</v>
      </c>
      <c r="C136" t="s">
        <v>21</v>
      </c>
      <c r="D136" t="s">
        <v>22</v>
      </c>
      <c r="E136" t="s">
        <v>5242</v>
      </c>
      <c r="F136" t="s">
        <v>5243</v>
      </c>
      <c r="G136" t="s">
        <v>5244</v>
      </c>
      <c r="H136" t="s">
        <v>5245</v>
      </c>
      <c r="I136" t="s">
        <v>238</v>
      </c>
      <c r="K136" t="s">
        <v>28</v>
      </c>
      <c r="L136" t="s">
        <v>4721</v>
      </c>
      <c r="M136" t="s">
        <v>33</v>
      </c>
      <c r="O136">
        <v>2150</v>
      </c>
    </row>
    <row r="137" spans="1:15" x14ac:dyDescent="0.35">
      <c r="A137" t="s">
        <v>20</v>
      </c>
      <c r="B137">
        <v>17644</v>
      </c>
      <c r="C137" t="s">
        <v>21</v>
      </c>
      <c r="D137" t="s">
        <v>22</v>
      </c>
      <c r="E137" t="s">
        <v>5246</v>
      </c>
      <c r="F137" t="s">
        <v>5247</v>
      </c>
      <c r="G137" t="s">
        <v>5248</v>
      </c>
      <c r="H137" t="s">
        <v>5249</v>
      </c>
      <c r="I137" t="s">
        <v>238</v>
      </c>
      <c r="K137" t="s">
        <v>28</v>
      </c>
      <c r="L137" t="s">
        <v>4726</v>
      </c>
      <c r="M137" t="s">
        <v>33</v>
      </c>
      <c r="O137">
        <v>2224</v>
      </c>
    </row>
    <row r="138" spans="1:15" x14ac:dyDescent="0.35">
      <c r="A138" t="s">
        <v>20</v>
      </c>
      <c r="B138">
        <v>17644</v>
      </c>
      <c r="C138" t="s">
        <v>21</v>
      </c>
      <c r="D138" t="s">
        <v>22</v>
      </c>
      <c r="E138" t="s">
        <v>5250</v>
      </c>
      <c r="F138" t="s">
        <v>5251</v>
      </c>
      <c r="G138" t="s">
        <v>5252</v>
      </c>
      <c r="H138" t="s">
        <v>5253</v>
      </c>
      <c r="I138" t="s">
        <v>238</v>
      </c>
      <c r="K138" t="s">
        <v>28</v>
      </c>
      <c r="L138" t="s">
        <v>4721</v>
      </c>
      <c r="M138" t="s">
        <v>33</v>
      </c>
      <c r="O138">
        <v>2232</v>
      </c>
    </row>
    <row r="139" spans="1:15" x14ac:dyDescent="0.35">
      <c r="A139" t="s">
        <v>20</v>
      </c>
      <c r="B139">
        <v>17644</v>
      </c>
      <c r="C139" t="s">
        <v>21</v>
      </c>
      <c r="D139" t="s">
        <v>22</v>
      </c>
      <c r="E139" t="s">
        <v>5254</v>
      </c>
      <c r="F139" t="s">
        <v>5255</v>
      </c>
      <c r="G139" t="s">
        <v>5256</v>
      </c>
      <c r="H139" t="s">
        <v>5257</v>
      </c>
      <c r="I139" t="s">
        <v>238</v>
      </c>
      <c r="K139" t="s">
        <v>61</v>
      </c>
      <c r="L139" t="s">
        <v>4721</v>
      </c>
      <c r="M139" t="s">
        <v>33</v>
      </c>
      <c r="O139">
        <v>2242</v>
      </c>
    </row>
    <row r="140" spans="1:15" x14ac:dyDescent="0.35">
      <c r="A140" t="s">
        <v>20</v>
      </c>
      <c r="B140">
        <v>17644</v>
      </c>
      <c r="C140" t="s">
        <v>21</v>
      </c>
      <c r="D140" t="s">
        <v>22</v>
      </c>
      <c r="E140" t="s">
        <v>5258</v>
      </c>
      <c r="F140" t="s">
        <v>5259</v>
      </c>
      <c r="G140" t="s">
        <v>5260</v>
      </c>
      <c r="H140" t="s">
        <v>5261</v>
      </c>
      <c r="I140" t="s">
        <v>238</v>
      </c>
      <c r="K140" t="s">
        <v>28</v>
      </c>
      <c r="L140" t="s">
        <v>4721</v>
      </c>
      <c r="M140" t="s">
        <v>33</v>
      </c>
      <c r="O140">
        <v>2251</v>
      </c>
    </row>
    <row r="141" spans="1:15" x14ac:dyDescent="0.35">
      <c r="A141" t="s">
        <v>20</v>
      </c>
      <c r="B141">
        <v>17644</v>
      </c>
      <c r="C141" t="s">
        <v>21</v>
      </c>
      <c r="D141" t="s">
        <v>22</v>
      </c>
      <c r="E141" t="s">
        <v>5262</v>
      </c>
      <c r="F141" t="s">
        <v>5263</v>
      </c>
      <c r="G141" t="s">
        <v>5264</v>
      </c>
      <c r="H141" t="s">
        <v>5265</v>
      </c>
      <c r="I141" t="s">
        <v>238</v>
      </c>
      <c r="K141" t="s">
        <v>28</v>
      </c>
      <c r="L141" t="s">
        <v>4721</v>
      </c>
      <c r="M141" t="s">
        <v>33</v>
      </c>
      <c r="O141">
        <v>2259</v>
      </c>
    </row>
    <row r="142" spans="1:15" x14ac:dyDescent="0.35">
      <c r="A142" t="s">
        <v>20</v>
      </c>
      <c r="B142">
        <v>17644</v>
      </c>
      <c r="C142" t="s">
        <v>21</v>
      </c>
      <c r="D142" t="s">
        <v>22</v>
      </c>
      <c r="E142" t="s">
        <v>5266</v>
      </c>
      <c r="F142" t="s">
        <v>5267</v>
      </c>
      <c r="G142" t="s">
        <v>5268</v>
      </c>
      <c r="H142" t="s">
        <v>5269</v>
      </c>
      <c r="I142" t="s">
        <v>238</v>
      </c>
      <c r="K142" t="s">
        <v>61</v>
      </c>
      <c r="L142" t="s">
        <v>4726</v>
      </c>
      <c r="M142" t="s">
        <v>33</v>
      </c>
      <c r="O142">
        <v>2264</v>
      </c>
    </row>
    <row r="143" spans="1:15" x14ac:dyDescent="0.35">
      <c r="A143" t="s">
        <v>20</v>
      </c>
      <c r="B143">
        <v>17644</v>
      </c>
      <c r="C143" t="s">
        <v>21</v>
      </c>
      <c r="D143" t="s">
        <v>22</v>
      </c>
      <c r="E143" t="s">
        <v>5270</v>
      </c>
      <c r="F143" t="s">
        <v>5271</v>
      </c>
      <c r="G143" t="s">
        <v>5272</v>
      </c>
      <c r="H143" t="s">
        <v>5273</v>
      </c>
      <c r="I143" t="s">
        <v>238</v>
      </c>
      <c r="K143" t="s">
        <v>28</v>
      </c>
      <c r="L143" t="s">
        <v>4726</v>
      </c>
      <c r="M143" t="s">
        <v>33</v>
      </c>
      <c r="O143">
        <v>2271</v>
      </c>
    </row>
    <row r="144" spans="1:15" x14ac:dyDescent="0.35">
      <c r="A144" t="s">
        <v>20</v>
      </c>
      <c r="B144">
        <v>17644</v>
      </c>
      <c r="C144" t="s">
        <v>21</v>
      </c>
      <c r="D144" t="s">
        <v>22</v>
      </c>
      <c r="E144" t="s">
        <v>5274</v>
      </c>
      <c r="F144" t="s">
        <v>5275</v>
      </c>
      <c r="G144" t="s">
        <v>5276</v>
      </c>
      <c r="H144" t="s">
        <v>5277</v>
      </c>
      <c r="I144" t="s">
        <v>238</v>
      </c>
      <c r="K144" t="s">
        <v>61</v>
      </c>
      <c r="L144" t="s">
        <v>4726</v>
      </c>
      <c r="M144" t="s">
        <v>33</v>
      </c>
      <c r="O144">
        <v>2279</v>
      </c>
    </row>
    <row r="145" spans="1:15" x14ac:dyDescent="0.35">
      <c r="A145" t="s">
        <v>20</v>
      </c>
      <c r="B145">
        <v>17644</v>
      </c>
      <c r="C145" t="s">
        <v>21</v>
      </c>
      <c r="D145" t="s">
        <v>22</v>
      </c>
      <c r="E145" t="s">
        <v>5278</v>
      </c>
      <c r="F145" t="s">
        <v>5279</v>
      </c>
      <c r="G145" t="s">
        <v>5280</v>
      </c>
      <c r="H145" t="s">
        <v>5281</v>
      </c>
      <c r="I145" t="s">
        <v>238</v>
      </c>
      <c r="K145" t="s">
        <v>61</v>
      </c>
      <c r="L145" t="s">
        <v>4726</v>
      </c>
      <c r="M145" t="s">
        <v>33</v>
      </c>
      <c r="O145">
        <v>2353</v>
      </c>
    </row>
    <row r="146" spans="1:15" x14ac:dyDescent="0.35">
      <c r="A146" t="s">
        <v>20</v>
      </c>
      <c r="B146">
        <v>17644</v>
      </c>
      <c r="C146" t="s">
        <v>21</v>
      </c>
      <c r="D146" t="s">
        <v>22</v>
      </c>
      <c r="E146" t="s">
        <v>5282</v>
      </c>
      <c r="F146" t="s">
        <v>5283</v>
      </c>
      <c r="G146" t="s">
        <v>5284</v>
      </c>
      <c r="H146" t="s">
        <v>5285</v>
      </c>
      <c r="I146" t="s">
        <v>238</v>
      </c>
      <c r="K146" t="s">
        <v>61</v>
      </c>
      <c r="L146" t="s">
        <v>4726</v>
      </c>
      <c r="M146" t="s">
        <v>33</v>
      </c>
      <c r="O146">
        <v>2362</v>
      </c>
    </row>
    <row r="147" spans="1:15" x14ac:dyDescent="0.35">
      <c r="A147" t="s">
        <v>20</v>
      </c>
      <c r="B147">
        <v>17644</v>
      </c>
      <c r="C147" t="s">
        <v>21</v>
      </c>
      <c r="D147" t="s">
        <v>22</v>
      </c>
      <c r="E147" t="s">
        <v>5286</v>
      </c>
      <c r="F147" t="s">
        <v>5287</v>
      </c>
      <c r="G147" t="s">
        <v>5288</v>
      </c>
      <c r="H147" t="s">
        <v>5289</v>
      </c>
      <c r="I147" t="s">
        <v>238</v>
      </c>
      <c r="K147" t="s">
        <v>61</v>
      </c>
      <c r="L147" t="s">
        <v>4726</v>
      </c>
      <c r="M147" t="s">
        <v>33</v>
      </c>
      <c r="O147">
        <v>2373</v>
      </c>
    </row>
    <row r="148" spans="1:15" x14ac:dyDescent="0.35">
      <c r="A148" t="s">
        <v>20</v>
      </c>
      <c r="B148">
        <v>17644</v>
      </c>
      <c r="C148" t="s">
        <v>21</v>
      </c>
      <c r="D148" t="s">
        <v>22</v>
      </c>
      <c r="E148" t="s">
        <v>5290</v>
      </c>
      <c r="F148" t="s">
        <v>5291</v>
      </c>
      <c r="G148" t="s">
        <v>5292</v>
      </c>
      <c r="H148" t="s">
        <v>5293</v>
      </c>
      <c r="I148" t="s">
        <v>238</v>
      </c>
      <c r="K148" t="s">
        <v>61</v>
      </c>
      <c r="L148" t="s">
        <v>4716</v>
      </c>
      <c r="M148" t="s">
        <v>33</v>
      </c>
      <c r="O148">
        <v>2380</v>
      </c>
    </row>
    <row r="149" spans="1:15" x14ac:dyDescent="0.35">
      <c r="A149" t="s">
        <v>20</v>
      </c>
      <c r="B149">
        <v>17644</v>
      </c>
      <c r="C149" t="s">
        <v>21</v>
      </c>
      <c r="D149" t="s">
        <v>22</v>
      </c>
      <c r="E149" t="s">
        <v>5294</v>
      </c>
      <c r="F149" t="s">
        <v>5295</v>
      </c>
      <c r="G149" t="s">
        <v>5296</v>
      </c>
      <c r="H149" t="s">
        <v>5297</v>
      </c>
      <c r="I149" t="s">
        <v>238</v>
      </c>
      <c r="K149" t="s">
        <v>61</v>
      </c>
      <c r="L149" t="s">
        <v>4716</v>
      </c>
      <c r="M149" t="s">
        <v>33</v>
      </c>
      <c r="O149">
        <v>2385</v>
      </c>
    </row>
    <row r="150" spans="1:15" x14ac:dyDescent="0.35">
      <c r="A150" t="s">
        <v>20</v>
      </c>
      <c r="B150">
        <v>17644</v>
      </c>
      <c r="C150" t="s">
        <v>21</v>
      </c>
      <c r="D150" t="s">
        <v>22</v>
      </c>
      <c r="E150" t="s">
        <v>5298</v>
      </c>
      <c r="F150" t="s">
        <v>5299</v>
      </c>
      <c r="G150" t="s">
        <v>5300</v>
      </c>
      <c r="H150" t="s">
        <v>5301</v>
      </c>
      <c r="I150" t="s">
        <v>238</v>
      </c>
      <c r="K150" t="s">
        <v>61</v>
      </c>
      <c r="L150" t="s">
        <v>4716</v>
      </c>
      <c r="M150" t="s">
        <v>33</v>
      </c>
      <c r="O150">
        <v>2398</v>
      </c>
    </row>
    <row r="151" spans="1:15" x14ac:dyDescent="0.35">
      <c r="A151" t="s">
        <v>20</v>
      </c>
      <c r="B151">
        <v>17644</v>
      </c>
      <c r="C151" t="s">
        <v>21</v>
      </c>
      <c r="D151" t="s">
        <v>22</v>
      </c>
      <c r="E151" t="s">
        <v>5302</v>
      </c>
      <c r="F151" t="s">
        <v>5303</v>
      </c>
      <c r="G151" t="s">
        <v>5304</v>
      </c>
      <c r="H151" t="s">
        <v>5305</v>
      </c>
      <c r="I151" t="s">
        <v>238</v>
      </c>
      <c r="K151" t="s">
        <v>61</v>
      </c>
      <c r="L151" t="s">
        <v>4716</v>
      </c>
      <c r="M151" t="s">
        <v>33</v>
      </c>
      <c r="O151">
        <v>2402</v>
      </c>
    </row>
    <row r="152" spans="1:15" x14ac:dyDescent="0.35">
      <c r="A152" t="s">
        <v>20</v>
      </c>
      <c r="B152">
        <v>17644</v>
      </c>
      <c r="C152" t="s">
        <v>21</v>
      </c>
      <c r="D152" t="s">
        <v>22</v>
      </c>
      <c r="E152" t="s">
        <v>5306</v>
      </c>
      <c r="F152" t="s">
        <v>5307</v>
      </c>
      <c r="G152" t="s">
        <v>5308</v>
      </c>
      <c r="H152" t="s">
        <v>5309</v>
      </c>
      <c r="I152" t="s">
        <v>238</v>
      </c>
      <c r="K152" t="s">
        <v>28</v>
      </c>
      <c r="L152" t="s">
        <v>4721</v>
      </c>
      <c r="M152" t="s">
        <v>33</v>
      </c>
      <c r="O152">
        <v>2564</v>
      </c>
    </row>
    <row r="153" spans="1:15" x14ac:dyDescent="0.35">
      <c r="A153" t="s">
        <v>20</v>
      </c>
      <c r="B153">
        <v>17644</v>
      </c>
      <c r="C153" t="s">
        <v>21</v>
      </c>
      <c r="D153" t="s">
        <v>22</v>
      </c>
      <c r="E153" t="s">
        <v>5310</v>
      </c>
      <c r="F153" t="s">
        <v>5311</v>
      </c>
      <c r="G153" t="s">
        <v>5312</v>
      </c>
      <c r="H153" t="s">
        <v>5313</v>
      </c>
      <c r="I153" t="s">
        <v>238</v>
      </c>
      <c r="K153" t="s">
        <v>28</v>
      </c>
      <c r="L153" t="s">
        <v>4721</v>
      </c>
      <c r="M153" t="s">
        <v>33</v>
      </c>
      <c r="O153">
        <v>2570</v>
      </c>
    </row>
    <row r="154" spans="1:15" x14ac:dyDescent="0.35">
      <c r="A154" t="s">
        <v>20</v>
      </c>
      <c r="B154">
        <v>17644</v>
      </c>
      <c r="C154" t="s">
        <v>21</v>
      </c>
      <c r="D154" t="s">
        <v>22</v>
      </c>
      <c r="E154" t="s">
        <v>5314</v>
      </c>
      <c r="F154" t="s">
        <v>5315</v>
      </c>
      <c r="G154" t="s">
        <v>5316</v>
      </c>
      <c r="H154" t="s">
        <v>5317</v>
      </c>
      <c r="I154" t="s">
        <v>238</v>
      </c>
      <c r="K154" t="s">
        <v>28</v>
      </c>
      <c r="L154" t="s">
        <v>4721</v>
      </c>
      <c r="M154" t="s">
        <v>33</v>
      </c>
      <c r="O154">
        <v>2577</v>
      </c>
    </row>
    <row r="155" spans="1:15" x14ac:dyDescent="0.35">
      <c r="A155" t="s">
        <v>20</v>
      </c>
      <c r="B155">
        <v>17644</v>
      </c>
      <c r="C155" t="s">
        <v>21</v>
      </c>
      <c r="D155" t="s">
        <v>22</v>
      </c>
      <c r="E155" t="s">
        <v>5318</v>
      </c>
      <c r="F155" t="s">
        <v>5319</v>
      </c>
      <c r="G155" t="s">
        <v>5320</v>
      </c>
      <c r="H155" t="s">
        <v>5321</v>
      </c>
      <c r="I155" t="s">
        <v>238</v>
      </c>
      <c r="K155" t="s">
        <v>28</v>
      </c>
      <c r="L155" t="s">
        <v>4721</v>
      </c>
      <c r="M155" t="s">
        <v>33</v>
      </c>
      <c r="O155">
        <v>2586</v>
      </c>
    </row>
    <row r="156" spans="1:15" x14ac:dyDescent="0.35">
      <c r="A156" t="s">
        <v>20</v>
      </c>
      <c r="B156">
        <v>17644</v>
      </c>
      <c r="C156" t="s">
        <v>21</v>
      </c>
      <c r="D156" t="s">
        <v>22</v>
      </c>
      <c r="E156" t="s">
        <v>5322</v>
      </c>
      <c r="F156" t="s">
        <v>5323</v>
      </c>
      <c r="G156" t="s">
        <v>5324</v>
      </c>
      <c r="H156" t="s">
        <v>5325</v>
      </c>
      <c r="I156" t="s">
        <v>238</v>
      </c>
      <c r="K156" t="s">
        <v>46</v>
      </c>
      <c r="L156" t="s">
        <v>4726</v>
      </c>
      <c r="M156" t="s">
        <v>33</v>
      </c>
      <c r="O156">
        <v>2906</v>
      </c>
    </row>
    <row r="157" spans="1:15" x14ac:dyDescent="0.35">
      <c r="A157" t="s">
        <v>20</v>
      </c>
      <c r="B157">
        <v>17644</v>
      </c>
      <c r="C157" t="s">
        <v>21</v>
      </c>
      <c r="D157" t="s">
        <v>22</v>
      </c>
      <c r="E157" t="s">
        <v>5326</v>
      </c>
      <c r="F157" t="s">
        <v>5327</v>
      </c>
      <c r="G157" t="s">
        <v>5328</v>
      </c>
      <c r="H157" t="s">
        <v>5329</v>
      </c>
      <c r="I157" t="s">
        <v>238</v>
      </c>
      <c r="K157" t="s">
        <v>28</v>
      </c>
      <c r="L157" t="s">
        <v>4721</v>
      </c>
      <c r="M157" t="s">
        <v>33</v>
      </c>
      <c r="O157">
        <v>2986</v>
      </c>
    </row>
    <row r="158" spans="1:15" x14ac:dyDescent="0.35">
      <c r="A158" t="s">
        <v>20</v>
      </c>
      <c r="B158">
        <v>17644</v>
      </c>
      <c r="C158" t="s">
        <v>21</v>
      </c>
      <c r="D158" t="s">
        <v>22</v>
      </c>
      <c r="E158" t="s">
        <v>5330</v>
      </c>
      <c r="F158" t="s">
        <v>5331</v>
      </c>
      <c r="G158" t="s">
        <v>5332</v>
      </c>
      <c r="H158" t="s">
        <v>5333</v>
      </c>
      <c r="I158" t="s">
        <v>238</v>
      </c>
      <c r="K158" t="s">
        <v>61</v>
      </c>
      <c r="L158" t="s">
        <v>4716</v>
      </c>
      <c r="M158" t="s">
        <v>33</v>
      </c>
      <c r="O158">
        <v>3146</v>
      </c>
    </row>
    <row r="159" spans="1:15" x14ac:dyDescent="0.35">
      <c r="A159" t="s">
        <v>20</v>
      </c>
      <c r="B159">
        <v>17644</v>
      </c>
      <c r="C159" t="s">
        <v>21</v>
      </c>
      <c r="D159" t="s">
        <v>22</v>
      </c>
      <c r="E159" t="s">
        <v>5334</v>
      </c>
      <c r="F159" t="s">
        <v>5335</v>
      </c>
      <c r="G159" t="s">
        <v>5336</v>
      </c>
      <c r="H159" t="s">
        <v>5337</v>
      </c>
      <c r="I159" t="s">
        <v>238</v>
      </c>
      <c r="K159" t="s">
        <v>61</v>
      </c>
      <c r="L159" t="s">
        <v>4716</v>
      </c>
      <c r="M159" t="s">
        <v>33</v>
      </c>
      <c r="O159">
        <v>3155</v>
      </c>
    </row>
    <row r="160" spans="1:15" x14ac:dyDescent="0.35">
      <c r="A160" t="s">
        <v>20</v>
      </c>
      <c r="B160">
        <v>17644</v>
      </c>
      <c r="C160" t="s">
        <v>21</v>
      </c>
      <c r="D160" t="s">
        <v>22</v>
      </c>
      <c r="E160" t="s">
        <v>5338</v>
      </c>
      <c r="F160" t="s">
        <v>5339</v>
      </c>
      <c r="G160" t="s">
        <v>5340</v>
      </c>
      <c r="H160" t="s">
        <v>5341</v>
      </c>
      <c r="I160" t="s">
        <v>238</v>
      </c>
      <c r="K160" t="s">
        <v>28</v>
      </c>
      <c r="L160" t="s">
        <v>4716</v>
      </c>
      <c r="M160" t="s">
        <v>33</v>
      </c>
      <c r="O160">
        <v>3160</v>
      </c>
    </row>
    <row r="161" spans="1:15" x14ac:dyDescent="0.35">
      <c r="A161" t="s">
        <v>20</v>
      </c>
      <c r="B161">
        <v>17644</v>
      </c>
      <c r="C161" t="s">
        <v>21</v>
      </c>
      <c r="D161" t="s">
        <v>22</v>
      </c>
      <c r="E161" t="s">
        <v>5342</v>
      </c>
      <c r="F161" t="s">
        <v>5343</v>
      </c>
      <c r="G161" t="s">
        <v>5344</v>
      </c>
      <c r="H161" t="s">
        <v>5345</v>
      </c>
      <c r="I161" t="s">
        <v>238</v>
      </c>
      <c r="K161" t="s">
        <v>28</v>
      </c>
      <c r="L161" t="s">
        <v>4721</v>
      </c>
      <c r="M161" t="s">
        <v>33</v>
      </c>
      <c r="O161">
        <v>3167</v>
      </c>
    </row>
    <row r="162" spans="1:15" x14ac:dyDescent="0.35">
      <c r="A162" t="s">
        <v>20</v>
      </c>
      <c r="B162">
        <v>17644</v>
      </c>
      <c r="C162" t="s">
        <v>21</v>
      </c>
      <c r="D162" t="s">
        <v>22</v>
      </c>
      <c r="E162" t="s">
        <v>5346</v>
      </c>
      <c r="F162" t="s">
        <v>5347</v>
      </c>
      <c r="G162" t="s">
        <v>5348</v>
      </c>
      <c r="H162" t="s">
        <v>5349</v>
      </c>
      <c r="I162" t="s">
        <v>238</v>
      </c>
      <c r="K162" t="s">
        <v>46</v>
      </c>
      <c r="L162" t="s">
        <v>4721</v>
      </c>
      <c r="M162" t="s">
        <v>33</v>
      </c>
      <c r="O162">
        <v>4764</v>
      </c>
    </row>
    <row r="163" spans="1:15" x14ac:dyDescent="0.35">
      <c r="A163" t="s">
        <v>20</v>
      </c>
      <c r="B163">
        <v>17644</v>
      </c>
      <c r="C163" t="s">
        <v>21</v>
      </c>
      <c r="D163" t="s">
        <v>22</v>
      </c>
      <c r="E163" t="s">
        <v>5350</v>
      </c>
      <c r="F163" t="s">
        <v>5351</v>
      </c>
      <c r="G163" t="s">
        <v>5352</v>
      </c>
      <c r="H163" t="s">
        <v>5353</v>
      </c>
      <c r="I163" t="s">
        <v>238</v>
      </c>
      <c r="K163" t="s">
        <v>46</v>
      </c>
      <c r="L163" t="s">
        <v>4716</v>
      </c>
      <c r="M163" t="s">
        <v>33</v>
      </c>
      <c r="O163">
        <v>4961</v>
      </c>
    </row>
    <row r="164" spans="1:15" x14ac:dyDescent="0.35">
      <c r="A164" t="s">
        <v>20</v>
      </c>
      <c r="B164">
        <v>17644</v>
      </c>
      <c r="C164" t="s">
        <v>21</v>
      </c>
      <c r="D164" t="s">
        <v>22</v>
      </c>
      <c r="E164" t="s">
        <v>5354</v>
      </c>
      <c r="F164" t="s">
        <v>5355</v>
      </c>
      <c r="G164" t="s">
        <v>5356</v>
      </c>
      <c r="H164" t="s">
        <v>5357</v>
      </c>
      <c r="I164" t="s">
        <v>238</v>
      </c>
      <c r="K164" t="s">
        <v>28</v>
      </c>
      <c r="L164" t="s">
        <v>4721</v>
      </c>
      <c r="M164" t="s">
        <v>33</v>
      </c>
      <c r="O164">
        <v>4966</v>
      </c>
    </row>
    <row r="165" spans="1:15" x14ac:dyDescent="0.35">
      <c r="A165" t="s">
        <v>20</v>
      </c>
      <c r="B165">
        <v>17644</v>
      </c>
      <c r="C165" t="s">
        <v>21</v>
      </c>
      <c r="D165" t="s">
        <v>22</v>
      </c>
      <c r="E165" t="s">
        <v>5358</v>
      </c>
      <c r="F165" t="s">
        <v>5359</v>
      </c>
      <c r="G165" t="s">
        <v>5360</v>
      </c>
      <c r="H165" t="s">
        <v>5361</v>
      </c>
      <c r="I165" t="s">
        <v>238</v>
      </c>
      <c r="K165" t="s">
        <v>28</v>
      </c>
      <c r="L165" t="s">
        <v>4799</v>
      </c>
      <c r="M165" t="s">
        <v>33</v>
      </c>
      <c r="O165">
        <v>4972</v>
      </c>
    </row>
    <row r="166" spans="1:15" x14ac:dyDescent="0.35">
      <c r="A166" t="s">
        <v>20</v>
      </c>
      <c r="B166">
        <v>17644</v>
      </c>
      <c r="C166" t="s">
        <v>21</v>
      </c>
      <c r="D166" t="s">
        <v>22</v>
      </c>
      <c r="E166" t="s">
        <v>5362</v>
      </c>
      <c r="F166" t="s">
        <v>5363</v>
      </c>
      <c r="G166" t="s">
        <v>5364</v>
      </c>
      <c r="H166" t="s">
        <v>5365</v>
      </c>
      <c r="I166" t="s">
        <v>238</v>
      </c>
      <c r="K166" t="s">
        <v>28</v>
      </c>
      <c r="L166" t="s">
        <v>4716</v>
      </c>
      <c r="M166" t="s">
        <v>33</v>
      </c>
      <c r="O166">
        <v>5090</v>
      </c>
    </row>
    <row r="167" spans="1:15" x14ac:dyDescent="0.35">
      <c r="A167" t="s">
        <v>20</v>
      </c>
      <c r="B167">
        <v>17644</v>
      </c>
      <c r="C167" t="s">
        <v>21</v>
      </c>
      <c r="D167" t="s">
        <v>22</v>
      </c>
      <c r="E167" t="s">
        <v>5366</v>
      </c>
      <c r="F167" t="s">
        <v>5367</v>
      </c>
      <c r="G167" t="s">
        <v>5368</v>
      </c>
      <c r="H167" t="s">
        <v>5369</v>
      </c>
      <c r="I167" t="s">
        <v>238</v>
      </c>
      <c r="K167" t="s">
        <v>28</v>
      </c>
      <c r="L167" t="s">
        <v>4726</v>
      </c>
      <c r="M167" t="s">
        <v>33</v>
      </c>
      <c r="O167">
        <v>5099</v>
      </c>
    </row>
    <row r="168" spans="1:15" x14ac:dyDescent="0.35">
      <c r="A168" t="s">
        <v>20</v>
      </c>
      <c r="B168">
        <v>17644</v>
      </c>
      <c r="C168" t="s">
        <v>21</v>
      </c>
      <c r="D168" t="s">
        <v>22</v>
      </c>
      <c r="E168" t="s">
        <v>5370</v>
      </c>
      <c r="F168" t="s">
        <v>5371</v>
      </c>
      <c r="G168" t="s">
        <v>5372</v>
      </c>
      <c r="H168" t="s">
        <v>5373</v>
      </c>
      <c r="I168" t="s">
        <v>238</v>
      </c>
      <c r="K168" t="s">
        <v>28</v>
      </c>
      <c r="L168" t="s">
        <v>4721</v>
      </c>
      <c r="M168" t="s">
        <v>33</v>
      </c>
      <c r="O168">
        <v>5102</v>
      </c>
    </row>
    <row r="169" spans="1:15" x14ac:dyDescent="0.35">
      <c r="A169" t="s">
        <v>20</v>
      </c>
      <c r="B169">
        <v>17644</v>
      </c>
      <c r="C169" t="s">
        <v>21</v>
      </c>
      <c r="D169" t="s">
        <v>22</v>
      </c>
      <c r="E169" t="s">
        <v>5374</v>
      </c>
      <c r="F169" t="s">
        <v>5375</v>
      </c>
      <c r="G169" t="s">
        <v>5376</v>
      </c>
      <c r="H169" t="s">
        <v>5377</v>
      </c>
      <c r="I169" t="s">
        <v>238</v>
      </c>
      <c r="K169" t="s">
        <v>61</v>
      </c>
      <c r="L169" t="s">
        <v>4721</v>
      </c>
      <c r="M169" t="s">
        <v>33</v>
      </c>
      <c r="O169">
        <v>5110</v>
      </c>
    </row>
    <row r="170" spans="1:15" x14ac:dyDescent="0.35">
      <c r="A170" t="s">
        <v>20</v>
      </c>
      <c r="B170">
        <v>17644</v>
      </c>
      <c r="C170" t="s">
        <v>21</v>
      </c>
      <c r="D170" t="s">
        <v>22</v>
      </c>
      <c r="E170" t="s">
        <v>5378</v>
      </c>
      <c r="F170" t="s">
        <v>5379</v>
      </c>
      <c r="G170" t="s">
        <v>5380</v>
      </c>
      <c r="H170" t="s">
        <v>5381</v>
      </c>
      <c r="I170" t="s">
        <v>238</v>
      </c>
      <c r="K170" t="s">
        <v>28</v>
      </c>
      <c r="L170" t="s">
        <v>4726</v>
      </c>
      <c r="M170" t="s">
        <v>33</v>
      </c>
      <c r="O170">
        <v>5118</v>
      </c>
    </row>
    <row r="171" spans="1:15" x14ac:dyDescent="0.35">
      <c r="A171" t="s">
        <v>20</v>
      </c>
      <c r="B171">
        <v>17644</v>
      </c>
      <c r="C171" t="s">
        <v>21</v>
      </c>
      <c r="D171" t="s">
        <v>22</v>
      </c>
      <c r="E171" t="s">
        <v>5382</v>
      </c>
      <c r="F171" t="s">
        <v>5383</v>
      </c>
      <c r="G171" t="s">
        <v>5384</v>
      </c>
      <c r="H171" t="s">
        <v>5385</v>
      </c>
      <c r="I171" t="s">
        <v>238</v>
      </c>
      <c r="K171" t="s">
        <v>28</v>
      </c>
      <c r="L171" t="s">
        <v>4726</v>
      </c>
      <c r="M171" t="s">
        <v>33</v>
      </c>
      <c r="O171">
        <v>5126</v>
      </c>
    </row>
    <row r="172" spans="1:15" x14ac:dyDescent="0.35">
      <c r="A172" t="s">
        <v>20</v>
      </c>
      <c r="B172">
        <v>17644</v>
      </c>
      <c r="C172" t="s">
        <v>21</v>
      </c>
      <c r="D172" t="s">
        <v>22</v>
      </c>
      <c r="E172" t="s">
        <v>5386</v>
      </c>
      <c r="F172" t="s">
        <v>5387</v>
      </c>
      <c r="G172" t="s">
        <v>5388</v>
      </c>
      <c r="H172" t="s">
        <v>5389</v>
      </c>
      <c r="I172" t="s">
        <v>238</v>
      </c>
      <c r="K172" t="s">
        <v>61</v>
      </c>
      <c r="L172" t="s">
        <v>4721</v>
      </c>
      <c r="M172" t="s">
        <v>33</v>
      </c>
      <c r="O172">
        <v>5131</v>
      </c>
    </row>
    <row r="173" spans="1:15" x14ac:dyDescent="0.35">
      <c r="A173" t="s">
        <v>20</v>
      </c>
      <c r="B173">
        <v>17644</v>
      </c>
      <c r="C173" t="s">
        <v>21</v>
      </c>
      <c r="D173" t="s">
        <v>22</v>
      </c>
      <c r="E173" t="s">
        <v>5390</v>
      </c>
      <c r="F173" t="s">
        <v>5391</v>
      </c>
      <c r="G173" t="s">
        <v>5392</v>
      </c>
      <c r="H173" t="s">
        <v>5393</v>
      </c>
      <c r="I173" t="s">
        <v>238</v>
      </c>
      <c r="K173" t="s">
        <v>61</v>
      </c>
      <c r="L173" t="s">
        <v>4716</v>
      </c>
      <c r="M173" t="s">
        <v>33</v>
      </c>
      <c r="O173">
        <v>5137</v>
      </c>
    </row>
    <row r="174" spans="1:15" x14ac:dyDescent="0.35">
      <c r="A174" t="s">
        <v>20</v>
      </c>
      <c r="B174">
        <v>17644</v>
      </c>
      <c r="C174" t="s">
        <v>21</v>
      </c>
      <c r="D174" t="s">
        <v>22</v>
      </c>
      <c r="E174" t="s">
        <v>5394</v>
      </c>
      <c r="F174" t="s">
        <v>5395</v>
      </c>
      <c r="G174" t="s">
        <v>5396</v>
      </c>
      <c r="H174" t="s">
        <v>5397</v>
      </c>
      <c r="I174" t="s">
        <v>238</v>
      </c>
      <c r="K174" t="s">
        <v>61</v>
      </c>
      <c r="L174" t="s">
        <v>4726</v>
      </c>
      <c r="M174" t="s">
        <v>33</v>
      </c>
      <c r="O174">
        <v>5146</v>
      </c>
    </row>
    <row r="175" spans="1:15" x14ac:dyDescent="0.35">
      <c r="A175" t="s">
        <v>20</v>
      </c>
      <c r="B175">
        <v>17644</v>
      </c>
      <c r="C175" t="s">
        <v>21</v>
      </c>
      <c r="D175" t="s">
        <v>22</v>
      </c>
      <c r="E175" t="s">
        <v>5398</v>
      </c>
      <c r="F175" t="s">
        <v>5399</v>
      </c>
      <c r="G175" t="s">
        <v>5400</v>
      </c>
      <c r="H175" t="s">
        <v>5401</v>
      </c>
      <c r="I175" t="s">
        <v>238</v>
      </c>
      <c r="K175" t="s">
        <v>61</v>
      </c>
      <c r="L175" t="s">
        <v>4726</v>
      </c>
      <c r="M175" t="s">
        <v>33</v>
      </c>
      <c r="O175">
        <v>5153</v>
      </c>
    </row>
    <row r="176" spans="1:15" x14ac:dyDescent="0.35">
      <c r="A176" t="s">
        <v>20</v>
      </c>
      <c r="B176">
        <v>17644</v>
      </c>
      <c r="C176" t="s">
        <v>21</v>
      </c>
      <c r="D176" t="s">
        <v>22</v>
      </c>
      <c r="E176" t="s">
        <v>5402</v>
      </c>
      <c r="F176" t="s">
        <v>5403</v>
      </c>
      <c r="G176" t="s">
        <v>5404</v>
      </c>
      <c r="H176" t="s">
        <v>5405</v>
      </c>
      <c r="I176" t="s">
        <v>238</v>
      </c>
      <c r="K176" t="s">
        <v>28</v>
      </c>
      <c r="L176" t="s">
        <v>4721</v>
      </c>
      <c r="M176" t="s">
        <v>33</v>
      </c>
      <c r="O176">
        <v>5348</v>
      </c>
    </row>
    <row r="177" spans="1:15" x14ac:dyDescent="0.35">
      <c r="A177" t="s">
        <v>20</v>
      </c>
      <c r="B177">
        <v>17644</v>
      </c>
      <c r="C177" t="s">
        <v>21</v>
      </c>
      <c r="D177" t="s">
        <v>22</v>
      </c>
      <c r="E177" t="s">
        <v>5406</v>
      </c>
      <c r="F177" t="s">
        <v>5407</v>
      </c>
      <c r="G177" t="s">
        <v>5408</v>
      </c>
      <c r="H177" t="s">
        <v>5409</v>
      </c>
      <c r="I177" t="s">
        <v>238</v>
      </c>
      <c r="K177" t="s">
        <v>61</v>
      </c>
      <c r="L177" t="s">
        <v>4716</v>
      </c>
      <c r="M177" t="s">
        <v>33</v>
      </c>
      <c r="O177">
        <v>5456</v>
      </c>
    </row>
    <row r="178" spans="1:15" x14ac:dyDescent="0.35">
      <c r="A178" t="s">
        <v>20</v>
      </c>
      <c r="B178">
        <v>17644</v>
      </c>
      <c r="C178" t="s">
        <v>21</v>
      </c>
      <c r="D178" t="s">
        <v>22</v>
      </c>
      <c r="E178" t="s">
        <v>5410</v>
      </c>
      <c r="F178" t="s">
        <v>5411</v>
      </c>
      <c r="G178" t="s">
        <v>5412</v>
      </c>
      <c r="H178" t="s">
        <v>5413</v>
      </c>
      <c r="I178" t="s">
        <v>238</v>
      </c>
      <c r="K178" t="s">
        <v>61</v>
      </c>
      <c r="L178" t="s">
        <v>4721</v>
      </c>
      <c r="M178" t="s">
        <v>33</v>
      </c>
      <c r="O178">
        <v>5463</v>
      </c>
    </row>
    <row r="179" spans="1:15" x14ac:dyDescent="0.35">
      <c r="A179" t="s">
        <v>20</v>
      </c>
      <c r="B179">
        <v>17644</v>
      </c>
      <c r="C179" t="s">
        <v>21</v>
      </c>
      <c r="D179" t="s">
        <v>22</v>
      </c>
      <c r="E179" t="s">
        <v>5414</v>
      </c>
      <c r="F179" t="s">
        <v>5415</v>
      </c>
      <c r="G179" t="s">
        <v>5416</v>
      </c>
      <c r="H179" t="s">
        <v>5417</v>
      </c>
      <c r="I179" t="s">
        <v>238</v>
      </c>
      <c r="K179" t="s">
        <v>38</v>
      </c>
      <c r="L179" t="s">
        <v>4721</v>
      </c>
      <c r="M179" t="s">
        <v>33</v>
      </c>
      <c r="O179">
        <v>5698</v>
      </c>
    </row>
    <row r="180" spans="1:15" x14ac:dyDescent="0.35">
      <c r="A180" t="s">
        <v>20</v>
      </c>
      <c r="B180">
        <v>17644</v>
      </c>
      <c r="C180" t="s">
        <v>21</v>
      </c>
      <c r="D180" t="s">
        <v>22</v>
      </c>
      <c r="E180" t="s">
        <v>5418</v>
      </c>
      <c r="F180" t="s">
        <v>5419</v>
      </c>
      <c r="G180" t="s">
        <v>5420</v>
      </c>
      <c r="H180" t="s">
        <v>5421</v>
      </c>
      <c r="I180" t="s">
        <v>238</v>
      </c>
      <c r="K180" t="s">
        <v>46</v>
      </c>
      <c r="L180" t="s">
        <v>4799</v>
      </c>
      <c r="M180" t="s">
        <v>33</v>
      </c>
      <c r="O180">
        <v>5703</v>
      </c>
    </row>
    <row r="181" spans="1:15" x14ac:dyDescent="0.35">
      <c r="A181" t="s">
        <v>20</v>
      </c>
      <c r="B181">
        <v>17644</v>
      </c>
      <c r="C181" t="s">
        <v>21</v>
      </c>
      <c r="D181" t="s">
        <v>22</v>
      </c>
      <c r="E181" t="s">
        <v>5422</v>
      </c>
      <c r="F181" t="s">
        <v>5423</v>
      </c>
      <c r="G181" t="s">
        <v>5424</v>
      </c>
      <c r="H181" t="s">
        <v>5425</v>
      </c>
      <c r="I181" t="s">
        <v>238</v>
      </c>
      <c r="K181" t="s">
        <v>38</v>
      </c>
      <c r="L181" t="s">
        <v>4716</v>
      </c>
      <c r="M181" t="s">
        <v>33</v>
      </c>
      <c r="O181">
        <v>6049</v>
      </c>
    </row>
    <row r="182" spans="1:15" x14ac:dyDescent="0.35">
      <c r="A182" t="s">
        <v>20</v>
      </c>
      <c r="B182">
        <v>17644</v>
      </c>
      <c r="C182" t="s">
        <v>21</v>
      </c>
      <c r="D182" t="s">
        <v>22</v>
      </c>
      <c r="E182" t="s">
        <v>5426</v>
      </c>
      <c r="F182" t="s">
        <v>5427</v>
      </c>
      <c r="G182" t="s">
        <v>5428</v>
      </c>
      <c r="H182" t="s">
        <v>5429</v>
      </c>
      <c r="I182" t="s">
        <v>238</v>
      </c>
      <c r="K182" t="s">
        <v>38</v>
      </c>
      <c r="L182" t="s">
        <v>4799</v>
      </c>
      <c r="M182" t="s">
        <v>33</v>
      </c>
      <c r="O182">
        <v>6057</v>
      </c>
    </row>
    <row r="183" spans="1:15" x14ac:dyDescent="0.35">
      <c r="A183" t="s">
        <v>20</v>
      </c>
      <c r="B183">
        <v>17644</v>
      </c>
      <c r="C183" t="s">
        <v>21</v>
      </c>
      <c r="D183" t="s">
        <v>22</v>
      </c>
      <c r="E183" t="s">
        <v>5430</v>
      </c>
      <c r="F183" t="s">
        <v>5431</v>
      </c>
      <c r="G183" t="s">
        <v>5432</v>
      </c>
      <c r="H183" t="s">
        <v>5433</v>
      </c>
      <c r="I183" t="s">
        <v>238</v>
      </c>
      <c r="K183" t="s">
        <v>28</v>
      </c>
      <c r="L183" t="s">
        <v>4716</v>
      </c>
      <c r="M183" t="s">
        <v>33</v>
      </c>
      <c r="O183">
        <v>6384</v>
      </c>
    </row>
    <row r="184" spans="1:15" x14ac:dyDescent="0.35">
      <c r="A184" t="s">
        <v>20</v>
      </c>
      <c r="B184">
        <v>17644</v>
      </c>
      <c r="C184" t="s">
        <v>21</v>
      </c>
      <c r="D184" t="s">
        <v>22</v>
      </c>
      <c r="E184" t="s">
        <v>5434</v>
      </c>
      <c r="F184" t="s">
        <v>5435</v>
      </c>
      <c r="G184" t="s">
        <v>5436</v>
      </c>
      <c r="H184" t="s">
        <v>5437</v>
      </c>
      <c r="I184" t="s">
        <v>238</v>
      </c>
      <c r="K184" t="s">
        <v>28</v>
      </c>
      <c r="L184" t="s">
        <v>4721</v>
      </c>
      <c r="M184" t="s">
        <v>33</v>
      </c>
      <c r="O184">
        <v>6392</v>
      </c>
    </row>
    <row r="185" spans="1:15" x14ac:dyDescent="0.35">
      <c r="A185" t="s">
        <v>20</v>
      </c>
      <c r="B185">
        <v>17644</v>
      </c>
      <c r="C185" t="s">
        <v>21</v>
      </c>
      <c r="D185" t="s">
        <v>22</v>
      </c>
      <c r="E185" t="s">
        <v>5438</v>
      </c>
      <c r="F185" t="s">
        <v>5439</v>
      </c>
      <c r="G185" t="s">
        <v>5440</v>
      </c>
      <c r="H185" t="s">
        <v>5441</v>
      </c>
      <c r="I185" t="s">
        <v>238</v>
      </c>
      <c r="K185" t="s">
        <v>28</v>
      </c>
      <c r="L185" t="s">
        <v>4726</v>
      </c>
      <c r="M185" t="s">
        <v>33</v>
      </c>
      <c r="O185">
        <v>6586</v>
      </c>
    </row>
    <row r="186" spans="1:15" x14ac:dyDescent="0.35">
      <c r="A186" t="s">
        <v>20</v>
      </c>
      <c r="B186">
        <v>17644</v>
      </c>
      <c r="C186" t="s">
        <v>21</v>
      </c>
      <c r="D186" t="s">
        <v>22</v>
      </c>
      <c r="E186" t="s">
        <v>5442</v>
      </c>
      <c r="F186" t="s">
        <v>5443</v>
      </c>
      <c r="G186" t="s">
        <v>5444</v>
      </c>
      <c r="H186" t="s">
        <v>5445</v>
      </c>
      <c r="I186" t="s">
        <v>238</v>
      </c>
      <c r="K186" t="s">
        <v>28</v>
      </c>
      <c r="L186" t="s">
        <v>4721</v>
      </c>
      <c r="M186" t="s">
        <v>33</v>
      </c>
      <c r="O186">
        <v>6594</v>
      </c>
    </row>
    <row r="187" spans="1:15" x14ac:dyDescent="0.35">
      <c r="A187" t="s">
        <v>20</v>
      </c>
      <c r="B187">
        <v>17644</v>
      </c>
      <c r="C187" t="s">
        <v>21</v>
      </c>
      <c r="D187" t="s">
        <v>22</v>
      </c>
      <c r="E187" t="s">
        <v>5446</v>
      </c>
      <c r="F187" t="s">
        <v>5447</v>
      </c>
      <c r="G187" t="s">
        <v>5448</v>
      </c>
      <c r="H187" t="s">
        <v>5449</v>
      </c>
      <c r="I187" t="s">
        <v>238</v>
      </c>
      <c r="K187" t="s">
        <v>28</v>
      </c>
      <c r="L187" t="s">
        <v>4721</v>
      </c>
      <c r="M187" t="s">
        <v>33</v>
      </c>
      <c r="O187">
        <v>6600</v>
      </c>
    </row>
    <row r="188" spans="1:15" x14ac:dyDescent="0.35">
      <c r="A188" t="s">
        <v>20</v>
      </c>
      <c r="B188">
        <v>17644</v>
      </c>
      <c r="C188" t="s">
        <v>21</v>
      </c>
      <c r="D188" t="s">
        <v>22</v>
      </c>
      <c r="E188" t="s">
        <v>5450</v>
      </c>
      <c r="F188" t="s">
        <v>5451</v>
      </c>
      <c r="G188" t="s">
        <v>5452</v>
      </c>
      <c r="H188" t="s">
        <v>5453</v>
      </c>
      <c r="I188" t="s">
        <v>238</v>
      </c>
      <c r="K188" t="s">
        <v>28</v>
      </c>
      <c r="L188" t="s">
        <v>4721</v>
      </c>
      <c r="M188" t="s">
        <v>33</v>
      </c>
      <c r="O188">
        <v>6606</v>
      </c>
    </row>
    <row r="189" spans="1:15" x14ac:dyDescent="0.35">
      <c r="A189" t="s">
        <v>20</v>
      </c>
      <c r="B189">
        <v>17644</v>
      </c>
      <c r="C189" t="s">
        <v>21</v>
      </c>
      <c r="D189" t="s">
        <v>22</v>
      </c>
      <c r="E189" t="s">
        <v>5454</v>
      </c>
      <c r="F189" t="s">
        <v>5455</v>
      </c>
      <c r="G189" t="s">
        <v>5456</v>
      </c>
      <c r="H189" t="s">
        <v>5457</v>
      </c>
      <c r="I189" t="s">
        <v>238</v>
      </c>
      <c r="K189" t="s">
        <v>28</v>
      </c>
      <c r="L189" t="s">
        <v>4721</v>
      </c>
      <c r="M189" t="s">
        <v>33</v>
      </c>
      <c r="O189">
        <v>6613</v>
      </c>
    </row>
    <row r="190" spans="1:15" x14ac:dyDescent="0.35">
      <c r="A190" t="s">
        <v>20</v>
      </c>
      <c r="B190">
        <v>17644</v>
      </c>
      <c r="C190" t="s">
        <v>21</v>
      </c>
      <c r="D190" t="s">
        <v>22</v>
      </c>
      <c r="E190" t="s">
        <v>5458</v>
      </c>
      <c r="F190" t="s">
        <v>5459</v>
      </c>
      <c r="G190" t="s">
        <v>5460</v>
      </c>
      <c r="H190" t="s">
        <v>5461</v>
      </c>
      <c r="I190" t="s">
        <v>238</v>
      </c>
      <c r="K190" t="s">
        <v>28</v>
      </c>
      <c r="L190" t="s">
        <v>4721</v>
      </c>
      <c r="M190" t="s">
        <v>33</v>
      </c>
      <c r="O190">
        <v>6620</v>
      </c>
    </row>
    <row r="191" spans="1:15" x14ac:dyDescent="0.35">
      <c r="A191" t="s">
        <v>20</v>
      </c>
      <c r="B191">
        <v>17644</v>
      </c>
      <c r="C191" t="s">
        <v>21</v>
      </c>
      <c r="D191" t="s">
        <v>22</v>
      </c>
      <c r="E191" t="s">
        <v>5462</v>
      </c>
      <c r="F191" t="s">
        <v>5463</v>
      </c>
      <c r="G191" t="s">
        <v>5464</v>
      </c>
      <c r="H191" t="s">
        <v>5465</v>
      </c>
      <c r="I191" t="s">
        <v>238</v>
      </c>
      <c r="K191" t="s">
        <v>28</v>
      </c>
      <c r="L191" t="s">
        <v>4721</v>
      </c>
      <c r="M191" t="s">
        <v>33</v>
      </c>
      <c r="O191">
        <v>6624</v>
      </c>
    </row>
    <row r="192" spans="1:15" x14ac:dyDescent="0.35">
      <c r="A192" t="s">
        <v>20</v>
      </c>
      <c r="B192">
        <v>17644</v>
      </c>
      <c r="C192" t="s">
        <v>21</v>
      </c>
      <c r="D192" t="s">
        <v>22</v>
      </c>
      <c r="E192" t="s">
        <v>5466</v>
      </c>
      <c r="F192" t="s">
        <v>5467</v>
      </c>
      <c r="G192" t="s">
        <v>5468</v>
      </c>
      <c r="H192" t="s">
        <v>5469</v>
      </c>
      <c r="I192" t="s">
        <v>238</v>
      </c>
      <c r="K192" t="s">
        <v>28</v>
      </c>
      <c r="L192" t="s">
        <v>4721</v>
      </c>
      <c r="M192" t="s">
        <v>33</v>
      </c>
      <c r="O192">
        <v>6629</v>
      </c>
    </row>
    <row r="193" spans="1:15" x14ac:dyDescent="0.35">
      <c r="A193" t="s">
        <v>20</v>
      </c>
      <c r="B193">
        <v>17644</v>
      </c>
      <c r="C193" t="s">
        <v>21</v>
      </c>
      <c r="D193" t="s">
        <v>22</v>
      </c>
      <c r="E193" t="s">
        <v>5470</v>
      </c>
      <c r="F193" t="s">
        <v>5471</v>
      </c>
      <c r="G193" t="s">
        <v>5472</v>
      </c>
      <c r="H193" t="s">
        <v>5473</v>
      </c>
      <c r="I193" t="s">
        <v>238</v>
      </c>
      <c r="K193" t="s">
        <v>28</v>
      </c>
      <c r="L193" t="s">
        <v>4721</v>
      </c>
      <c r="M193" t="s">
        <v>33</v>
      </c>
      <c r="O193">
        <v>6634</v>
      </c>
    </row>
    <row r="194" spans="1:15" x14ac:dyDescent="0.35">
      <c r="A194" t="s">
        <v>20</v>
      </c>
      <c r="B194">
        <v>17644</v>
      </c>
      <c r="C194" t="s">
        <v>21</v>
      </c>
      <c r="D194" t="s">
        <v>22</v>
      </c>
      <c r="E194" t="s">
        <v>5474</v>
      </c>
      <c r="F194" t="s">
        <v>5475</v>
      </c>
      <c r="G194" t="s">
        <v>5476</v>
      </c>
      <c r="H194" t="s">
        <v>5477</v>
      </c>
      <c r="I194" t="s">
        <v>238</v>
      </c>
      <c r="K194" t="s">
        <v>46</v>
      </c>
      <c r="L194" t="s">
        <v>4721</v>
      </c>
      <c r="M194" t="s">
        <v>33</v>
      </c>
      <c r="O194">
        <v>6716</v>
      </c>
    </row>
    <row r="195" spans="1:15" x14ac:dyDescent="0.35">
      <c r="A195" t="s">
        <v>20</v>
      </c>
      <c r="B195">
        <v>17644</v>
      </c>
      <c r="C195" t="s">
        <v>21</v>
      </c>
      <c r="D195" t="s">
        <v>22</v>
      </c>
      <c r="E195" t="s">
        <v>5478</v>
      </c>
      <c r="F195" t="s">
        <v>5479</v>
      </c>
      <c r="G195" t="s">
        <v>5480</v>
      </c>
      <c r="H195" t="s">
        <v>5481</v>
      </c>
      <c r="I195" t="s">
        <v>238</v>
      </c>
      <c r="K195" t="s">
        <v>28</v>
      </c>
      <c r="L195" t="s">
        <v>4721</v>
      </c>
      <c r="M195" t="s">
        <v>33</v>
      </c>
      <c r="O195">
        <v>6726</v>
      </c>
    </row>
    <row r="196" spans="1:15" x14ac:dyDescent="0.35">
      <c r="A196" t="s">
        <v>20</v>
      </c>
      <c r="B196">
        <v>17644</v>
      </c>
      <c r="C196" t="s">
        <v>21</v>
      </c>
      <c r="D196" t="s">
        <v>22</v>
      </c>
      <c r="E196" t="s">
        <v>5482</v>
      </c>
      <c r="F196" t="s">
        <v>5483</v>
      </c>
      <c r="G196" t="s">
        <v>5484</v>
      </c>
      <c r="H196" t="s">
        <v>5485</v>
      </c>
      <c r="I196" t="s">
        <v>238</v>
      </c>
      <c r="K196" t="s">
        <v>28</v>
      </c>
      <c r="L196" t="s">
        <v>4721</v>
      </c>
      <c r="M196" t="s">
        <v>33</v>
      </c>
      <c r="O196">
        <v>6732</v>
      </c>
    </row>
    <row r="197" spans="1:15" x14ac:dyDescent="0.35">
      <c r="A197" t="s">
        <v>20</v>
      </c>
      <c r="B197">
        <v>17644</v>
      </c>
      <c r="C197" t="s">
        <v>21</v>
      </c>
      <c r="D197" t="s">
        <v>22</v>
      </c>
      <c r="E197" t="s">
        <v>5486</v>
      </c>
      <c r="F197" t="s">
        <v>5487</v>
      </c>
      <c r="G197" t="s">
        <v>5488</v>
      </c>
      <c r="H197" t="s">
        <v>5489</v>
      </c>
      <c r="I197" t="s">
        <v>238</v>
      </c>
      <c r="K197" t="s">
        <v>28</v>
      </c>
      <c r="L197" t="s">
        <v>4721</v>
      </c>
      <c r="M197" t="s">
        <v>33</v>
      </c>
      <c r="O197">
        <v>6739</v>
      </c>
    </row>
    <row r="198" spans="1:15" x14ac:dyDescent="0.35">
      <c r="A198" t="s">
        <v>20</v>
      </c>
      <c r="B198">
        <v>17644</v>
      </c>
      <c r="C198" t="s">
        <v>21</v>
      </c>
      <c r="D198" t="s">
        <v>22</v>
      </c>
      <c r="E198" t="s">
        <v>5490</v>
      </c>
      <c r="F198" t="s">
        <v>5491</v>
      </c>
      <c r="G198" t="s">
        <v>5492</v>
      </c>
      <c r="H198" t="s">
        <v>5493</v>
      </c>
      <c r="I198" t="s">
        <v>238</v>
      </c>
      <c r="K198" t="s">
        <v>28</v>
      </c>
      <c r="L198" t="s">
        <v>4721</v>
      </c>
      <c r="M198" t="s">
        <v>33</v>
      </c>
      <c r="O198">
        <v>6745</v>
      </c>
    </row>
    <row r="199" spans="1:15" x14ac:dyDescent="0.35">
      <c r="A199" t="s">
        <v>20</v>
      </c>
      <c r="B199">
        <v>17644</v>
      </c>
      <c r="C199" t="s">
        <v>21</v>
      </c>
      <c r="D199" t="s">
        <v>22</v>
      </c>
      <c r="E199" t="s">
        <v>5494</v>
      </c>
      <c r="F199" t="s">
        <v>5495</v>
      </c>
      <c r="G199" t="s">
        <v>5496</v>
      </c>
      <c r="H199" t="s">
        <v>5497</v>
      </c>
      <c r="I199" t="s">
        <v>238</v>
      </c>
      <c r="K199" t="s">
        <v>61</v>
      </c>
      <c r="L199" t="s">
        <v>4726</v>
      </c>
      <c r="M199" t="s">
        <v>33</v>
      </c>
      <c r="O199">
        <v>6756</v>
      </c>
    </row>
    <row r="200" spans="1:15" x14ac:dyDescent="0.35">
      <c r="A200" t="s">
        <v>20</v>
      </c>
      <c r="B200">
        <v>17644</v>
      </c>
      <c r="C200" t="s">
        <v>21</v>
      </c>
      <c r="D200" t="s">
        <v>22</v>
      </c>
      <c r="E200" t="s">
        <v>5498</v>
      </c>
      <c r="F200" t="s">
        <v>5499</v>
      </c>
      <c r="G200" t="s">
        <v>5500</v>
      </c>
      <c r="H200" t="s">
        <v>5501</v>
      </c>
      <c r="I200" t="s">
        <v>238</v>
      </c>
      <c r="K200" t="s">
        <v>28</v>
      </c>
      <c r="L200" t="s">
        <v>4726</v>
      </c>
      <c r="M200" t="s">
        <v>33</v>
      </c>
      <c r="O200">
        <v>6763</v>
      </c>
    </row>
    <row r="201" spans="1:15" x14ac:dyDescent="0.35">
      <c r="A201" t="s">
        <v>20</v>
      </c>
      <c r="B201">
        <v>17644</v>
      </c>
      <c r="C201" t="s">
        <v>21</v>
      </c>
      <c r="D201" t="s">
        <v>22</v>
      </c>
      <c r="E201" t="s">
        <v>5502</v>
      </c>
      <c r="F201" t="s">
        <v>5503</v>
      </c>
      <c r="G201" t="s">
        <v>5504</v>
      </c>
      <c r="H201" t="s">
        <v>5505</v>
      </c>
      <c r="I201" t="s">
        <v>238</v>
      </c>
      <c r="K201" t="s">
        <v>61</v>
      </c>
      <c r="L201" t="s">
        <v>4721</v>
      </c>
      <c r="M201" t="s">
        <v>33</v>
      </c>
      <c r="O201">
        <v>6772</v>
      </c>
    </row>
    <row r="202" spans="1:15" x14ac:dyDescent="0.35">
      <c r="A202" t="s">
        <v>20</v>
      </c>
      <c r="B202">
        <v>17644</v>
      </c>
      <c r="C202" t="s">
        <v>21</v>
      </c>
      <c r="D202" t="s">
        <v>22</v>
      </c>
      <c r="E202" t="s">
        <v>5506</v>
      </c>
      <c r="F202" t="s">
        <v>5507</v>
      </c>
      <c r="G202" t="s">
        <v>5508</v>
      </c>
      <c r="H202" t="s">
        <v>5509</v>
      </c>
      <c r="I202" t="s">
        <v>238</v>
      </c>
      <c r="K202" t="s">
        <v>61</v>
      </c>
      <c r="L202" t="s">
        <v>4721</v>
      </c>
      <c r="M202" t="s">
        <v>33</v>
      </c>
      <c r="O202">
        <v>6913</v>
      </c>
    </row>
    <row r="203" spans="1:15" x14ac:dyDescent="0.35">
      <c r="A203" t="s">
        <v>20</v>
      </c>
      <c r="B203">
        <v>17644</v>
      </c>
      <c r="C203" t="s">
        <v>21</v>
      </c>
      <c r="D203" t="s">
        <v>22</v>
      </c>
      <c r="E203" t="s">
        <v>5510</v>
      </c>
      <c r="F203" t="s">
        <v>5511</v>
      </c>
      <c r="G203" t="s">
        <v>5512</v>
      </c>
      <c r="H203" t="s">
        <v>5513</v>
      </c>
      <c r="I203" t="s">
        <v>238</v>
      </c>
      <c r="K203" t="s">
        <v>61</v>
      </c>
      <c r="L203" t="s">
        <v>4721</v>
      </c>
      <c r="M203" t="s">
        <v>33</v>
      </c>
      <c r="O203">
        <v>6918</v>
      </c>
    </row>
    <row r="204" spans="1:15" x14ac:dyDescent="0.35">
      <c r="A204" t="s">
        <v>20</v>
      </c>
      <c r="B204">
        <v>17644</v>
      </c>
      <c r="C204" t="s">
        <v>21</v>
      </c>
      <c r="D204" t="s">
        <v>22</v>
      </c>
      <c r="E204" t="s">
        <v>5514</v>
      </c>
      <c r="F204" t="s">
        <v>5515</v>
      </c>
      <c r="G204" t="s">
        <v>5516</v>
      </c>
      <c r="H204" t="s">
        <v>5517</v>
      </c>
      <c r="I204" t="s">
        <v>238</v>
      </c>
      <c r="K204" t="s">
        <v>61</v>
      </c>
      <c r="L204" t="s">
        <v>4721</v>
      </c>
      <c r="M204" t="s">
        <v>33</v>
      </c>
      <c r="O204">
        <v>6923</v>
      </c>
    </row>
    <row r="205" spans="1:15" x14ac:dyDescent="0.35">
      <c r="A205" t="s">
        <v>20</v>
      </c>
      <c r="B205">
        <v>17643</v>
      </c>
      <c r="C205" t="s">
        <v>426</v>
      </c>
      <c r="D205" t="s">
        <v>427</v>
      </c>
      <c r="E205" t="s">
        <v>4712</v>
      </c>
      <c r="F205" t="s">
        <v>5518</v>
      </c>
      <c r="G205" t="s">
        <v>5519</v>
      </c>
      <c r="H205" t="s">
        <v>5520</v>
      </c>
      <c r="I205" t="s">
        <v>557</v>
      </c>
      <c r="K205" t="s">
        <v>28</v>
      </c>
      <c r="L205" t="s">
        <v>4716</v>
      </c>
      <c r="M205" t="s">
        <v>33</v>
      </c>
      <c r="N205" t="s">
        <v>432</v>
      </c>
      <c r="O205">
        <v>386</v>
      </c>
    </row>
    <row r="206" spans="1:15" x14ac:dyDescent="0.35">
      <c r="A206" t="s">
        <v>20</v>
      </c>
      <c r="B206">
        <v>17643</v>
      </c>
      <c r="C206" t="s">
        <v>426</v>
      </c>
      <c r="D206" t="s">
        <v>427</v>
      </c>
      <c r="E206" t="s">
        <v>4717</v>
      </c>
      <c r="F206" t="s">
        <v>5521</v>
      </c>
      <c r="G206" t="s">
        <v>5522</v>
      </c>
      <c r="H206" t="s">
        <v>5523</v>
      </c>
      <c r="I206" t="s">
        <v>557</v>
      </c>
      <c r="K206" t="s">
        <v>61</v>
      </c>
      <c r="L206" t="s">
        <v>4721</v>
      </c>
      <c r="M206" t="s">
        <v>33</v>
      </c>
      <c r="N206" t="s">
        <v>432</v>
      </c>
      <c r="O206">
        <v>552</v>
      </c>
    </row>
    <row r="207" spans="1:15" x14ac:dyDescent="0.35">
      <c r="A207" t="s">
        <v>20</v>
      </c>
      <c r="B207">
        <v>17643</v>
      </c>
      <c r="C207" t="s">
        <v>426</v>
      </c>
      <c r="D207" t="s">
        <v>427</v>
      </c>
      <c r="E207" t="s">
        <v>4722</v>
      </c>
      <c r="F207" t="s">
        <v>5524</v>
      </c>
      <c r="G207" t="s">
        <v>5525</v>
      </c>
      <c r="H207" t="s">
        <v>5526</v>
      </c>
      <c r="I207" t="s">
        <v>557</v>
      </c>
      <c r="K207" t="s">
        <v>28</v>
      </c>
      <c r="L207" t="s">
        <v>4721</v>
      </c>
      <c r="M207" t="s">
        <v>33</v>
      </c>
      <c r="N207" t="s">
        <v>432</v>
      </c>
      <c r="O207">
        <v>666</v>
      </c>
    </row>
    <row r="208" spans="1:15" x14ac:dyDescent="0.35">
      <c r="A208" t="s">
        <v>20</v>
      </c>
      <c r="B208">
        <v>17643</v>
      </c>
      <c r="C208" t="s">
        <v>426</v>
      </c>
      <c r="D208" t="s">
        <v>427</v>
      </c>
      <c r="E208" t="s">
        <v>4727</v>
      </c>
      <c r="F208" t="s">
        <v>5527</v>
      </c>
      <c r="G208" t="s">
        <v>5528</v>
      </c>
      <c r="H208" t="s">
        <v>5529</v>
      </c>
      <c r="I208" t="s">
        <v>557</v>
      </c>
      <c r="K208" t="s">
        <v>46</v>
      </c>
      <c r="L208" t="s">
        <v>4721</v>
      </c>
      <c r="M208" t="s">
        <v>33</v>
      </c>
      <c r="N208" t="s">
        <v>432</v>
      </c>
      <c r="O208">
        <v>708</v>
      </c>
    </row>
    <row r="209" spans="1:15" x14ac:dyDescent="0.35">
      <c r="A209" t="s">
        <v>20</v>
      </c>
      <c r="B209">
        <v>17643</v>
      </c>
      <c r="C209" t="s">
        <v>426</v>
      </c>
      <c r="D209" t="s">
        <v>427</v>
      </c>
      <c r="E209" t="s">
        <v>4731</v>
      </c>
      <c r="F209" t="s">
        <v>5530</v>
      </c>
      <c r="G209" t="s">
        <v>5531</v>
      </c>
      <c r="H209" t="s">
        <v>5532</v>
      </c>
      <c r="I209" t="s">
        <v>557</v>
      </c>
      <c r="K209" t="s">
        <v>46</v>
      </c>
      <c r="L209" t="s">
        <v>4721</v>
      </c>
      <c r="M209" t="s">
        <v>33</v>
      </c>
      <c r="N209" t="s">
        <v>432</v>
      </c>
      <c r="O209">
        <v>770</v>
      </c>
    </row>
    <row r="210" spans="1:15" x14ac:dyDescent="0.35">
      <c r="A210" t="s">
        <v>20</v>
      </c>
      <c r="B210">
        <v>17643</v>
      </c>
      <c r="C210" t="s">
        <v>426</v>
      </c>
      <c r="D210" t="s">
        <v>427</v>
      </c>
      <c r="E210" t="s">
        <v>4735</v>
      </c>
      <c r="F210" t="s">
        <v>5533</v>
      </c>
      <c r="G210" t="s">
        <v>5534</v>
      </c>
      <c r="H210" t="s">
        <v>5535</v>
      </c>
      <c r="I210" t="s">
        <v>557</v>
      </c>
      <c r="K210" t="s">
        <v>46</v>
      </c>
      <c r="L210" t="s">
        <v>4799</v>
      </c>
      <c r="M210" t="s">
        <v>33</v>
      </c>
      <c r="N210" t="s">
        <v>432</v>
      </c>
      <c r="O210">
        <v>781</v>
      </c>
    </row>
    <row r="211" spans="1:15" x14ac:dyDescent="0.35">
      <c r="A211" t="s">
        <v>20</v>
      </c>
      <c r="B211">
        <v>17643</v>
      </c>
      <c r="C211" t="s">
        <v>426</v>
      </c>
      <c r="D211" t="s">
        <v>427</v>
      </c>
      <c r="E211" t="s">
        <v>4739</v>
      </c>
      <c r="F211" t="s">
        <v>5536</v>
      </c>
      <c r="G211" t="s">
        <v>5537</v>
      </c>
      <c r="H211" t="s">
        <v>5538</v>
      </c>
      <c r="I211" t="s">
        <v>557</v>
      </c>
      <c r="K211" t="s">
        <v>28</v>
      </c>
      <c r="L211" t="s">
        <v>4721</v>
      </c>
      <c r="M211" t="s">
        <v>33</v>
      </c>
      <c r="N211" t="s">
        <v>432</v>
      </c>
      <c r="O211">
        <v>790</v>
      </c>
    </row>
    <row r="212" spans="1:15" x14ac:dyDescent="0.35">
      <c r="A212" t="s">
        <v>20</v>
      </c>
      <c r="B212">
        <v>17643</v>
      </c>
      <c r="C212" t="s">
        <v>426</v>
      </c>
      <c r="D212" t="s">
        <v>427</v>
      </c>
      <c r="E212" t="s">
        <v>4743</v>
      </c>
      <c r="F212" t="s">
        <v>5539</v>
      </c>
      <c r="G212" t="s">
        <v>5540</v>
      </c>
      <c r="H212" t="s">
        <v>5541</v>
      </c>
      <c r="I212" t="s">
        <v>557</v>
      </c>
      <c r="K212" t="s">
        <v>46</v>
      </c>
      <c r="L212" t="s">
        <v>4726</v>
      </c>
      <c r="M212" t="s">
        <v>33</v>
      </c>
      <c r="N212" t="s">
        <v>432</v>
      </c>
      <c r="O212">
        <v>904</v>
      </c>
    </row>
    <row r="213" spans="1:15" x14ac:dyDescent="0.35">
      <c r="A213" t="s">
        <v>20</v>
      </c>
      <c r="B213">
        <v>17643</v>
      </c>
      <c r="C213" t="s">
        <v>426</v>
      </c>
      <c r="D213" t="s">
        <v>427</v>
      </c>
      <c r="E213" t="s">
        <v>4747</v>
      </c>
      <c r="F213" t="s">
        <v>5542</v>
      </c>
      <c r="G213" t="s">
        <v>5543</v>
      </c>
      <c r="H213" t="s">
        <v>5544</v>
      </c>
      <c r="I213" t="s">
        <v>557</v>
      </c>
      <c r="K213" t="s">
        <v>46</v>
      </c>
      <c r="L213" t="s">
        <v>4799</v>
      </c>
      <c r="M213" t="s">
        <v>33</v>
      </c>
      <c r="N213" t="s">
        <v>432</v>
      </c>
      <c r="O213">
        <v>915</v>
      </c>
    </row>
    <row r="214" spans="1:15" x14ac:dyDescent="0.35">
      <c r="A214" t="s">
        <v>20</v>
      </c>
      <c r="B214">
        <v>17643</v>
      </c>
      <c r="C214" t="s">
        <v>426</v>
      </c>
      <c r="D214" t="s">
        <v>427</v>
      </c>
      <c r="E214" t="s">
        <v>4751</v>
      </c>
      <c r="F214" t="s">
        <v>5545</v>
      </c>
      <c r="G214" t="s">
        <v>5546</v>
      </c>
      <c r="H214" t="s">
        <v>5547</v>
      </c>
      <c r="I214" t="s">
        <v>557</v>
      </c>
      <c r="K214" t="s">
        <v>28</v>
      </c>
      <c r="L214" t="s">
        <v>4721</v>
      </c>
      <c r="M214" t="s">
        <v>33</v>
      </c>
      <c r="N214" t="s">
        <v>432</v>
      </c>
      <c r="O214">
        <v>1037</v>
      </c>
    </row>
    <row r="215" spans="1:15" x14ac:dyDescent="0.35">
      <c r="A215" t="s">
        <v>20</v>
      </c>
      <c r="B215">
        <v>17643</v>
      </c>
      <c r="C215" t="s">
        <v>426</v>
      </c>
      <c r="D215" t="s">
        <v>427</v>
      </c>
      <c r="E215" t="s">
        <v>4755</v>
      </c>
      <c r="F215" t="s">
        <v>5548</v>
      </c>
      <c r="G215" t="s">
        <v>5549</v>
      </c>
      <c r="H215" t="s">
        <v>5550</v>
      </c>
      <c r="I215" t="s">
        <v>557</v>
      </c>
      <c r="K215" t="s">
        <v>61</v>
      </c>
      <c r="L215" t="s">
        <v>4721</v>
      </c>
      <c r="M215" t="s">
        <v>33</v>
      </c>
      <c r="N215" t="s">
        <v>432</v>
      </c>
      <c r="O215">
        <v>1052</v>
      </c>
    </row>
    <row r="216" spans="1:15" x14ac:dyDescent="0.35">
      <c r="A216" t="s">
        <v>20</v>
      </c>
      <c r="B216">
        <v>17643</v>
      </c>
      <c r="C216" t="s">
        <v>426</v>
      </c>
      <c r="D216" t="s">
        <v>427</v>
      </c>
      <c r="E216" t="s">
        <v>4759</v>
      </c>
      <c r="F216" t="s">
        <v>5551</v>
      </c>
      <c r="G216" t="s">
        <v>5552</v>
      </c>
      <c r="H216" t="s">
        <v>5553</v>
      </c>
      <c r="I216" t="s">
        <v>557</v>
      </c>
      <c r="K216" t="s">
        <v>61</v>
      </c>
      <c r="L216" t="s">
        <v>4721</v>
      </c>
      <c r="M216" t="s">
        <v>33</v>
      </c>
      <c r="N216" t="s">
        <v>432</v>
      </c>
      <c r="O216">
        <v>1062</v>
      </c>
    </row>
    <row r="217" spans="1:15" x14ac:dyDescent="0.35">
      <c r="A217" t="s">
        <v>20</v>
      </c>
      <c r="B217">
        <v>17643</v>
      </c>
      <c r="C217" t="s">
        <v>426</v>
      </c>
      <c r="D217" t="s">
        <v>427</v>
      </c>
      <c r="E217" t="s">
        <v>4763</v>
      </c>
      <c r="F217" t="s">
        <v>5554</v>
      </c>
      <c r="G217" t="s">
        <v>5555</v>
      </c>
      <c r="H217" t="s">
        <v>5556</v>
      </c>
      <c r="I217" t="s">
        <v>557</v>
      </c>
      <c r="K217" t="s">
        <v>46</v>
      </c>
      <c r="L217" t="s">
        <v>4716</v>
      </c>
      <c r="M217" t="s">
        <v>33</v>
      </c>
      <c r="N217" t="s">
        <v>432</v>
      </c>
      <c r="O217">
        <v>1252</v>
      </c>
    </row>
    <row r="218" spans="1:15" x14ac:dyDescent="0.35">
      <c r="A218" t="s">
        <v>20</v>
      </c>
      <c r="B218">
        <v>17643</v>
      </c>
      <c r="C218" t="s">
        <v>426</v>
      </c>
      <c r="D218" t="s">
        <v>427</v>
      </c>
      <c r="E218" t="s">
        <v>4767</v>
      </c>
      <c r="F218" t="s">
        <v>5557</v>
      </c>
      <c r="G218" t="s">
        <v>5558</v>
      </c>
      <c r="H218" t="s">
        <v>5559</v>
      </c>
      <c r="I218" t="s">
        <v>557</v>
      </c>
      <c r="K218" t="s">
        <v>46</v>
      </c>
      <c r="L218" t="s">
        <v>4726</v>
      </c>
      <c r="M218" t="s">
        <v>33</v>
      </c>
      <c r="N218" t="s">
        <v>432</v>
      </c>
      <c r="O218">
        <v>1265</v>
      </c>
    </row>
    <row r="219" spans="1:15" x14ac:dyDescent="0.35">
      <c r="A219" t="s">
        <v>20</v>
      </c>
      <c r="B219">
        <v>17643</v>
      </c>
      <c r="C219" t="s">
        <v>426</v>
      </c>
      <c r="D219" t="s">
        <v>427</v>
      </c>
      <c r="E219" t="s">
        <v>4771</v>
      </c>
      <c r="F219" t="s">
        <v>5560</v>
      </c>
      <c r="G219" t="s">
        <v>5561</v>
      </c>
      <c r="H219" t="s">
        <v>5562</v>
      </c>
      <c r="I219" t="s">
        <v>557</v>
      </c>
      <c r="K219" t="s">
        <v>46</v>
      </c>
      <c r="L219" t="s">
        <v>4721</v>
      </c>
      <c r="M219" t="s">
        <v>33</v>
      </c>
      <c r="N219" t="s">
        <v>432</v>
      </c>
      <c r="O219">
        <v>1274</v>
      </c>
    </row>
    <row r="220" spans="1:15" x14ac:dyDescent="0.35">
      <c r="A220" t="s">
        <v>20</v>
      </c>
      <c r="B220">
        <v>17643</v>
      </c>
      <c r="C220" t="s">
        <v>426</v>
      </c>
      <c r="D220" t="s">
        <v>427</v>
      </c>
      <c r="E220" t="s">
        <v>4775</v>
      </c>
      <c r="F220" t="s">
        <v>5563</v>
      </c>
      <c r="G220" t="s">
        <v>5564</v>
      </c>
      <c r="H220" t="s">
        <v>5565</v>
      </c>
      <c r="I220" t="s">
        <v>557</v>
      </c>
      <c r="K220" t="s">
        <v>46</v>
      </c>
      <c r="L220" t="s">
        <v>4721</v>
      </c>
      <c r="M220" t="s">
        <v>33</v>
      </c>
      <c r="N220" t="s">
        <v>432</v>
      </c>
      <c r="O220">
        <v>1279</v>
      </c>
    </row>
    <row r="221" spans="1:15" x14ac:dyDescent="0.35">
      <c r="A221" t="s">
        <v>20</v>
      </c>
      <c r="B221">
        <v>17643</v>
      </c>
      <c r="C221" t="s">
        <v>426</v>
      </c>
      <c r="D221" t="s">
        <v>427</v>
      </c>
      <c r="E221" t="s">
        <v>4779</v>
      </c>
      <c r="F221" t="s">
        <v>5566</v>
      </c>
      <c r="G221" t="s">
        <v>5567</v>
      </c>
      <c r="H221" t="s">
        <v>5568</v>
      </c>
      <c r="I221" t="s">
        <v>557</v>
      </c>
      <c r="K221" t="s">
        <v>46</v>
      </c>
      <c r="L221" t="s">
        <v>4799</v>
      </c>
      <c r="M221" t="s">
        <v>33</v>
      </c>
      <c r="N221" t="s">
        <v>432</v>
      </c>
      <c r="O221">
        <v>1293</v>
      </c>
    </row>
    <row r="222" spans="1:15" x14ac:dyDescent="0.35">
      <c r="A222" t="s">
        <v>20</v>
      </c>
      <c r="B222">
        <v>17643</v>
      </c>
      <c r="C222" t="s">
        <v>426</v>
      </c>
      <c r="D222" t="s">
        <v>427</v>
      </c>
      <c r="E222" t="s">
        <v>4783</v>
      </c>
      <c r="F222" t="s">
        <v>5569</v>
      </c>
      <c r="G222" t="s">
        <v>5570</v>
      </c>
      <c r="H222" t="s">
        <v>5571</v>
      </c>
      <c r="I222" t="s">
        <v>557</v>
      </c>
      <c r="K222" t="s">
        <v>61</v>
      </c>
      <c r="L222" t="s">
        <v>4726</v>
      </c>
      <c r="M222" t="s">
        <v>33</v>
      </c>
      <c r="N222" t="s">
        <v>432</v>
      </c>
      <c r="O222">
        <v>1732</v>
      </c>
    </row>
    <row r="223" spans="1:15" x14ac:dyDescent="0.35">
      <c r="A223" t="s">
        <v>20</v>
      </c>
      <c r="B223">
        <v>17643</v>
      </c>
      <c r="C223" t="s">
        <v>426</v>
      </c>
      <c r="D223" t="s">
        <v>427</v>
      </c>
      <c r="E223" t="s">
        <v>4787</v>
      </c>
      <c r="F223" t="s">
        <v>5572</v>
      </c>
      <c r="G223" t="s">
        <v>5573</v>
      </c>
      <c r="H223" t="s">
        <v>5574</v>
      </c>
      <c r="I223" t="s">
        <v>557</v>
      </c>
      <c r="K223" t="s">
        <v>61</v>
      </c>
      <c r="L223" t="s">
        <v>4726</v>
      </c>
      <c r="M223" t="s">
        <v>33</v>
      </c>
      <c r="N223" t="s">
        <v>432</v>
      </c>
      <c r="O223">
        <v>1740</v>
      </c>
    </row>
    <row r="224" spans="1:15" x14ac:dyDescent="0.35">
      <c r="A224" t="s">
        <v>20</v>
      </c>
      <c r="B224">
        <v>17643</v>
      </c>
      <c r="C224" t="s">
        <v>426</v>
      </c>
      <c r="D224" t="s">
        <v>427</v>
      </c>
      <c r="E224" t="s">
        <v>4791</v>
      </c>
      <c r="F224" t="s">
        <v>5575</v>
      </c>
      <c r="G224" t="s">
        <v>5576</v>
      </c>
      <c r="H224" t="s">
        <v>5577</v>
      </c>
      <c r="I224" t="s">
        <v>557</v>
      </c>
      <c r="K224" t="s">
        <v>28</v>
      </c>
      <c r="L224" t="s">
        <v>4721</v>
      </c>
      <c r="M224" t="s">
        <v>33</v>
      </c>
      <c r="N224" t="s">
        <v>432</v>
      </c>
      <c r="O224">
        <v>2174</v>
      </c>
    </row>
    <row r="225" spans="1:15" x14ac:dyDescent="0.35">
      <c r="A225" t="s">
        <v>20</v>
      </c>
      <c r="B225">
        <v>17643</v>
      </c>
      <c r="C225" t="s">
        <v>426</v>
      </c>
      <c r="D225" t="s">
        <v>427</v>
      </c>
      <c r="E225" t="s">
        <v>4795</v>
      </c>
      <c r="F225" t="s">
        <v>5578</v>
      </c>
      <c r="G225" t="s">
        <v>5579</v>
      </c>
      <c r="H225" t="s">
        <v>5580</v>
      </c>
      <c r="I225" t="s">
        <v>557</v>
      </c>
      <c r="K225" t="s">
        <v>28</v>
      </c>
      <c r="L225" t="s">
        <v>4721</v>
      </c>
      <c r="M225" t="s">
        <v>33</v>
      </c>
      <c r="N225" t="s">
        <v>432</v>
      </c>
      <c r="O225">
        <v>2182</v>
      </c>
    </row>
    <row r="226" spans="1:15" x14ac:dyDescent="0.35">
      <c r="A226" t="s">
        <v>20</v>
      </c>
      <c r="B226">
        <v>17643</v>
      </c>
      <c r="C226" t="s">
        <v>426</v>
      </c>
      <c r="D226" t="s">
        <v>427</v>
      </c>
      <c r="E226" t="s">
        <v>4800</v>
      </c>
      <c r="F226" t="s">
        <v>5581</v>
      </c>
      <c r="G226" t="s">
        <v>5582</v>
      </c>
      <c r="H226" t="s">
        <v>5583</v>
      </c>
      <c r="I226" t="s">
        <v>557</v>
      </c>
      <c r="K226" t="s">
        <v>28</v>
      </c>
      <c r="L226" t="s">
        <v>4726</v>
      </c>
      <c r="M226" t="s">
        <v>33</v>
      </c>
      <c r="N226" t="s">
        <v>432</v>
      </c>
      <c r="O226">
        <v>2346</v>
      </c>
    </row>
    <row r="227" spans="1:15" x14ac:dyDescent="0.35">
      <c r="A227" t="s">
        <v>20</v>
      </c>
      <c r="B227">
        <v>17643</v>
      </c>
      <c r="C227" t="s">
        <v>426</v>
      </c>
      <c r="D227" t="s">
        <v>427</v>
      </c>
      <c r="E227" t="s">
        <v>4804</v>
      </c>
      <c r="F227" t="s">
        <v>5584</v>
      </c>
      <c r="G227" t="s">
        <v>5585</v>
      </c>
      <c r="H227" t="s">
        <v>5586</v>
      </c>
      <c r="I227" t="s">
        <v>557</v>
      </c>
      <c r="K227" t="s">
        <v>28</v>
      </c>
      <c r="L227" t="s">
        <v>4721</v>
      </c>
      <c r="M227" t="s">
        <v>33</v>
      </c>
      <c r="N227" t="s">
        <v>432</v>
      </c>
      <c r="O227">
        <v>2353</v>
      </c>
    </row>
    <row r="228" spans="1:15" x14ac:dyDescent="0.35">
      <c r="A228" t="s">
        <v>20</v>
      </c>
      <c r="B228">
        <v>17643</v>
      </c>
      <c r="C228" t="s">
        <v>426</v>
      </c>
      <c r="D228" t="s">
        <v>427</v>
      </c>
      <c r="E228" t="s">
        <v>4808</v>
      </c>
      <c r="F228" t="s">
        <v>5587</v>
      </c>
      <c r="G228" t="s">
        <v>5588</v>
      </c>
      <c r="H228" t="s">
        <v>5589</v>
      </c>
      <c r="I228" t="s">
        <v>557</v>
      </c>
      <c r="K228" t="s">
        <v>61</v>
      </c>
      <c r="L228" t="s">
        <v>4721</v>
      </c>
      <c r="M228" t="s">
        <v>33</v>
      </c>
      <c r="N228" t="s">
        <v>432</v>
      </c>
      <c r="O228">
        <v>2360</v>
      </c>
    </row>
    <row r="229" spans="1:15" x14ac:dyDescent="0.35">
      <c r="A229" t="s">
        <v>20</v>
      </c>
      <c r="B229">
        <v>17643</v>
      </c>
      <c r="C229" t="s">
        <v>426</v>
      </c>
      <c r="D229" t="s">
        <v>427</v>
      </c>
      <c r="E229" t="s">
        <v>4812</v>
      </c>
      <c r="F229" t="s">
        <v>5590</v>
      </c>
      <c r="G229" t="s">
        <v>5591</v>
      </c>
      <c r="H229" t="s">
        <v>5592</v>
      </c>
      <c r="I229" t="s">
        <v>557</v>
      </c>
      <c r="K229" t="s">
        <v>61</v>
      </c>
      <c r="L229" t="s">
        <v>4726</v>
      </c>
      <c r="M229" t="s">
        <v>33</v>
      </c>
      <c r="N229" t="s">
        <v>432</v>
      </c>
      <c r="O229">
        <v>2365</v>
      </c>
    </row>
    <row r="230" spans="1:15" x14ac:dyDescent="0.35">
      <c r="A230" t="s">
        <v>20</v>
      </c>
      <c r="B230">
        <v>17643</v>
      </c>
      <c r="C230" t="s">
        <v>426</v>
      </c>
      <c r="D230" t="s">
        <v>427</v>
      </c>
      <c r="E230" t="s">
        <v>4816</v>
      </c>
      <c r="F230" t="s">
        <v>5593</v>
      </c>
      <c r="G230" t="s">
        <v>5594</v>
      </c>
      <c r="H230" t="s">
        <v>5595</v>
      </c>
      <c r="I230" t="s">
        <v>557</v>
      </c>
      <c r="K230" t="s">
        <v>28</v>
      </c>
      <c r="L230" t="s">
        <v>4726</v>
      </c>
      <c r="M230" t="s">
        <v>33</v>
      </c>
      <c r="N230" t="s">
        <v>432</v>
      </c>
      <c r="O230">
        <v>2372</v>
      </c>
    </row>
    <row r="231" spans="1:15" x14ac:dyDescent="0.35">
      <c r="A231" t="s">
        <v>20</v>
      </c>
      <c r="B231">
        <v>17643</v>
      </c>
      <c r="C231" t="s">
        <v>426</v>
      </c>
      <c r="D231" t="s">
        <v>427</v>
      </c>
      <c r="E231" t="s">
        <v>4820</v>
      </c>
      <c r="F231" t="s">
        <v>5596</v>
      </c>
      <c r="G231" t="s">
        <v>5597</v>
      </c>
      <c r="H231" t="s">
        <v>5598</v>
      </c>
      <c r="I231" t="s">
        <v>557</v>
      </c>
      <c r="K231" t="s">
        <v>28</v>
      </c>
      <c r="L231" t="s">
        <v>4716</v>
      </c>
      <c r="M231" t="s">
        <v>33</v>
      </c>
      <c r="N231" t="s">
        <v>432</v>
      </c>
      <c r="O231">
        <v>2379</v>
      </c>
    </row>
    <row r="232" spans="1:15" x14ac:dyDescent="0.35">
      <c r="A232" t="s">
        <v>20</v>
      </c>
      <c r="B232">
        <v>17643</v>
      </c>
      <c r="C232" t="s">
        <v>426</v>
      </c>
      <c r="D232" t="s">
        <v>427</v>
      </c>
      <c r="E232" t="s">
        <v>4824</v>
      </c>
      <c r="F232" t="s">
        <v>5599</v>
      </c>
      <c r="G232" t="s">
        <v>5600</v>
      </c>
      <c r="H232" t="s">
        <v>5601</v>
      </c>
      <c r="I232" t="s">
        <v>557</v>
      </c>
      <c r="K232" t="s">
        <v>28</v>
      </c>
      <c r="L232" t="s">
        <v>4721</v>
      </c>
      <c r="M232" t="s">
        <v>33</v>
      </c>
      <c r="N232" t="s">
        <v>432</v>
      </c>
      <c r="O232">
        <v>2384</v>
      </c>
    </row>
    <row r="233" spans="1:15" x14ac:dyDescent="0.35">
      <c r="A233" t="s">
        <v>20</v>
      </c>
      <c r="B233">
        <v>17643</v>
      </c>
      <c r="C233" t="s">
        <v>426</v>
      </c>
      <c r="D233" t="s">
        <v>427</v>
      </c>
      <c r="E233" t="s">
        <v>4828</v>
      </c>
      <c r="F233" t="s">
        <v>5602</v>
      </c>
      <c r="G233" t="s">
        <v>5603</v>
      </c>
      <c r="H233" t="s">
        <v>5604</v>
      </c>
      <c r="I233" t="s">
        <v>557</v>
      </c>
      <c r="K233" t="s">
        <v>28</v>
      </c>
      <c r="L233" t="s">
        <v>4716</v>
      </c>
      <c r="M233" t="s">
        <v>33</v>
      </c>
      <c r="N233" t="s">
        <v>432</v>
      </c>
      <c r="O233">
        <v>2390</v>
      </c>
    </row>
    <row r="234" spans="1:15" x14ac:dyDescent="0.35">
      <c r="A234" t="s">
        <v>20</v>
      </c>
      <c r="B234">
        <v>17643</v>
      </c>
      <c r="C234" t="s">
        <v>426</v>
      </c>
      <c r="D234" t="s">
        <v>427</v>
      </c>
      <c r="E234" t="s">
        <v>4832</v>
      </c>
      <c r="F234" t="s">
        <v>5602</v>
      </c>
      <c r="G234" t="s">
        <v>5603</v>
      </c>
      <c r="H234" t="s">
        <v>5604</v>
      </c>
      <c r="I234" t="s">
        <v>557</v>
      </c>
      <c r="M234" t="s">
        <v>33</v>
      </c>
      <c r="N234" t="s">
        <v>432</v>
      </c>
      <c r="O234">
        <v>2390</v>
      </c>
    </row>
    <row r="235" spans="1:15" x14ac:dyDescent="0.35">
      <c r="A235" t="s">
        <v>20</v>
      </c>
      <c r="B235">
        <v>17643</v>
      </c>
      <c r="C235" t="s">
        <v>426</v>
      </c>
      <c r="D235" t="s">
        <v>427</v>
      </c>
      <c r="E235" t="s">
        <v>4836</v>
      </c>
      <c r="F235" t="s">
        <v>5605</v>
      </c>
      <c r="G235" t="s">
        <v>5606</v>
      </c>
      <c r="H235" t="s">
        <v>5607</v>
      </c>
      <c r="I235" t="s">
        <v>557</v>
      </c>
      <c r="K235" t="s">
        <v>61</v>
      </c>
      <c r="L235" t="s">
        <v>4721</v>
      </c>
      <c r="M235" t="s">
        <v>33</v>
      </c>
      <c r="N235" t="s">
        <v>432</v>
      </c>
      <c r="O235">
        <v>2480</v>
      </c>
    </row>
    <row r="236" spans="1:15" x14ac:dyDescent="0.35">
      <c r="A236" t="s">
        <v>20</v>
      </c>
      <c r="B236">
        <v>17643</v>
      </c>
      <c r="C236" t="s">
        <v>426</v>
      </c>
      <c r="D236" t="s">
        <v>427</v>
      </c>
      <c r="E236" t="s">
        <v>4840</v>
      </c>
      <c r="F236" t="s">
        <v>5608</v>
      </c>
      <c r="G236" t="s">
        <v>5609</v>
      </c>
      <c r="H236" t="s">
        <v>5610</v>
      </c>
      <c r="I236" t="s">
        <v>557</v>
      </c>
      <c r="K236" t="s">
        <v>61</v>
      </c>
      <c r="L236" t="s">
        <v>4721</v>
      </c>
      <c r="M236" t="s">
        <v>33</v>
      </c>
      <c r="N236" t="s">
        <v>432</v>
      </c>
      <c r="O236">
        <v>2484</v>
      </c>
    </row>
    <row r="237" spans="1:15" x14ac:dyDescent="0.35">
      <c r="A237" t="s">
        <v>20</v>
      </c>
      <c r="B237">
        <v>17643</v>
      </c>
      <c r="C237" t="s">
        <v>426</v>
      </c>
      <c r="D237" t="s">
        <v>427</v>
      </c>
      <c r="E237" t="s">
        <v>4844</v>
      </c>
      <c r="F237" t="s">
        <v>5611</v>
      </c>
      <c r="G237" t="s">
        <v>5612</v>
      </c>
      <c r="H237" t="s">
        <v>5613</v>
      </c>
      <c r="I237" t="s">
        <v>557</v>
      </c>
      <c r="K237" t="s">
        <v>61</v>
      </c>
      <c r="L237" t="s">
        <v>4721</v>
      </c>
      <c r="M237" t="s">
        <v>33</v>
      </c>
      <c r="N237" t="s">
        <v>432</v>
      </c>
      <c r="O237">
        <v>2492</v>
      </c>
    </row>
    <row r="238" spans="1:15" x14ac:dyDescent="0.35">
      <c r="A238" t="s">
        <v>20</v>
      </c>
      <c r="B238">
        <v>17643</v>
      </c>
      <c r="C238" t="s">
        <v>426</v>
      </c>
      <c r="D238" t="s">
        <v>427</v>
      </c>
      <c r="E238" t="s">
        <v>4848</v>
      </c>
      <c r="F238" t="s">
        <v>5614</v>
      </c>
      <c r="G238" t="s">
        <v>5615</v>
      </c>
      <c r="H238" t="s">
        <v>5616</v>
      </c>
      <c r="I238" t="s">
        <v>557</v>
      </c>
      <c r="K238" t="s">
        <v>61</v>
      </c>
      <c r="L238" t="s">
        <v>4721</v>
      </c>
      <c r="M238" t="s">
        <v>33</v>
      </c>
      <c r="N238" t="s">
        <v>432</v>
      </c>
      <c r="O238">
        <v>2504</v>
      </c>
    </row>
    <row r="239" spans="1:15" x14ac:dyDescent="0.35">
      <c r="A239" t="s">
        <v>20</v>
      </c>
      <c r="B239">
        <v>17643</v>
      </c>
      <c r="C239" t="s">
        <v>426</v>
      </c>
      <c r="D239" t="s">
        <v>427</v>
      </c>
      <c r="E239" t="s">
        <v>4852</v>
      </c>
      <c r="F239" t="s">
        <v>5617</v>
      </c>
      <c r="G239" t="s">
        <v>5618</v>
      </c>
      <c r="H239" t="s">
        <v>5619</v>
      </c>
      <c r="I239" t="s">
        <v>557</v>
      </c>
      <c r="K239" t="s">
        <v>61</v>
      </c>
      <c r="L239" t="s">
        <v>4721</v>
      </c>
      <c r="M239" t="s">
        <v>33</v>
      </c>
      <c r="N239" t="s">
        <v>432</v>
      </c>
      <c r="O239">
        <v>2510</v>
      </c>
    </row>
    <row r="240" spans="1:15" x14ac:dyDescent="0.35">
      <c r="A240" t="s">
        <v>20</v>
      </c>
      <c r="B240">
        <v>17643</v>
      </c>
      <c r="C240" t="s">
        <v>426</v>
      </c>
      <c r="D240" t="s">
        <v>427</v>
      </c>
      <c r="E240" t="s">
        <v>4856</v>
      </c>
      <c r="F240" t="s">
        <v>5620</v>
      </c>
      <c r="G240" t="s">
        <v>5621</v>
      </c>
      <c r="H240" t="s">
        <v>5622</v>
      </c>
      <c r="I240" t="s">
        <v>557</v>
      </c>
      <c r="K240" t="s">
        <v>28</v>
      </c>
      <c r="L240" t="s">
        <v>4721</v>
      </c>
      <c r="M240" t="s">
        <v>33</v>
      </c>
      <c r="N240" t="s">
        <v>432</v>
      </c>
      <c r="O240">
        <v>3815</v>
      </c>
    </row>
    <row r="241" spans="1:15" x14ac:dyDescent="0.35">
      <c r="A241" t="s">
        <v>20</v>
      </c>
      <c r="B241">
        <v>17643</v>
      </c>
      <c r="C241" t="s">
        <v>426</v>
      </c>
      <c r="D241" t="s">
        <v>427</v>
      </c>
      <c r="E241" t="s">
        <v>4860</v>
      </c>
      <c r="F241" t="s">
        <v>5623</v>
      </c>
      <c r="G241" t="s">
        <v>5624</v>
      </c>
      <c r="H241" t="s">
        <v>5625</v>
      </c>
      <c r="I241" t="s">
        <v>557</v>
      </c>
      <c r="K241" t="s">
        <v>28</v>
      </c>
      <c r="L241" t="s">
        <v>4726</v>
      </c>
      <c r="M241" t="s">
        <v>33</v>
      </c>
      <c r="N241" t="s">
        <v>432</v>
      </c>
      <c r="O241">
        <v>3837</v>
      </c>
    </row>
    <row r="242" spans="1:15" x14ac:dyDescent="0.35">
      <c r="A242" t="s">
        <v>20</v>
      </c>
      <c r="B242">
        <v>17643</v>
      </c>
      <c r="C242" t="s">
        <v>426</v>
      </c>
      <c r="D242" t="s">
        <v>427</v>
      </c>
      <c r="E242" t="s">
        <v>4864</v>
      </c>
      <c r="F242" t="s">
        <v>5626</v>
      </c>
      <c r="G242" t="s">
        <v>5627</v>
      </c>
      <c r="H242" t="s">
        <v>5628</v>
      </c>
      <c r="I242" t="s">
        <v>557</v>
      </c>
      <c r="K242" t="s">
        <v>28</v>
      </c>
      <c r="L242" t="s">
        <v>4726</v>
      </c>
      <c r="M242" t="s">
        <v>33</v>
      </c>
      <c r="N242" t="s">
        <v>432</v>
      </c>
      <c r="O242">
        <v>3853</v>
      </c>
    </row>
    <row r="243" spans="1:15" x14ac:dyDescent="0.35">
      <c r="A243" t="s">
        <v>20</v>
      </c>
      <c r="B243">
        <v>17643</v>
      </c>
      <c r="C243" t="s">
        <v>426</v>
      </c>
      <c r="D243" t="s">
        <v>427</v>
      </c>
      <c r="E243" t="s">
        <v>4868</v>
      </c>
      <c r="F243" t="s">
        <v>5629</v>
      </c>
      <c r="G243" t="s">
        <v>5630</v>
      </c>
      <c r="H243" t="s">
        <v>5631</v>
      </c>
      <c r="I243" t="s">
        <v>557</v>
      </c>
      <c r="K243" t="s">
        <v>28</v>
      </c>
      <c r="L243" t="s">
        <v>4726</v>
      </c>
      <c r="M243" t="s">
        <v>33</v>
      </c>
      <c r="N243" t="s">
        <v>432</v>
      </c>
      <c r="O243">
        <v>3858</v>
      </c>
    </row>
    <row r="244" spans="1:15" x14ac:dyDescent="0.35">
      <c r="A244" t="s">
        <v>20</v>
      </c>
      <c r="B244">
        <v>17643</v>
      </c>
      <c r="C244" t="s">
        <v>426</v>
      </c>
      <c r="D244" t="s">
        <v>427</v>
      </c>
      <c r="E244" t="s">
        <v>4872</v>
      </c>
      <c r="F244" t="s">
        <v>5632</v>
      </c>
      <c r="G244" t="s">
        <v>5633</v>
      </c>
      <c r="H244" t="s">
        <v>5634</v>
      </c>
      <c r="I244" t="s">
        <v>557</v>
      </c>
      <c r="K244" t="s">
        <v>28</v>
      </c>
      <c r="L244" t="s">
        <v>4726</v>
      </c>
      <c r="M244" t="s">
        <v>33</v>
      </c>
      <c r="N244" t="s">
        <v>432</v>
      </c>
      <c r="O244">
        <v>3862</v>
      </c>
    </row>
    <row r="245" spans="1:15" x14ac:dyDescent="0.35">
      <c r="A245" t="s">
        <v>20</v>
      </c>
      <c r="B245">
        <v>17643</v>
      </c>
      <c r="C245" t="s">
        <v>426</v>
      </c>
      <c r="D245" t="s">
        <v>427</v>
      </c>
      <c r="E245" t="s">
        <v>4873</v>
      </c>
      <c r="F245" t="s">
        <v>5635</v>
      </c>
      <c r="G245" t="s">
        <v>5636</v>
      </c>
      <c r="H245" t="s">
        <v>5637</v>
      </c>
      <c r="I245" t="s">
        <v>557</v>
      </c>
      <c r="K245" t="s">
        <v>28</v>
      </c>
      <c r="L245" t="s">
        <v>4726</v>
      </c>
      <c r="M245" t="s">
        <v>33</v>
      </c>
      <c r="N245" t="s">
        <v>432</v>
      </c>
      <c r="O245">
        <v>3869</v>
      </c>
    </row>
    <row r="246" spans="1:15" x14ac:dyDescent="0.35">
      <c r="A246" t="s">
        <v>20</v>
      </c>
      <c r="B246">
        <v>17643</v>
      </c>
      <c r="C246" t="s">
        <v>426</v>
      </c>
      <c r="D246" t="s">
        <v>427</v>
      </c>
      <c r="E246" t="s">
        <v>4874</v>
      </c>
      <c r="F246" t="s">
        <v>5638</v>
      </c>
      <c r="G246" t="s">
        <v>5639</v>
      </c>
      <c r="H246" t="s">
        <v>5640</v>
      </c>
      <c r="I246" t="s">
        <v>557</v>
      </c>
      <c r="K246" t="s">
        <v>28</v>
      </c>
      <c r="L246" t="s">
        <v>4716</v>
      </c>
      <c r="M246" t="s">
        <v>33</v>
      </c>
      <c r="N246" t="s">
        <v>432</v>
      </c>
      <c r="O246">
        <v>3875</v>
      </c>
    </row>
    <row r="247" spans="1:15" x14ac:dyDescent="0.35">
      <c r="A247" t="s">
        <v>20</v>
      </c>
      <c r="B247">
        <v>17643</v>
      </c>
      <c r="C247" t="s">
        <v>426</v>
      </c>
      <c r="D247" t="s">
        <v>427</v>
      </c>
      <c r="E247" t="s">
        <v>4875</v>
      </c>
      <c r="F247" t="s">
        <v>5641</v>
      </c>
      <c r="G247" t="s">
        <v>5642</v>
      </c>
      <c r="H247" t="s">
        <v>5643</v>
      </c>
      <c r="I247" t="s">
        <v>557</v>
      </c>
      <c r="K247" t="s">
        <v>28</v>
      </c>
      <c r="L247" t="s">
        <v>4721</v>
      </c>
      <c r="M247" t="s">
        <v>33</v>
      </c>
      <c r="N247" t="s">
        <v>432</v>
      </c>
      <c r="O247">
        <v>4051</v>
      </c>
    </row>
    <row r="248" spans="1:15" x14ac:dyDescent="0.35">
      <c r="A248" t="s">
        <v>20</v>
      </c>
      <c r="B248">
        <v>17643</v>
      </c>
      <c r="C248" t="s">
        <v>426</v>
      </c>
      <c r="D248" t="s">
        <v>427</v>
      </c>
      <c r="E248" t="s">
        <v>4879</v>
      </c>
      <c r="F248" t="s">
        <v>5644</v>
      </c>
      <c r="G248" t="s">
        <v>5645</v>
      </c>
      <c r="H248" t="s">
        <v>5646</v>
      </c>
      <c r="I248" t="s">
        <v>557</v>
      </c>
      <c r="K248" t="s">
        <v>28</v>
      </c>
      <c r="L248" t="s">
        <v>4721</v>
      </c>
      <c r="M248" t="s">
        <v>33</v>
      </c>
      <c r="N248" t="s">
        <v>432</v>
      </c>
      <c r="O248">
        <v>4055</v>
      </c>
    </row>
    <row r="249" spans="1:15" x14ac:dyDescent="0.35">
      <c r="A249" t="s">
        <v>20</v>
      </c>
      <c r="B249">
        <v>17643</v>
      </c>
      <c r="C249" t="s">
        <v>426</v>
      </c>
      <c r="D249" t="s">
        <v>427</v>
      </c>
      <c r="E249" t="s">
        <v>4883</v>
      </c>
      <c r="F249" t="s">
        <v>5647</v>
      </c>
      <c r="G249" t="s">
        <v>5648</v>
      </c>
      <c r="H249" t="s">
        <v>5649</v>
      </c>
      <c r="I249" t="s">
        <v>557</v>
      </c>
      <c r="K249" t="s">
        <v>38</v>
      </c>
      <c r="L249" t="s">
        <v>4726</v>
      </c>
      <c r="M249" t="s">
        <v>33</v>
      </c>
      <c r="N249" t="s">
        <v>432</v>
      </c>
      <c r="O249">
        <v>4335</v>
      </c>
    </row>
    <row r="250" spans="1:15" x14ac:dyDescent="0.35">
      <c r="A250" t="s">
        <v>20</v>
      </c>
      <c r="B250">
        <v>17643</v>
      </c>
      <c r="C250" t="s">
        <v>426</v>
      </c>
      <c r="D250" t="s">
        <v>427</v>
      </c>
      <c r="E250" t="s">
        <v>4887</v>
      </c>
      <c r="F250" t="s">
        <v>5650</v>
      </c>
      <c r="G250" t="s">
        <v>5651</v>
      </c>
      <c r="H250" t="s">
        <v>5652</v>
      </c>
      <c r="I250" t="s">
        <v>557</v>
      </c>
      <c r="K250" t="s">
        <v>38</v>
      </c>
      <c r="L250" t="s">
        <v>4716</v>
      </c>
      <c r="M250" t="s">
        <v>33</v>
      </c>
      <c r="N250" t="s">
        <v>432</v>
      </c>
      <c r="O250">
        <v>4345</v>
      </c>
    </row>
    <row r="251" spans="1:15" x14ac:dyDescent="0.35">
      <c r="A251" t="s">
        <v>20</v>
      </c>
      <c r="B251">
        <v>17643</v>
      </c>
      <c r="C251" t="s">
        <v>426</v>
      </c>
      <c r="D251" t="s">
        <v>427</v>
      </c>
      <c r="E251" t="s">
        <v>4891</v>
      </c>
      <c r="F251" t="s">
        <v>5653</v>
      </c>
      <c r="G251" t="s">
        <v>5654</v>
      </c>
      <c r="H251" t="s">
        <v>5655</v>
      </c>
      <c r="I251" t="s">
        <v>557</v>
      </c>
      <c r="K251" t="s">
        <v>28</v>
      </c>
      <c r="L251" t="s">
        <v>4721</v>
      </c>
      <c r="M251" t="s">
        <v>33</v>
      </c>
      <c r="N251" t="s">
        <v>432</v>
      </c>
      <c r="O251">
        <v>4567</v>
      </c>
    </row>
    <row r="252" spans="1:15" x14ac:dyDescent="0.35">
      <c r="A252" t="s">
        <v>20</v>
      </c>
      <c r="B252">
        <v>17643</v>
      </c>
      <c r="C252" t="s">
        <v>426</v>
      </c>
      <c r="D252" t="s">
        <v>427</v>
      </c>
      <c r="E252" t="s">
        <v>4895</v>
      </c>
      <c r="F252" t="s">
        <v>5656</v>
      </c>
      <c r="G252" t="s">
        <v>5657</v>
      </c>
      <c r="H252" t="s">
        <v>5658</v>
      </c>
      <c r="I252" t="s">
        <v>557</v>
      </c>
      <c r="K252" t="s">
        <v>28</v>
      </c>
      <c r="L252" t="s">
        <v>4716</v>
      </c>
      <c r="M252" t="s">
        <v>33</v>
      </c>
      <c r="N252" t="s">
        <v>432</v>
      </c>
      <c r="O252">
        <v>4584</v>
      </c>
    </row>
    <row r="253" spans="1:15" x14ac:dyDescent="0.35">
      <c r="A253" t="s">
        <v>20</v>
      </c>
      <c r="B253">
        <v>17643</v>
      </c>
      <c r="C253" t="s">
        <v>426</v>
      </c>
      <c r="D253" t="s">
        <v>427</v>
      </c>
      <c r="E253" t="s">
        <v>4899</v>
      </c>
      <c r="F253" t="s">
        <v>5659</v>
      </c>
      <c r="G253" t="s">
        <v>5660</v>
      </c>
      <c r="H253" t="s">
        <v>5661</v>
      </c>
      <c r="I253" t="s">
        <v>557</v>
      </c>
      <c r="K253" t="s">
        <v>38</v>
      </c>
      <c r="L253" t="s">
        <v>4726</v>
      </c>
      <c r="M253" t="s">
        <v>33</v>
      </c>
      <c r="N253" t="s">
        <v>432</v>
      </c>
      <c r="O253">
        <v>4700</v>
      </c>
    </row>
    <row r="254" spans="1:15" x14ac:dyDescent="0.35">
      <c r="A254" t="s">
        <v>20</v>
      </c>
      <c r="B254">
        <v>17643</v>
      </c>
      <c r="C254" t="s">
        <v>426</v>
      </c>
      <c r="D254" t="s">
        <v>427</v>
      </c>
      <c r="E254" t="s">
        <v>4903</v>
      </c>
      <c r="F254" t="s">
        <v>5662</v>
      </c>
      <c r="G254" t="s">
        <v>5663</v>
      </c>
      <c r="H254" t="s">
        <v>5664</v>
      </c>
      <c r="I254" t="s">
        <v>557</v>
      </c>
      <c r="K254" t="s">
        <v>38</v>
      </c>
      <c r="L254" t="s">
        <v>4721</v>
      </c>
      <c r="M254" t="s">
        <v>33</v>
      </c>
      <c r="N254" t="s">
        <v>432</v>
      </c>
      <c r="O254">
        <v>4705</v>
      </c>
    </row>
    <row r="255" spans="1:15" x14ac:dyDescent="0.35">
      <c r="A255" t="s">
        <v>20</v>
      </c>
      <c r="B255">
        <v>17643</v>
      </c>
      <c r="C255" t="s">
        <v>426</v>
      </c>
      <c r="D255" t="s">
        <v>427</v>
      </c>
      <c r="E255" t="s">
        <v>4907</v>
      </c>
      <c r="F255" t="s">
        <v>5665</v>
      </c>
      <c r="G255" t="s">
        <v>5666</v>
      </c>
      <c r="H255" t="s">
        <v>5667</v>
      </c>
      <c r="I255" t="s">
        <v>557</v>
      </c>
      <c r="K255" t="s">
        <v>38</v>
      </c>
      <c r="L255" t="s">
        <v>4721</v>
      </c>
      <c r="M255" t="s">
        <v>33</v>
      </c>
      <c r="N255" t="s">
        <v>432</v>
      </c>
      <c r="O255">
        <v>4712</v>
      </c>
    </row>
    <row r="256" spans="1:15" x14ac:dyDescent="0.35">
      <c r="A256" t="s">
        <v>20</v>
      </c>
      <c r="B256">
        <v>17643</v>
      </c>
      <c r="C256" t="s">
        <v>426</v>
      </c>
      <c r="D256" t="s">
        <v>427</v>
      </c>
      <c r="E256" t="s">
        <v>4911</v>
      </c>
      <c r="F256" t="s">
        <v>5668</v>
      </c>
      <c r="G256" t="s">
        <v>5669</v>
      </c>
      <c r="H256" t="s">
        <v>5670</v>
      </c>
      <c r="I256" t="s">
        <v>557</v>
      </c>
      <c r="K256" t="s">
        <v>38</v>
      </c>
      <c r="L256" t="s">
        <v>4721</v>
      </c>
      <c r="M256" t="s">
        <v>33</v>
      </c>
      <c r="N256" t="s">
        <v>432</v>
      </c>
      <c r="O256">
        <v>5501</v>
      </c>
    </row>
    <row r="257" spans="1:15" x14ac:dyDescent="0.35">
      <c r="A257" t="s">
        <v>20</v>
      </c>
      <c r="B257">
        <v>17643</v>
      </c>
      <c r="C257" t="s">
        <v>426</v>
      </c>
      <c r="D257" t="s">
        <v>427</v>
      </c>
      <c r="E257" t="s">
        <v>4915</v>
      </c>
      <c r="F257" t="s">
        <v>5671</v>
      </c>
      <c r="G257" t="s">
        <v>5672</v>
      </c>
      <c r="H257" t="s">
        <v>5673</v>
      </c>
      <c r="I257" t="s">
        <v>557</v>
      </c>
      <c r="K257" t="s">
        <v>61</v>
      </c>
      <c r="L257" t="s">
        <v>4726</v>
      </c>
      <c r="M257" t="s">
        <v>33</v>
      </c>
      <c r="N257" t="s">
        <v>432</v>
      </c>
      <c r="O257">
        <v>5872</v>
      </c>
    </row>
    <row r="258" spans="1:15" x14ac:dyDescent="0.35">
      <c r="A258" t="s">
        <v>20</v>
      </c>
      <c r="B258">
        <v>17643</v>
      </c>
      <c r="C258" t="s">
        <v>426</v>
      </c>
      <c r="D258" t="s">
        <v>427</v>
      </c>
      <c r="E258" t="s">
        <v>4919</v>
      </c>
      <c r="F258" t="s">
        <v>5674</v>
      </c>
      <c r="G258" t="s">
        <v>5675</v>
      </c>
      <c r="H258" t="s">
        <v>5676</v>
      </c>
      <c r="I258" t="s">
        <v>557</v>
      </c>
      <c r="K258" t="s">
        <v>61</v>
      </c>
      <c r="L258" t="s">
        <v>4721</v>
      </c>
      <c r="M258" t="s">
        <v>33</v>
      </c>
      <c r="N258" t="s">
        <v>432</v>
      </c>
      <c r="O258">
        <v>5882</v>
      </c>
    </row>
    <row r="259" spans="1:15" x14ac:dyDescent="0.35">
      <c r="A259" t="s">
        <v>20</v>
      </c>
      <c r="B259">
        <v>17643</v>
      </c>
      <c r="C259" t="s">
        <v>426</v>
      </c>
      <c r="D259" t="s">
        <v>427</v>
      </c>
      <c r="E259" t="s">
        <v>4923</v>
      </c>
      <c r="F259" t="s">
        <v>5677</v>
      </c>
      <c r="G259" t="s">
        <v>5678</v>
      </c>
      <c r="H259" t="s">
        <v>5679</v>
      </c>
      <c r="I259" t="s">
        <v>557</v>
      </c>
      <c r="K259" t="s">
        <v>28</v>
      </c>
      <c r="L259" t="s">
        <v>4721</v>
      </c>
      <c r="M259" t="s">
        <v>33</v>
      </c>
      <c r="N259" t="s">
        <v>432</v>
      </c>
      <c r="O259">
        <v>6165</v>
      </c>
    </row>
    <row r="260" spans="1:15" x14ac:dyDescent="0.35">
      <c r="A260" t="s">
        <v>20</v>
      </c>
      <c r="B260">
        <v>17643</v>
      </c>
      <c r="C260" t="s">
        <v>426</v>
      </c>
      <c r="D260" t="s">
        <v>427</v>
      </c>
      <c r="E260" t="s">
        <v>4927</v>
      </c>
      <c r="F260" t="s">
        <v>5680</v>
      </c>
      <c r="G260" t="s">
        <v>5681</v>
      </c>
      <c r="H260" t="s">
        <v>5682</v>
      </c>
      <c r="I260" t="s">
        <v>557</v>
      </c>
      <c r="K260" t="s">
        <v>28</v>
      </c>
      <c r="L260" t="s">
        <v>4721</v>
      </c>
      <c r="M260" t="s">
        <v>33</v>
      </c>
      <c r="N260" t="s">
        <v>432</v>
      </c>
      <c r="O260">
        <v>6175</v>
      </c>
    </row>
    <row r="261" spans="1:15" x14ac:dyDescent="0.35">
      <c r="A261" t="s">
        <v>20</v>
      </c>
      <c r="B261">
        <v>17643</v>
      </c>
      <c r="C261" t="s">
        <v>426</v>
      </c>
      <c r="D261" t="s">
        <v>427</v>
      </c>
      <c r="E261" t="s">
        <v>4931</v>
      </c>
      <c r="F261" t="s">
        <v>5683</v>
      </c>
      <c r="G261" t="s">
        <v>5684</v>
      </c>
      <c r="H261" t="s">
        <v>5685</v>
      </c>
      <c r="I261" t="s">
        <v>557</v>
      </c>
      <c r="K261" t="s">
        <v>28</v>
      </c>
      <c r="L261" t="s">
        <v>4721</v>
      </c>
      <c r="M261" t="s">
        <v>33</v>
      </c>
      <c r="N261" t="s">
        <v>432</v>
      </c>
      <c r="O261">
        <v>6183</v>
      </c>
    </row>
    <row r="262" spans="1:15" x14ac:dyDescent="0.35">
      <c r="A262" t="s">
        <v>20</v>
      </c>
      <c r="B262">
        <v>17643</v>
      </c>
      <c r="C262" t="s">
        <v>426</v>
      </c>
      <c r="D262" t="s">
        <v>427</v>
      </c>
      <c r="E262" t="s">
        <v>4935</v>
      </c>
      <c r="F262" t="s">
        <v>5686</v>
      </c>
      <c r="G262" t="s">
        <v>5687</v>
      </c>
      <c r="H262" t="s">
        <v>5688</v>
      </c>
      <c r="I262" t="s">
        <v>557</v>
      </c>
      <c r="K262" t="s">
        <v>28</v>
      </c>
      <c r="L262" t="s">
        <v>4721</v>
      </c>
      <c r="M262" t="s">
        <v>33</v>
      </c>
      <c r="N262" t="s">
        <v>432</v>
      </c>
      <c r="O262">
        <v>6188</v>
      </c>
    </row>
    <row r="263" spans="1:15" x14ac:dyDescent="0.35">
      <c r="A263" t="s">
        <v>20</v>
      </c>
      <c r="B263">
        <v>17643</v>
      </c>
      <c r="C263" t="s">
        <v>426</v>
      </c>
      <c r="D263" t="s">
        <v>427</v>
      </c>
      <c r="E263" t="s">
        <v>4939</v>
      </c>
      <c r="F263" t="s">
        <v>5689</v>
      </c>
      <c r="G263" t="s">
        <v>5690</v>
      </c>
      <c r="H263" t="s">
        <v>5691</v>
      </c>
      <c r="I263" t="s">
        <v>557</v>
      </c>
      <c r="K263" t="s">
        <v>28</v>
      </c>
      <c r="L263" t="s">
        <v>4721</v>
      </c>
      <c r="M263" t="s">
        <v>33</v>
      </c>
      <c r="N263" t="s">
        <v>432</v>
      </c>
      <c r="O263">
        <v>6194</v>
      </c>
    </row>
    <row r="264" spans="1:15" x14ac:dyDescent="0.35">
      <c r="A264" t="s">
        <v>20</v>
      </c>
      <c r="B264">
        <v>17643</v>
      </c>
      <c r="C264" t="s">
        <v>426</v>
      </c>
      <c r="D264" t="s">
        <v>427</v>
      </c>
      <c r="E264" t="s">
        <v>4943</v>
      </c>
      <c r="F264" t="s">
        <v>5692</v>
      </c>
      <c r="G264" t="s">
        <v>5693</v>
      </c>
      <c r="H264" t="s">
        <v>5694</v>
      </c>
      <c r="I264" t="s">
        <v>557</v>
      </c>
      <c r="K264" t="s">
        <v>28</v>
      </c>
      <c r="L264" t="s">
        <v>4721</v>
      </c>
      <c r="M264" t="s">
        <v>33</v>
      </c>
      <c r="N264" t="s">
        <v>432</v>
      </c>
      <c r="O264">
        <v>6204</v>
      </c>
    </row>
    <row r="265" spans="1:15" x14ac:dyDescent="0.35">
      <c r="A265" t="s">
        <v>20</v>
      </c>
      <c r="B265">
        <v>17643</v>
      </c>
      <c r="C265" t="s">
        <v>426</v>
      </c>
      <c r="D265" t="s">
        <v>427</v>
      </c>
      <c r="E265" t="s">
        <v>4947</v>
      </c>
      <c r="F265" t="s">
        <v>5695</v>
      </c>
      <c r="G265" t="s">
        <v>5696</v>
      </c>
      <c r="H265" t="s">
        <v>5697</v>
      </c>
      <c r="I265" t="s">
        <v>557</v>
      </c>
      <c r="K265" t="s">
        <v>28</v>
      </c>
      <c r="L265" t="s">
        <v>4721</v>
      </c>
      <c r="M265" t="s">
        <v>33</v>
      </c>
      <c r="N265" t="s">
        <v>432</v>
      </c>
      <c r="O265">
        <v>6213</v>
      </c>
    </row>
    <row r="266" spans="1:15" x14ac:dyDescent="0.35">
      <c r="A266" t="s">
        <v>20</v>
      </c>
      <c r="B266">
        <v>17643</v>
      </c>
      <c r="C266" t="s">
        <v>426</v>
      </c>
      <c r="D266" t="s">
        <v>427</v>
      </c>
      <c r="E266" t="s">
        <v>4951</v>
      </c>
      <c r="F266" t="s">
        <v>5698</v>
      </c>
      <c r="G266" t="s">
        <v>5699</v>
      </c>
      <c r="H266" t="s">
        <v>5700</v>
      </c>
      <c r="I266" t="s">
        <v>557</v>
      </c>
      <c r="K266" t="s">
        <v>28</v>
      </c>
      <c r="L266" t="s">
        <v>4721</v>
      </c>
      <c r="M266" t="s">
        <v>33</v>
      </c>
      <c r="N266" t="s">
        <v>432</v>
      </c>
      <c r="O266">
        <v>6225</v>
      </c>
    </row>
    <row r="267" spans="1:15" x14ac:dyDescent="0.35">
      <c r="A267" t="s">
        <v>20</v>
      </c>
      <c r="B267">
        <v>17643</v>
      </c>
      <c r="C267" t="s">
        <v>426</v>
      </c>
      <c r="D267" t="s">
        <v>427</v>
      </c>
      <c r="E267" t="s">
        <v>4955</v>
      </c>
      <c r="F267" t="s">
        <v>5701</v>
      </c>
      <c r="G267" t="s">
        <v>5702</v>
      </c>
      <c r="H267" t="s">
        <v>5703</v>
      </c>
      <c r="I267" t="s">
        <v>557</v>
      </c>
      <c r="K267" t="s">
        <v>28</v>
      </c>
      <c r="L267" t="s">
        <v>4716</v>
      </c>
      <c r="M267" t="s">
        <v>33</v>
      </c>
      <c r="N267" t="s">
        <v>432</v>
      </c>
      <c r="O267">
        <v>6327</v>
      </c>
    </row>
    <row r="268" spans="1:15" x14ac:dyDescent="0.35">
      <c r="A268" t="s">
        <v>20</v>
      </c>
      <c r="B268">
        <v>17643</v>
      </c>
      <c r="C268" t="s">
        <v>426</v>
      </c>
      <c r="D268" t="s">
        <v>427</v>
      </c>
      <c r="E268" t="s">
        <v>5147</v>
      </c>
      <c r="F268" t="s">
        <v>5704</v>
      </c>
      <c r="G268" t="s">
        <v>5705</v>
      </c>
      <c r="H268" t="s">
        <v>5706</v>
      </c>
      <c r="I268" t="s">
        <v>431</v>
      </c>
      <c r="K268" t="s">
        <v>46</v>
      </c>
      <c r="L268" t="s">
        <v>4721</v>
      </c>
      <c r="M268" t="s">
        <v>33</v>
      </c>
      <c r="N268" t="s">
        <v>432</v>
      </c>
      <c r="O268">
        <v>366</v>
      </c>
    </row>
    <row r="269" spans="1:15" x14ac:dyDescent="0.35">
      <c r="A269" t="s">
        <v>20</v>
      </c>
      <c r="B269">
        <v>17643</v>
      </c>
      <c r="C269" t="s">
        <v>426</v>
      </c>
      <c r="D269" t="s">
        <v>427</v>
      </c>
      <c r="E269" t="s">
        <v>5151</v>
      </c>
      <c r="F269" t="s">
        <v>5707</v>
      </c>
      <c r="G269" t="s">
        <v>5708</v>
      </c>
      <c r="H269" t="s">
        <v>5709</v>
      </c>
      <c r="I269" t="s">
        <v>431</v>
      </c>
      <c r="K269" t="s">
        <v>46</v>
      </c>
      <c r="L269" t="s">
        <v>4721</v>
      </c>
      <c r="M269" t="s">
        <v>33</v>
      </c>
      <c r="N269" t="s">
        <v>432</v>
      </c>
      <c r="O269">
        <v>372</v>
      </c>
    </row>
    <row r="270" spans="1:15" x14ac:dyDescent="0.35">
      <c r="A270" t="s">
        <v>20</v>
      </c>
      <c r="B270">
        <v>17643</v>
      </c>
      <c r="C270" t="s">
        <v>426</v>
      </c>
      <c r="D270" t="s">
        <v>427</v>
      </c>
      <c r="E270" t="s">
        <v>5155</v>
      </c>
      <c r="F270" t="s">
        <v>5710</v>
      </c>
      <c r="G270" t="s">
        <v>5711</v>
      </c>
      <c r="H270" t="s">
        <v>5712</v>
      </c>
      <c r="I270" t="s">
        <v>431</v>
      </c>
      <c r="K270" t="s">
        <v>46</v>
      </c>
      <c r="L270" t="s">
        <v>4716</v>
      </c>
      <c r="M270" t="s">
        <v>33</v>
      </c>
      <c r="N270" t="s">
        <v>432</v>
      </c>
      <c r="O270">
        <v>404</v>
      </c>
    </row>
    <row r="271" spans="1:15" x14ac:dyDescent="0.35">
      <c r="A271" t="s">
        <v>20</v>
      </c>
      <c r="B271">
        <v>17643</v>
      </c>
      <c r="C271" t="s">
        <v>426</v>
      </c>
      <c r="D271" t="s">
        <v>427</v>
      </c>
      <c r="E271" t="s">
        <v>5159</v>
      </c>
      <c r="F271" t="s">
        <v>5713</v>
      </c>
      <c r="G271" t="s">
        <v>5714</v>
      </c>
      <c r="H271" t="s">
        <v>5715</v>
      </c>
      <c r="I271" t="s">
        <v>431</v>
      </c>
      <c r="K271" t="s">
        <v>46</v>
      </c>
      <c r="L271" t="s">
        <v>4726</v>
      </c>
      <c r="M271" t="s">
        <v>33</v>
      </c>
      <c r="N271" t="s">
        <v>432</v>
      </c>
      <c r="O271">
        <v>412</v>
      </c>
    </row>
    <row r="272" spans="1:15" x14ac:dyDescent="0.35">
      <c r="A272" t="s">
        <v>20</v>
      </c>
      <c r="B272">
        <v>17643</v>
      </c>
      <c r="C272" t="s">
        <v>426</v>
      </c>
      <c r="D272" t="s">
        <v>427</v>
      </c>
      <c r="E272" t="s">
        <v>5163</v>
      </c>
      <c r="F272" t="s">
        <v>5716</v>
      </c>
      <c r="G272" t="s">
        <v>5717</v>
      </c>
      <c r="H272" t="s">
        <v>5718</v>
      </c>
      <c r="I272" t="s">
        <v>431</v>
      </c>
      <c r="K272" t="s">
        <v>38</v>
      </c>
      <c r="L272" t="s">
        <v>4716</v>
      </c>
      <c r="M272" t="s">
        <v>33</v>
      </c>
      <c r="N272" t="s">
        <v>432</v>
      </c>
      <c r="O272">
        <v>425</v>
      </c>
    </row>
    <row r="273" spans="1:15" x14ac:dyDescent="0.35">
      <c r="A273" t="s">
        <v>20</v>
      </c>
      <c r="B273">
        <v>17643</v>
      </c>
      <c r="C273" t="s">
        <v>426</v>
      </c>
      <c r="D273" t="s">
        <v>427</v>
      </c>
      <c r="E273" t="s">
        <v>5167</v>
      </c>
      <c r="F273" t="s">
        <v>5719</v>
      </c>
      <c r="G273" t="s">
        <v>5720</v>
      </c>
      <c r="H273" t="s">
        <v>5721</v>
      </c>
      <c r="I273" t="s">
        <v>431</v>
      </c>
      <c r="K273" t="s">
        <v>38</v>
      </c>
      <c r="L273" t="s">
        <v>4799</v>
      </c>
      <c r="M273" t="s">
        <v>33</v>
      </c>
      <c r="N273" t="s">
        <v>432</v>
      </c>
      <c r="O273">
        <v>437</v>
      </c>
    </row>
    <row r="274" spans="1:15" x14ac:dyDescent="0.35">
      <c r="A274" t="s">
        <v>20</v>
      </c>
      <c r="B274">
        <v>17643</v>
      </c>
      <c r="C274" t="s">
        <v>426</v>
      </c>
      <c r="D274" t="s">
        <v>427</v>
      </c>
      <c r="E274" t="s">
        <v>5171</v>
      </c>
      <c r="F274" t="s">
        <v>5722</v>
      </c>
      <c r="G274" t="s">
        <v>5723</v>
      </c>
      <c r="H274" t="s">
        <v>5724</v>
      </c>
      <c r="I274" t="s">
        <v>431</v>
      </c>
      <c r="K274" t="s">
        <v>28</v>
      </c>
      <c r="L274" t="s">
        <v>4721</v>
      </c>
      <c r="M274" t="s">
        <v>33</v>
      </c>
      <c r="N274" t="s">
        <v>432</v>
      </c>
      <c r="O274">
        <v>511</v>
      </c>
    </row>
    <row r="275" spans="1:15" x14ac:dyDescent="0.35">
      <c r="A275" t="s">
        <v>20</v>
      </c>
      <c r="B275">
        <v>17643</v>
      </c>
      <c r="C275" t="s">
        <v>426</v>
      </c>
      <c r="D275" t="s">
        <v>427</v>
      </c>
      <c r="E275" t="s">
        <v>5175</v>
      </c>
      <c r="F275" t="s">
        <v>5725</v>
      </c>
      <c r="G275" t="s">
        <v>5726</v>
      </c>
      <c r="H275" t="s">
        <v>5727</v>
      </c>
      <c r="I275" t="s">
        <v>431</v>
      </c>
      <c r="K275" t="s">
        <v>28</v>
      </c>
      <c r="L275" t="s">
        <v>4726</v>
      </c>
      <c r="M275" t="s">
        <v>33</v>
      </c>
      <c r="N275" t="s">
        <v>432</v>
      </c>
      <c r="O275">
        <v>520</v>
      </c>
    </row>
    <row r="276" spans="1:15" x14ac:dyDescent="0.35">
      <c r="A276" t="s">
        <v>20</v>
      </c>
      <c r="B276">
        <v>17643</v>
      </c>
      <c r="C276" t="s">
        <v>426</v>
      </c>
      <c r="D276" t="s">
        <v>427</v>
      </c>
      <c r="E276" t="s">
        <v>5179</v>
      </c>
      <c r="F276" t="s">
        <v>5728</v>
      </c>
      <c r="G276" t="s">
        <v>5729</v>
      </c>
      <c r="H276" t="s">
        <v>5730</v>
      </c>
      <c r="I276" t="s">
        <v>431</v>
      </c>
      <c r="K276" t="s">
        <v>28</v>
      </c>
      <c r="L276" t="s">
        <v>4726</v>
      </c>
      <c r="M276" t="s">
        <v>33</v>
      </c>
      <c r="N276" t="s">
        <v>432</v>
      </c>
      <c r="O276">
        <v>527</v>
      </c>
    </row>
    <row r="277" spans="1:15" x14ac:dyDescent="0.35">
      <c r="A277" t="s">
        <v>20</v>
      </c>
      <c r="B277">
        <v>17643</v>
      </c>
      <c r="C277" t="s">
        <v>426</v>
      </c>
      <c r="D277" t="s">
        <v>427</v>
      </c>
      <c r="E277" t="s">
        <v>5183</v>
      </c>
      <c r="F277" t="s">
        <v>5731</v>
      </c>
      <c r="G277" t="s">
        <v>5732</v>
      </c>
      <c r="H277" t="s">
        <v>5733</v>
      </c>
      <c r="I277" t="s">
        <v>431</v>
      </c>
      <c r="K277" t="s">
        <v>28</v>
      </c>
      <c r="L277" t="s">
        <v>4721</v>
      </c>
      <c r="M277" t="s">
        <v>33</v>
      </c>
      <c r="N277" t="s">
        <v>432</v>
      </c>
      <c r="O277">
        <v>535</v>
      </c>
    </row>
    <row r="278" spans="1:15" x14ac:dyDescent="0.35">
      <c r="A278" t="s">
        <v>20</v>
      </c>
      <c r="B278">
        <v>17643</v>
      </c>
      <c r="C278" t="s">
        <v>426</v>
      </c>
      <c r="D278" t="s">
        <v>427</v>
      </c>
      <c r="E278" t="s">
        <v>5187</v>
      </c>
      <c r="F278" t="s">
        <v>5734</v>
      </c>
      <c r="G278" t="s">
        <v>5735</v>
      </c>
      <c r="H278" t="s">
        <v>5736</v>
      </c>
      <c r="I278" t="s">
        <v>431</v>
      </c>
      <c r="K278" t="s">
        <v>28</v>
      </c>
      <c r="L278" t="s">
        <v>4721</v>
      </c>
      <c r="M278" t="s">
        <v>33</v>
      </c>
      <c r="N278" t="s">
        <v>432</v>
      </c>
      <c r="O278">
        <v>539</v>
      </c>
    </row>
    <row r="279" spans="1:15" x14ac:dyDescent="0.35">
      <c r="A279" t="s">
        <v>20</v>
      </c>
      <c r="B279">
        <v>17643</v>
      </c>
      <c r="C279" t="s">
        <v>426</v>
      </c>
      <c r="D279" t="s">
        <v>427</v>
      </c>
      <c r="E279" t="s">
        <v>5191</v>
      </c>
      <c r="F279" t="s">
        <v>5737</v>
      </c>
      <c r="G279" t="s">
        <v>5738</v>
      </c>
      <c r="H279" t="s">
        <v>5739</v>
      </c>
      <c r="I279" t="s">
        <v>431</v>
      </c>
      <c r="K279" t="s">
        <v>28</v>
      </c>
      <c r="L279" t="s">
        <v>4721</v>
      </c>
      <c r="M279" t="s">
        <v>33</v>
      </c>
      <c r="N279" t="s">
        <v>432</v>
      </c>
      <c r="O279">
        <v>546</v>
      </c>
    </row>
    <row r="280" spans="1:15" x14ac:dyDescent="0.35">
      <c r="A280" t="s">
        <v>20</v>
      </c>
      <c r="B280">
        <v>17643</v>
      </c>
      <c r="C280" t="s">
        <v>426</v>
      </c>
      <c r="D280" t="s">
        <v>427</v>
      </c>
      <c r="E280" t="s">
        <v>5195</v>
      </c>
      <c r="F280" t="s">
        <v>5740</v>
      </c>
      <c r="G280" t="s">
        <v>5741</v>
      </c>
      <c r="H280" t="s">
        <v>5742</v>
      </c>
      <c r="I280" t="s">
        <v>431</v>
      </c>
      <c r="K280" t="s">
        <v>38</v>
      </c>
      <c r="L280" t="s">
        <v>4716</v>
      </c>
      <c r="M280" t="s">
        <v>33</v>
      </c>
      <c r="N280" t="s">
        <v>432</v>
      </c>
      <c r="O280">
        <v>683</v>
      </c>
    </row>
    <row r="281" spans="1:15" x14ac:dyDescent="0.35">
      <c r="A281" t="s">
        <v>20</v>
      </c>
      <c r="B281">
        <v>17643</v>
      </c>
      <c r="C281" t="s">
        <v>426</v>
      </c>
      <c r="D281" t="s">
        <v>427</v>
      </c>
      <c r="E281" t="s">
        <v>5199</v>
      </c>
      <c r="F281" t="s">
        <v>5743</v>
      </c>
      <c r="G281" t="s">
        <v>5744</v>
      </c>
      <c r="H281" t="s">
        <v>5745</v>
      </c>
      <c r="I281" t="s">
        <v>431</v>
      </c>
      <c r="K281" t="s">
        <v>38</v>
      </c>
      <c r="L281" t="s">
        <v>4799</v>
      </c>
      <c r="M281" t="s">
        <v>33</v>
      </c>
      <c r="N281" t="s">
        <v>432</v>
      </c>
      <c r="O281">
        <v>694</v>
      </c>
    </row>
    <row r="282" spans="1:15" x14ac:dyDescent="0.35">
      <c r="A282" t="s">
        <v>20</v>
      </c>
      <c r="B282">
        <v>17643</v>
      </c>
      <c r="C282" t="s">
        <v>426</v>
      </c>
      <c r="D282" t="s">
        <v>427</v>
      </c>
      <c r="E282" t="s">
        <v>5203</v>
      </c>
      <c r="F282" t="s">
        <v>5746</v>
      </c>
      <c r="G282" t="s">
        <v>5747</v>
      </c>
      <c r="H282" t="s">
        <v>5748</v>
      </c>
      <c r="I282" t="s">
        <v>431</v>
      </c>
      <c r="K282" t="s">
        <v>28</v>
      </c>
      <c r="L282" t="s">
        <v>4721</v>
      </c>
      <c r="M282" t="s">
        <v>33</v>
      </c>
      <c r="N282" t="s">
        <v>432</v>
      </c>
      <c r="O282">
        <v>930</v>
      </c>
    </row>
    <row r="283" spans="1:15" x14ac:dyDescent="0.35">
      <c r="A283" t="s">
        <v>20</v>
      </c>
      <c r="B283">
        <v>17643</v>
      </c>
      <c r="C283" t="s">
        <v>426</v>
      </c>
      <c r="D283" t="s">
        <v>427</v>
      </c>
      <c r="E283" t="s">
        <v>5207</v>
      </c>
      <c r="F283" t="s">
        <v>5749</v>
      </c>
      <c r="G283" t="s">
        <v>5750</v>
      </c>
      <c r="H283" t="s">
        <v>5751</v>
      </c>
      <c r="I283" t="s">
        <v>431</v>
      </c>
      <c r="K283" t="s">
        <v>28</v>
      </c>
      <c r="L283" t="s">
        <v>4721</v>
      </c>
      <c r="M283" t="s">
        <v>33</v>
      </c>
      <c r="N283" t="s">
        <v>432</v>
      </c>
      <c r="O283">
        <v>1309</v>
      </c>
    </row>
    <row r="284" spans="1:15" x14ac:dyDescent="0.35">
      <c r="A284" t="s">
        <v>20</v>
      </c>
      <c r="B284">
        <v>17643</v>
      </c>
      <c r="C284" t="s">
        <v>426</v>
      </c>
      <c r="D284" t="s">
        <v>427</v>
      </c>
      <c r="E284" t="s">
        <v>5211</v>
      </c>
      <c r="F284" t="s">
        <v>5752</v>
      </c>
      <c r="G284" t="s">
        <v>5753</v>
      </c>
      <c r="H284" t="s">
        <v>5754</v>
      </c>
      <c r="I284" t="s">
        <v>431</v>
      </c>
      <c r="K284" t="s">
        <v>28</v>
      </c>
      <c r="L284" t="s">
        <v>4721</v>
      </c>
      <c r="M284" t="s">
        <v>33</v>
      </c>
      <c r="N284" t="s">
        <v>432</v>
      </c>
      <c r="O284">
        <v>1316</v>
      </c>
    </row>
    <row r="285" spans="1:15" x14ac:dyDescent="0.35">
      <c r="A285" t="s">
        <v>20</v>
      </c>
      <c r="B285">
        <v>17643</v>
      </c>
      <c r="C285" t="s">
        <v>426</v>
      </c>
      <c r="D285" t="s">
        <v>427</v>
      </c>
      <c r="E285" t="s">
        <v>5215</v>
      </c>
      <c r="F285" t="s">
        <v>5755</v>
      </c>
      <c r="G285" t="s">
        <v>5756</v>
      </c>
      <c r="H285" t="s">
        <v>5757</v>
      </c>
      <c r="I285" t="s">
        <v>431</v>
      </c>
      <c r="K285" t="s">
        <v>46</v>
      </c>
      <c r="L285" t="s">
        <v>4716</v>
      </c>
      <c r="M285" t="s">
        <v>33</v>
      </c>
      <c r="N285" t="s">
        <v>432</v>
      </c>
      <c r="O285">
        <v>1432</v>
      </c>
    </row>
    <row r="286" spans="1:15" x14ac:dyDescent="0.35">
      <c r="A286" t="s">
        <v>20</v>
      </c>
      <c r="B286">
        <v>17643</v>
      </c>
      <c r="C286" t="s">
        <v>426</v>
      </c>
      <c r="D286" t="s">
        <v>427</v>
      </c>
      <c r="E286" t="s">
        <v>5219</v>
      </c>
      <c r="F286" t="s">
        <v>5758</v>
      </c>
      <c r="G286" t="s">
        <v>5759</v>
      </c>
      <c r="H286" t="s">
        <v>5760</v>
      </c>
      <c r="I286" t="s">
        <v>431</v>
      </c>
      <c r="K286" t="s">
        <v>46</v>
      </c>
      <c r="L286" t="s">
        <v>4799</v>
      </c>
      <c r="M286" t="s">
        <v>33</v>
      </c>
      <c r="N286" t="s">
        <v>432</v>
      </c>
      <c r="O286">
        <v>1443</v>
      </c>
    </row>
    <row r="287" spans="1:15" x14ac:dyDescent="0.35">
      <c r="A287" t="s">
        <v>20</v>
      </c>
      <c r="B287">
        <v>17643</v>
      </c>
      <c r="C287" t="s">
        <v>426</v>
      </c>
      <c r="D287" t="s">
        <v>427</v>
      </c>
      <c r="E287" t="s">
        <v>5223</v>
      </c>
      <c r="F287" t="s">
        <v>5761</v>
      </c>
      <c r="G287" t="s">
        <v>5762</v>
      </c>
      <c r="H287" t="s">
        <v>5763</v>
      </c>
      <c r="I287" t="s">
        <v>431</v>
      </c>
      <c r="K287" t="s">
        <v>46</v>
      </c>
      <c r="L287" t="s">
        <v>4721</v>
      </c>
      <c r="M287" t="s">
        <v>33</v>
      </c>
      <c r="N287" t="s">
        <v>432</v>
      </c>
      <c r="O287">
        <v>1452</v>
      </c>
    </row>
    <row r="288" spans="1:15" x14ac:dyDescent="0.35">
      <c r="A288" t="s">
        <v>20</v>
      </c>
      <c r="B288">
        <v>17643</v>
      </c>
      <c r="C288" t="s">
        <v>426</v>
      </c>
      <c r="D288" t="s">
        <v>427</v>
      </c>
      <c r="E288" t="s">
        <v>5226</v>
      </c>
      <c r="F288" t="s">
        <v>5764</v>
      </c>
      <c r="G288" t="s">
        <v>5765</v>
      </c>
      <c r="H288" t="s">
        <v>5766</v>
      </c>
      <c r="I288" t="s">
        <v>431</v>
      </c>
      <c r="K288" t="s">
        <v>46</v>
      </c>
      <c r="L288" t="s">
        <v>4721</v>
      </c>
      <c r="M288" t="s">
        <v>33</v>
      </c>
      <c r="N288" t="s">
        <v>432</v>
      </c>
      <c r="O288">
        <v>1461</v>
      </c>
    </row>
    <row r="289" spans="1:15" x14ac:dyDescent="0.35">
      <c r="A289" t="s">
        <v>20</v>
      </c>
      <c r="B289">
        <v>17643</v>
      </c>
      <c r="C289" t="s">
        <v>426</v>
      </c>
      <c r="D289" t="s">
        <v>427</v>
      </c>
      <c r="E289" t="s">
        <v>5230</v>
      </c>
      <c r="F289" t="s">
        <v>5767</v>
      </c>
      <c r="G289" t="s">
        <v>5768</v>
      </c>
      <c r="H289" t="s">
        <v>5769</v>
      </c>
      <c r="I289" t="s">
        <v>431</v>
      </c>
      <c r="K289" t="s">
        <v>46</v>
      </c>
      <c r="L289" t="s">
        <v>4721</v>
      </c>
      <c r="M289" t="s">
        <v>33</v>
      </c>
      <c r="N289" t="s">
        <v>432</v>
      </c>
      <c r="O289">
        <v>1466</v>
      </c>
    </row>
    <row r="290" spans="1:15" x14ac:dyDescent="0.35">
      <c r="A290" t="s">
        <v>20</v>
      </c>
      <c r="B290">
        <v>17643</v>
      </c>
      <c r="C290" t="s">
        <v>426</v>
      </c>
      <c r="D290" t="s">
        <v>427</v>
      </c>
      <c r="E290" t="s">
        <v>5234</v>
      </c>
      <c r="F290" t="s">
        <v>5770</v>
      </c>
      <c r="G290" t="s">
        <v>5771</v>
      </c>
      <c r="H290" t="s">
        <v>5772</v>
      </c>
      <c r="I290" t="s">
        <v>431</v>
      </c>
      <c r="K290" t="s">
        <v>28</v>
      </c>
      <c r="L290" t="s">
        <v>4721</v>
      </c>
      <c r="M290" t="s">
        <v>33</v>
      </c>
      <c r="N290" t="s">
        <v>432</v>
      </c>
      <c r="O290">
        <v>1477</v>
      </c>
    </row>
    <row r="291" spans="1:15" x14ac:dyDescent="0.35">
      <c r="A291" t="s">
        <v>20</v>
      </c>
      <c r="B291">
        <v>17643</v>
      </c>
      <c r="C291" t="s">
        <v>426</v>
      </c>
      <c r="D291" t="s">
        <v>427</v>
      </c>
      <c r="E291" t="s">
        <v>5238</v>
      </c>
      <c r="F291" t="s">
        <v>5773</v>
      </c>
      <c r="G291" t="s">
        <v>5774</v>
      </c>
      <c r="H291" t="s">
        <v>5775</v>
      </c>
      <c r="I291" t="s">
        <v>431</v>
      </c>
      <c r="K291" t="s">
        <v>61</v>
      </c>
      <c r="L291" t="s">
        <v>4721</v>
      </c>
      <c r="M291" t="s">
        <v>33</v>
      </c>
      <c r="N291" t="s">
        <v>432</v>
      </c>
      <c r="O291">
        <v>1608</v>
      </c>
    </row>
    <row r="292" spans="1:15" x14ac:dyDescent="0.35">
      <c r="A292" t="s">
        <v>20</v>
      </c>
      <c r="B292">
        <v>17643</v>
      </c>
      <c r="C292" t="s">
        <v>426</v>
      </c>
      <c r="D292" t="s">
        <v>427</v>
      </c>
      <c r="E292" t="s">
        <v>5242</v>
      </c>
      <c r="F292" t="s">
        <v>5776</v>
      </c>
      <c r="G292" t="s">
        <v>5777</v>
      </c>
      <c r="H292" t="s">
        <v>5778</v>
      </c>
      <c r="I292" t="s">
        <v>431</v>
      </c>
      <c r="K292" t="s">
        <v>61</v>
      </c>
      <c r="L292" t="s">
        <v>4726</v>
      </c>
      <c r="M292" t="s">
        <v>33</v>
      </c>
      <c r="N292" t="s">
        <v>432</v>
      </c>
      <c r="O292">
        <v>1616</v>
      </c>
    </row>
    <row r="293" spans="1:15" x14ac:dyDescent="0.35">
      <c r="A293" t="s">
        <v>20</v>
      </c>
      <c r="B293">
        <v>17643</v>
      </c>
      <c r="C293" t="s">
        <v>426</v>
      </c>
      <c r="D293" t="s">
        <v>427</v>
      </c>
      <c r="E293" t="s">
        <v>5246</v>
      </c>
      <c r="F293" t="s">
        <v>5779</v>
      </c>
      <c r="G293" t="s">
        <v>5780</v>
      </c>
      <c r="H293" t="s">
        <v>5781</v>
      </c>
      <c r="I293" t="s">
        <v>431</v>
      </c>
      <c r="K293" t="s">
        <v>61</v>
      </c>
      <c r="L293" t="s">
        <v>4726</v>
      </c>
      <c r="M293" t="s">
        <v>33</v>
      </c>
      <c r="N293" t="s">
        <v>432</v>
      </c>
      <c r="O293">
        <v>1626</v>
      </c>
    </row>
    <row r="294" spans="1:15" x14ac:dyDescent="0.35">
      <c r="A294" t="s">
        <v>20</v>
      </c>
      <c r="B294">
        <v>17643</v>
      </c>
      <c r="C294" t="s">
        <v>426</v>
      </c>
      <c r="D294" t="s">
        <v>427</v>
      </c>
      <c r="E294" t="s">
        <v>5250</v>
      </c>
      <c r="F294" t="s">
        <v>5782</v>
      </c>
      <c r="G294" t="s">
        <v>5783</v>
      </c>
      <c r="H294" t="s">
        <v>5784</v>
      </c>
      <c r="I294" t="s">
        <v>431</v>
      </c>
      <c r="K294" t="s">
        <v>61</v>
      </c>
      <c r="L294" t="s">
        <v>4726</v>
      </c>
      <c r="M294" t="s">
        <v>33</v>
      </c>
      <c r="N294" t="s">
        <v>432</v>
      </c>
      <c r="O294">
        <v>1632</v>
      </c>
    </row>
    <row r="295" spans="1:15" x14ac:dyDescent="0.35">
      <c r="A295" t="s">
        <v>20</v>
      </c>
      <c r="B295">
        <v>17643</v>
      </c>
      <c r="C295" t="s">
        <v>426</v>
      </c>
      <c r="D295" t="s">
        <v>427</v>
      </c>
      <c r="E295" t="s">
        <v>5254</v>
      </c>
      <c r="F295" t="s">
        <v>5785</v>
      </c>
      <c r="G295" t="s">
        <v>5786</v>
      </c>
      <c r="H295" t="s">
        <v>5787</v>
      </c>
      <c r="I295" t="s">
        <v>431</v>
      </c>
      <c r="K295" t="s">
        <v>61</v>
      </c>
      <c r="L295" t="s">
        <v>4721</v>
      </c>
      <c r="M295" t="s">
        <v>33</v>
      </c>
      <c r="N295" t="s">
        <v>432</v>
      </c>
      <c r="O295">
        <v>1720</v>
      </c>
    </row>
    <row r="296" spans="1:15" x14ac:dyDescent="0.35">
      <c r="A296" t="s">
        <v>20</v>
      </c>
      <c r="B296">
        <v>17643</v>
      </c>
      <c r="C296" t="s">
        <v>426</v>
      </c>
      <c r="D296" t="s">
        <v>427</v>
      </c>
      <c r="E296" t="s">
        <v>5258</v>
      </c>
      <c r="F296" t="s">
        <v>5788</v>
      </c>
      <c r="G296" t="s">
        <v>5789</v>
      </c>
      <c r="H296" t="s">
        <v>5790</v>
      </c>
      <c r="I296" t="s">
        <v>431</v>
      </c>
      <c r="K296" t="s">
        <v>61</v>
      </c>
      <c r="L296" t="s">
        <v>4721</v>
      </c>
      <c r="M296" t="s">
        <v>33</v>
      </c>
      <c r="N296" t="s">
        <v>432</v>
      </c>
      <c r="O296">
        <v>1727</v>
      </c>
    </row>
    <row r="297" spans="1:15" x14ac:dyDescent="0.35">
      <c r="A297" t="s">
        <v>20</v>
      </c>
      <c r="B297">
        <v>17643</v>
      </c>
      <c r="C297" t="s">
        <v>426</v>
      </c>
      <c r="D297" t="s">
        <v>427</v>
      </c>
      <c r="E297" t="s">
        <v>5262</v>
      </c>
      <c r="F297" t="s">
        <v>5791</v>
      </c>
      <c r="G297" t="s">
        <v>5792</v>
      </c>
      <c r="H297" t="s">
        <v>5793</v>
      </c>
      <c r="I297" t="s">
        <v>431</v>
      </c>
      <c r="K297" t="s">
        <v>38</v>
      </c>
      <c r="L297" t="s">
        <v>4716</v>
      </c>
      <c r="M297" t="s">
        <v>33</v>
      </c>
      <c r="N297" t="s">
        <v>432</v>
      </c>
      <c r="O297">
        <v>1988</v>
      </c>
    </row>
    <row r="298" spans="1:15" x14ac:dyDescent="0.35">
      <c r="A298" t="s">
        <v>20</v>
      </c>
      <c r="B298">
        <v>17643</v>
      </c>
      <c r="C298" t="s">
        <v>426</v>
      </c>
      <c r="D298" t="s">
        <v>427</v>
      </c>
      <c r="E298" t="s">
        <v>5266</v>
      </c>
      <c r="F298" t="s">
        <v>5794</v>
      </c>
      <c r="G298" t="s">
        <v>5795</v>
      </c>
      <c r="H298" t="s">
        <v>5796</v>
      </c>
      <c r="I298" t="s">
        <v>431</v>
      </c>
      <c r="K298" t="s">
        <v>28</v>
      </c>
      <c r="L298" t="s">
        <v>4721</v>
      </c>
      <c r="M298" t="s">
        <v>33</v>
      </c>
      <c r="N298" t="s">
        <v>432</v>
      </c>
      <c r="O298">
        <v>3095</v>
      </c>
    </row>
    <row r="299" spans="1:15" x14ac:dyDescent="0.35">
      <c r="A299" t="s">
        <v>20</v>
      </c>
      <c r="B299">
        <v>17643</v>
      </c>
      <c r="C299" t="s">
        <v>426</v>
      </c>
      <c r="D299" t="s">
        <v>427</v>
      </c>
      <c r="E299" t="s">
        <v>5270</v>
      </c>
      <c r="F299" t="s">
        <v>5797</v>
      </c>
      <c r="G299" t="s">
        <v>5798</v>
      </c>
      <c r="H299" t="s">
        <v>5799</v>
      </c>
      <c r="I299" t="s">
        <v>431</v>
      </c>
      <c r="K299" t="s">
        <v>28</v>
      </c>
      <c r="L299" t="s">
        <v>4721</v>
      </c>
      <c r="M299" t="s">
        <v>33</v>
      </c>
      <c r="N299" t="s">
        <v>432</v>
      </c>
      <c r="O299">
        <v>3105</v>
      </c>
    </row>
    <row r="300" spans="1:15" x14ac:dyDescent="0.35">
      <c r="A300" t="s">
        <v>20</v>
      </c>
      <c r="B300">
        <v>17643</v>
      </c>
      <c r="C300" t="s">
        <v>426</v>
      </c>
      <c r="D300" t="s">
        <v>427</v>
      </c>
      <c r="E300" t="s">
        <v>5274</v>
      </c>
      <c r="F300" t="s">
        <v>5800</v>
      </c>
      <c r="G300" t="s">
        <v>5801</v>
      </c>
      <c r="H300" t="s">
        <v>5802</v>
      </c>
      <c r="I300" t="s">
        <v>431</v>
      </c>
      <c r="K300" t="s">
        <v>28</v>
      </c>
      <c r="L300" t="s">
        <v>4721</v>
      </c>
      <c r="M300" t="s">
        <v>33</v>
      </c>
      <c r="N300" t="s">
        <v>432</v>
      </c>
      <c r="O300">
        <v>3112</v>
      </c>
    </row>
    <row r="301" spans="1:15" x14ac:dyDescent="0.35">
      <c r="A301" t="s">
        <v>20</v>
      </c>
      <c r="B301">
        <v>17643</v>
      </c>
      <c r="C301" t="s">
        <v>426</v>
      </c>
      <c r="D301" t="s">
        <v>427</v>
      </c>
      <c r="E301" t="s">
        <v>5278</v>
      </c>
      <c r="F301" t="s">
        <v>5803</v>
      </c>
      <c r="G301" t="s">
        <v>5804</v>
      </c>
      <c r="H301" t="s">
        <v>5805</v>
      </c>
      <c r="I301" t="s">
        <v>431</v>
      </c>
      <c r="K301" t="s">
        <v>46</v>
      </c>
      <c r="L301" t="s">
        <v>4716</v>
      </c>
      <c r="M301" t="s">
        <v>33</v>
      </c>
      <c r="N301" t="s">
        <v>432</v>
      </c>
      <c r="O301">
        <v>4135</v>
      </c>
    </row>
    <row r="302" spans="1:15" x14ac:dyDescent="0.35">
      <c r="A302" t="s">
        <v>20</v>
      </c>
      <c r="B302">
        <v>17643</v>
      </c>
      <c r="C302" t="s">
        <v>426</v>
      </c>
      <c r="D302" t="s">
        <v>427</v>
      </c>
      <c r="E302" t="s">
        <v>5282</v>
      </c>
      <c r="F302" t="s">
        <v>5806</v>
      </c>
      <c r="G302" t="s">
        <v>5807</v>
      </c>
      <c r="H302" t="s">
        <v>5808</v>
      </c>
      <c r="I302" t="s">
        <v>431</v>
      </c>
      <c r="K302" t="s">
        <v>28</v>
      </c>
      <c r="L302" t="s">
        <v>4721</v>
      </c>
      <c r="M302" t="s">
        <v>33</v>
      </c>
      <c r="N302" t="s">
        <v>432</v>
      </c>
      <c r="O302">
        <v>4205</v>
      </c>
    </row>
    <row r="303" spans="1:15" x14ac:dyDescent="0.35">
      <c r="A303" t="s">
        <v>20</v>
      </c>
      <c r="B303">
        <v>17643</v>
      </c>
      <c r="C303" t="s">
        <v>426</v>
      </c>
      <c r="D303" t="s">
        <v>427</v>
      </c>
      <c r="E303" t="s">
        <v>5286</v>
      </c>
      <c r="F303" t="s">
        <v>5809</v>
      </c>
      <c r="G303" t="s">
        <v>5810</v>
      </c>
      <c r="H303" t="s">
        <v>5811</v>
      </c>
      <c r="I303" t="s">
        <v>431</v>
      </c>
      <c r="K303" t="s">
        <v>28</v>
      </c>
      <c r="L303" t="s">
        <v>4721</v>
      </c>
      <c r="M303" t="s">
        <v>33</v>
      </c>
      <c r="N303" t="s">
        <v>432</v>
      </c>
      <c r="O303">
        <v>4214</v>
      </c>
    </row>
    <row r="304" spans="1:15" x14ac:dyDescent="0.35">
      <c r="A304" t="s">
        <v>20</v>
      </c>
      <c r="B304">
        <v>17643</v>
      </c>
      <c r="C304" t="s">
        <v>426</v>
      </c>
      <c r="D304" t="s">
        <v>427</v>
      </c>
      <c r="E304" t="s">
        <v>5290</v>
      </c>
      <c r="F304" t="s">
        <v>5812</v>
      </c>
      <c r="G304" t="s">
        <v>5813</v>
      </c>
      <c r="H304" t="s">
        <v>5814</v>
      </c>
      <c r="I304" t="s">
        <v>431</v>
      </c>
      <c r="K304" t="s">
        <v>61</v>
      </c>
      <c r="L304" t="s">
        <v>4726</v>
      </c>
      <c r="M304" t="s">
        <v>33</v>
      </c>
      <c r="N304" t="s">
        <v>432</v>
      </c>
      <c r="O304">
        <v>4453</v>
      </c>
    </row>
    <row r="305" spans="1:15" x14ac:dyDescent="0.35">
      <c r="A305" t="s">
        <v>20</v>
      </c>
      <c r="B305">
        <v>17643</v>
      </c>
      <c r="C305" t="s">
        <v>426</v>
      </c>
      <c r="D305" t="s">
        <v>427</v>
      </c>
      <c r="E305" t="s">
        <v>5294</v>
      </c>
      <c r="F305" t="s">
        <v>5815</v>
      </c>
      <c r="G305" t="s">
        <v>5816</v>
      </c>
      <c r="H305" t="s">
        <v>5817</v>
      </c>
      <c r="I305" t="s">
        <v>431</v>
      </c>
      <c r="K305" t="s">
        <v>61</v>
      </c>
      <c r="L305" t="s">
        <v>4721</v>
      </c>
      <c r="M305" t="s">
        <v>33</v>
      </c>
      <c r="N305" t="s">
        <v>432</v>
      </c>
      <c r="O305">
        <v>4462</v>
      </c>
    </row>
    <row r="306" spans="1:15" x14ac:dyDescent="0.35">
      <c r="A306" t="s">
        <v>20</v>
      </c>
      <c r="B306">
        <v>17643</v>
      </c>
      <c r="C306" t="s">
        <v>426</v>
      </c>
      <c r="D306" t="s">
        <v>427</v>
      </c>
      <c r="E306" t="s">
        <v>5298</v>
      </c>
      <c r="F306" t="s">
        <v>5818</v>
      </c>
      <c r="G306" t="s">
        <v>5819</v>
      </c>
      <c r="H306" t="s">
        <v>5820</v>
      </c>
      <c r="I306" t="s">
        <v>431</v>
      </c>
      <c r="K306" t="s">
        <v>61</v>
      </c>
      <c r="L306" t="s">
        <v>4721</v>
      </c>
      <c r="M306" t="s">
        <v>33</v>
      </c>
      <c r="N306" t="s">
        <v>432</v>
      </c>
      <c r="O306">
        <v>4469</v>
      </c>
    </row>
    <row r="307" spans="1:15" x14ac:dyDescent="0.35">
      <c r="A307" t="s">
        <v>20</v>
      </c>
      <c r="B307">
        <v>17643</v>
      </c>
      <c r="C307" t="s">
        <v>426</v>
      </c>
      <c r="D307" t="s">
        <v>427</v>
      </c>
      <c r="E307" t="s">
        <v>5302</v>
      </c>
      <c r="F307" t="s">
        <v>5821</v>
      </c>
      <c r="G307" t="s">
        <v>5822</v>
      </c>
      <c r="H307" t="s">
        <v>5823</v>
      </c>
      <c r="I307" t="s">
        <v>431</v>
      </c>
      <c r="K307" t="s">
        <v>46</v>
      </c>
      <c r="L307" t="s">
        <v>4721</v>
      </c>
      <c r="M307" t="s">
        <v>33</v>
      </c>
      <c r="N307" t="s">
        <v>432</v>
      </c>
      <c r="O307">
        <v>4513</v>
      </c>
    </row>
    <row r="308" spans="1:15" x14ac:dyDescent="0.35">
      <c r="A308" t="s">
        <v>20</v>
      </c>
      <c r="B308">
        <v>17643</v>
      </c>
      <c r="C308" t="s">
        <v>426</v>
      </c>
      <c r="D308" t="s">
        <v>427</v>
      </c>
      <c r="E308" t="s">
        <v>5306</v>
      </c>
      <c r="F308" t="s">
        <v>5824</v>
      </c>
      <c r="G308" t="s">
        <v>5825</v>
      </c>
      <c r="H308" t="s">
        <v>5826</v>
      </c>
      <c r="I308" t="s">
        <v>431</v>
      </c>
      <c r="K308" t="s">
        <v>46</v>
      </c>
      <c r="L308" t="s">
        <v>4726</v>
      </c>
      <c r="M308" t="s">
        <v>33</v>
      </c>
      <c r="N308" t="s">
        <v>432</v>
      </c>
      <c r="O308">
        <v>4524</v>
      </c>
    </row>
    <row r="309" spans="1:15" x14ac:dyDescent="0.35">
      <c r="A309" t="s">
        <v>20</v>
      </c>
      <c r="B309">
        <v>17643</v>
      </c>
      <c r="C309" t="s">
        <v>426</v>
      </c>
      <c r="D309" t="s">
        <v>427</v>
      </c>
      <c r="E309" t="s">
        <v>5310</v>
      </c>
      <c r="F309" t="s">
        <v>5827</v>
      </c>
      <c r="G309" t="s">
        <v>5828</v>
      </c>
      <c r="H309" t="s">
        <v>5829</v>
      </c>
      <c r="I309" t="s">
        <v>431</v>
      </c>
      <c r="K309" t="s">
        <v>46</v>
      </c>
      <c r="L309" t="s">
        <v>4726</v>
      </c>
      <c r="M309" t="s">
        <v>33</v>
      </c>
      <c r="N309" t="s">
        <v>432</v>
      </c>
      <c r="O309">
        <v>4532</v>
      </c>
    </row>
    <row r="310" spans="1:15" x14ac:dyDescent="0.35">
      <c r="A310" t="s">
        <v>20</v>
      </c>
      <c r="B310">
        <v>17643</v>
      </c>
      <c r="C310" t="s">
        <v>426</v>
      </c>
      <c r="D310" t="s">
        <v>427</v>
      </c>
      <c r="E310" t="s">
        <v>5314</v>
      </c>
      <c r="F310" t="s">
        <v>5830</v>
      </c>
      <c r="G310" t="s">
        <v>5831</v>
      </c>
      <c r="H310" t="s">
        <v>5832</v>
      </c>
      <c r="I310" t="s">
        <v>431</v>
      </c>
      <c r="K310" t="s">
        <v>46</v>
      </c>
      <c r="L310" t="s">
        <v>4716</v>
      </c>
      <c r="M310" t="s">
        <v>33</v>
      </c>
      <c r="N310" t="s">
        <v>432</v>
      </c>
      <c r="O310">
        <v>4544</v>
      </c>
    </row>
    <row r="311" spans="1:15" x14ac:dyDescent="0.35">
      <c r="A311" t="s">
        <v>20</v>
      </c>
      <c r="B311">
        <v>17643</v>
      </c>
      <c r="C311" t="s">
        <v>426</v>
      </c>
      <c r="D311" t="s">
        <v>427</v>
      </c>
      <c r="E311" t="s">
        <v>5318</v>
      </c>
      <c r="F311" t="s">
        <v>5833</v>
      </c>
      <c r="G311" t="s">
        <v>5834</v>
      </c>
      <c r="H311" t="s">
        <v>5835</v>
      </c>
      <c r="I311" t="s">
        <v>431</v>
      </c>
      <c r="K311" t="s">
        <v>46</v>
      </c>
      <c r="L311" t="s">
        <v>4799</v>
      </c>
      <c r="M311" t="s">
        <v>33</v>
      </c>
      <c r="N311" t="s">
        <v>432</v>
      </c>
      <c r="O311">
        <v>4560</v>
      </c>
    </row>
    <row r="312" spans="1:15" x14ac:dyDescent="0.35">
      <c r="A312" t="s">
        <v>20</v>
      </c>
      <c r="B312">
        <v>17643</v>
      </c>
      <c r="C312" t="s">
        <v>426</v>
      </c>
      <c r="D312" t="s">
        <v>427</v>
      </c>
      <c r="E312" t="s">
        <v>5322</v>
      </c>
      <c r="F312" t="s">
        <v>5836</v>
      </c>
      <c r="G312" t="s">
        <v>5837</v>
      </c>
      <c r="H312" t="s">
        <v>5838</v>
      </c>
      <c r="I312" t="s">
        <v>431</v>
      </c>
      <c r="K312" t="s">
        <v>28</v>
      </c>
      <c r="L312" t="s">
        <v>4726</v>
      </c>
      <c r="M312" t="s">
        <v>33</v>
      </c>
      <c r="N312" t="s">
        <v>432</v>
      </c>
      <c r="O312">
        <v>4728</v>
      </c>
    </row>
    <row r="313" spans="1:15" x14ac:dyDescent="0.35">
      <c r="A313" t="s">
        <v>20</v>
      </c>
      <c r="B313">
        <v>17643</v>
      </c>
      <c r="C313" t="s">
        <v>426</v>
      </c>
      <c r="D313" t="s">
        <v>427</v>
      </c>
      <c r="E313" t="s">
        <v>5326</v>
      </c>
      <c r="F313" t="s">
        <v>5839</v>
      </c>
      <c r="G313" t="s">
        <v>5840</v>
      </c>
      <c r="H313" t="s">
        <v>5841</v>
      </c>
      <c r="I313" t="s">
        <v>431</v>
      </c>
      <c r="K313" t="s">
        <v>46</v>
      </c>
      <c r="L313" t="s">
        <v>4716</v>
      </c>
      <c r="M313" t="s">
        <v>33</v>
      </c>
      <c r="N313" t="s">
        <v>432</v>
      </c>
      <c r="O313">
        <v>4739</v>
      </c>
    </row>
    <row r="314" spans="1:15" x14ac:dyDescent="0.35">
      <c r="A314" t="s">
        <v>20</v>
      </c>
      <c r="B314">
        <v>17643</v>
      </c>
      <c r="C314" t="s">
        <v>426</v>
      </c>
      <c r="D314" t="s">
        <v>427</v>
      </c>
      <c r="E314" t="s">
        <v>5330</v>
      </c>
      <c r="F314" t="s">
        <v>5842</v>
      </c>
      <c r="G314" t="s">
        <v>5843</v>
      </c>
      <c r="H314" t="s">
        <v>5844</v>
      </c>
      <c r="I314" t="s">
        <v>431</v>
      </c>
      <c r="K314" t="s">
        <v>38</v>
      </c>
      <c r="L314" t="s">
        <v>4716</v>
      </c>
      <c r="M314" t="s">
        <v>33</v>
      </c>
      <c r="N314" t="s">
        <v>432</v>
      </c>
      <c r="O314">
        <v>4883</v>
      </c>
    </row>
    <row r="315" spans="1:15" x14ac:dyDescent="0.35">
      <c r="A315" t="s">
        <v>20</v>
      </c>
      <c r="B315">
        <v>17643</v>
      </c>
      <c r="C315" t="s">
        <v>426</v>
      </c>
      <c r="D315" t="s">
        <v>427</v>
      </c>
      <c r="E315" t="s">
        <v>5334</v>
      </c>
      <c r="F315" t="s">
        <v>5845</v>
      </c>
      <c r="G315" t="s">
        <v>5846</v>
      </c>
      <c r="H315" t="s">
        <v>5847</v>
      </c>
      <c r="I315" t="s">
        <v>431</v>
      </c>
      <c r="K315" t="s">
        <v>61</v>
      </c>
      <c r="L315" t="s">
        <v>4716</v>
      </c>
      <c r="M315" t="s">
        <v>33</v>
      </c>
      <c r="N315" t="s">
        <v>432</v>
      </c>
      <c r="O315">
        <v>5376</v>
      </c>
    </row>
    <row r="316" spans="1:15" x14ac:dyDescent="0.35">
      <c r="A316" t="s">
        <v>20</v>
      </c>
      <c r="B316">
        <v>17643</v>
      </c>
      <c r="C316" t="s">
        <v>426</v>
      </c>
      <c r="D316" t="s">
        <v>427</v>
      </c>
      <c r="E316" t="s">
        <v>5338</v>
      </c>
      <c r="F316" t="s">
        <v>5848</v>
      </c>
      <c r="G316" t="s">
        <v>5849</v>
      </c>
      <c r="H316" t="s">
        <v>5850</v>
      </c>
      <c r="I316" t="s">
        <v>431</v>
      </c>
      <c r="K316" t="s">
        <v>61</v>
      </c>
      <c r="L316" t="s">
        <v>4721</v>
      </c>
      <c r="M316" t="s">
        <v>33</v>
      </c>
      <c r="N316" t="s">
        <v>432</v>
      </c>
      <c r="O316">
        <v>5382</v>
      </c>
    </row>
    <row r="317" spans="1:15" x14ac:dyDescent="0.35">
      <c r="A317" t="s">
        <v>20</v>
      </c>
      <c r="B317">
        <v>17643</v>
      </c>
      <c r="C317" t="s">
        <v>426</v>
      </c>
      <c r="D317" t="s">
        <v>427</v>
      </c>
      <c r="E317" t="s">
        <v>5342</v>
      </c>
      <c r="F317" t="s">
        <v>5851</v>
      </c>
      <c r="G317" t="s">
        <v>5852</v>
      </c>
      <c r="H317" t="s">
        <v>5853</v>
      </c>
      <c r="I317" t="s">
        <v>431</v>
      </c>
      <c r="K317" t="s">
        <v>61</v>
      </c>
      <c r="L317" t="s">
        <v>4716</v>
      </c>
      <c r="M317" t="s">
        <v>33</v>
      </c>
      <c r="N317" t="s">
        <v>432</v>
      </c>
      <c r="O317">
        <v>5390</v>
      </c>
    </row>
    <row r="318" spans="1:15" x14ac:dyDescent="0.35">
      <c r="A318" t="s">
        <v>20</v>
      </c>
      <c r="B318">
        <v>17643</v>
      </c>
      <c r="C318" t="s">
        <v>426</v>
      </c>
      <c r="D318" t="s">
        <v>427</v>
      </c>
      <c r="E318" t="s">
        <v>5346</v>
      </c>
      <c r="F318" t="s">
        <v>5854</v>
      </c>
      <c r="G318" t="s">
        <v>5855</v>
      </c>
      <c r="H318" t="s">
        <v>5856</v>
      </c>
      <c r="I318" t="s">
        <v>431</v>
      </c>
      <c r="K318" t="s">
        <v>61</v>
      </c>
      <c r="L318" t="s">
        <v>4716</v>
      </c>
      <c r="M318" t="s">
        <v>33</v>
      </c>
      <c r="N318" t="s">
        <v>432</v>
      </c>
      <c r="O318">
        <v>5399</v>
      </c>
    </row>
    <row r="319" spans="1:15" x14ac:dyDescent="0.35">
      <c r="A319" t="s">
        <v>20</v>
      </c>
      <c r="B319">
        <v>17643</v>
      </c>
      <c r="C319" t="s">
        <v>426</v>
      </c>
      <c r="D319" t="s">
        <v>427</v>
      </c>
      <c r="E319" t="s">
        <v>5350</v>
      </c>
      <c r="F319" t="s">
        <v>5857</v>
      </c>
      <c r="G319" t="s">
        <v>4383</v>
      </c>
      <c r="H319" t="s">
        <v>5858</v>
      </c>
      <c r="I319" t="s">
        <v>431</v>
      </c>
      <c r="K319" t="s">
        <v>61</v>
      </c>
      <c r="L319" t="s">
        <v>4716</v>
      </c>
      <c r="M319" t="s">
        <v>33</v>
      </c>
      <c r="N319" t="s">
        <v>432</v>
      </c>
      <c r="O319">
        <v>5405</v>
      </c>
    </row>
    <row r="320" spans="1:15" x14ac:dyDescent="0.35">
      <c r="A320" t="s">
        <v>20</v>
      </c>
      <c r="B320">
        <v>17643</v>
      </c>
      <c r="C320" t="s">
        <v>426</v>
      </c>
      <c r="D320" t="s">
        <v>427</v>
      </c>
      <c r="E320" t="s">
        <v>5354</v>
      </c>
      <c r="F320" t="s">
        <v>5859</v>
      </c>
      <c r="G320" t="s">
        <v>5860</v>
      </c>
      <c r="H320" t="s">
        <v>5861</v>
      </c>
      <c r="I320" t="s">
        <v>431</v>
      </c>
      <c r="K320" t="s">
        <v>61</v>
      </c>
      <c r="L320" t="s">
        <v>4716</v>
      </c>
      <c r="M320" t="s">
        <v>33</v>
      </c>
      <c r="N320" t="s">
        <v>432</v>
      </c>
      <c r="O320">
        <v>5413</v>
      </c>
    </row>
    <row r="321" spans="1:15" x14ac:dyDescent="0.35">
      <c r="A321" t="s">
        <v>20</v>
      </c>
      <c r="B321">
        <v>17643</v>
      </c>
      <c r="C321" t="s">
        <v>426</v>
      </c>
      <c r="D321" t="s">
        <v>427</v>
      </c>
      <c r="E321" t="s">
        <v>5358</v>
      </c>
      <c r="F321" t="s">
        <v>5862</v>
      </c>
      <c r="G321" t="s">
        <v>5863</v>
      </c>
      <c r="H321" t="s">
        <v>5864</v>
      </c>
      <c r="I321" t="s">
        <v>431</v>
      </c>
      <c r="K321" t="s">
        <v>61</v>
      </c>
      <c r="L321" t="s">
        <v>4726</v>
      </c>
      <c r="M321" t="s">
        <v>33</v>
      </c>
      <c r="N321" t="s">
        <v>432</v>
      </c>
      <c r="O321">
        <v>5594</v>
      </c>
    </row>
    <row r="322" spans="1:15" x14ac:dyDescent="0.35">
      <c r="A322" t="s">
        <v>20</v>
      </c>
      <c r="B322">
        <v>17643</v>
      </c>
      <c r="C322" t="s">
        <v>426</v>
      </c>
      <c r="D322" t="s">
        <v>427</v>
      </c>
      <c r="E322" t="s">
        <v>5362</v>
      </c>
      <c r="F322" t="s">
        <v>5865</v>
      </c>
      <c r="G322" t="s">
        <v>5866</v>
      </c>
      <c r="H322" t="s">
        <v>5867</v>
      </c>
      <c r="I322" t="s">
        <v>431</v>
      </c>
      <c r="K322" t="s">
        <v>61</v>
      </c>
      <c r="L322" t="s">
        <v>4721</v>
      </c>
      <c r="M322" t="s">
        <v>33</v>
      </c>
      <c r="N322" t="s">
        <v>432</v>
      </c>
      <c r="O322">
        <v>5601</v>
      </c>
    </row>
    <row r="323" spans="1:15" x14ac:dyDescent="0.35">
      <c r="A323" t="s">
        <v>20</v>
      </c>
      <c r="B323">
        <v>17643</v>
      </c>
      <c r="C323" t="s">
        <v>426</v>
      </c>
      <c r="D323" t="s">
        <v>427</v>
      </c>
      <c r="E323" t="s">
        <v>5366</v>
      </c>
      <c r="F323" t="s">
        <v>5868</v>
      </c>
      <c r="G323" t="s">
        <v>5869</v>
      </c>
      <c r="H323" t="s">
        <v>5870</v>
      </c>
      <c r="I323" t="s">
        <v>431</v>
      </c>
      <c r="K323" t="s">
        <v>61</v>
      </c>
      <c r="L323" t="s">
        <v>4721</v>
      </c>
      <c r="M323" t="s">
        <v>33</v>
      </c>
      <c r="N323" t="s">
        <v>432</v>
      </c>
      <c r="O323">
        <v>5606</v>
      </c>
    </row>
    <row r="324" spans="1:15" x14ac:dyDescent="0.35">
      <c r="A324" t="s">
        <v>20</v>
      </c>
      <c r="B324">
        <v>17643</v>
      </c>
      <c r="C324" t="s">
        <v>426</v>
      </c>
      <c r="D324" t="s">
        <v>427</v>
      </c>
      <c r="E324" t="s">
        <v>5370</v>
      </c>
      <c r="F324" t="s">
        <v>5871</v>
      </c>
      <c r="G324" t="s">
        <v>5872</v>
      </c>
      <c r="H324" t="s">
        <v>5873</v>
      </c>
      <c r="I324" t="s">
        <v>431</v>
      </c>
      <c r="K324" t="s">
        <v>61</v>
      </c>
      <c r="L324" t="s">
        <v>4721</v>
      </c>
      <c r="M324" t="s">
        <v>33</v>
      </c>
      <c r="N324" t="s">
        <v>432</v>
      </c>
      <c r="O324">
        <v>5610</v>
      </c>
    </row>
    <row r="325" spans="1:15" x14ac:dyDescent="0.35">
      <c r="A325" t="s">
        <v>20</v>
      </c>
      <c r="B325">
        <v>17643</v>
      </c>
      <c r="C325" t="s">
        <v>426</v>
      </c>
      <c r="D325" t="s">
        <v>427</v>
      </c>
      <c r="E325" t="s">
        <v>5374</v>
      </c>
      <c r="F325" t="s">
        <v>5874</v>
      </c>
      <c r="G325" t="s">
        <v>5875</v>
      </c>
      <c r="H325" t="s">
        <v>5876</v>
      </c>
      <c r="I325" t="s">
        <v>431</v>
      </c>
      <c r="K325" t="s">
        <v>61</v>
      </c>
      <c r="L325" t="s">
        <v>4721</v>
      </c>
      <c r="M325" t="s">
        <v>33</v>
      </c>
      <c r="N325" t="s">
        <v>432</v>
      </c>
      <c r="O325">
        <v>5614</v>
      </c>
    </row>
    <row r="326" spans="1:15" x14ac:dyDescent="0.35">
      <c r="A326" t="s">
        <v>20</v>
      </c>
      <c r="B326">
        <v>17643</v>
      </c>
      <c r="C326" t="s">
        <v>426</v>
      </c>
      <c r="D326" t="s">
        <v>427</v>
      </c>
      <c r="E326" t="s">
        <v>5378</v>
      </c>
      <c r="F326" t="s">
        <v>5877</v>
      </c>
      <c r="G326" t="s">
        <v>5878</v>
      </c>
      <c r="H326" t="s">
        <v>5879</v>
      </c>
      <c r="I326" t="s">
        <v>431</v>
      </c>
      <c r="K326" t="s">
        <v>61</v>
      </c>
      <c r="L326" t="s">
        <v>4721</v>
      </c>
      <c r="M326" t="s">
        <v>33</v>
      </c>
      <c r="N326" t="s">
        <v>432</v>
      </c>
      <c r="O326">
        <v>5619</v>
      </c>
    </row>
    <row r="327" spans="1:15" x14ac:dyDescent="0.35">
      <c r="A327" t="s">
        <v>20</v>
      </c>
      <c r="B327">
        <v>17643</v>
      </c>
      <c r="C327" t="s">
        <v>426</v>
      </c>
      <c r="D327" t="s">
        <v>427</v>
      </c>
      <c r="E327" t="s">
        <v>5382</v>
      </c>
      <c r="F327" t="s">
        <v>5880</v>
      </c>
      <c r="G327" t="s">
        <v>5881</v>
      </c>
      <c r="H327" t="s">
        <v>5882</v>
      </c>
      <c r="I327" t="s">
        <v>431</v>
      </c>
      <c r="K327" t="s">
        <v>61</v>
      </c>
      <c r="L327" t="s">
        <v>4721</v>
      </c>
      <c r="M327" t="s">
        <v>33</v>
      </c>
      <c r="N327" t="s">
        <v>432</v>
      </c>
      <c r="O327">
        <v>5625</v>
      </c>
    </row>
    <row r="328" spans="1:15" x14ac:dyDescent="0.35">
      <c r="A328" t="s">
        <v>20</v>
      </c>
      <c r="B328">
        <v>17643</v>
      </c>
      <c r="C328" t="s">
        <v>426</v>
      </c>
      <c r="D328" t="s">
        <v>427</v>
      </c>
      <c r="E328" t="s">
        <v>5386</v>
      </c>
      <c r="F328" t="s">
        <v>5883</v>
      </c>
      <c r="G328" t="s">
        <v>5884</v>
      </c>
      <c r="H328" t="s">
        <v>5885</v>
      </c>
      <c r="I328" t="s">
        <v>431</v>
      </c>
      <c r="K328" t="s">
        <v>61</v>
      </c>
      <c r="L328" t="s">
        <v>4716</v>
      </c>
      <c r="M328" t="s">
        <v>33</v>
      </c>
      <c r="N328" t="s">
        <v>432</v>
      </c>
      <c r="O328">
        <v>5630</v>
      </c>
    </row>
    <row r="329" spans="1:15" x14ac:dyDescent="0.35">
      <c r="A329" t="s">
        <v>20</v>
      </c>
      <c r="B329">
        <v>17643</v>
      </c>
      <c r="C329" t="s">
        <v>426</v>
      </c>
      <c r="D329" t="s">
        <v>427</v>
      </c>
      <c r="E329" t="s">
        <v>5390</v>
      </c>
      <c r="F329" t="s">
        <v>5886</v>
      </c>
      <c r="G329" t="s">
        <v>5887</v>
      </c>
      <c r="H329" t="s">
        <v>5888</v>
      </c>
      <c r="I329" t="s">
        <v>431</v>
      </c>
      <c r="K329" t="s">
        <v>38</v>
      </c>
      <c r="L329" t="s">
        <v>4716</v>
      </c>
      <c r="M329" t="s">
        <v>33</v>
      </c>
      <c r="N329" t="s">
        <v>432</v>
      </c>
      <c r="O329">
        <v>5733</v>
      </c>
    </row>
    <row r="330" spans="1:15" x14ac:dyDescent="0.35">
      <c r="A330" t="s">
        <v>20</v>
      </c>
      <c r="B330">
        <v>17643</v>
      </c>
      <c r="C330" t="s">
        <v>426</v>
      </c>
      <c r="D330" t="s">
        <v>427</v>
      </c>
      <c r="E330" t="s">
        <v>5394</v>
      </c>
      <c r="F330" t="s">
        <v>5889</v>
      </c>
      <c r="G330" t="s">
        <v>5890</v>
      </c>
      <c r="H330" t="s">
        <v>5891</v>
      </c>
      <c r="I330" t="s">
        <v>431</v>
      </c>
      <c r="K330" t="s">
        <v>38</v>
      </c>
      <c r="L330" t="s">
        <v>4716</v>
      </c>
      <c r="M330" t="s">
        <v>33</v>
      </c>
      <c r="N330" t="s">
        <v>432</v>
      </c>
      <c r="O330">
        <v>5741</v>
      </c>
    </row>
    <row r="331" spans="1:15" x14ac:dyDescent="0.35">
      <c r="A331" t="s">
        <v>20</v>
      </c>
      <c r="B331">
        <v>17643</v>
      </c>
      <c r="C331" t="s">
        <v>426</v>
      </c>
      <c r="D331" t="s">
        <v>427</v>
      </c>
      <c r="E331" t="s">
        <v>5398</v>
      </c>
      <c r="F331" t="s">
        <v>5892</v>
      </c>
      <c r="G331" t="s">
        <v>5893</v>
      </c>
      <c r="H331" t="s">
        <v>5894</v>
      </c>
      <c r="I331" t="s">
        <v>431</v>
      </c>
      <c r="K331" t="s">
        <v>38</v>
      </c>
      <c r="L331" t="s">
        <v>4726</v>
      </c>
      <c r="M331" t="s">
        <v>33</v>
      </c>
      <c r="N331" t="s">
        <v>432</v>
      </c>
      <c r="O331">
        <v>5750</v>
      </c>
    </row>
    <row r="332" spans="1:15" x14ac:dyDescent="0.35">
      <c r="A332" t="s">
        <v>20</v>
      </c>
      <c r="B332">
        <v>17643</v>
      </c>
      <c r="C332" t="s">
        <v>426</v>
      </c>
      <c r="D332" t="s">
        <v>427</v>
      </c>
      <c r="E332" t="s">
        <v>5402</v>
      </c>
      <c r="F332" t="s">
        <v>5895</v>
      </c>
      <c r="G332" t="s">
        <v>5896</v>
      </c>
      <c r="H332" t="s">
        <v>5897</v>
      </c>
      <c r="I332" t="s">
        <v>431</v>
      </c>
      <c r="K332" t="s">
        <v>38</v>
      </c>
      <c r="L332" t="s">
        <v>4721</v>
      </c>
      <c r="M332" t="s">
        <v>33</v>
      </c>
      <c r="N332" t="s">
        <v>432</v>
      </c>
      <c r="O332">
        <v>5755</v>
      </c>
    </row>
    <row r="333" spans="1:15" x14ac:dyDescent="0.35">
      <c r="A333" t="s">
        <v>20</v>
      </c>
      <c r="B333">
        <v>17643</v>
      </c>
      <c r="C333" t="s">
        <v>426</v>
      </c>
      <c r="D333" t="s">
        <v>427</v>
      </c>
      <c r="E333" t="s">
        <v>5406</v>
      </c>
      <c r="F333" t="s">
        <v>5898</v>
      </c>
      <c r="G333" t="s">
        <v>5899</v>
      </c>
      <c r="H333" t="s">
        <v>5900</v>
      </c>
      <c r="I333" t="s">
        <v>431</v>
      </c>
      <c r="K333" t="s">
        <v>28</v>
      </c>
      <c r="L333" t="s">
        <v>4726</v>
      </c>
      <c r="M333" t="s">
        <v>33</v>
      </c>
      <c r="N333" t="s">
        <v>432</v>
      </c>
      <c r="O333">
        <v>5993</v>
      </c>
    </row>
    <row r="334" spans="1:15" x14ac:dyDescent="0.35">
      <c r="A334" t="s">
        <v>20</v>
      </c>
      <c r="B334">
        <v>17643</v>
      </c>
      <c r="C334" t="s">
        <v>426</v>
      </c>
      <c r="D334" t="s">
        <v>427</v>
      </c>
      <c r="E334" t="s">
        <v>5410</v>
      </c>
      <c r="F334" t="s">
        <v>5901</v>
      </c>
      <c r="G334" t="s">
        <v>5902</v>
      </c>
      <c r="H334" t="s">
        <v>5903</v>
      </c>
      <c r="I334" t="s">
        <v>431</v>
      </c>
      <c r="K334" t="s">
        <v>28</v>
      </c>
      <c r="L334" t="s">
        <v>4721</v>
      </c>
      <c r="M334" t="s">
        <v>33</v>
      </c>
      <c r="N334" t="s">
        <v>432</v>
      </c>
      <c r="O334">
        <v>6001</v>
      </c>
    </row>
    <row r="335" spans="1:15" x14ac:dyDescent="0.35">
      <c r="A335" t="s">
        <v>20</v>
      </c>
      <c r="B335">
        <v>17643</v>
      </c>
      <c r="C335" t="s">
        <v>426</v>
      </c>
      <c r="D335" t="s">
        <v>427</v>
      </c>
      <c r="E335" t="s">
        <v>5414</v>
      </c>
      <c r="F335" t="s">
        <v>5904</v>
      </c>
      <c r="G335" t="s">
        <v>5905</v>
      </c>
      <c r="H335" t="s">
        <v>5906</v>
      </c>
      <c r="I335" t="s">
        <v>431</v>
      </c>
      <c r="K335" t="s">
        <v>28</v>
      </c>
      <c r="L335" t="s">
        <v>4721</v>
      </c>
      <c r="M335" t="s">
        <v>33</v>
      </c>
      <c r="N335" t="s">
        <v>432</v>
      </c>
      <c r="O335">
        <v>6016</v>
      </c>
    </row>
    <row r="336" spans="1:15" x14ac:dyDescent="0.35">
      <c r="A336" t="s">
        <v>20</v>
      </c>
      <c r="B336">
        <v>17643</v>
      </c>
      <c r="C336" t="s">
        <v>426</v>
      </c>
      <c r="D336" t="s">
        <v>427</v>
      </c>
      <c r="E336" t="s">
        <v>5418</v>
      </c>
      <c r="F336" t="s">
        <v>5907</v>
      </c>
      <c r="G336" t="s">
        <v>5908</v>
      </c>
      <c r="H336" t="s">
        <v>5909</v>
      </c>
      <c r="I336" t="s">
        <v>431</v>
      </c>
      <c r="K336" t="s">
        <v>28</v>
      </c>
      <c r="L336" t="s">
        <v>4716</v>
      </c>
      <c r="M336" t="s">
        <v>33</v>
      </c>
      <c r="N336" t="s">
        <v>432</v>
      </c>
      <c r="O336">
        <v>6024</v>
      </c>
    </row>
    <row r="337" spans="1:15" x14ac:dyDescent="0.35">
      <c r="A337" t="s">
        <v>20</v>
      </c>
      <c r="B337">
        <v>17643</v>
      </c>
      <c r="C337" t="s">
        <v>426</v>
      </c>
      <c r="D337" t="s">
        <v>427</v>
      </c>
      <c r="E337" t="s">
        <v>5422</v>
      </c>
      <c r="F337" t="s">
        <v>5910</v>
      </c>
      <c r="G337" t="s">
        <v>5911</v>
      </c>
      <c r="H337" t="s">
        <v>5912</v>
      </c>
      <c r="I337" t="s">
        <v>431</v>
      </c>
      <c r="K337" t="s">
        <v>28</v>
      </c>
      <c r="L337" t="s">
        <v>4721</v>
      </c>
      <c r="M337" t="s">
        <v>33</v>
      </c>
      <c r="N337" t="s">
        <v>432</v>
      </c>
      <c r="O337">
        <v>6035</v>
      </c>
    </row>
    <row r="338" spans="1:15" x14ac:dyDescent="0.35">
      <c r="A338" t="s">
        <v>20</v>
      </c>
      <c r="B338">
        <v>17643</v>
      </c>
      <c r="C338" t="s">
        <v>426</v>
      </c>
      <c r="D338" t="s">
        <v>427</v>
      </c>
      <c r="E338" t="s">
        <v>5426</v>
      </c>
      <c r="F338" t="s">
        <v>5913</v>
      </c>
      <c r="G338" t="s">
        <v>5914</v>
      </c>
      <c r="H338" t="s">
        <v>5915</v>
      </c>
      <c r="I338" t="s">
        <v>431</v>
      </c>
      <c r="K338" t="s">
        <v>28</v>
      </c>
      <c r="L338" t="s">
        <v>4721</v>
      </c>
      <c r="M338" t="s">
        <v>33</v>
      </c>
      <c r="N338" t="s">
        <v>432</v>
      </c>
      <c r="O338">
        <v>6039</v>
      </c>
    </row>
    <row r="339" spans="1:15" x14ac:dyDescent="0.35">
      <c r="A339" t="s">
        <v>20</v>
      </c>
      <c r="B339">
        <v>17643</v>
      </c>
      <c r="C339" t="s">
        <v>426</v>
      </c>
      <c r="D339" t="s">
        <v>427</v>
      </c>
      <c r="E339" t="s">
        <v>5430</v>
      </c>
      <c r="F339" t="s">
        <v>5916</v>
      </c>
      <c r="G339" t="s">
        <v>5917</v>
      </c>
      <c r="H339" t="s">
        <v>5918</v>
      </c>
      <c r="I339" t="s">
        <v>431</v>
      </c>
      <c r="K339" t="s">
        <v>28</v>
      </c>
      <c r="L339" t="s">
        <v>4716</v>
      </c>
      <c r="M339" t="s">
        <v>33</v>
      </c>
      <c r="N339" t="s">
        <v>432</v>
      </c>
      <c r="O339">
        <v>6047</v>
      </c>
    </row>
    <row r="340" spans="1:15" x14ac:dyDescent="0.35">
      <c r="A340" t="s">
        <v>20</v>
      </c>
      <c r="B340">
        <v>17643</v>
      </c>
      <c r="C340" t="s">
        <v>426</v>
      </c>
      <c r="D340" t="s">
        <v>427</v>
      </c>
      <c r="E340" t="s">
        <v>5434</v>
      </c>
      <c r="F340" t="s">
        <v>5919</v>
      </c>
      <c r="G340" t="s">
        <v>5920</v>
      </c>
      <c r="H340" t="s">
        <v>5921</v>
      </c>
      <c r="I340" t="s">
        <v>431</v>
      </c>
      <c r="K340" t="s">
        <v>38</v>
      </c>
      <c r="L340" t="s">
        <v>4721</v>
      </c>
      <c r="M340" t="s">
        <v>33</v>
      </c>
      <c r="N340" t="s">
        <v>432</v>
      </c>
      <c r="O340">
        <v>6106</v>
      </c>
    </row>
    <row r="341" spans="1:15" x14ac:dyDescent="0.35">
      <c r="A341" t="s">
        <v>20</v>
      </c>
      <c r="B341">
        <v>17643</v>
      </c>
      <c r="C341" t="s">
        <v>426</v>
      </c>
      <c r="D341" t="s">
        <v>427</v>
      </c>
      <c r="E341" t="s">
        <v>5438</v>
      </c>
      <c r="F341" t="s">
        <v>5922</v>
      </c>
      <c r="G341" t="s">
        <v>5923</v>
      </c>
      <c r="H341" t="s">
        <v>5924</v>
      </c>
      <c r="I341" t="s">
        <v>431</v>
      </c>
      <c r="K341" t="s">
        <v>46</v>
      </c>
      <c r="L341" t="s">
        <v>4726</v>
      </c>
      <c r="M341" t="s">
        <v>33</v>
      </c>
      <c r="N341" t="s">
        <v>432</v>
      </c>
      <c r="O341">
        <v>6116</v>
      </c>
    </row>
    <row r="342" spans="1:15" x14ac:dyDescent="0.35">
      <c r="A342" t="s">
        <v>20</v>
      </c>
      <c r="B342">
        <v>17643</v>
      </c>
      <c r="C342" t="s">
        <v>426</v>
      </c>
      <c r="D342" t="s">
        <v>427</v>
      </c>
      <c r="E342" t="s">
        <v>5442</v>
      </c>
      <c r="F342" t="s">
        <v>5925</v>
      </c>
      <c r="G342" t="s">
        <v>5926</v>
      </c>
      <c r="H342" t="s">
        <v>5927</v>
      </c>
      <c r="I342" t="s">
        <v>431</v>
      </c>
      <c r="K342" t="s">
        <v>46</v>
      </c>
      <c r="L342" t="s">
        <v>4721</v>
      </c>
      <c r="M342" t="s">
        <v>33</v>
      </c>
      <c r="N342" t="s">
        <v>432</v>
      </c>
      <c r="O342">
        <v>6123</v>
      </c>
    </row>
    <row r="343" spans="1:15" x14ac:dyDescent="0.35">
      <c r="A343" t="s">
        <v>20</v>
      </c>
      <c r="B343">
        <v>17643</v>
      </c>
      <c r="C343" t="s">
        <v>426</v>
      </c>
      <c r="D343" t="s">
        <v>427</v>
      </c>
      <c r="E343" t="s">
        <v>5446</v>
      </c>
      <c r="F343" t="s">
        <v>5928</v>
      </c>
      <c r="G343" t="s">
        <v>5929</v>
      </c>
      <c r="H343" t="s">
        <v>5930</v>
      </c>
      <c r="I343" t="s">
        <v>431</v>
      </c>
      <c r="K343" t="s">
        <v>46</v>
      </c>
      <c r="L343" t="s">
        <v>4721</v>
      </c>
      <c r="M343" t="s">
        <v>33</v>
      </c>
      <c r="N343" t="s">
        <v>432</v>
      </c>
      <c r="O343">
        <v>6130</v>
      </c>
    </row>
    <row r="344" spans="1:15" x14ac:dyDescent="0.35">
      <c r="A344" t="s">
        <v>20</v>
      </c>
      <c r="B344">
        <v>17643</v>
      </c>
      <c r="C344" t="s">
        <v>426</v>
      </c>
      <c r="D344" t="s">
        <v>427</v>
      </c>
      <c r="E344" t="s">
        <v>5450</v>
      </c>
      <c r="F344" t="s">
        <v>5931</v>
      </c>
      <c r="G344" t="s">
        <v>5932</v>
      </c>
      <c r="H344" t="s">
        <v>5933</v>
      </c>
      <c r="I344" t="s">
        <v>431</v>
      </c>
      <c r="K344" t="s">
        <v>46</v>
      </c>
      <c r="L344" t="s">
        <v>4721</v>
      </c>
      <c r="M344" t="s">
        <v>33</v>
      </c>
      <c r="N344" t="s">
        <v>432</v>
      </c>
      <c r="O344">
        <v>6304</v>
      </c>
    </row>
    <row r="345" spans="1:15" x14ac:dyDescent="0.35">
      <c r="A345" t="s">
        <v>20</v>
      </c>
      <c r="B345">
        <v>17646</v>
      </c>
      <c r="C345" t="s">
        <v>666</v>
      </c>
      <c r="D345" t="s">
        <v>667</v>
      </c>
      <c r="E345" t="s">
        <v>5147</v>
      </c>
      <c r="F345" t="s">
        <v>5934</v>
      </c>
      <c r="G345" t="s">
        <v>5935</v>
      </c>
      <c r="H345" t="s">
        <v>5936</v>
      </c>
      <c r="I345" t="s">
        <v>671</v>
      </c>
      <c r="K345" t="s">
        <v>46</v>
      </c>
      <c r="L345" t="s">
        <v>4716</v>
      </c>
      <c r="M345" t="s">
        <v>33</v>
      </c>
      <c r="O345">
        <v>706</v>
      </c>
    </row>
    <row r="346" spans="1:15" x14ac:dyDescent="0.35">
      <c r="A346" t="s">
        <v>20</v>
      </c>
      <c r="B346">
        <v>17646</v>
      </c>
      <c r="C346" t="s">
        <v>666</v>
      </c>
      <c r="D346" t="s">
        <v>667</v>
      </c>
      <c r="E346" t="s">
        <v>5151</v>
      </c>
      <c r="F346" t="s">
        <v>5937</v>
      </c>
      <c r="G346" t="s">
        <v>5938</v>
      </c>
      <c r="H346" t="s">
        <v>5939</v>
      </c>
      <c r="I346" t="s">
        <v>671</v>
      </c>
      <c r="K346" t="s">
        <v>46</v>
      </c>
      <c r="L346" t="s">
        <v>4799</v>
      </c>
      <c r="M346" t="s">
        <v>33</v>
      </c>
      <c r="O346">
        <v>718</v>
      </c>
    </row>
    <row r="347" spans="1:15" x14ac:dyDescent="0.35">
      <c r="A347" t="s">
        <v>20</v>
      </c>
      <c r="B347">
        <v>17646</v>
      </c>
      <c r="C347" t="s">
        <v>666</v>
      </c>
      <c r="D347" t="s">
        <v>667</v>
      </c>
      <c r="E347" t="s">
        <v>5155</v>
      </c>
      <c r="F347" t="s">
        <v>5940</v>
      </c>
      <c r="G347" t="s">
        <v>5941</v>
      </c>
      <c r="H347" t="s">
        <v>5942</v>
      </c>
      <c r="I347" t="s">
        <v>671</v>
      </c>
      <c r="K347" t="s">
        <v>28</v>
      </c>
      <c r="L347" t="s">
        <v>4721</v>
      </c>
      <c r="M347" t="s">
        <v>33</v>
      </c>
      <c r="O347">
        <v>842</v>
      </c>
    </row>
    <row r="348" spans="1:15" x14ac:dyDescent="0.35">
      <c r="A348" t="s">
        <v>20</v>
      </c>
      <c r="B348">
        <v>17646</v>
      </c>
      <c r="C348" t="s">
        <v>666</v>
      </c>
      <c r="D348" t="s">
        <v>667</v>
      </c>
      <c r="E348" t="s">
        <v>5159</v>
      </c>
      <c r="F348" t="s">
        <v>5943</v>
      </c>
      <c r="G348" t="s">
        <v>5944</v>
      </c>
      <c r="H348" t="s">
        <v>5945</v>
      </c>
      <c r="I348" t="s">
        <v>671</v>
      </c>
      <c r="K348" t="s">
        <v>46</v>
      </c>
      <c r="L348" t="s">
        <v>4721</v>
      </c>
      <c r="M348" t="s">
        <v>33</v>
      </c>
      <c r="O348">
        <v>1123</v>
      </c>
    </row>
    <row r="349" spans="1:15" x14ac:dyDescent="0.35">
      <c r="A349" t="s">
        <v>20</v>
      </c>
      <c r="B349">
        <v>17646</v>
      </c>
      <c r="C349" t="s">
        <v>666</v>
      </c>
      <c r="D349" t="s">
        <v>667</v>
      </c>
      <c r="E349" t="s">
        <v>5163</v>
      </c>
      <c r="F349" t="s">
        <v>5946</v>
      </c>
      <c r="G349" t="s">
        <v>5947</v>
      </c>
      <c r="H349" t="s">
        <v>5948</v>
      </c>
      <c r="I349" t="s">
        <v>671</v>
      </c>
      <c r="K349" t="s">
        <v>46</v>
      </c>
      <c r="L349" t="s">
        <v>4799</v>
      </c>
      <c r="M349" t="s">
        <v>33</v>
      </c>
      <c r="O349">
        <v>1132</v>
      </c>
    </row>
    <row r="350" spans="1:15" x14ac:dyDescent="0.35">
      <c r="A350" t="s">
        <v>20</v>
      </c>
      <c r="B350">
        <v>17646</v>
      </c>
      <c r="C350" t="s">
        <v>666</v>
      </c>
      <c r="D350" t="s">
        <v>667</v>
      </c>
      <c r="E350" t="s">
        <v>5167</v>
      </c>
      <c r="F350" t="s">
        <v>5949</v>
      </c>
      <c r="G350" t="s">
        <v>5950</v>
      </c>
      <c r="H350" t="s">
        <v>5951</v>
      </c>
      <c r="I350" t="s">
        <v>671</v>
      </c>
      <c r="K350" t="s">
        <v>28</v>
      </c>
      <c r="L350" t="s">
        <v>4726</v>
      </c>
      <c r="M350" t="s">
        <v>33</v>
      </c>
      <c r="O350">
        <v>1149</v>
      </c>
    </row>
    <row r="351" spans="1:15" x14ac:dyDescent="0.35">
      <c r="A351" t="s">
        <v>20</v>
      </c>
      <c r="B351">
        <v>17646</v>
      </c>
      <c r="C351" t="s">
        <v>666</v>
      </c>
      <c r="D351" t="s">
        <v>667</v>
      </c>
      <c r="E351" t="s">
        <v>5171</v>
      </c>
      <c r="F351" t="s">
        <v>5952</v>
      </c>
      <c r="G351" t="s">
        <v>5953</v>
      </c>
      <c r="H351" t="s">
        <v>5954</v>
      </c>
      <c r="I351" t="s">
        <v>671</v>
      </c>
      <c r="K351" t="s">
        <v>28</v>
      </c>
      <c r="L351" t="s">
        <v>4721</v>
      </c>
      <c r="M351" t="s">
        <v>33</v>
      </c>
      <c r="O351">
        <v>1157</v>
      </c>
    </row>
    <row r="352" spans="1:15" x14ac:dyDescent="0.35">
      <c r="A352" t="s">
        <v>20</v>
      </c>
      <c r="B352">
        <v>17646</v>
      </c>
      <c r="C352" t="s">
        <v>666</v>
      </c>
      <c r="D352" t="s">
        <v>667</v>
      </c>
      <c r="E352" t="s">
        <v>5175</v>
      </c>
      <c r="F352" t="s">
        <v>5955</v>
      </c>
      <c r="G352" t="s">
        <v>5956</v>
      </c>
      <c r="H352" t="s">
        <v>5957</v>
      </c>
      <c r="I352" t="s">
        <v>671</v>
      </c>
      <c r="K352" t="s">
        <v>46</v>
      </c>
      <c r="L352" t="s">
        <v>4799</v>
      </c>
      <c r="M352" t="s">
        <v>33</v>
      </c>
      <c r="O352">
        <v>1471</v>
      </c>
    </row>
    <row r="353" spans="1:15" x14ac:dyDescent="0.35">
      <c r="A353" t="s">
        <v>20</v>
      </c>
      <c r="B353">
        <v>17646</v>
      </c>
      <c r="C353" t="s">
        <v>666</v>
      </c>
      <c r="D353" t="s">
        <v>667</v>
      </c>
      <c r="E353" t="s">
        <v>5179</v>
      </c>
      <c r="F353" t="s">
        <v>5958</v>
      </c>
      <c r="G353" t="s">
        <v>5959</v>
      </c>
      <c r="H353" t="s">
        <v>5960</v>
      </c>
      <c r="I353" t="s">
        <v>671</v>
      </c>
      <c r="K353" t="s">
        <v>46</v>
      </c>
      <c r="L353" t="s">
        <v>4721</v>
      </c>
      <c r="M353" t="s">
        <v>33</v>
      </c>
      <c r="O353">
        <v>1538</v>
      </c>
    </row>
    <row r="354" spans="1:15" x14ac:dyDescent="0.35">
      <c r="A354" t="s">
        <v>20</v>
      </c>
      <c r="B354">
        <v>17646</v>
      </c>
      <c r="C354" t="s">
        <v>666</v>
      </c>
      <c r="D354" t="s">
        <v>667</v>
      </c>
      <c r="E354" t="s">
        <v>5183</v>
      </c>
      <c r="F354" t="s">
        <v>5961</v>
      </c>
      <c r="G354" t="s">
        <v>5962</v>
      </c>
      <c r="H354" t="s">
        <v>5963</v>
      </c>
      <c r="I354" t="s">
        <v>671</v>
      </c>
      <c r="K354" t="s">
        <v>46</v>
      </c>
      <c r="L354" t="s">
        <v>4721</v>
      </c>
      <c r="M354" t="s">
        <v>33</v>
      </c>
      <c r="O354">
        <v>1552</v>
      </c>
    </row>
    <row r="355" spans="1:15" x14ac:dyDescent="0.35">
      <c r="A355" t="s">
        <v>20</v>
      </c>
      <c r="B355">
        <v>17646</v>
      </c>
      <c r="C355" t="s">
        <v>666</v>
      </c>
      <c r="D355" t="s">
        <v>667</v>
      </c>
      <c r="E355" t="s">
        <v>5187</v>
      </c>
      <c r="F355" t="s">
        <v>5964</v>
      </c>
      <c r="G355" t="s">
        <v>5965</v>
      </c>
      <c r="H355" t="s">
        <v>5966</v>
      </c>
      <c r="I355" t="s">
        <v>671</v>
      </c>
      <c r="K355" t="s">
        <v>28</v>
      </c>
      <c r="L355" t="s">
        <v>4721</v>
      </c>
      <c r="M355" t="s">
        <v>33</v>
      </c>
      <c r="O355">
        <v>1716</v>
      </c>
    </row>
    <row r="356" spans="1:15" x14ac:dyDescent="0.35">
      <c r="A356" t="s">
        <v>20</v>
      </c>
      <c r="B356">
        <v>17646</v>
      </c>
      <c r="C356" t="s">
        <v>666</v>
      </c>
      <c r="D356" t="s">
        <v>667</v>
      </c>
      <c r="E356" t="s">
        <v>5191</v>
      </c>
      <c r="F356" t="s">
        <v>5967</v>
      </c>
      <c r="G356" t="s">
        <v>5968</v>
      </c>
      <c r="H356" t="s">
        <v>5969</v>
      </c>
      <c r="I356" t="s">
        <v>671</v>
      </c>
      <c r="K356" t="s">
        <v>61</v>
      </c>
      <c r="L356" t="s">
        <v>4721</v>
      </c>
      <c r="M356" t="s">
        <v>33</v>
      </c>
      <c r="O356">
        <v>1731</v>
      </c>
    </row>
    <row r="357" spans="1:15" x14ac:dyDescent="0.35">
      <c r="A357" t="s">
        <v>20</v>
      </c>
      <c r="B357">
        <v>17646</v>
      </c>
      <c r="C357" t="s">
        <v>666</v>
      </c>
      <c r="D357" t="s">
        <v>667</v>
      </c>
      <c r="E357" t="s">
        <v>5195</v>
      </c>
      <c r="F357" t="s">
        <v>5970</v>
      </c>
      <c r="G357" t="s">
        <v>5971</v>
      </c>
      <c r="H357" t="s">
        <v>5972</v>
      </c>
      <c r="I357" t="s">
        <v>671</v>
      </c>
      <c r="K357" t="s">
        <v>61</v>
      </c>
      <c r="L357" t="s">
        <v>4726</v>
      </c>
      <c r="M357" t="s">
        <v>33</v>
      </c>
      <c r="O357">
        <v>1740</v>
      </c>
    </row>
    <row r="358" spans="1:15" x14ac:dyDescent="0.35">
      <c r="A358" t="s">
        <v>20</v>
      </c>
      <c r="B358">
        <v>17646</v>
      </c>
      <c r="C358" t="s">
        <v>666</v>
      </c>
      <c r="D358" t="s">
        <v>667</v>
      </c>
      <c r="E358" t="s">
        <v>5199</v>
      </c>
      <c r="F358" t="s">
        <v>5973</v>
      </c>
      <c r="G358" t="s">
        <v>5974</v>
      </c>
      <c r="H358" t="s">
        <v>5975</v>
      </c>
      <c r="I358" t="s">
        <v>671</v>
      </c>
      <c r="K358" t="s">
        <v>61</v>
      </c>
      <c r="L358" t="s">
        <v>4716</v>
      </c>
      <c r="M358" t="s">
        <v>33</v>
      </c>
      <c r="O358">
        <v>1752</v>
      </c>
    </row>
    <row r="359" spans="1:15" x14ac:dyDescent="0.35">
      <c r="A359" t="s">
        <v>20</v>
      </c>
      <c r="B359">
        <v>17646</v>
      </c>
      <c r="C359" t="s">
        <v>666</v>
      </c>
      <c r="D359" t="s">
        <v>667</v>
      </c>
      <c r="E359" t="s">
        <v>5203</v>
      </c>
      <c r="F359" t="s">
        <v>5976</v>
      </c>
      <c r="G359" t="s">
        <v>5977</v>
      </c>
      <c r="H359" t="s">
        <v>5978</v>
      </c>
      <c r="I359" t="s">
        <v>671</v>
      </c>
      <c r="K359" t="s">
        <v>61</v>
      </c>
      <c r="L359" t="s">
        <v>4716</v>
      </c>
      <c r="M359" t="s">
        <v>33</v>
      </c>
      <c r="O359">
        <v>1759</v>
      </c>
    </row>
    <row r="360" spans="1:15" x14ac:dyDescent="0.35">
      <c r="A360" t="s">
        <v>20</v>
      </c>
      <c r="B360">
        <v>17646</v>
      </c>
      <c r="C360" t="s">
        <v>666</v>
      </c>
      <c r="D360" t="s">
        <v>667</v>
      </c>
      <c r="E360" t="s">
        <v>5207</v>
      </c>
      <c r="F360" t="s">
        <v>5979</v>
      </c>
      <c r="G360" t="s">
        <v>5980</v>
      </c>
      <c r="H360" t="s">
        <v>5981</v>
      </c>
      <c r="I360" t="s">
        <v>671</v>
      </c>
      <c r="K360" t="s">
        <v>38</v>
      </c>
      <c r="L360" t="s">
        <v>4799</v>
      </c>
      <c r="M360" t="s">
        <v>33</v>
      </c>
      <c r="O360">
        <v>2058</v>
      </c>
    </row>
    <row r="361" spans="1:15" x14ac:dyDescent="0.35">
      <c r="A361" t="s">
        <v>20</v>
      </c>
      <c r="B361">
        <v>17646</v>
      </c>
      <c r="C361" t="s">
        <v>666</v>
      </c>
      <c r="D361" t="s">
        <v>667</v>
      </c>
      <c r="E361" t="s">
        <v>5211</v>
      </c>
      <c r="F361" t="s">
        <v>5982</v>
      </c>
      <c r="G361" t="s">
        <v>5983</v>
      </c>
      <c r="H361" t="s">
        <v>5984</v>
      </c>
      <c r="I361" t="s">
        <v>671</v>
      </c>
      <c r="K361" t="s">
        <v>28</v>
      </c>
      <c r="L361" t="s">
        <v>4721</v>
      </c>
      <c r="M361" t="s">
        <v>33</v>
      </c>
      <c r="O361">
        <v>2317</v>
      </c>
    </row>
    <row r="362" spans="1:15" x14ac:dyDescent="0.35">
      <c r="A362" t="s">
        <v>20</v>
      </c>
      <c r="B362">
        <v>17646</v>
      </c>
      <c r="C362" t="s">
        <v>666</v>
      </c>
      <c r="D362" t="s">
        <v>667</v>
      </c>
      <c r="E362" t="s">
        <v>5215</v>
      </c>
      <c r="F362" t="s">
        <v>5985</v>
      </c>
      <c r="G362" t="s">
        <v>5986</v>
      </c>
      <c r="H362" t="s">
        <v>5987</v>
      </c>
      <c r="I362" t="s">
        <v>671</v>
      </c>
      <c r="K362" t="s">
        <v>28</v>
      </c>
      <c r="L362" t="s">
        <v>4721</v>
      </c>
      <c r="M362" t="s">
        <v>33</v>
      </c>
      <c r="O362">
        <v>2451</v>
      </c>
    </row>
    <row r="363" spans="1:15" x14ac:dyDescent="0.35">
      <c r="A363" t="s">
        <v>20</v>
      </c>
      <c r="B363">
        <v>17646</v>
      </c>
      <c r="C363" t="s">
        <v>666</v>
      </c>
      <c r="D363" t="s">
        <v>667</v>
      </c>
      <c r="E363" t="s">
        <v>5219</v>
      </c>
      <c r="F363" t="s">
        <v>5988</v>
      </c>
      <c r="G363" t="s">
        <v>5989</v>
      </c>
      <c r="H363" t="s">
        <v>5990</v>
      </c>
      <c r="I363" t="s">
        <v>671</v>
      </c>
      <c r="K363" t="s">
        <v>28</v>
      </c>
      <c r="L363" t="s">
        <v>4721</v>
      </c>
      <c r="M363" t="s">
        <v>33</v>
      </c>
      <c r="O363">
        <v>2459</v>
      </c>
    </row>
    <row r="364" spans="1:15" x14ac:dyDescent="0.35">
      <c r="A364" t="s">
        <v>20</v>
      </c>
      <c r="B364">
        <v>17646</v>
      </c>
      <c r="C364" t="s">
        <v>666</v>
      </c>
      <c r="D364" t="s">
        <v>667</v>
      </c>
      <c r="E364" t="s">
        <v>5223</v>
      </c>
      <c r="F364" t="s">
        <v>5991</v>
      </c>
      <c r="G364" t="s">
        <v>5992</v>
      </c>
      <c r="H364" t="s">
        <v>5993</v>
      </c>
      <c r="I364" t="s">
        <v>671</v>
      </c>
      <c r="K364" t="s">
        <v>61</v>
      </c>
      <c r="L364" t="s">
        <v>4721</v>
      </c>
      <c r="M364" t="s">
        <v>33</v>
      </c>
      <c r="O364">
        <v>2472</v>
      </c>
    </row>
    <row r="365" spans="1:15" x14ac:dyDescent="0.35">
      <c r="A365" t="s">
        <v>20</v>
      </c>
      <c r="B365">
        <v>17646</v>
      </c>
      <c r="C365" t="s">
        <v>666</v>
      </c>
      <c r="D365" t="s">
        <v>667</v>
      </c>
      <c r="E365" t="s">
        <v>5226</v>
      </c>
      <c r="F365" t="s">
        <v>5994</v>
      </c>
      <c r="G365" t="s">
        <v>5995</v>
      </c>
      <c r="H365" t="s">
        <v>5996</v>
      </c>
      <c r="I365" t="s">
        <v>671</v>
      </c>
      <c r="K365" t="s">
        <v>61</v>
      </c>
      <c r="L365" t="s">
        <v>4721</v>
      </c>
      <c r="M365" t="s">
        <v>33</v>
      </c>
      <c r="O365">
        <v>2479</v>
      </c>
    </row>
    <row r="366" spans="1:15" x14ac:dyDescent="0.35">
      <c r="A366" t="s">
        <v>20</v>
      </c>
      <c r="B366">
        <v>17646</v>
      </c>
      <c r="C366" t="s">
        <v>666</v>
      </c>
      <c r="D366" t="s">
        <v>667</v>
      </c>
      <c r="E366" t="s">
        <v>5230</v>
      </c>
      <c r="F366" t="s">
        <v>5997</v>
      </c>
      <c r="G366" t="s">
        <v>5998</v>
      </c>
      <c r="H366" t="s">
        <v>5999</v>
      </c>
      <c r="I366" t="s">
        <v>671</v>
      </c>
      <c r="K366" t="s">
        <v>61</v>
      </c>
      <c r="L366" t="s">
        <v>4721</v>
      </c>
      <c r="M366" t="s">
        <v>33</v>
      </c>
      <c r="O366">
        <v>2490</v>
      </c>
    </row>
    <row r="367" spans="1:15" x14ac:dyDescent="0.35">
      <c r="A367" t="s">
        <v>20</v>
      </c>
      <c r="B367">
        <v>17646</v>
      </c>
      <c r="C367" t="s">
        <v>666</v>
      </c>
      <c r="D367" t="s">
        <v>667</v>
      </c>
      <c r="E367" t="s">
        <v>5234</v>
      </c>
      <c r="F367" t="s">
        <v>6000</v>
      </c>
      <c r="G367" t="s">
        <v>6001</v>
      </c>
      <c r="H367" t="s">
        <v>6002</v>
      </c>
      <c r="I367" t="s">
        <v>671</v>
      </c>
      <c r="K367" t="s">
        <v>28</v>
      </c>
      <c r="L367" t="s">
        <v>4726</v>
      </c>
      <c r="M367" t="s">
        <v>33</v>
      </c>
      <c r="O367">
        <v>2880</v>
      </c>
    </row>
    <row r="368" spans="1:15" x14ac:dyDescent="0.35">
      <c r="A368" t="s">
        <v>20</v>
      </c>
      <c r="B368">
        <v>17646</v>
      </c>
      <c r="C368" t="s">
        <v>666</v>
      </c>
      <c r="D368" t="s">
        <v>667</v>
      </c>
      <c r="E368" t="s">
        <v>5238</v>
      </c>
      <c r="F368" t="s">
        <v>6003</v>
      </c>
      <c r="G368" t="s">
        <v>6004</v>
      </c>
      <c r="H368" t="s">
        <v>6005</v>
      </c>
      <c r="I368" t="s">
        <v>671</v>
      </c>
      <c r="K368" t="s">
        <v>28</v>
      </c>
      <c r="L368" t="s">
        <v>4721</v>
      </c>
      <c r="M368" t="s">
        <v>33</v>
      </c>
      <c r="O368">
        <v>2888</v>
      </c>
    </row>
    <row r="369" spans="1:15" x14ac:dyDescent="0.35">
      <c r="A369" t="s">
        <v>20</v>
      </c>
      <c r="B369">
        <v>17646</v>
      </c>
      <c r="C369" t="s">
        <v>666</v>
      </c>
      <c r="D369" t="s">
        <v>667</v>
      </c>
      <c r="E369" t="s">
        <v>5242</v>
      </c>
      <c r="F369" t="s">
        <v>6006</v>
      </c>
      <c r="G369" t="s">
        <v>6007</v>
      </c>
      <c r="H369" t="s">
        <v>6008</v>
      </c>
      <c r="I369" t="s">
        <v>671</v>
      </c>
      <c r="K369" t="s">
        <v>46</v>
      </c>
      <c r="L369" t="s">
        <v>4726</v>
      </c>
      <c r="M369" t="s">
        <v>33</v>
      </c>
      <c r="O369">
        <v>3043</v>
      </c>
    </row>
    <row r="370" spans="1:15" x14ac:dyDescent="0.35">
      <c r="A370" t="s">
        <v>20</v>
      </c>
      <c r="B370">
        <v>17646</v>
      </c>
      <c r="C370" t="s">
        <v>666</v>
      </c>
      <c r="D370" t="s">
        <v>667</v>
      </c>
      <c r="E370" t="s">
        <v>5246</v>
      </c>
      <c r="F370" t="s">
        <v>6009</v>
      </c>
      <c r="G370" t="s">
        <v>6010</v>
      </c>
      <c r="H370" t="s">
        <v>6011</v>
      </c>
      <c r="I370" t="s">
        <v>671</v>
      </c>
      <c r="K370" t="s">
        <v>28</v>
      </c>
      <c r="L370" t="s">
        <v>4726</v>
      </c>
      <c r="M370" t="s">
        <v>33</v>
      </c>
      <c r="O370">
        <v>3241</v>
      </c>
    </row>
    <row r="371" spans="1:15" x14ac:dyDescent="0.35">
      <c r="A371" t="s">
        <v>20</v>
      </c>
      <c r="B371">
        <v>17646</v>
      </c>
      <c r="C371" t="s">
        <v>666</v>
      </c>
      <c r="D371" t="s">
        <v>667</v>
      </c>
      <c r="E371" t="s">
        <v>5250</v>
      </c>
      <c r="F371" t="s">
        <v>6012</v>
      </c>
      <c r="G371" t="s">
        <v>6013</v>
      </c>
      <c r="H371" t="s">
        <v>6014</v>
      </c>
      <c r="I371" t="s">
        <v>671</v>
      </c>
      <c r="K371" t="s">
        <v>28</v>
      </c>
      <c r="L371" t="s">
        <v>4721</v>
      </c>
      <c r="M371" t="s">
        <v>33</v>
      </c>
      <c r="O371">
        <v>4888</v>
      </c>
    </row>
    <row r="372" spans="1:15" x14ac:dyDescent="0.35">
      <c r="A372" t="s">
        <v>20</v>
      </c>
      <c r="B372">
        <v>17646</v>
      </c>
      <c r="C372" t="s">
        <v>666</v>
      </c>
      <c r="D372" t="s">
        <v>667</v>
      </c>
      <c r="E372" t="s">
        <v>5254</v>
      </c>
      <c r="F372" t="s">
        <v>6015</v>
      </c>
      <c r="G372" t="s">
        <v>6016</v>
      </c>
      <c r="H372" t="s">
        <v>6017</v>
      </c>
      <c r="I372" t="s">
        <v>671</v>
      </c>
      <c r="K372" t="s">
        <v>28</v>
      </c>
      <c r="L372" t="s">
        <v>4721</v>
      </c>
      <c r="M372" t="s">
        <v>33</v>
      </c>
      <c r="O372">
        <v>4895</v>
      </c>
    </row>
    <row r="373" spans="1:15" x14ac:dyDescent="0.35">
      <c r="A373" t="s">
        <v>20</v>
      </c>
      <c r="B373">
        <v>17646</v>
      </c>
      <c r="C373" t="s">
        <v>666</v>
      </c>
      <c r="D373" t="s">
        <v>667</v>
      </c>
      <c r="E373" t="s">
        <v>5258</v>
      </c>
      <c r="F373" t="s">
        <v>6018</v>
      </c>
      <c r="G373" t="s">
        <v>6019</v>
      </c>
      <c r="H373" t="s">
        <v>6020</v>
      </c>
      <c r="I373" t="s">
        <v>671</v>
      </c>
      <c r="K373" t="s">
        <v>28</v>
      </c>
      <c r="L373" t="s">
        <v>4721</v>
      </c>
      <c r="M373" t="s">
        <v>33</v>
      </c>
      <c r="O373">
        <v>4905</v>
      </c>
    </row>
    <row r="374" spans="1:15" x14ac:dyDescent="0.35">
      <c r="A374" t="s">
        <v>20</v>
      </c>
      <c r="B374">
        <v>17646</v>
      </c>
      <c r="C374" t="s">
        <v>666</v>
      </c>
      <c r="D374" t="s">
        <v>667</v>
      </c>
      <c r="E374" t="s">
        <v>5262</v>
      </c>
      <c r="F374" t="s">
        <v>6021</v>
      </c>
      <c r="G374" t="s">
        <v>6022</v>
      </c>
      <c r="H374" t="s">
        <v>6023</v>
      </c>
      <c r="I374" t="s">
        <v>671</v>
      </c>
      <c r="K374" t="s">
        <v>28</v>
      </c>
      <c r="L374" t="s">
        <v>4721</v>
      </c>
      <c r="M374" t="s">
        <v>33</v>
      </c>
      <c r="O374">
        <v>4917</v>
      </c>
    </row>
    <row r="375" spans="1:15" x14ac:dyDescent="0.35">
      <c r="A375" t="s">
        <v>20</v>
      </c>
      <c r="B375">
        <v>17646</v>
      </c>
      <c r="C375" t="s">
        <v>666</v>
      </c>
      <c r="D375" t="s">
        <v>667</v>
      </c>
      <c r="E375" t="s">
        <v>5266</v>
      </c>
      <c r="F375" t="s">
        <v>6024</v>
      </c>
      <c r="G375" t="s">
        <v>6025</v>
      </c>
      <c r="H375" t="s">
        <v>6026</v>
      </c>
      <c r="I375" t="s">
        <v>671</v>
      </c>
      <c r="K375" t="s">
        <v>28</v>
      </c>
      <c r="L375" t="s">
        <v>4721</v>
      </c>
      <c r="M375" t="s">
        <v>33</v>
      </c>
      <c r="O375">
        <v>4925</v>
      </c>
    </row>
    <row r="376" spans="1:15" x14ac:dyDescent="0.35">
      <c r="A376" t="s">
        <v>20</v>
      </c>
      <c r="B376">
        <v>17646</v>
      </c>
      <c r="C376" t="s">
        <v>666</v>
      </c>
      <c r="D376" t="s">
        <v>667</v>
      </c>
      <c r="E376" t="s">
        <v>5270</v>
      </c>
      <c r="F376" t="s">
        <v>6027</v>
      </c>
      <c r="G376" t="s">
        <v>6028</v>
      </c>
      <c r="H376" t="s">
        <v>6029</v>
      </c>
      <c r="I376" t="s">
        <v>671</v>
      </c>
      <c r="K376" t="s">
        <v>38</v>
      </c>
      <c r="L376" t="s">
        <v>4721</v>
      </c>
      <c r="M376" t="s">
        <v>33</v>
      </c>
      <c r="O376">
        <v>5088</v>
      </c>
    </row>
    <row r="377" spans="1:15" x14ac:dyDescent="0.35">
      <c r="A377" t="s">
        <v>20</v>
      </c>
      <c r="B377">
        <v>17646</v>
      </c>
      <c r="C377" t="s">
        <v>666</v>
      </c>
      <c r="D377" t="s">
        <v>667</v>
      </c>
      <c r="E377" t="s">
        <v>5274</v>
      </c>
      <c r="F377" t="s">
        <v>6030</v>
      </c>
      <c r="G377" t="s">
        <v>6031</v>
      </c>
      <c r="H377" t="s">
        <v>6032</v>
      </c>
      <c r="I377" t="s">
        <v>671</v>
      </c>
      <c r="K377" t="s">
        <v>38</v>
      </c>
      <c r="L377" t="s">
        <v>4799</v>
      </c>
      <c r="M377" t="s">
        <v>33</v>
      </c>
      <c r="O377">
        <v>5101</v>
      </c>
    </row>
    <row r="378" spans="1:15" x14ac:dyDescent="0.35">
      <c r="A378" t="s">
        <v>20</v>
      </c>
      <c r="B378">
        <v>17646</v>
      </c>
      <c r="C378" t="s">
        <v>666</v>
      </c>
      <c r="D378" t="s">
        <v>667</v>
      </c>
      <c r="E378" t="s">
        <v>5278</v>
      </c>
      <c r="F378" t="s">
        <v>6033</v>
      </c>
      <c r="G378" t="s">
        <v>6034</v>
      </c>
      <c r="H378" t="s">
        <v>6035</v>
      </c>
      <c r="I378" t="s">
        <v>671</v>
      </c>
      <c r="K378" t="s">
        <v>28</v>
      </c>
      <c r="L378" t="s">
        <v>4721</v>
      </c>
      <c r="M378" t="s">
        <v>33</v>
      </c>
      <c r="O378">
        <v>5164</v>
      </c>
    </row>
    <row r="379" spans="1:15" x14ac:dyDescent="0.35">
      <c r="A379" t="s">
        <v>20</v>
      </c>
      <c r="B379">
        <v>17646</v>
      </c>
      <c r="C379" t="s">
        <v>666</v>
      </c>
      <c r="D379" t="s">
        <v>667</v>
      </c>
      <c r="E379" t="s">
        <v>5282</v>
      </c>
      <c r="F379" t="s">
        <v>6036</v>
      </c>
      <c r="G379" t="s">
        <v>6037</v>
      </c>
      <c r="H379" t="s">
        <v>6038</v>
      </c>
      <c r="I379" t="s">
        <v>671</v>
      </c>
      <c r="K379" t="s">
        <v>28</v>
      </c>
      <c r="L379" t="s">
        <v>4721</v>
      </c>
      <c r="M379" t="s">
        <v>33</v>
      </c>
      <c r="O379">
        <v>5173</v>
      </c>
    </row>
    <row r="380" spans="1:15" x14ac:dyDescent="0.35">
      <c r="A380" t="s">
        <v>20</v>
      </c>
      <c r="B380">
        <v>17646</v>
      </c>
      <c r="C380" t="s">
        <v>666</v>
      </c>
      <c r="D380" t="s">
        <v>667</v>
      </c>
      <c r="E380" t="s">
        <v>5286</v>
      </c>
      <c r="F380" t="s">
        <v>6039</v>
      </c>
      <c r="G380" t="s">
        <v>6040</v>
      </c>
      <c r="H380" t="s">
        <v>6041</v>
      </c>
      <c r="I380" t="s">
        <v>671</v>
      </c>
      <c r="K380" t="s">
        <v>28</v>
      </c>
      <c r="L380" t="s">
        <v>4726</v>
      </c>
      <c r="M380" t="s">
        <v>33</v>
      </c>
      <c r="O380">
        <v>5551</v>
      </c>
    </row>
    <row r="381" spans="1:15" x14ac:dyDescent="0.35">
      <c r="A381" t="s">
        <v>20</v>
      </c>
      <c r="B381">
        <v>17646</v>
      </c>
      <c r="C381" t="s">
        <v>666</v>
      </c>
      <c r="D381" t="s">
        <v>667</v>
      </c>
      <c r="E381" t="s">
        <v>5290</v>
      </c>
      <c r="F381" t="s">
        <v>6042</v>
      </c>
      <c r="G381" t="s">
        <v>6043</v>
      </c>
      <c r="H381" t="s">
        <v>6044</v>
      </c>
      <c r="I381" t="s">
        <v>671</v>
      </c>
      <c r="K381" t="s">
        <v>28</v>
      </c>
      <c r="L381" t="s">
        <v>4721</v>
      </c>
      <c r="M381" t="s">
        <v>33</v>
      </c>
      <c r="O381">
        <v>5557</v>
      </c>
    </row>
    <row r="382" spans="1:15" x14ac:dyDescent="0.35">
      <c r="A382" t="s">
        <v>20</v>
      </c>
      <c r="B382">
        <v>17646</v>
      </c>
      <c r="C382" t="s">
        <v>666</v>
      </c>
      <c r="D382" t="s">
        <v>667</v>
      </c>
      <c r="E382" t="s">
        <v>5294</v>
      </c>
      <c r="F382" t="s">
        <v>6045</v>
      </c>
      <c r="G382" t="s">
        <v>6046</v>
      </c>
      <c r="H382" t="s">
        <v>6047</v>
      </c>
      <c r="I382" t="s">
        <v>671</v>
      </c>
      <c r="K382" t="s">
        <v>28</v>
      </c>
      <c r="L382" t="s">
        <v>4721</v>
      </c>
      <c r="M382" t="s">
        <v>33</v>
      </c>
      <c r="O382">
        <v>5564</v>
      </c>
    </row>
    <row r="383" spans="1:15" x14ac:dyDescent="0.35">
      <c r="A383" t="s">
        <v>20</v>
      </c>
      <c r="B383">
        <v>17646</v>
      </c>
      <c r="C383" t="s">
        <v>666</v>
      </c>
      <c r="D383" t="s">
        <v>667</v>
      </c>
      <c r="E383" t="s">
        <v>5298</v>
      </c>
      <c r="F383" t="s">
        <v>6048</v>
      </c>
      <c r="G383" t="s">
        <v>6049</v>
      </c>
      <c r="H383" t="s">
        <v>6050</v>
      </c>
      <c r="I383" t="s">
        <v>671</v>
      </c>
      <c r="K383" t="s">
        <v>61</v>
      </c>
      <c r="L383" t="s">
        <v>4721</v>
      </c>
      <c r="M383" t="s">
        <v>33</v>
      </c>
      <c r="O383">
        <v>5572</v>
      </c>
    </row>
    <row r="384" spans="1:15" x14ac:dyDescent="0.35">
      <c r="A384" t="s">
        <v>20</v>
      </c>
      <c r="B384">
        <v>17646</v>
      </c>
      <c r="C384" t="s">
        <v>666</v>
      </c>
      <c r="D384" t="s">
        <v>667</v>
      </c>
      <c r="E384" t="s">
        <v>5302</v>
      </c>
      <c r="F384" t="s">
        <v>6051</v>
      </c>
      <c r="G384" t="s">
        <v>6052</v>
      </c>
      <c r="H384" t="s">
        <v>6053</v>
      </c>
      <c r="I384" t="s">
        <v>671</v>
      </c>
      <c r="K384" t="s">
        <v>46</v>
      </c>
      <c r="L384" t="s">
        <v>4721</v>
      </c>
      <c r="M384" t="s">
        <v>33</v>
      </c>
      <c r="O384">
        <v>5740</v>
      </c>
    </row>
    <row r="385" spans="1:15" x14ac:dyDescent="0.35">
      <c r="A385" t="s">
        <v>20</v>
      </c>
      <c r="B385">
        <v>17646</v>
      </c>
      <c r="C385" t="s">
        <v>666</v>
      </c>
      <c r="D385" t="s">
        <v>667</v>
      </c>
      <c r="E385" t="s">
        <v>5306</v>
      </c>
      <c r="F385" t="s">
        <v>6054</v>
      </c>
      <c r="G385" t="s">
        <v>6055</v>
      </c>
      <c r="H385" t="s">
        <v>6056</v>
      </c>
      <c r="I385" t="s">
        <v>671</v>
      </c>
      <c r="K385" t="s">
        <v>46</v>
      </c>
      <c r="L385" t="s">
        <v>4799</v>
      </c>
      <c r="M385" t="s">
        <v>33</v>
      </c>
      <c r="O385">
        <v>5756</v>
      </c>
    </row>
    <row r="386" spans="1:15" x14ac:dyDescent="0.35">
      <c r="A386" t="s">
        <v>20</v>
      </c>
      <c r="B386">
        <v>17646</v>
      </c>
      <c r="C386" t="s">
        <v>666</v>
      </c>
      <c r="D386" t="s">
        <v>667</v>
      </c>
      <c r="E386" t="s">
        <v>5310</v>
      </c>
      <c r="F386" t="s">
        <v>6057</v>
      </c>
      <c r="G386" t="s">
        <v>6058</v>
      </c>
      <c r="H386" t="s">
        <v>6059</v>
      </c>
      <c r="I386" t="s">
        <v>671</v>
      </c>
      <c r="K386" t="s">
        <v>28</v>
      </c>
      <c r="L386" t="s">
        <v>4721</v>
      </c>
      <c r="M386" t="s">
        <v>33</v>
      </c>
      <c r="O386">
        <v>6059</v>
      </c>
    </row>
    <row r="387" spans="1:15" x14ac:dyDescent="0.35">
      <c r="A387" t="s">
        <v>20</v>
      </c>
      <c r="B387">
        <v>17646</v>
      </c>
      <c r="C387" t="s">
        <v>666</v>
      </c>
      <c r="D387" t="s">
        <v>667</v>
      </c>
      <c r="E387" t="s">
        <v>5314</v>
      </c>
      <c r="F387" t="s">
        <v>6060</v>
      </c>
      <c r="G387" t="s">
        <v>6061</v>
      </c>
      <c r="H387" t="s">
        <v>6062</v>
      </c>
      <c r="I387" t="s">
        <v>671</v>
      </c>
      <c r="K387" t="s">
        <v>28</v>
      </c>
      <c r="L387" t="s">
        <v>4716</v>
      </c>
      <c r="M387" t="s">
        <v>33</v>
      </c>
      <c r="O387">
        <v>6361</v>
      </c>
    </row>
    <row r="388" spans="1:15" x14ac:dyDescent="0.35">
      <c r="A388" t="s">
        <v>20</v>
      </c>
      <c r="B388">
        <v>17646</v>
      </c>
      <c r="C388" t="s">
        <v>666</v>
      </c>
      <c r="D388" t="s">
        <v>667</v>
      </c>
      <c r="E388" t="s">
        <v>5318</v>
      </c>
      <c r="F388" t="s">
        <v>6063</v>
      </c>
      <c r="G388" t="s">
        <v>6064</v>
      </c>
      <c r="H388" t="s">
        <v>6065</v>
      </c>
      <c r="I388" t="s">
        <v>671</v>
      </c>
      <c r="K388" t="s">
        <v>28</v>
      </c>
      <c r="L388" t="s">
        <v>4716</v>
      </c>
      <c r="M388" t="s">
        <v>33</v>
      </c>
      <c r="O388">
        <v>6369</v>
      </c>
    </row>
    <row r="389" spans="1:15" x14ac:dyDescent="0.35">
      <c r="A389" t="s">
        <v>20</v>
      </c>
      <c r="B389">
        <v>17646</v>
      </c>
      <c r="C389" t="s">
        <v>666</v>
      </c>
      <c r="D389" t="s">
        <v>667</v>
      </c>
      <c r="E389" t="s">
        <v>5322</v>
      </c>
      <c r="F389" t="s">
        <v>6066</v>
      </c>
      <c r="G389" t="s">
        <v>6067</v>
      </c>
      <c r="H389" t="s">
        <v>6068</v>
      </c>
      <c r="I389" t="s">
        <v>671</v>
      </c>
      <c r="K389" t="s">
        <v>28</v>
      </c>
      <c r="L389" t="s">
        <v>4726</v>
      </c>
      <c r="M389" t="s">
        <v>33</v>
      </c>
      <c r="O389">
        <v>6375</v>
      </c>
    </row>
    <row r="390" spans="1:15" x14ac:dyDescent="0.35">
      <c r="A390" t="s">
        <v>20</v>
      </c>
      <c r="B390">
        <v>17646</v>
      </c>
      <c r="C390" t="s">
        <v>666</v>
      </c>
      <c r="D390" t="s">
        <v>667</v>
      </c>
      <c r="E390" t="s">
        <v>5326</v>
      </c>
      <c r="F390" t="s">
        <v>6069</v>
      </c>
      <c r="G390" t="s">
        <v>6070</v>
      </c>
      <c r="H390" t="s">
        <v>6071</v>
      </c>
      <c r="I390" t="s">
        <v>671</v>
      </c>
      <c r="K390" t="s">
        <v>61</v>
      </c>
      <c r="L390" t="s">
        <v>4721</v>
      </c>
      <c r="M390" t="s">
        <v>33</v>
      </c>
      <c r="O390">
        <v>6453</v>
      </c>
    </row>
    <row r="391" spans="1:15" x14ac:dyDescent="0.35">
      <c r="A391" t="s">
        <v>20</v>
      </c>
      <c r="B391">
        <v>17646</v>
      </c>
      <c r="C391" t="s">
        <v>666</v>
      </c>
      <c r="D391" t="s">
        <v>667</v>
      </c>
      <c r="E391" t="s">
        <v>5330</v>
      </c>
      <c r="F391" t="s">
        <v>6072</v>
      </c>
      <c r="G391" t="s">
        <v>6073</v>
      </c>
      <c r="H391" t="s">
        <v>6074</v>
      </c>
      <c r="I391" t="s">
        <v>671</v>
      </c>
      <c r="K391" t="s">
        <v>61</v>
      </c>
      <c r="L391" t="s">
        <v>4721</v>
      </c>
      <c r="M391" t="s">
        <v>33</v>
      </c>
      <c r="O391">
        <v>6462</v>
      </c>
    </row>
    <row r="392" spans="1:15" x14ac:dyDescent="0.35">
      <c r="A392" t="s">
        <v>20</v>
      </c>
      <c r="B392">
        <v>17646</v>
      </c>
      <c r="C392" t="s">
        <v>666</v>
      </c>
      <c r="D392" t="s">
        <v>667</v>
      </c>
      <c r="E392" t="s">
        <v>5334</v>
      </c>
      <c r="F392" t="s">
        <v>6075</v>
      </c>
      <c r="G392" t="s">
        <v>6076</v>
      </c>
      <c r="H392" t="s">
        <v>6077</v>
      </c>
      <c r="I392" t="s">
        <v>671</v>
      </c>
      <c r="K392" t="s">
        <v>61</v>
      </c>
      <c r="L392" t="s">
        <v>4721</v>
      </c>
      <c r="M392" t="s">
        <v>33</v>
      </c>
      <c r="O392">
        <v>6468</v>
      </c>
    </row>
    <row r="393" spans="1:15" x14ac:dyDescent="0.35">
      <c r="A393" t="s">
        <v>20</v>
      </c>
      <c r="B393">
        <v>17646</v>
      </c>
      <c r="C393" t="s">
        <v>666</v>
      </c>
      <c r="D393" t="s">
        <v>667</v>
      </c>
      <c r="E393" t="s">
        <v>5338</v>
      </c>
      <c r="F393" t="s">
        <v>6078</v>
      </c>
      <c r="G393" t="s">
        <v>6079</v>
      </c>
      <c r="H393" t="s">
        <v>6080</v>
      </c>
      <c r="I393" t="s">
        <v>671</v>
      </c>
      <c r="K393" t="s">
        <v>61</v>
      </c>
      <c r="L393" t="s">
        <v>4721</v>
      </c>
      <c r="M393" t="s">
        <v>33</v>
      </c>
      <c r="O393">
        <v>6482</v>
      </c>
    </row>
    <row r="394" spans="1:15" x14ac:dyDescent="0.35">
      <c r="A394" t="s">
        <v>20</v>
      </c>
      <c r="B394">
        <v>17646</v>
      </c>
      <c r="C394" t="s">
        <v>666</v>
      </c>
      <c r="D394" t="s">
        <v>667</v>
      </c>
      <c r="E394" t="s">
        <v>5342</v>
      </c>
      <c r="F394" t="s">
        <v>6081</v>
      </c>
      <c r="G394" t="s">
        <v>6082</v>
      </c>
      <c r="H394" t="s">
        <v>6083</v>
      </c>
      <c r="I394" t="s">
        <v>671</v>
      </c>
      <c r="K394" t="s">
        <v>61</v>
      </c>
      <c r="L394" t="s">
        <v>4721</v>
      </c>
      <c r="M394" t="s">
        <v>33</v>
      </c>
      <c r="O394">
        <v>6486</v>
      </c>
    </row>
    <row r="395" spans="1:15" x14ac:dyDescent="0.35">
      <c r="A395" t="s">
        <v>20</v>
      </c>
      <c r="B395">
        <v>17646</v>
      </c>
      <c r="C395" t="s">
        <v>666</v>
      </c>
      <c r="D395" t="s">
        <v>667</v>
      </c>
      <c r="E395" t="s">
        <v>5346</v>
      </c>
      <c r="F395" t="s">
        <v>6084</v>
      </c>
      <c r="G395" t="s">
        <v>6085</v>
      </c>
      <c r="H395" t="s">
        <v>6086</v>
      </c>
      <c r="I395" t="s">
        <v>671</v>
      </c>
      <c r="K395" t="s">
        <v>61</v>
      </c>
      <c r="L395" t="s">
        <v>4721</v>
      </c>
      <c r="M395" t="s">
        <v>33</v>
      </c>
      <c r="O395">
        <v>6493</v>
      </c>
    </row>
    <row r="396" spans="1:15" x14ac:dyDescent="0.35">
      <c r="A396" t="s">
        <v>20</v>
      </c>
      <c r="B396">
        <v>17646</v>
      </c>
      <c r="C396" t="s">
        <v>666</v>
      </c>
      <c r="D396" t="s">
        <v>667</v>
      </c>
      <c r="E396" t="s">
        <v>5350</v>
      </c>
      <c r="F396" t="s">
        <v>6087</v>
      </c>
      <c r="G396" t="s">
        <v>6088</v>
      </c>
      <c r="H396" t="s">
        <v>6089</v>
      </c>
      <c r="I396" t="s">
        <v>671</v>
      </c>
      <c r="M396" t="s">
        <v>33</v>
      </c>
      <c r="O396">
        <v>6751</v>
      </c>
    </row>
    <row r="397" spans="1:15" x14ac:dyDescent="0.35">
      <c r="A397" t="s">
        <v>20</v>
      </c>
      <c r="B397">
        <v>17646</v>
      </c>
      <c r="C397" t="s">
        <v>666</v>
      </c>
      <c r="D397" t="s">
        <v>667</v>
      </c>
      <c r="E397" t="s">
        <v>5354</v>
      </c>
      <c r="F397" t="s">
        <v>6090</v>
      </c>
      <c r="G397" t="s">
        <v>6091</v>
      </c>
      <c r="H397" t="s">
        <v>6092</v>
      </c>
      <c r="I397" t="s">
        <v>671</v>
      </c>
      <c r="K397" t="s">
        <v>28</v>
      </c>
      <c r="L397" t="s">
        <v>4721</v>
      </c>
      <c r="M397" t="s">
        <v>33</v>
      </c>
      <c r="O397">
        <v>6762</v>
      </c>
    </row>
    <row r="398" spans="1:15" x14ac:dyDescent="0.35">
      <c r="A398" t="s">
        <v>20</v>
      </c>
      <c r="B398">
        <v>17646</v>
      </c>
      <c r="C398" t="s">
        <v>666</v>
      </c>
      <c r="D398" t="s">
        <v>667</v>
      </c>
      <c r="E398" t="s">
        <v>5358</v>
      </c>
      <c r="F398" t="s">
        <v>6093</v>
      </c>
      <c r="G398" t="s">
        <v>6094</v>
      </c>
      <c r="H398" t="s">
        <v>6095</v>
      </c>
      <c r="I398" t="s">
        <v>671</v>
      </c>
      <c r="K398" t="s">
        <v>28</v>
      </c>
      <c r="L398" t="s">
        <v>4721</v>
      </c>
      <c r="M398" t="s">
        <v>33</v>
      </c>
      <c r="O398">
        <v>6769</v>
      </c>
    </row>
    <row r="399" spans="1:15" x14ac:dyDescent="0.35">
      <c r="A399" t="s">
        <v>20</v>
      </c>
      <c r="B399">
        <v>17646</v>
      </c>
      <c r="C399" t="s">
        <v>666</v>
      </c>
      <c r="D399" t="s">
        <v>667</v>
      </c>
      <c r="E399" t="s">
        <v>4712</v>
      </c>
      <c r="F399" t="s">
        <v>6096</v>
      </c>
      <c r="G399" t="s">
        <v>6097</v>
      </c>
      <c r="H399" t="s">
        <v>6098</v>
      </c>
      <c r="I399" t="s">
        <v>809</v>
      </c>
      <c r="K399" t="s">
        <v>46</v>
      </c>
      <c r="L399" t="s">
        <v>4716</v>
      </c>
      <c r="M399" t="s">
        <v>33</v>
      </c>
      <c r="O399">
        <v>733</v>
      </c>
    </row>
    <row r="400" spans="1:15" x14ac:dyDescent="0.35">
      <c r="A400" t="s">
        <v>20</v>
      </c>
      <c r="B400">
        <v>17646</v>
      </c>
      <c r="C400" t="s">
        <v>666</v>
      </c>
      <c r="D400" t="s">
        <v>667</v>
      </c>
      <c r="E400" t="s">
        <v>4717</v>
      </c>
      <c r="F400" t="s">
        <v>6099</v>
      </c>
      <c r="G400" t="s">
        <v>6100</v>
      </c>
      <c r="H400" t="s">
        <v>6101</v>
      </c>
      <c r="I400" t="s">
        <v>809</v>
      </c>
      <c r="K400" t="s">
        <v>46</v>
      </c>
      <c r="L400" t="s">
        <v>4726</v>
      </c>
      <c r="M400" t="s">
        <v>33</v>
      </c>
      <c r="O400">
        <v>740</v>
      </c>
    </row>
    <row r="401" spans="1:15" x14ac:dyDescent="0.35">
      <c r="A401" t="s">
        <v>20</v>
      </c>
      <c r="B401">
        <v>17646</v>
      </c>
      <c r="C401" t="s">
        <v>666</v>
      </c>
      <c r="D401" t="s">
        <v>667</v>
      </c>
      <c r="E401" t="s">
        <v>4722</v>
      </c>
      <c r="F401" t="s">
        <v>6102</v>
      </c>
      <c r="G401" t="s">
        <v>6103</v>
      </c>
      <c r="H401" t="s">
        <v>6104</v>
      </c>
      <c r="I401" t="s">
        <v>809</v>
      </c>
      <c r="K401" t="s">
        <v>46</v>
      </c>
      <c r="L401" t="s">
        <v>4721</v>
      </c>
      <c r="M401" t="s">
        <v>33</v>
      </c>
      <c r="O401">
        <v>745</v>
      </c>
    </row>
    <row r="402" spans="1:15" x14ac:dyDescent="0.35">
      <c r="A402" t="s">
        <v>20</v>
      </c>
      <c r="B402">
        <v>17646</v>
      </c>
      <c r="C402" t="s">
        <v>666</v>
      </c>
      <c r="D402" t="s">
        <v>667</v>
      </c>
      <c r="E402" t="s">
        <v>4727</v>
      </c>
      <c r="F402" t="s">
        <v>6105</v>
      </c>
      <c r="G402" t="s">
        <v>6106</v>
      </c>
      <c r="H402" t="s">
        <v>6107</v>
      </c>
      <c r="I402" t="s">
        <v>809</v>
      </c>
      <c r="K402" t="s">
        <v>28</v>
      </c>
      <c r="L402" t="s">
        <v>4716</v>
      </c>
      <c r="M402" t="s">
        <v>33</v>
      </c>
      <c r="O402">
        <v>758</v>
      </c>
    </row>
    <row r="403" spans="1:15" x14ac:dyDescent="0.35">
      <c r="A403" t="s">
        <v>20</v>
      </c>
      <c r="B403">
        <v>17646</v>
      </c>
      <c r="C403" t="s">
        <v>666</v>
      </c>
      <c r="D403" t="s">
        <v>667</v>
      </c>
      <c r="E403" t="s">
        <v>4731</v>
      </c>
      <c r="F403" t="s">
        <v>6108</v>
      </c>
      <c r="G403" t="s">
        <v>6109</v>
      </c>
      <c r="H403" t="s">
        <v>6110</v>
      </c>
      <c r="I403" t="s">
        <v>809</v>
      </c>
      <c r="K403" t="s">
        <v>46</v>
      </c>
      <c r="L403" t="s">
        <v>4726</v>
      </c>
      <c r="M403" t="s">
        <v>33</v>
      </c>
      <c r="O403">
        <v>815</v>
      </c>
    </row>
    <row r="404" spans="1:15" x14ac:dyDescent="0.35">
      <c r="A404" t="s">
        <v>20</v>
      </c>
      <c r="B404">
        <v>17646</v>
      </c>
      <c r="C404" t="s">
        <v>666</v>
      </c>
      <c r="D404" t="s">
        <v>667</v>
      </c>
      <c r="E404" t="s">
        <v>4735</v>
      </c>
      <c r="F404" t="s">
        <v>6111</v>
      </c>
      <c r="G404" t="s">
        <v>6112</v>
      </c>
      <c r="H404" t="s">
        <v>6113</v>
      </c>
      <c r="I404" t="s">
        <v>809</v>
      </c>
      <c r="K404" t="s">
        <v>46</v>
      </c>
      <c r="L404" t="s">
        <v>4721</v>
      </c>
      <c r="M404" t="s">
        <v>33</v>
      </c>
      <c r="O404">
        <v>892</v>
      </c>
    </row>
    <row r="405" spans="1:15" x14ac:dyDescent="0.35">
      <c r="A405" t="s">
        <v>20</v>
      </c>
      <c r="B405">
        <v>17646</v>
      </c>
      <c r="C405" t="s">
        <v>666</v>
      </c>
      <c r="D405" t="s">
        <v>667</v>
      </c>
      <c r="E405" t="s">
        <v>4739</v>
      </c>
      <c r="F405" t="s">
        <v>6114</v>
      </c>
      <c r="G405" t="s">
        <v>6115</v>
      </c>
      <c r="H405" t="s">
        <v>6116</v>
      </c>
      <c r="I405" t="s">
        <v>809</v>
      </c>
      <c r="K405" t="s">
        <v>46</v>
      </c>
      <c r="L405" t="s">
        <v>4721</v>
      </c>
      <c r="M405" t="s">
        <v>33</v>
      </c>
      <c r="O405">
        <v>1172</v>
      </c>
    </row>
    <row r="406" spans="1:15" x14ac:dyDescent="0.35">
      <c r="A406" t="s">
        <v>20</v>
      </c>
      <c r="B406">
        <v>17646</v>
      </c>
      <c r="C406" t="s">
        <v>666</v>
      </c>
      <c r="D406" t="s">
        <v>667</v>
      </c>
      <c r="E406" t="s">
        <v>4743</v>
      </c>
      <c r="F406" t="s">
        <v>6114</v>
      </c>
      <c r="G406" t="s">
        <v>6115</v>
      </c>
      <c r="H406" t="s">
        <v>6116</v>
      </c>
      <c r="I406" t="s">
        <v>809</v>
      </c>
      <c r="M406" t="s">
        <v>33</v>
      </c>
      <c r="O406">
        <v>1172</v>
      </c>
    </row>
    <row r="407" spans="1:15" x14ac:dyDescent="0.35">
      <c r="A407" t="s">
        <v>20</v>
      </c>
      <c r="B407">
        <v>17646</v>
      </c>
      <c r="C407" t="s">
        <v>666</v>
      </c>
      <c r="D407" t="s">
        <v>667</v>
      </c>
      <c r="E407" t="s">
        <v>4747</v>
      </c>
      <c r="F407" t="s">
        <v>6117</v>
      </c>
      <c r="G407" t="s">
        <v>6118</v>
      </c>
      <c r="H407" t="s">
        <v>6119</v>
      </c>
      <c r="I407" t="s">
        <v>809</v>
      </c>
      <c r="K407" t="s">
        <v>46</v>
      </c>
      <c r="L407" t="s">
        <v>4721</v>
      </c>
      <c r="M407" t="s">
        <v>33</v>
      </c>
      <c r="O407">
        <v>1179</v>
      </c>
    </row>
    <row r="408" spans="1:15" x14ac:dyDescent="0.35">
      <c r="A408" t="s">
        <v>20</v>
      </c>
      <c r="B408">
        <v>17646</v>
      </c>
      <c r="C408" t="s">
        <v>666</v>
      </c>
      <c r="D408" t="s">
        <v>667</v>
      </c>
      <c r="E408" t="s">
        <v>4751</v>
      </c>
      <c r="F408" t="s">
        <v>6120</v>
      </c>
      <c r="G408" t="s">
        <v>6121</v>
      </c>
      <c r="H408" t="s">
        <v>6122</v>
      </c>
      <c r="I408" t="s">
        <v>809</v>
      </c>
      <c r="K408" t="s">
        <v>46</v>
      </c>
      <c r="L408" t="s">
        <v>4721</v>
      </c>
      <c r="M408" t="s">
        <v>33</v>
      </c>
      <c r="O408">
        <v>1189</v>
      </c>
    </row>
    <row r="409" spans="1:15" x14ac:dyDescent="0.35">
      <c r="A409" t="s">
        <v>20</v>
      </c>
      <c r="B409">
        <v>17646</v>
      </c>
      <c r="C409" t="s">
        <v>666</v>
      </c>
      <c r="D409" t="s">
        <v>667</v>
      </c>
      <c r="E409" t="s">
        <v>4755</v>
      </c>
      <c r="F409" t="s">
        <v>6123</v>
      </c>
      <c r="G409" t="s">
        <v>6124</v>
      </c>
      <c r="H409" t="s">
        <v>6125</v>
      </c>
      <c r="I409" t="s">
        <v>809</v>
      </c>
      <c r="K409" t="s">
        <v>28</v>
      </c>
      <c r="L409" t="s">
        <v>4726</v>
      </c>
      <c r="M409" t="s">
        <v>33</v>
      </c>
      <c r="O409">
        <v>1196</v>
      </c>
    </row>
    <row r="410" spans="1:15" x14ac:dyDescent="0.35">
      <c r="A410" t="s">
        <v>20</v>
      </c>
      <c r="B410">
        <v>17646</v>
      </c>
      <c r="C410" t="s">
        <v>666</v>
      </c>
      <c r="D410" t="s">
        <v>667</v>
      </c>
      <c r="E410" t="s">
        <v>4759</v>
      </c>
      <c r="F410" t="s">
        <v>6126</v>
      </c>
      <c r="G410" t="s">
        <v>6127</v>
      </c>
      <c r="H410" t="s">
        <v>6128</v>
      </c>
      <c r="I410" t="s">
        <v>809</v>
      </c>
      <c r="K410" t="s">
        <v>28</v>
      </c>
      <c r="L410" t="s">
        <v>4721</v>
      </c>
      <c r="M410" t="s">
        <v>33</v>
      </c>
      <c r="O410">
        <v>1626</v>
      </c>
    </row>
    <row r="411" spans="1:15" x14ac:dyDescent="0.35">
      <c r="A411" t="s">
        <v>20</v>
      </c>
      <c r="B411">
        <v>17646</v>
      </c>
      <c r="C411" t="s">
        <v>666</v>
      </c>
      <c r="D411" t="s">
        <v>667</v>
      </c>
      <c r="E411" t="s">
        <v>4763</v>
      </c>
      <c r="F411" t="s">
        <v>6129</v>
      </c>
      <c r="G411" t="s">
        <v>6130</v>
      </c>
      <c r="H411" t="s">
        <v>6131</v>
      </c>
      <c r="I411" t="s">
        <v>809</v>
      </c>
      <c r="K411" t="s">
        <v>28</v>
      </c>
      <c r="L411" t="s">
        <v>4721</v>
      </c>
      <c r="M411" t="s">
        <v>33</v>
      </c>
      <c r="O411">
        <v>1633</v>
      </c>
    </row>
    <row r="412" spans="1:15" x14ac:dyDescent="0.35">
      <c r="A412" t="s">
        <v>20</v>
      </c>
      <c r="B412">
        <v>17646</v>
      </c>
      <c r="C412" t="s">
        <v>666</v>
      </c>
      <c r="D412" t="s">
        <v>667</v>
      </c>
      <c r="E412" t="s">
        <v>4767</v>
      </c>
      <c r="F412" t="s">
        <v>6132</v>
      </c>
      <c r="G412" t="s">
        <v>6133</v>
      </c>
      <c r="H412" t="s">
        <v>6134</v>
      </c>
      <c r="I412" t="s">
        <v>809</v>
      </c>
      <c r="K412" t="s">
        <v>28</v>
      </c>
      <c r="L412" t="s">
        <v>4721</v>
      </c>
      <c r="M412" t="s">
        <v>33</v>
      </c>
      <c r="O412">
        <v>1637</v>
      </c>
    </row>
    <row r="413" spans="1:15" x14ac:dyDescent="0.35">
      <c r="A413" t="s">
        <v>20</v>
      </c>
      <c r="B413">
        <v>17646</v>
      </c>
      <c r="C413" t="s">
        <v>666</v>
      </c>
      <c r="D413" t="s">
        <v>667</v>
      </c>
      <c r="E413" t="s">
        <v>4771</v>
      </c>
      <c r="F413" t="s">
        <v>6135</v>
      </c>
      <c r="G413" t="s">
        <v>6136</v>
      </c>
      <c r="H413" t="s">
        <v>6137</v>
      </c>
      <c r="I413" t="s">
        <v>809</v>
      </c>
      <c r="K413" t="s">
        <v>28</v>
      </c>
      <c r="L413" t="s">
        <v>4716</v>
      </c>
      <c r="M413" t="s">
        <v>33</v>
      </c>
      <c r="O413">
        <v>1869</v>
      </c>
    </row>
    <row r="414" spans="1:15" x14ac:dyDescent="0.35">
      <c r="A414" t="s">
        <v>20</v>
      </c>
      <c r="B414">
        <v>17646</v>
      </c>
      <c r="C414" t="s">
        <v>666</v>
      </c>
      <c r="D414" t="s">
        <v>667</v>
      </c>
      <c r="E414" t="s">
        <v>4775</v>
      </c>
      <c r="F414" t="s">
        <v>6138</v>
      </c>
      <c r="G414" t="s">
        <v>6139</v>
      </c>
      <c r="H414" t="s">
        <v>6140</v>
      </c>
      <c r="I414" t="s">
        <v>809</v>
      </c>
      <c r="K414" t="s">
        <v>28</v>
      </c>
      <c r="L414" t="s">
        <v>4716</v>
      </c>
      <c r="M414" t="s">
        <v>33</v>
      </c>
      <c r="O414">
        <v>1878</v>
      </c>
    </row>
    <row r="415" spans="1:15" x14ac:dyDescent="0.35">
      <c r="A415" t="s">
        <v>20</v>
      </c>
      <c r="B415">
        <v>17646</v>
      </c>
      <c r="C415" t="s">
        <v>666</v>
      </c>
      <c r="D415" t="s">
        <v>667</v>
      </c>
      <c r="E415" t="s">
        <v>4779</v>
      </c>
      <c r="F415" t="s">
        <v>6141</v>
      </c>
      <c r="G415" t="s">
        <v>6142</v>
      </c>
      <c r="H415" t="s">
        <v>6143</v>
      </c>
      <c r="I415" t="s">
        <v>809</v>
      </c>
      <c r="K415" t="s">
        <v>28</v>
      </c>
      <c r="L415" t="s">
        <v>4716</v>
      </c>
      <c r="M415" t="s">
        <v>33</v>
      </c>
      <c r="O415">
        <v>1883</v>
      </c>
    </row>
    <row r="416" spans="1:15" x14ac:dyDescent="0.35">
      <c r="A416" t="s">
        <v>20</v>
      </c>
      <c r="B416">
        <v>17646</v>
      </c>
      <c r="C416" t="s">
        <v>666</v>
      </c>
      <c r="D416" t="s">
        <v>667</v>
      </c>
      <c r="E416" t="s">
        <v>4783</v>
      </c>
      <c r="F416" t="s">
        <v>6144</v>
      </c>
      <c r="G416" t="s">
        <v>6145</v>
      </c>
      <c r="H416" t="s">
        <v>6146</v>
      </c>
      <c r="I416" t="s">
        <v>809</v>
      </c>
      <c r="K416" t="s">
        <v>28</v>
      </c>
      <c r="L416" t="s">
        <v>4721</v>
      </c>
      <c r="M416" t="s">
        <v>33</v>
      </c>
      <c r="O416">
        <v>1894</v>
      </c>
    </row>
    <row r="417" spans="1:15" x14ac:dyDescent="0.35">
      <c r="A417" t="s">
        <v>20</v>
      </c>
      <c r="B417">
        <v>17646</v>
      </c>
      <c r="C417" t="s">
        <v>666</v>
      </c>
      <c r="D417" t="s">
        <v>667</v>
      </c>
      <c r="E417" t="s">
        <v>4787</v>
      </c>
      <c r="F417" t="s">
        <v>6147</v>
      </c>
      <c r="G417" t="s">
        <v>6148</v>
      </c>
      <c r="H417" t="s">
        <v>6149</v>
      </c>
      <c r="I417" t="s">
        <v>809</v>
      </c>
      <c r="K417" t="s">
        <v>28</v>
      </c>
      <c r="L417" t="s">
        <v>4726</v>
      </c>
      <c r="M417" t="s">
        <v>33</v>
      </c>
      <c r="O417">
        <v>1899</v>
      </c>
    </row>
    <row r="418" spans="1:15" x14ac:dyDescent="0.35">
      <c r="A418" t="s">
        <v>20</v>
      </c>
      <c r="B418">
        <v>17646</v>
      </c>
      <c r="C418" t="s">
        <v>666</v>
      </c>
      <c r="D418" t="s">
        <v>667</v>
      </c>
      <c r="E418" t="s">
        <v>4791</v>
      </c>
      <c r="F418" t="s">
        <v>6150</v>
      </c>
      <c r="G418" t="s">
        <v>6151</v>
      </c>
      <c r="H418" t="s">
        <v>6152</v>
      </c>
      <c r="I418" t="s">
        <v>809</v>
      </c>
      <c r="K418" t="s">
        <v>61</v>
      </c>
      <c r="L418" t="s">
        <v>4721</v>
      </c>
      <c r="M418" t="s">
        <v>33</v>
      </c>
      <c r="O418">
        <v>1904</v>
      </c>
    </row>
    <row r="419" spans="1:15" x14ac:dyDescent="0.35">
      <c r="A419" t="s">
        <v>20</v>
      </c>
      <c r="B419">
        <v>17646</v>
      </c>
      <c r="C419" t="s">
        <v>666</v>
      </c>
      <c r="D419" t="s">
        <v>667</v>
      </c>
      <c r="E419" t="s">
        <v>4795</v>
      </c>
      <c r="F419" t="s">
        <v>6153</v>
      </c>
      <c r="G419" t="s">
        <v>6154</v>
      </c>
      <c r="H419" t="s">
        <v>6155</v>
      </c>
      <c r="I419" t="s">
        <v>809</v>
      </c>
      <c r="K419" t="s">
        <v>61</v>
      </c>
      <c r="L419" t="s">
        <v>4726</v>
      </c>
      <c r="M419" t="s">
        <v>33</v>
      </c>
      <c r="O419">
        <v>1913</v>
      </c>
    </row>
    <row r="420" spans="1:15" x14ac:dyDescent="0.35">
      <c r="A420" t="s">
        <v>20</v>
      </c>
      <c r="B420">
        <v>17646</v>
      </c>
      <c r="C420" t="s">
        <v>666</v>
      </c>
      <c r="D420" t="s">
        <v>667</v>
      </c>
      <c r="E420" t="s">
        <v>4800</v>
      </c>
      <c r="F420" t="s">
        <v>6156</v>
      </c>
      <c r="G420" t="s">
        <v>6157</v>
      </c>
      <c r="H420" t="s">
        <v>6158</v>
      </c>
      <c r="I420" t="s">
        <v>809</v>
      </c>
      <c r="K420" t="s">
        <v>61</v>
      </c>
      <c r="L420" t="s">
        <v>4726</v>
      </c>
      <c r="M420" t="s">
        <v>33</v>
      </c>
      <c r="O420">
        <v>1921</v>
      </c>
    </row>
    <row r="421" spans="1:15" x14ac:dyDescent="0.35">
      <c r="A421" t="s">
        <v>20</v>
      </c>
      <c r="B421">
        <v>17646</v>
      </c>
      <c r="C421" t="s">
        <v>666</v>
      </c>
      <c r="D421" t="s">
        <v>667</v>
      </c>
      <c r="E421" t="s">
        <v>4804</v>
      </c>
      <c r="F421" t="s">
        <v>6159</v>
      </c>
      <c r="G421" t="s">
        <v>6160</v>
      </c>
      <c r="H421" t="s">
        <v>6161</v>
      </c>
      <c r="I421" t="s">
        <v>809</v>
      </c>
      <c r="K421" t="s">
        <v>61</v>
      </c>
      <c r="L421" t="s">
        <v>4716</v>
      </c>
      <c r="M421" t="s">
        <v>33</v>
      </c>
      <c r="O421">
        <v>1934</v>
      </c>
    </row>
    <row r="422" spans="1:15" x14ac:dyDescent="0.35">
      <c r="A422" t="s">
        <v>20</v>
      </c>
      <c r="B422">
        <v>17646</v>
      </c>
      <c r="C422" t="s">
        <v>666</v>
      </c>
      <c r="D422" t="s">
        <v>667</v>
      </c>
      <c r="E422" t="s">
        <v>4808</v>
      </c>
      <c r="F422" t="s">
        <v>6162</v>
      </c>
      <c r="G422" t="s">
        <v>6163</v>
      </c>
      <c r="H422" t="s">
        <v>6164</v>
      </c>
      <c r="I422" t="s">
        <v>809</v>
      </c>
      <c r="K422" t="s">
        <v>61</v>
      </c>
      <c r="L422" t="s">
        <v>4721</v>
      </c>
      <c r="M422" t="s">
        <v>33</v>
      </c>
      <c r="O422">
        <v>1941</v>
      </c>
    </row>
    <row r="423" spans="1:15" x14ac:dyDescent="0.35">
      <c r="A423" t="s">
        <v>20</v>
      </c>
      <c r="B423">
        <v>17646</v>
      </c>
      <c r="C423" t="s">
        <v>666</v>
      </c>
      <c r="D423" t="s">
        <v>667</v>
      </c>
      <c r="E423" t="s">
        <v>4812</v>
      </c>
      <c r="F423" t="s">
        <v>6165</v>
      </c>
      <c r="G423" t="s">
        <v>6166</v>
      </c>
      <c r="H423" t="s">
        <v>6167</v>
      </c>
      <c r="I423" t="s">
        <v>809</v>
      </c>
      <c r="K423" t="s">
        <v>46</v>
      </c>
      <c r="L423" t="s">
        <v>4721</v>
      </c>
      <c r="M423" t="s">
        <v>33</v>
      </c>
      <c r="O423">
        <v>2074</v>
      </c>
    </row>
    <row r="424" spans="1:15" x14ac:dyDescent="0.35">
      <c r="A424" t="s">
        <v>20</v>
      </c>
      <c r="B424">
        <v>17646</v>
      </c>
      <c r="C424" t="s">
        <v>666</v>
      </c>
      <c r="D424" t="s">
        <v>667</v>
      </c>
      <c r="E424" t="s">
        <v>4816</v>
      </c>
      <c r="F424" t="s">
        <v>6168</v>
      </c>
      <c r="G424" t="s">
        <v>6169</v>
      </c>
      <c r="H424" t="s">
        <v>6170</v>
      </c>
      <c r="I424" t="s">
        <v>809</v>
      </c>
      <c r="K424" t="s">
        <v>28</v>
      </c>
      <c r="L424" t="s">
        <v>4721</v>
      </c>
      <c r="M424" t="s">
        <v>33</v>
      </c>
      <c r="O424">
        <v>2084</v>
      </c>
    </row>
    <row r="425" spans="1:15" x14ac:dyDescent="0.35">
      <c r="A425" t="s">
        <v>20</v>
      </c>
      <c r="B425">
        <v>17646</v>
      </c>
      <c r="C425" t="s">
        <v>666</v>
      </c>
      <c r="D425" t="s">
        <v>667</v>
      </c>
      <c r="E425" t="s">
        <v>4820</v>
      </c>
      <c r="F425" t="s">
        <v>6171</v>
      </c>
      <c r="G425" t="s">
        <v>6172</v>
      </c>
      <c r="H425" t="s">
        <v>6173</v>
      </c>
      <c r="I425" t="s">
        <v>809</v>
      </c>
      <c r="K425" t="s">
        <v>28</v>
      </c>
      <c r="L425" t="s">
        <v>4721</v>
      </c>
      <c r="M425" t="s">
        <v>33</v>
      </c>
      <c r="O425">
        <v>2094</v>
      </c>
    </row>
    <row r="426" spans="1:15" x14ac:dyDescent="0.35">
      <c r="A426" t="s">
        <v>20</v>
      </c>
      <c r="B426">
        <v>17646</v>
      </c>
      <c r="C426" t="s">
        <v>666</v>
      </c>
      <c r="D426" t="s">
        <v>667</v>
      </c>
      <c r="E426" t="s">
        <v>4824</v>
      </c>
      <c r="F426" t="s">
        <v>6174</v>
      </c>
      <c r="G426" t="s">
        <v>6175</v>
      </c>
      <c r="H426" t="s">
        <v>6176</v>
      </c>
      <c r="I426" t="s">
        <v>809</v>
      </c>
      <c r="K426" t="s">
        <v>28</v>
      </c>
      <c r="L426" t="s">
        <v>4721</v>
      </c>
      <c r="M426" t="s">
        <v>33</v>
      </c>
      <c r="O426">
        <v>2097</v>
      </c>
    </row>
    <row r="427" spans="1:15" x14ac:dyDescent="0.35">
      <c r="A427" t="s">
        <v>20</v>
      </c>
      <c r="B427">
        <v>17646</v>
      </c>
      <c r="C427" t="s">
        <v>666</v>
      </c>
      <c r="D427" t="s">
        <v>667</v>
      </c>
      <c r="E427" t="s">
        <v>4828</v>
      </c>
      <c r="F427" t="s">
        <v>6177</v>
      </c>
      <c r="G427" t="s">
        <v>6178</v>
      </c>
      <c r="H427" t="s">
        <v>6179</v>
      </c>
      <c r="I427" t="s">
        <v>809</v>
      </c>
      <c r="K427" t="s">
        <v>28</v>
      </c>
      <c r="L427" t="s">
        <v>4721</v>
      </c>
      <c r="M427" t="s">
        <v>33</v>
      </c>
      <c r="O427">
        <v>2380</v>
      </c>
    </row>
    <row r="428" spans="1:15" x14ac:dyDescent="0.35">
      <c r="A428" t="s">
        <v>20</v>
      </c>
      <c r="B428">
        <v>17646</v>
      </c>
      <c r="C428" t="s">
        <v>666</v>
      </c>
      <c r="D428" t="s">
        <v>667</v>
      </c>
      <c r="E428" t="s">
        <v>4832</v>
      </c>
      <c r="F428" t="s">
        <v>6180</v>
      </c>
      <c r="G428" t="s">
        <v>6181</v>
      </c>
      <c r="H428" t="s">
        <v>6182</v>
      </c>
      <c r="I428" t="s">
        <v>809</v>
      </c>
      <c r="K428" t="s">
        <v>61</v>
      </c>
      <c r="L428" t="s">
        <v>4721</v>
      </c>
      <c r="M428" t="s">
        <v>33</v>
      </c>
      <c r="O428">
        <v>3006</v>
      </c>
    </row>
    <row r="429" spans="1:15" x14ac:dyDescent="0.35">
      <c r="A429" t="s">
        <v>20</v>
      </c>
      <c r="B429">
        <v>17646</v>
      </c>
      <c r="C429" t="s">
        <v>666</v>
      </c>
      <c r="D429" t="s">
        <v>667</v>
      </c>
      <c r="E429" t="s">
        <v>4836</v>
      </c>
      <c r="F429" t="s">
        <v>6183</v>
      </c>
      <c r="G429" t="s">
        <v>6184</v>
      </c>
      <c r="H429" t="s">
        <v>6185</v>
      </c>
      <c r="I429" t="s">
        <v>809</v>
      </c>
      <c r="K429" t="s">
        <v>28</v>
      </c>
      <c r="L429" t="s">
        <v>4721</v>
      </c>
      <c r="M429" t="s">
        <v>33</v>
      </c>
      <c r="O429">
        <v>3027</v>
      </c>
    </row>
    <row r="430" spans="1:15" x14ac:dyDescent="0.35">
      <c r="A430" t="s">
        <v>20</v>
      </c>
      <c r="B430">
        <v>17646</v>
      </c>
      <c r="C430" t="s">
        <v>666</v>
      </c>
      <c r="D430" t="s">
        <v>667</v>
      </c>
      <c r="E430" t="s">
        <v>4840</v>
      </c>
      <c r="F430" t="s">
        <v>6183</v>
      </c>
      <c r="G430" t="s">
        <v>6184</v>
      </c>
      <c r="H430" t="s">
        <v>6185</v>
      </c>
      <c r="I430" t="s">
        <v>809</v>
      </c>
      <c r="K430" t="s">
        <v>28</v>
      </c>
      <c r="L430" t="s">
        <v>4721</v>
      </c>
      <c r="M430" t="s">
        <v>33</v>
      </c>
      <c r="O430">
        <v>3027</v>
      </c>
    </row>
    <row r="431" spans="1:15" x14ac:dyDescent="0.35">
      <c r="A431" t="s">
        <v>20</v>
      </c>
      <c r="B431">
        <v>17646</v>
      </c>
      <c r="C431" t="s">
        <v>666</v>
      </c>
      <c r="D431" t="s">
        <v>667</v>
      </c>
      <c r="E431" t="s">
        <v>4844</v>
      </c>
      <c r="F431" t="s">
        <v>6186</v>
      </c>
      <c r="G431" t="s">
        <v>6187</v>
      </c>
      <c r="H431" t="s">
        <v>6188</v>
      </c>
      <c r="I431" t="s">
        <v>809</v>
      </c>
      <c r="K431" t="s">
        <v>46</v>
      </c>
      <c r="L431" t="s">
        <v>4721</v>
      </c>
      <c r="M431" t="s">
        <v>33</v>
      </c>
      <c r="O431">
        <v>3056</v>
      </c>
    </row>
    <row r="432" spans="1:15" x14ac:dyDescent="0.35">
      <c r="A432" t="s">
        <v>20</v>
      </c>
      <c r="B432">
        <v>17646</v>
      </c>
      <c r="C432" t="s">
        <v>666</v>
      </c>
      <c r="D432" t="s">
        <v>667</v>
      </c>
      <c r="E432" t="s">
        <v>4848</v>
      </c>
      <c r="F432" t="s">
        <v>6189</v>
      </c>
      <c r="G432" t="s">
        <v>6190</v>
      </c>
      <c r="H432" t="s">
        <v>6191</v>
      </c>
      <c r="I432" t="s">
        <v>809</v>
      </c>
      <c r="K432" t="s">
        <v>46</v>
      </c>
      <c r="L432" t="s">
        <v>4721</v>
      </c>
      <c r="M432" t="s">
        <v>33</v>
      </c>
      <c r="O432">
        <v>3062</v>
      </c>
    </row>
    <row r="433" spans="1:15" x14ac:dyDescent="0.35">
      <c r="A433" t="s">
        <v>20</v>
      </c>
      <c r="B433">
        <v>17646</v>
      </c>
      <c r="C433" t="s">
        <v>666</v>
      </c>
      <c r="D433" t="s">
        <v>667</v>
      </c>
      <c r="E433" t="s">
        <v>4852</v>
      </c>
      <c r="F433" t="s">
        <v>6192</v>
      </c>
      <c r="G433" t="s">
        <v>6193</v>
      </c>
      <c r="H433" t="s">
        <v>6194</v>
      </c>
      <c r="I433" t="s">
        <v>809</v>
      </c>
      <c r="K433" t="s">
        <v>28</v>
      </c>
      <c r="L433" t="s">
        <v>4721</v>
      </c>
      <c r="M433" t="s">
        <v>33</v>
      </c>
      <c r="O433">
        <v>3075</v>
      </c>
    </row>
    <row r="434" spans="1:15" x14ac:dyDescent="0.35">
      <c r="A434" t="s">
        <v>20</v>
      </c>
      <c r="B434">
        <v>17646</v>
      </c>
      <c r="C434" t="s">
        <v>666</v>
      </c>
      <c r="D434" t="s">
        <v>667</v>
      </c>
      <c r="E434" t="s">
        <v>4856</v>
      </c>
      <c r="F434" t="s">
        <v>6195</v>
      </c>
      <c r="G434" t="s">
        <v>6196</v>
      </c>
      <c r="H434" t="s">
        <v>6197</v>
      </c>
      <c r="I434" t="s">
        <v>809</v>
      </c>
      <c r="K434" t="s">
        <v>38</v>
      </c>
      <c r="L434" t="s">
        <v>4721</v>
      </c>
      <c r="M434" t="s">
        <v>33</v>
      </c>
      <c r="O434">
        <v>3212</v>
      </c>
    </row>
    <row r="435" spans="1:15" x14ac:dyDescent="0.35">
      <c r="A435" t="s">
        <v>20</v>
      </c>
      <c r="B435">
        <v>17646</v>
      </c>
      <c r="C435" t="s">
        <v>666</v>
      </c>
      <c r="D435" t="s">
        <v>667</v>
      </c>
      <c r="E435" t="s">
        <v>4860</v>
      </c>
      <c r="F435" t="s">
        <v>6198</v>
      </c>
      <c r="G435" t="s">
        <v>6199</v>
      </c>
      <c r="H435" t="s">
        <v>6200</v>
      </c>
      <c r="I435" t="s">
        <v>809</v>
      </c>
      <c r="K435" t="s">
        <v>38</v>
      </c>
      <c r="L435" t="s">
        <v>4716</v>
      </c>
      <c r="M435" t="s">
        <v>33</v>
      </c>
      <c r="O435">
        <v>3221</v>
      </c>
    </row>
    <row r="436" spans="1:15" x14ac:dyDescent="0.35">
      <c r="A436" t="s">
        <v>20</v>
      </c>
      <c r="B436">
        <v>17646</v>
      </c>
      <c r="C436" t="s">
        <v>666</v>
      </c>
      <c r="D436" t="s">
        <v>667</v>
      </c>
      <c r="E436" t="s">
        <v>4864</v>
      </c>
      <c r="F436" t="s">
        <v>6201</v>
      </c>
      <c r="G436" t="s">
        <v>6202</v>
      </c>
      <c r="H436" t="s">
        <v>6203</v>
      </c>
      <c r="I436" t="s">
        <v>809</v>
      </c>
      <c r="K436" t="s">
        <v>61</v>
      </c>
      <c r="L436" t="s">
        <v>4721</v>
      </c>
      <c r="M436" t="s">
        <v>33</v>
      </c>
      <c r="O436">
        <v>3316</v>
      </c>
    </row>
    <row r="437" spans="1:15" x14ac:dyDescent="0.35">
      <c r="A437" t="s">
        <v>20</v>
      </c>
      <c r="B437">
        <v>17646</v>
      </c>
      <c r="C437" t="s">
        <v>666</v>
      </c>
      <c r="D437" t="s">
        <v>667</v>
      </c>
      <c r="E437" t="s">
        <v>4868</v>
      </c>
      <c r="F437" t="s">
        <v>6204</v>
      </c>
      <c r="G437" t="s">
        <v>6205</v>
      </c>
      <c r="H437" t="s">
        <v>6206</v>
      </c>
      <c r="I437" t="s">
        <v>809</v>
      </c>
      <c r="K437" t="s">
        <v>38</v>
      </c>
      <c r="L437" t="s">
        <v>4726</v>
      </c>
      <c r="M437" t="s">
        <v>33</v>
      </c>
      <c r="O437">
        <v>3489</v>
      </c>
    </row>
    <row r="438" spans="1:15" x14ac:dyDescent="0.35">
      <c r="A438" t="s">
        <v>20</v>
      </c>
      <c r="B438">
        <v>17646</v>
      </c>
      <c r="C438" t="s">
        <v>666</v>
      </c>
      <c r="D438" t="s">
        <v>667</v>
      </c>
      <c r="E438" t="s">
        <v>4872</v>
      </c>
      <c r="F438" t="s">
        <v>6207</v>
      </c>
      <c r="G438" t="s">
        <v>6208</v>
      </c>
      <c r="H438" t="s">
        <v>6209</v>
      </c>
      <c r="I438" t="s">
        <v>809</v>
      </c>
      <c r="K438" t="s">
        <v>28</v>
      </c>
      <c r="L438" t="s">
        <v>4726</v>
      </c>
      <c r="M438" t="s">
        <v>33</v>
      </c>
      <c r="O438">
        <v>3549</v>
      </c>
    </row>
    <row r="439" spans="1:15" x14ac:dyDescent="0.35">
      <c r="A439" t="s">
        <v>20</v>
      </c>
      <c r="B439">
        <v>17646</v>
      </c>
      <c r="C439" t="s">
        <v>666</v>
      </c>
      <c r="D439" t="s">
        <v>667</v>
      </c>
      <c r="E439" t="s">
        <v>4873</v>
      </c>
      <c r="F439" t="s">
        <v>6210</v>
      </c>
      <c r="G439" t="s">
        <v>6211</v>
      </c>
      <c r="H439" t="s">
        <v>6212</v>
      </c>
      <c r="I439" t="s">
        <v>809</v>
      </c>
      <c r="K439" t="s">
        <v>28</v>
      </c>
      <c r="L439" t="s">
        <v>4721</v>
      </c>
      <c r="M439" t="s">
        <v>33</v>
      </c>
      <c r="O439">
        <v>3559</v>
      </c>
    </row>
    <row r="440" spans="1:15" x14ac:dyDescent="0.35">
      <c r="A440" t="s">
        <v>20</v>
      </c>
      <c r="B440">
        <v>17646</v>
      </c>
      <c r="C440" t="s">
        <v>666</v>
      </c>
      <c r="D440" t="s">
        <v>667</v>
      </c>
      <c r="E440" t="s">
        <v>4874</v>
      </c>
      <c r="F440" t="s">
        <v>6213</v>
      </c>
      <c r="G440" t="s">
        <v>6214</v>
      </c>
      <c r="H440" t="s">
        <v>6215</v>
      </c>
      <c r="I440" t="s">
        <v>809</v>
      </c>
      <c r="K440" t="s">
        <v>28</v>
      </c>
      <c r="L440" t="s">
        <v>4721</v>
      </c>
      <c r="M440" t="s">
        <v>33</v>
      </c>
      <c r="O440">
        <v>3569</v>
      </c>
    </row>
    <row r="441" spans="1:15" x14ac:dyDescent="0.35">
      <c r="A441" t="s">
        <v>20</v>
      </c>
      <c r="B441">
        <v>17646</v>
      </c>
      <c r="C441" t="s">
        <v>666</v>
      </c>
      <c r="D441" t="s">
        <v>667</v>
      </c>
      <c r="E441" t="s">
        <v>4875</v>
      </c>
      <c r="F441" t="s">
        <v>6216</v>
      </c>
      <c r="G441" t="s">
        <v>6217</v>
      </c>
      <c r="H441" t="s">
        <v>6218</v>
      </c>
      <c r="I441" t="s">
        <v>809</v>
      </c>
      <c r="K441" t="s">
        <v>28</v>
      </c>
      <c r="L441" t="s">
        <v>4721</v>
      </c>
      <c r="M441" t="s">
        <v>33</v>
      </c>
      <c r="O441">
        <v>3574</v>
      </c>
    </row>
    <row r="442" spans="1:15" x14ac:dyDescent="0.35">
      <c r="A442" t="s">
        <v>20</v>
      </c>
      <c r="B442">
        <v>17646</v>
      </c>
      <c r="C442" t="s">
        <v>666</v>
      </c>
      <c r="D442" t="s">
        <v>667</v>
      </c>
      <c r="E442" t="s">
        <v>4879</v>
      </c>
      <c r="F442" t="s">
        <v>6219</v>
      </c>
      <c r="G442" t="s">
        <v>6220</v>
      </c>
      <c r="H442" t="s">
        <v>6221</v>
      </c>
      <c r="I442" t="s">
        <v>809</v>
      </c>
      <c r="K442" t="s">
        <v>28</v>
      </c>
      <c r="L442" t="s">
        <v>4721</v>
      </c>
      <c r="M442" t="s">
        <v>33</v>
      </c>
      <c r="O442">
        <v>4605</v>
      </c>
    </row>
    <row r="443" spans="1:15" x14ac:dyDescent="0.35">
      <c r="A443" t="s">
        <v>20</v>
      </c>
      <c r="B443">
        <v>17646</v>
      </c>
      <c r="C443" t="s">
        <v>666</v>
      </c>
      <c r="D443" t="s">
        <v>667</v>
      </c>
      <c r="E443" t="s">
        <v>4883</v>
      </c>
      <c r="F443" t="s">
        <v>6222</v>
      </c>
      <c r="G443" t="s">
        <v>6223</v>
      </c>
      <c r="H443" t="s">
        <v>6224</v>
      </c>
      <c r="I443" t="s">
        <v>809</v>
      </c>
      <c r="K443" t="s">
        <v>28</v>
      </c>
      <c r="L443" t="s">
        <v>4721</v>
      </c>
      <c r="M443" t="s">
        <v>33</v>
      </c>
      <c r="O443">
        <v>4616</v>
      </c>
    </row>
    <row r="444" spans="1:15" x14ac:dyDescent="0.35">
      <c r="A444" t="s">
        <v>20</v>
      </c>
      <c r="B444">
        <v>17646</v>
      </c>
      <c r="C444" t="s">
        <v>666</v>
      </c>
      <c r="D444" t="s">
        <v>667</v>
      </c>
      <c r="E444" t="s">
        <v>4887</v>
      </c>
      <c r="F444" t="s">
        <v>6225</v>
      </c>
      <c r="G444" t="s">
        <v>6226</v>
      </c>
      <c r="H444" t="s">
        <v>6227</v>
      </c>
      <c r="I444" t="s">
        <v>809</v>
      </c>
      <c r="K444" t="s">
        <v>28</v>
      </c>
      <c r="L444" t="s">
        <v>4721</v>
      </c>
      <c r="M444" t="s">
        <v>33</v>
      </c>
      <c r="O444">
        <v>4627</v>
      </c>
    </row>
    <row r="445" spans="1:15" x14ac:dyDescent="0.35">
      <c r="A445" t="s">
        <v>20</v>
      </c>
      <c r="B445">
        <v>17646</v>
      </c>
      <c r="C445" t="s">
        <v>666</v>
      </c>
      <c r="D445" t="s">
        <v>667</v>
      </c>
      <c r="E445" t="s">
        <v>4891</v>
      </c>
      <c r="F445" t="s">
        <v>6228</v>
      </c>
      <c r="G445" t="s">
        <v>6229</v>
      </c>
      <c r="H445" t="s">
        <v>6230</v>
      </c>
      <c r="I445" t="s">
        <v>809</v>
      </c>
      <c r="K445" t="s">
        <v>28</v>
      </c>
      <c r="L445" t="s">
        <v>4721</v>
      </c>
      <c r="M445" t="s">
        <v>33</v>
      </c>
      <c r="O445">
        <v>4638</v>
      </c>
    </row>
    <row r="446" spans="1:15" x14ac:dyDescent="0.35">
      <c r="A446" t="s">
        <v>20</v>
      </c>
      <c r="B446">
        <v>17646</v>
      </c>
      <c r="C446" t="s">
        <v>666</v>
      </c>
      <c r="D446" t="s">
        <v>667</v>
      </c>
      <c r="E446" t="s">
        <v>4895</v>
      </c>
      <c r="F446" t="s">
        <v>6231</v>
      </c>
      <c r="G446" t="s">
        <v>6232</v>
      </c>
      <c r="H446" t="s">
        <v>6233</v>
      </c>
      <c r="I446" t="s">
        <v>809</v>
      </c>
      <c r="K446" t="s">
        <v>28</v>
      </c>
      <c r="L446" t="s">
        <v>4721</v>
      </c>
      <c r="M446" t="s">
        <v>33</v>
      </c>
      <c r="O446">
        <v>4645</v>
      </c>
    </row>
    <row r="447" spans="1:15" x14ac:dyDescent="0.35">
      <c r="A447" t="s">
        <v>20</v>
      </c>
      <c r="B447">
        <v>17646</v>
      </c>
      <c r="C447" t="s">
        <v>666</v>
      </c>
      <c r="D447" t="s">
        <v>667</v>
      </c>
      <c r="E447" t="s">
        <v>4899</v>
      </c>
      <c r="F447" t="s">
        <v>6234</v>
      </c>
      <c r="G447" t="s">
        <v>6235</v>
      </c>
      <c r="H447" t="s">
        <v>6236</v>
      </c>
      <c r="I447" t="s">
        <v>809</v>
      </c>
      <c r="K447" t="s">
        <v>28</v>
      </c>
      <c r="L447" t="s">
        <v>4721</v>
      </c>
      <c r="M447" t="s">
        <v>33</v>
      </c>
      <c r="O447">
        <v>4651</v>
      </c>
    </row>
    <row r="448" spans="1:15" x14ac:dyDescent="0.35">
      <c r="A448" t="s">
        <v>20</v>
      </c>
      <c r="B448">
        <v>17646</v>
      </c>
      <c r="C448" t="s">
        <v>666</v>
      </c>
      <c r="D448" t="s">
        <v>667</v>
      </c>
      <c r="E448" t="s">
        <v>4903</v>
      </c>
      <c r="F448" t="s">
        <v>6237</v>
      </c>
      <c r="G448" t="s">
        <v>6238</v>
      </c>
      <c r="H448" t="s">
        <v>6239</v>
      </c>
      <c r="I448" t="s">
        <v>809</v>
      </c>
      <c r="K448" t="s">
        <v>28</v>
      </c>
      <c r="L448" t="s">
        <v>4721</v>
      </c>
      <c r="M448" t="s">
        <v>33</v>
      </c>
      <c r="O448">
        <v>4656</v>
      </c>
    </row>
    <row r="449" spans="1:15" x14ac:dyDescent="0.35">
      <c r="A449" t="s">
        <v>20</v>
      </c>
      <c r="B449">
        <v>17646</v>
      </c>
      <c r="C449" t="s">
        <v>666</v>
      </c>
      <c r="D449" t="s">
        <v>667</v>
      </c>
      <c r="E449" t="s">
        <v>4907</v>
      </c>
      <c r="F449" t="s">
        <v>6240</v>
      </c>
      <c r="G449" t="s">
        <v>6241</v>
      </c>
      <c r="H449" t="s">
        <v>6242</v>
      </c>
      <c r="I449" t="s">
        <v>809</v>
      </c>
      <c r="K449" t="s">
        <v>28</v>
      </c>
      <c r="L449" t="s">
        <v>4721</v>
      </c>
      <c r="M449" t="s">
        <v>33</v>
      </c>
      <c r="O449">
        <v>4661</v>
      </c>
    </row>
    <row r="450" spans="1:15" x14ac:dyDescent="0.35">
      <c r="A450" t="s">
        <v>20</v>
      </c>
      <c r="B450">
        <v>17646</v>
      </c>
      <c r="C450" t="s">
        <v>666</v>
      </c>
      <c r="D450" t="s">
        <v>667</v>
      </c>
      <c r="E450" t="s">
        <v>4911</v>
      </c>
      <c r="F450" t="s">
        <v>6243</v>
      </c>
      <c r="G450" t="s">
        <v>6244</v>
      </c>
      <c r="H450" t="s">
        <v>6245</v>
      </c>
      <c r="I450" t="s">
        <v>809</v>
      </c>
      <c r="K450" t="s">
        <v>28</v>
      </c>
      <c r="L450" t="s">
        <v>4721</v>
      </c>
      <c r="M450" t="s">
        <v>33</v>
      </c>
      <c r="O450">
        <v>4669</v>
      </c>
    </row>
    <row r="451" spans="1:15" x14ac:dyDescent="0.35">
      <c r="A451" t="s">
        <v>20</v>
      </c>
      <c r="B451">
        <v>17646</v>
      </c>
      <c r="C451" t="s">
        <v>666</v>
      </c>
      <c r="D451" t="s">
        <v>667</v>
      </c>
      <c r="E451" t="s">
        <v>4915</v>
      </c>
      <c r="F451" t="s">
        <v>6246</v>
      </c>
      <c r="G451" t="s">
        <v>6247</v>
      </c>
      <c r="H451" t="s">
        <v>6248</v>
      </c>
      <c r="I451" t="s">
        <v>809</v>
      </c>
      <c r="K451" t="s">
        <v>28</v>
      </c>
      <c r="L451" t="s">
        <v>4721</v>
      </c>
      <c r="M451" t="s">
        <v>33</v>
      </c>
      <c r="O451">
        <v>4675</v>
      </c>
    </row>
    <row r="452" spans="1:15" x14ac:dyDescent="0.35">
      <c r="A452" t="s">
        <v>20</v>
      </c>
      <c r="B452">
        <v>17646</v>
      </c>
      <c r="C452" t="s">
        <v>666</v>
      </c>
      <c r="D452" t="s">
        <v>667</v>
      </c>
      <c r="E452" t="s">
        <v>4919</v>
      </c>
      <c r="F452" t="s">
        <v>6249</v>
      </c>
      <c r="G452" t="s">
        <v>6250</v>
      </c>
      <c r="H452" t="s">
        <v>6251</v>
      </c>
      <c r="I452" t="s">
        <v>809</v>
      </c>
      <c r="K452" t="s">
        <v>28</v>
      </c>
      <c r="L452" t="s">
        <v>4721</v>
      </c>
      <c r="M452" t="s">
        <v>33</v>
      </c>
      <c r="O452">
        <v>4683</v>
      </c>
    </row>
    <row r="453" spans="1:15" x14ac:dyDescent="0.35">
      <c r="A453" t="s">
        <v>20</v>
      </c>
      <c r="B453">
        <v>17646</v>
      </c>
      <c r="C453" t="s">
        <v>666</v>
      </c>
      <c r="D453" t="s">
        <v>667</v>
      </c>
      <c r="E453" t="s">
        <v>4923</v>
      </c>
      <c r="F453" t="s">
        <v>6252</v>
      </c>
      <c r="G453" t="s">
        <v>6253</v>
      </c>
      <c r="H453" t="s">
        <v>6254</v>
      </c>
      <c r="I453" t="s">
        <v>809</v>
      </c>
      <c r="K453" t="s">
        <v>28</v>
      </c>
      <c r="L453" t="s">
        <v>4721</v>
      </c>
      <c r="M453" t="s">
        <v>33</v>
      </c>
      <c r="O453">
        <v>4692</v>
      </c>
    </row>
    <row r="454" spans="1:15" x14ac:dyDescent="0.35">
      <c r="A454" t="s">
        <v>20</v>
      </c>
      <c r="B454">
        <v>17646</v>
      </c>
      <c r="C454" t="s">
        <v>666</v>
      </c>
      <c r="D454" t="s">
        <v>667</v>
      </c>
      <c r="E454" t="s">
        <v>4927</v>
      </c>
      <c r="F454" t="s">
        <v>6255</v>
      </c>
      <c r="G454" t="s">
        <v>6256</v>
      </c>
      <c r="H454" t="s">
        <v>6257</v>
      </c>
      <c r="I454" t="s">
        <v>809</v>
      </c>
      <c r="K454" t="s">
        <v>38</v>
      </c>
      <c r="L454" t="s">
        <v>4716</v>
      </c>
      <c r="M454" t="s">
        <v>33</v>
      </c>
      <c r="O454">
        <v>4831</v>
      </c>
    </row>
    <row r="455" spans="1:15" x14ac:dyDescent="0.35">
      <c r="A455" t="s">
        <v>20</v>
      </c>
      <c r="B455">
        <v>17646</v>
      </c>
      <c r="C455" t="s">
        <v>666</v>
      </c>
      <c r="D455" t="s">
        <v>667</v>
      </c>
      <c r="E455" t="s">
        <v>4931</v>
      </c>
      <c r="F455" t="s">
        <v>6258</v>
      </c>
      <c r="G455" t="s">
        <v>6259</v>
      </c>
      <c r="H455" t="s">
        <v>6260</v>
      </c>
      <c r="I455" t="s">
        <v>809</v>
      </c>
      <c r="K455" t="s">
        <v>38</v>
      </c>
      <c r="L455" t="s">
        <v>4721</v>
      </c>
      <c r="M455" t="s">
        <v>33</v>
      </c>
      <c r="O455">
        <v>4856</v>
      </c>
    </row>
    <row r="456" spans="1:15" x14ac:dyDescent="0.35">
      <c r="A456" t="s">
        <v>20</v>
      </c>
      <c r="B456">
        <v>17646</v>
      </c>
      <c r="C456" t="s">
        <v>666</v>
      </c>
      <c r="D456" t="s">
        <v>667</v>
      </c>
      <c r="E456" t="s">
        <v>4935</v>
      </c>
      <c r="F456" t="s">
        <v>6261</v>
      </c>
      <c r="G456" t="s">
        <v>6262</v>
      </c>
      <c r="H456" t="s">
        <v>6263</v>
      </c>
      <c r="I456" t="s">
        <v>809</v>
      </c>
      <c r="K456" t="s">
        <v>38</v>
      </c>
      <c r="L456" t="s">
        <v>4721</v>
      </c>
      <c r="M456" t="s">
        <v>33</v>
      </c>
      <c r="O456">
        <v>4866</v>
      </c>
    </row>
    <row r="457" spans="1:15" x14ac:dyDescent="0.35">
      <c r="A457" t="s">
        <v>20</v>
      </c>
      <c r="B457">
        <v>17646</v>
      </c>
      <c r="C457" t="s">
        <v>666</v>
      </c>
      <c r="D457" t="s">
        <v>667</v>
      </c>
      <c r="E457" t="s">
        <v>4939</v>
      </c>
      <c r="F457" t="s">
        <v>6264</v>
      </c>
      <c r="G457" t="s">
        <v>6265</v>
      </c>
      <c r="H457" t="s">
        <v>6266</v>
      </c>
      <c r="I457" t="s">
        <v>809</v>
      </c>
      <c r="K457" t="s">
        <v>28</v>
      </c>
      <c r="L457" t="s">
        <v>4721</v>
      </c>
      <c r="M457" t="s">
        <v>33</v>
      </c>
      <c r="O457">
        <v>4879</v>
      </c>
    </row>
    <row r="458" spans="1:15" x14ac:dyDescent="0.35">
      <c r="A458" t="s">
        <v>20</v>
      </c>
      <c r="B458">
        <v>17646</v>
      </c>
      <c r="C458" t="s">
        <v>666</v>
      </c>
      <c r="D458" t="s">
        <v>667</v>
      </c>
      <c r="E458" t="s">
        <v>4943</v>
      </c>
      <c r="F458" t="s">
        <v>6267</v>
      </c>
      <c r="G458" t="s">
        <v>6268</v>
      </c>
      <c r="H458" t="s">
        <v>6269</v>
      </c>
      <c r="I458" t="s">
        <v>809</v>
      </c>
      <c r="K458" t="s">
        <v>28</v>
      </c>
      <c r="L458" t="s">
        <v>4716</v>
      </c>
      <c r="M458" t="s">
        <v>33</v>
      </c>
      <c r="O458">
        <v>5270</v>
      </c>
    </row>
    <row r="459" spans="1:15" x14ac:dyDescent="0.35">
      <c r="A459" t="s">
        <v>20</v>
      </c>
      <c r="B459">
        <v>17646</v>
      </c>
      <c r="C459" t="s">
        <v>666</v>
      </c>
      <c r="D459" t="s">
        <v>667</v>
      </c>
      <c r="E459" t="s">
        <v>4947</v>
      </c>
      <c r="F459" t="s">
        <v>6270</v>
      </c>
      <c r="G459" t="s">
        <v>6271</v>
      </c>
      <c r="H459" t="s">
        <v>6272</v>
      </c>
      <c r="I459" t="s">
        <v>809</v>
      </c>
      <c r="K459" t="s">
        <v>28</v>
      </c>
      <c r="L459" t="s">
        <v>4721</v>
      </c>
      <c r="M459" t="s">
        <v>33</v>
      </c>
      <c r="O459">
        <v>5332</v>
      </c>
    </row>
    <row r="460" spans="1:15" x14ac:dyDescent="0.35">
      <c r="A460" t="s">
        <v>20</v>
      </c>
      <c r="B460">
        <v>17646</v>
      </c>
      <c r="C460" t="s">
        <v>666</v>
      </c>
      <c r="D460" t="s">
        <v>667</v>
      </c>
      <c r="E460" t="s">
        <v>4951</v>
      </c>
      <c r="F460" t="s">
        <v>6273</v>
      </c>
      <c r="G460" t="s">
        <v>6274</v>
      </c>
      <c r="H460" t="s">
        <v>6275</v>
      </c>
      <c r="I460" t="s">
        <v>809</v>
      </c>
      <c r="K460" t="s">
        <v>28</v>
      </c>
      <c r="L460" t="s">
        <v>4721</v>
      </c>
      <c r="M460" t="s">
        <v>33</v>
      </c>
      <c r="O460">
        <v>5341</v>
      </c>
    </row>
    <row r="461" spans="1:15" x14ac:dyDescent="0.35">
      <c r="A461" t="s">
        <v>20</v>
      </c>
      <c r="B461">
        <v>17646</v>
      </c>
      <c r="C461" t="s">
        <v>666</v>
      </c>
      <c r="D461" t="s">
        <v>667</v>
      </c>
      <c r="E461" t="s">
        <v>4955</v>
      </c>
      <c r="F461" t="s">
        <v>6276</v>
      </c>
      <c r="G461" t="s">
        <v>6277</v>
      </c>
      <c r="H461" t="s">
        <v>6278</v>
      </c>
      <c r="I461" t="s">
        <v>809</v>
      </c>
      <c r="K461" t="s">
        <v>28</v>
      </c>
      <c r="L461" t="s">
        <v>4721</v>
      </c>
      <c r="M461" t="s">
        <v>33</v>
      </c>
      <c r="O461">
        <v>5349</v>
      </c>
    </row>
    <row r="462" spans="1:15" x14ac:dyDescent="0.35">
      <c r="A462" t="s">
        <v>20</v>
      </c>
      <c r="B462">
        <v>17646</v>
      </c>
      <c r="C462" t="s">
        <v>666</v>
      </c>
      <c r="D462" t="s">
        <v>667</v>
      </c>
      <c r="E462" t="s">
        <v>4959</v>
      </c>
      <c r="F462" t="s">
        <v>6279</v>
      </c>
      <c r="G462" t="s">
        <v>6280</v>
      </c>
      <c r="H462" t="s">
        <v>6281</v>
      </c>
      <c r="I462" t="s">
        <v>809</v>
      </c>
      <c r="K462" t="s">
        <v>46</v>
      </c>
      <c r="L462" t="s">
        <v>4721</v>
      </c>
      <c r="M462" t="s">
        <v>33</v>
      </c>
      <c r="O462">
        <v>5456</v>
      </c>
    </row>
    <row r="463" spans="1:15" x14ac:dyDescent="0.35">
      <c r="A463" t="s">
        <v>20</v>
      </c>
      <c r="B463">
        <v>17646</v>
      </c>
      <c r="C463" t="s">
        <v>666</v>
      </c>
      <c r="D463" t="s">
        <v>667</v>
      </c>
      <c r="E463" t="s">
        <v>4963</v>
      </c>
      <c r="F463" t="s">
        <v>6282</v>
      </c>
      <c r="G463" t="s">
        <v>6283</v>
      </c>
      <c r="H463" t="s">
        <v>6284</v>
      </c>
      <c r="I463" t="s">
        <v>809</v>
      </c>
      <c r="K463" t="s">
        <v>46</v>
      </c>
      <c r="L463" t="s">
        <v>4721</v>
      </c>
      <c r="M463" t="s">
        <v>33</v>
      </c>
      <c r="O463">
        <v>5464</v>
      </c>
    </row>
    <row r="464" spans="1:15" x14ac:dyDescent="0.35">
      <c r="A464" t="s">
        <v>20</v>
      </c>
      <c r="B464">
        <v>17646</v>
      </c>
      <c r="C464" t="s">
        <v>666</v>
      </c>
      <c r="D464" t="s">
        <v>667</v>
      </c>
      <c r="E464" t="s">
        <v>4967</v>
      </c>
      <c r="F464" t="s">
        <v>6285</v>
      </c>
      <c r="G464" t="s">
        <v>6286</v>
      </c>
      <c r="H464" t="s">
        <v>6287</v>
      </c>
      <c r="I464" t="s">
        <v>809</v>
      </c>
      <c r="K464" t="s">
        <v>61</v>
      </c>
      <c r="L464" t="s">
        <v>4716</v>
      </c>
      <c r="M464" t="s">
        <v>33</v>
      </c>
      <c r="O464">
        <v>5639</v>
      </c>
    </row>
    <row r="465" spans="1:15" x14ac:dyDescent="0.35">
      <c r="A465" t="s">
        <v>20</v>
      </c>
      <c r="B465">
        <v>17646</v>
      </c>
      <c r="C465" t="s">
        <v>666</v>
      </c>
      <c r="D465" t="s">
        <v>667</v>
      </c>
      <c r="E465" t="s">
        <v>4971</v>
      </c>
      <c r="F465" t="s">
        <v>6288</v>
      </c>
      <c r="G465" t="s">
        <v>6289</v>
      </c>
      <c r="H465" t="s">
        <v>6290</v>
      </c>
      <c r="I465" t="s">
        <v>809</v>
      </c>
      <c r="K465" t="s">
        <v>28</v>
      </c>
      <c r="L465" t="s">
        <v>4721</v>
      </c>
      <c r="M465" t="s">
        <v>33</v>
      </c>
      <c r="O465">
        <v>5769</v>
      </c>
    </row>
    <row r="466" spans="1:15" x14ac:dyDescent="0.35">
      <c r="A466" t="s">
        <v>20</v>
      </c>
      <c r="B466">
        <v>17646</v>
      </c>
      <c r="C466" t="s">
        <v>666</v>
      </c>
      <c r="D466" t="s">
        <v>667</v>
      </c>
      <c r="E466" t="s">
        <v>4975</v>
      </c>
      <c r="F466" t="s">
        <v>6291</v>
      </c>
      <c r="G466" t="s">
        <v>6292</v>
      </c>
      <c r="H466" t="s">
        <v>6293</v>
      </c>
      <c r="I466" t="s">
        <v>809</v>
      </c>
      <c r="K466" t="s">
        <v>28</v>
      </c>
      <c r="L466" t="s">
        <v>4721</v>
      </c>
      <c r="M466" t="s">
        <v>33</v>
      </c>
      <c r="O466">
        <v>5776</v>
      </c>
    </row>
    <row r="467" spans="1:15" x14ac:dyDescent="0.35">
      <c r="A467" t="s">
        <v>20</v>
      </c>
      <c r="B467">
        <v>17646</v>
      </c>
      <c r="C467" t="s">
        <v>666</v>
      </c>
      <c r="D467" t="s">
        <v>667</v>
      </c>
      <c r="E467" t="s">
        <v>4979</v>
      </c>
      <c r="F467" t="s">
        <v>6294</v>
      </c>
      <c r="G467" t="s">
        <v>6295</v>
      </c>
      <c r="H467" t="s">
        <v>6296</v>
      </c>
      <c r="I467" t="s">
        <v>809</v>
      </c>
      <c r="K467" t="s">
        <v>28</v>
      </c>
      <c r="L467" t="s">
        <v>4721</v>
      </c>
      <c r="M467" t="s">
        <v>33</v>
      </c>
      <c r="O467">
        <v>5782</v>
      </c>
    </row>
    <row r="468" spans="1:15" x14ac:dyDescent="0.35">
      <c r="A468" t="s">
        <v>20</v>
      </c>
      <c r="B468">
        <v>17646</v>
      </c>
      <c r="C468" t="s">
        <v>666</v>
      </c>
      <c r="D468" t="s">
        <v>667</v>
      </c>
      <c r="E468" t="s">
        <v>4983</v>
      </c>
      <c r="F468" t="s">
        <v>6297</v>
      </c>
      <c r="G468" t="s">
        <v>6298</v>
      </c>
      <c r="H468" t="s">
        <v>6299</v>
      </c>
      <c r="I468" t="s">
        <v>809</v>
      </c>
      <c r="K468" t="s">
        <v>46</v>
      </c>
      <c r="L468" t="s">
        <v>4721</v>
      </c>
      <c r="M468" t="s">
        <v>33</v>
      </c>
      <c r="O468">
        <v>6170</v>
      </c>
    </row>
    <row r="469" spans="1:15" x14ac:dyDescent="0.35">
      <c r="A469" t="s">
        <v>20</v>
      </c>
      <c r="B469">
        <v>17646</v>
      </c>
      <c r="C469" t="s">
        <v>666</v>
      </c>
      <c r="D469" t="s">
        <v>667</v>
      </c>
      <c r="E469" t="s">
        <v>4987</v>
      </c>
      <c r="F469" t="s">
        <v>6300</v>
      </c>
      <c r="G469" t="s">
        <v>6301</v>
      </c>
      <c r="H469" t="s">
        <v>6302</v>
      </c>
      <c r="I469" t="s">
        <v>809</v>
      </c>
      <c r="K469" t="s">
        <v>46</v>
      </c>
      <c r="L469" t="s">
        <v>4721</v>
      </c>
      <c r="M469" t="s">
        <v>33</v>
      </c>
      <c r="O469">
        <v>6181</v>
      </c>
    </row>
    <row r="470" spans="1:15" x14ac:dyDescent="0.35">
      <c r="A470" t="s">
        <v>20</v>
      </c>
      <c r="B470">
        <v>17646</v>
      </c>
      <c r="C470" t="s">
        <v>666</v>
      </c>
      <c r="D470" t="s">
        <v>667</v>
      </c>
      <c r="E470" t="s">
        <v>4991</v>
      </c>
      <c r="F470" t="s">
        <v>6303</v>
      </c>
      <c r="G470" t="s">
        <v>6304</v>
      </c>
      <c r="H470" t="s">
        <v>6305</v>
      </c>
      <c r="I470" t="s">
        <v>809</v>
      </c>
      <c r="K470" t="s">
        <v>28</v>
      </c>
      <c r="L470" t="s">
        <v>4721</v>
      </c>
      <c r="M470" t="s">
        <v>33</v>
      </c>
      <c r="O470">
        <v>6260</v>
      </c>
    </row>
    <row r="471" spans="1:15" x14ac:dyDescent="0.35">
      <c r="A471" t="s">
        <v>20</v>
      </c>
      <c r="B471">
        <v>17646</v>
      </c>
      <c r="C471" t="s">
        <v>666</v>
      </c>
      <c r="D471" t="s">
        <v>667</v>
      </c>
      <c r="E471" t="s">
        <v>4995</v>
      </c>
      <c r="F471" t="s">
        <v>6306</v>
      </c>
      <c r="G471" t="s">
        <v>6307</v>
      </c>
      <c r="H471" t="s">
        <v>6308</v>
      </c>
      <c r="I471" t="s">
        <v>809</v>
      </c>
      <c r="K471" t="s">
        <v>28</v>
      </c>
      <c r="L471" t="s">
        <v>4721</v>
      </c>
      <c r="M471" t="s">
        <v>33</v>
      </c>
      <c r="O471">
        <v>6269</v>
      </c>
    </row>
    <row r="472" spans="1:15" x14ac:dyDescent="0.35">
      <c r="A472" t="s">
        <v>20</v>
      </c>
      <c r="B472">
        <v>17646</v>
      </c>
      <c r="C472" t="s">
        <v>666</v>
      </c>
      <c r="D472" t="s">
        <v>667</v>
      </c>
      <c r="E472" t="s">
        <v>4999</v>
      </c>
      <c r="F472" t="s">
        <v>6309</v>
      </c>
      <c r="G472" t="s">
        <v>6310</v>
      </c>
      <c r="H472" t="s">
        <v>6311</v>
      </c>
      <c r="I472" t="s">
        <v>809</v>
      </c>
      <c r="K472" t="s">
        <v>38</v>
      </c>
      <c r="L472" t="s">
        <v>4716</v>
      </c>
      <c r="M472" t="s">
        <v>33</v>
      </c>
      <c r="O472">
        <v>6296</v>
      </c>
    </row>
    <row r="473" spans="1:15" x14ac:dyDescent="0.35">
      <c r="A473" t="s">
        <v>20</v>
      </c>
      <c r="B473">
        <v>17646</v>
      </c>
      <c r="C473" t="s">
        <v>666</v>
      </c>
      <c r="D473" t="s">
        <v>667</v>
      </c>
      <c r="E473" t="s">
        <v>5003</v>
      </c>
      <c r="F473" t="s">
        <v>6312</v>
      </c>
      <c r="G473" t="s">
        <v>6313</v>
      </c>
      <c r="H473" t="s">
        <v>6314</v>
      </c>
      <c r="I473" t="s">
        <v>809</v>
      </c>
      <c r="K473" t="s">
        <v>38</v>
      </c>
      <c r="L473" t="s">
        <v>4721</v>
      </c>
      <c r="M473" t="s">
        <v>33</v>
      </c>
      <c r="O473">
        <v>6676</v>
      </c>
    </row>
    <row r="474" spans="1:15" x14ac:dyDescent="0.35">
      <c r="A474" t="s">
        <v>20</v>
      </c>
      <c r="B474">
        <v>17646</v>
      </c>
      <c r="C474" t="s">
        <v>666</v>
      </c>
      <c r="D474" t="s">
        <v>667</v>
      </c>
      <c r="E474" t="s">
        <v>5007</v>
      </c>
      <c r="F474" t="s">
        <v>6315</v>
      </c>
      <c r="G474" t="s">
        <v>6316</v>
      </c>
      <c r="H474" t="s">
        <v>6317</v>
      </c>
      <c r="I474" t="s">
        <v>809</v>
      </c>
      <c r="K474" t="s">
        <v>38</v>
      </c>
      <c r="L474" t="s">
        <v>4716</v>
      </c>
      <c r="M474" t="s">
        <v>33</v>
      </c>
      <c r="O474">
        <v>6688</v>
      </c>
    </row>
    <row r="475" spans="1:15" x14ac:dyDescent="0.35">
      <c r="A475" t="s">
        <v>20</v>
      </c>
      <c r="B475">
        <v>17646</v>
      </c>
      <c r="C475" t="s">
        <v>666</v>
      </c>
      <c r="D475" t="s">
        <v>667</v>
      </c>
      <c r="E475" t="s">
        <v>5011</v>
      </c>
      <c r="F475" t="s">
        <v>6318</v>
      </c>
      <c r="G475" t="s">
        <v>6319</v>
      </c>
      <c r="H475" t="s">
        <v>6320</v>
      </c>
      <c r="I475" t="s">
        <v>809</v>
      </c>
      <c r="K475" t="s">
        <v>38</v>
      </c>
      <c r="L475" t="s">
        <v>4716</v>
      </c>
      <c r="M475" t="s">
        <v>33</v>
      </c>
      <c r="O475">
        <v>6695</v>
      </c>
    </row>
    <row r="476" spans="1:15" x14ac:dyDescent="0.35">
      <c r="A476" t="s">
        <v>20</v>
      </c>
      <c r="B476">
        <v>17646</v>
      </c>
      <c r="C476" t="s">
        <v>666</v>
      </c>
      <c r="D476" t="s">
        <v>667</v>
      </c>
      <c r="E476" t="s">
        <v>5015</v>
      </c>
      <c r="F476" t="s">
        <v>6321</v>
      </c>
      <c r="G476" t="s">
        <v>6322</v>
      </c>
      <c r="H476" t="s">
        <v>6323</v>
      </c>
      <c r="I476" t="s">
        <v>809</v>
      </c>
      <c r="K476" t="s">
        <v>28</v>
      </c>
      <c r="L476" t="s">
        <v>4721</v>
      </c>
      <c r="M476" t="s">
        <v>33</v>
      </c>
      <c r="O476">
        <v>7024</v>
      </c>
    </row>
    <row r="477" spans="1:15" x14ac:dyDescent="0.35">
      <c r="A477" t="s">
        <v>20</v>
      </c>
      <c r="B477">
        <v>17646</v>
      </c>
      <c r="C477" t="s">
        <v>666</v>
      </c>
      <c r="D477" t="s">
        <v>667</v>
      </c>
      <c r="E477" t="s">
        <v>5019</v>
      </c>
      <c r="F477" t="s">
        <v>6324</v>
      </c>
      <c r="G477" t="s">
        <v>6325</v>
      </c>
      <c r="H477" t="s">
        <v>6326</v>
      </c>
      <c r="I477" t="s">
        <v>809</v>
      </c>
      <c r="K477" t="s">
        <v>28</v>
      </c>
      <c r="L477" t="s">
        <v>4721</v>
      </c>
      <c r="M477" t="s">
        <v>33</v>
      </c>
      <c r="O477">
        <v>7035</v>
      </c>
    </row>
    <row r="478" spans="1:15" x14ac:dyDescent="0.35">
      <c r="A478" t="s">
        <v>20</v>
      </c>
      <c r="B478">
        <v>17646</v>
      </c>
      <c r="C478" t="s">
        <v>666</v>
      </c>
      <c r="D478" t="s">
        <v>667</v>
      </c>
      <c r="E478" t="s">
        <v>5023</v>
      </c>
      <c r="F478" t="s">
        <v>6327</v>
      </c>
      <c r="G478" t="s">
        <v>6328</v>
      </c>
      <c r="H478" t="s">
        <v>6329</v>
      </c>
      <c r="I478" t="s">
        <v>809</v>
      </c>
      <c r="K478" t="s">
        <v>28</v>
      </c>
      <c r="L478" t="s">
        <v>4721</v>
      </c>
      <c r="M478" t="s">
        <v>33</v>
      </c>
      <c r="O478">
        <v>7044</v>
      </c>
    </row>
    <row r="479" spans="1:15" x14ac:dyDescent="0.35">
      <c r="A479" t="s">
        <v>20</v>
      </c>
      <c r="B479">
        <v>17646</v>
      </c>
      <c r="C479" t="s">
        <v>666</v>
      </c>
      <c r="D479" t="s">
        <v>667</v>
      </c>
      <c r="E479" t="s">
        <v>5027</v>
      </c>
      <c r="F479" t="s">
        <v>6330</v>
      </c>
      <c r="G479" t="s">
        <v>6331</v>
      </c>
      <c r="H479" t="s">
        <v>6332</v>
      </c>
      <c r="I479" t="s">
        <v>809</v>
      </c>
      <c r="K479" t="s">
        <v>61</v>
      </c>
      <c r="L479" t="s">
        <v>4716</v>
      </c>
      <c r="M479" t="s">
        <v>33</v>
      </c>
      <c r="O479">
        <v>7201</v>
      </c>
    </row>
    <row r="480" spans="1:15" x14ac:dyDescent="0.35">
      <c r="A480" t="s">
        <v>20</v>
      </c>
      <c r="B480">
        <v>17646</v>
      </c>
      <c r="C480" t="s">
        <v>666</v>
      </c>
      <c r="D480" t="s">
        <v>667</v>
      </c>
      <c r="E480" t="s">
        <v>5031</v>
      </c>
      <c r="F480" t="s">
        <v>6333</v>
      </c>
      <c r="G480" t="s">
        <v>6334</v>
      </c>
      <c r="H480" t="s">
        <v>6335</v>
      </c>
      <c r="I480" t="s">
        <v>809</v>
      </c>
      <c r="K480" t="s">
        <v>61</v>
      </c>
      <c r="L480" t="s">
        <v>4716</v>
      </c>
      <c r="M480" t="s">
        <v>33</v>
      </c>
      <c r="O480">
        <v>7212</v>
      </c>
    </row>
    <row r="481" spans="1:15" x14ac:dyDescent="0.35">
      <c r="A481" t="s">
        <v>20</v>
      </c>
      <c r="B481">
        <v>17646</v>
      </c>
      <c r="C481" t="s">
        <v>666</v>
      </c>
      <c r="D481" t="s">
        <v>667</v>
      </c>
      <c r="E481" t="s">
        <v>5035</v>
      </c>
      <c r="F481" t="s">
        <v>6336</v>
      </c>
      <c r="G481" t="s">
        <v>6337</v>
      </c>
      <c r="H481" t="s">
        <v>6338</v>
      </c>
      <c r="I481" t="s">
        <v>809</v>
      </c>
      <c r="K481" t="s">
        <v>61</v>
      </c>
      <c r="L481" t="s">
        <v>4716</v>
      </c>
      <c r="M481" t="s">
        <v>33</v>
      </c>
      <c r="O481">
        <v>7250</v>
      </c>
    </row>
    <row r="482" spans="1:15" x14ac:dyDescent="0.35">
      <c r="A482" t="s">
        <v>20</v>
      </c>
      <c r="B482">
        <v>17646</v>
      </c>
      <c r="C482" t="s">
        <v>666</v>
      </c>
      <c r="D482" t="s">
        <v>667</v>
      </c>
      <c r="E482" t="s">
        <v>5039</v>
      </c>
      <c r="F482" t="s">
        <v>6339</v>
      </c>
      <c r="G482" t="s">
        <v>6340</v>
      </c>
      <c r="H482" t="s">
        <v>6341</v>
      </c>
      <c r="I482" t="s">
        <v>809</v>
      </c>
      <c r="K482" t="s">
        <v>61</v>
      </c>
      <c r="L482" t="s">
        <v>4716</v>
      </c>
      <c r="M482" t="s">
        <v>33</v>
      </c>
      <c r="O482">
        <v>7258</v>
      </c>
    </row>
    <row r="483" spans="1:15" x14ac:dyDescent="0.35">
      <c r="A483" t="s">
        <v>20</v>
      </c>
      <c r="B483">
        <v>17646</v>
      </c>
      <c r="C483" t="s">
        <v>666</v>
      </c>
      <c r="D483" t="s">
        <v>667</v>
      </c>
      <c r="E483" t="s">
        <v>5043</v>
      </c>
      <c r="F483" t="s">
        <v>6342</v>
      </c>
      <c r="G483" t="s">
        <v>6343</v>
      </c>
      <c r="H483" t="s">
        <v>6344</v>
      </c>
      <c r="I483" t="s">
        <v>809</v>
      </c>
      <c r="K483" t="s">
        <v>61</v>
      </c>
      <c r="L483" t="s">
        <v>4716</v>
      </c>
      <c r="M483" t="s">
        <v>33</v>
      </c>
      <c r="O483">
        <v>7265</v>
      </c>
    </row>
    <row r="484" spans="1:15" x14ac:dyDescent="0.35">
      <c r="A484" t="s">
        <v>20</v>
      </c>
      <c r="B484">
        <v>17646</v>
      </c>
      <c r="C484" t="s">
        <v>666</v>
      </c>
      <c r="D484" t="s">
        <v>667</v>
      </c>
      <c r="E484" t="s">
        <v>5047</v>
      </c>
      <c r="F484" t="s">
        <v>6345</v>
      </c>
      <c r="G484" t="s">
        <v>6346</v>
      </c>
      <c r="H484" t="s">
        <v>6347</v>
      </c>
      <c r="I484" t="s">
        <v>809</v>
      </c>
      <c r="K484" t="s">
        <v>61</v>
      </c>
      <c r="L484" t="s">
        <v>4716</v>
      </c>
      <c r="M484" t="s">
        <v>33</v>
      </c>
      <c r="O484">
        <v>7271</v>
      </c>
    </row>
    <row r="485" spans="1:15" x14ac:dyDescent="0.35">
      <c r="A485" t="s">
        <v>20</v>
      </c>
      <c r="B485">
        <v>17646</v>
      </c>
      <c r="C485" t="s">
        <v>666</v>
      </c>
      <c r="D485" t="s">
        <v>667</v>
      </c>
      <c r="E485" t="s">
        <v>5051</v>
      </c>
      <c r="F485" t="s">
        <v>6348</v>
      </c>
      <c r="G485" t="s">
        <v>6349</v>
      </c>
      <c r="H485" t="s">
        <v>6350</v>
      </c>
      <c r="I485" t="s">
        <v>809</v>
      </c>
      <c r="K485" t="s">
        <v>61</v>
      </c>
      <c r="L485" t="s">
        <v>4716</v>
      </c>
      <c r="M485" t="s">
        <v>33</v>
      </c>
      <c r="O485">
        <v>7278</v>
      </c>
    </row>
    <row r="486" spans="1:15" x14ac:dyDescent="0.35">
      <c r="A486" t="s">
        <v>20</v>
      </c>
      <c r="B486">
        <v>17646</v>
      </c>
      <c r="C486" t="s">
        <v>666</v>
      </c>
      <c r="D486" t="s">
        <v>667</v>
      </c>
      <c r="E486" t="s">
        <v>5055</v>
      </c>
      <c r="F486" t="s">
        <v>6351</v>
      </c>
      <c r="G486" t="s">
        <v>6352</v>
      </c>
      <c r="H486" t="s">
        <v>6353</v>
      </c>
      <c r="I486" t="s">
        <v>809</v>
      </c>
      <c r="K486" t="s">
        <v>61</v>
      </c>
      <c r="L486" t="s">
        <v>4721</v>
      </c>
      <c r="M486" t="s">
        <v>33</v>
      </c>
      <c r="O486">
        <v>7283</v>
      </c>
    </row>
    <row r="487" spans="1:15" x14ac:dyDescent="0.35">
      <c r="A487" t="s">
        <v>20</v>
      </c>
      <c r="B487">
        <v>17646</v>
      </c>
      <c r="C487" t="s">
        <v>666</v>
      </c>
      <c r="D487" t="s">
        <v>667</v>
      </c>
      <c r="E487" t="s">
        <v>5059</v>
      </c>
      <c r="F487" t="s">
        <v>6354</v>
      </c>
      <c r="G487" t="s">
        <v>6355</v>
      </c>
      <c r="H487" t="s">
        <v>6356</v>
      </c>
      <c r="I487" t="s">
        <v>809</v>
      </c>
      <c r="K487" t="s">
        <v>61</v>
      </c>
      <c r="L487" t="s">
        <v>4721</v>
      </c>
      <c r="M487" t="s">
        <v>33</v>
      </c>
      <c r="O487">
        <v>7291</v>
      </c>
    </row>
    <row r="488" spans="1:15" x14ac:dyDescent="0.35">
      <c r="A488" t="s">
        <v>20</v>
      </c>
      <c r="B488">
        <v>17646</v>
      </c>
      <c r="C488" t="s">
        <v>666</v>
      </c>
      <c r="D488" t="s">
        <v>667</v>
      </c>
      <c r="E488" t="s">
        <v>5063</v>
      </c>
      <c r="F488" t="s">
        <v>6357</v>
      </c>
      <c r="G488" t="s">
        <v>6358</v>
      </c>
      <c r="H488" t="s">
        <v>6359</v>
      </c>
      <c r="I488" t="s">
        <v>809</v>
      </c>
      <c r="K488" t="s">
        <v>61</v>
      </c>
      <c r="L488" t="s">
        <v>4716</v>
      </c>
      <c r="M488" t="s">
        <v>33</v>
      </c>
      <c r="O488">
        <v>7309</v>
      </c>
    </row>
    <row r="489" spans="1:15" x14ac:dyDescent="0.35">
      <c r="A489" t="s">
        <v>20</v>
      </c>
      <c r="B489">
        <v>17645</v>
      </c>
      <c r="C489" t="s">
        <v>949</v>
      </c>
      <c r="D489" t="s">
        <v>950</v>
      </c>
      <c r="E489" t="s">
        <v>5147</v>
      </c>
      <c r="F489" t="s">
        <v>6360</v>
      </c>
      <c r="G489" t="s">
        <v>6361</v>
      </c>
      <c r="H489" t="s">
        <v>6362</v>
      </c>
      <c r="I489" t="s">
        <v>1090</v>
      </c>
      <c r="K489" t="s">
        <v>61</v>
      </c>
      <c r="L489" t="s">
        <v>4721</v>
      </c>
      <c r="M489" t="s">
        <v>33</v>
      </c>
      <c r="O489">
        <v>101</v>
      </c>
    </row>
    <row r="490" spans="1:15" x14ac:dyDescent="0.35">
      <c r="A490" t="s">
        <v>20</v>
      </c>
      <c r="B490">
        <v>17645</v>
      </c>
      <c r="C490" t="s">
        <v>949</v>
      </c>
      <c r="D490" t="s">
        <v>950</v>
      </c>
      <c r="E490" t="s">
        <v>5151</v>
      </c>
      <c r="F490" t="s">
        <v>6363</v>
      </c>
      <c r="G490" t="s">
        <v>6364</v>
      </c>
      <c r="H490" t="s">
        <v>6365</v>
      </c>
      <c r="I490" t="s">
        <v>1090</v>
      </c>
      <c r="K490" t="s">
        <v>61</v>
      </c>
      <c r="L490" t="s">
        <v>4721</v>
      </c>
      <c r="M490" t="s">
        <v>33</v>
      </c>
      <c r="O490">
        <v>106</v>
      </c>
    </row>
    <row r="491" spans="1:15" x14ac:dyDescent="0.35">
      <c r="A491" t="s">
        <v>20</v>
      </c>
      <c r="B491">
        <v>17645</v>
      </c>
      <c r="C491" t="s">
        <v>949</v>
      </c>
      <c r="D491" t="s">
        <v>950</v>
      </c>
      <c r="E491" t="s">
        <v>5155</v>
      </c>
      <c r="F491" t="s">
        <v>6366</v>
      </c>
      <c r="G491" t="s">
        <v>6367</v>
      </c>
      <c r="H491" t="s">
        <v>6368</v>
      </c>
      <c r="I491" t="s">
        <v>1090</v>
      </c>
      <c r="K491" t="s">
        <v>46</v>
      </c>
      <c r="L491" t="s">
        <v>4721</v>
      </c>
      <c r="M491" t="s">
        <v>33</v>
      </c>
      <c r="O491">
        <v>496</v>
      </c>
    </row>
    <row r="492" spans="1:15" x14ac:dyDescent="0.35">
      <c r="A492" t="s">
        <v>20</v>
      </c>
      <c r="B492">
        <v>17645</v>
      </c>
      <c r="C492" t="s">
        <v>949</v>
      </c>
      <c r="D492" t="s">
        <v>950</v>
      </c>
      <c r="E492" t="s">
        <v>5159</v>
      </c>
      <c r="F492" t="s">
        <v>6369</v>
      </c>
      <c r="G492" t="s">
        <v>6370</v>
      </c>
      <c r="H492" t="s">
        <v>6371</v>
      </c>
      <c r="I492" t="s">
        <v>1090</v>
      </c>
      <c r="K492" t="s">
        <v>46</v>
      </c>
      <c r="L492" t="s">
        <v>4799</v>
      </c>
      <c r="M492" t="s">
        <v>33</v>
      </c>
      <c r="O492">
        <v>506</v>
      </c>
    </row>
    <row r="493" spans="1:15" x14ac:dyDescent="0.35">
      <c r="A493" t="s">
        <v>20</v>
      </c>
      <c r="B493">
        <v>17645</v>
      </c>
      <c r="C493" t="s">
        <v>949</v>
      </c>
      <c r="D493" t="s">
        <v>950</v>
      </c>
      <c r="E493" t="s">
        <v>5163</v>
      </c>
      <c r="F493" t="s">
        <v>6372</v>
      </c>
      <c r="G493" t="s">
        <v>6373</v>
      </c>
      <c r="H493" t="s">
        <v>6374</v>
      </c>
      <c r="I493" t="s">
        <v>1090</v>
      </c>
      <c r="K493" t="s">
        <v>28</v>
      </c>
      <c r="L493" t="s">
        <v>4721</v>
      </c>
      <c r="M493" t="s">
        <v>33</v>
      </c>
      <c r="O493">
        <v>515</v>
      </c>
    </row>
    <row r="494" spans="1:15" x14ac:dyDescent="0.35">
      <c r="A494" t="s">
        <v>20</v>
      </c>
      <c r="B494">
        <v>17645</v>
      </c>
      <c r="C494" t="s">
        <v>949</v>
      </c>
      <c r="D494" t="s">
        <v>950</v>
      </c>
      <c r="E494" t="s">
        <v>5167</v>
      </c>
      <c r="F494" t="s">
        <v>6375</v>
      </c>
      <c r="G494" t="s">
        <v>6376</v>
      </c>
      <c r="H494" t="s">
        <v>6377</v>
      </c>
      <c r="I494" t="s">
        <v>1090</v>
      </c>
      <c r="K494" t="s">
        <v>28</v>
      </c>
      <c r="L494" t="s">
        <v>4721</v>
      </c>
      <c r="M494" t="s">
        <v>33</v>
      </c>
      <c r="O494">
        <v>518</v>
      </c>
    </row>
    <row r="495" spans="1:15" x14ac:dyDescent="0.35">
      <c r="A495" t="s">
        <v>20</v>
      </c>
      <c r="B495">
        <v>17645</v>
      </c>
      <c r="C495" t="s">
        <v>949</v>
      </c>
      <c r="D495" t="s">
        <v>950</v>
      </c>
      <c r="E495" t="s">
        <v>5171</v>
      </c>
      <c r="F495" t="s">
        <v>991</v>
      </c>
      <c r="G495" t="s">
        <v>6378</v>
      </c>
      <c r="H495" t="s">
        <v>6379</v>
      </c>
      <c r="I495" t="s">
        <v>1090</v>
      </c>
      <c r="K495" t="s">
        <v>28</v>
      </c>
      <c r="L495" t="s">
        <v>4721</v>
      </c>
      <c r="M495" t="s">
        <v>33</v>
      </c>
      <c r="O495">
        <v>1551</v>
      </c>
    </row>
    <row r="496" spans="1:15" x14ac:dyDescent="0.35">
      <c r="A496" t="s">
        <v>20</v>
      </c>
      <c r="B496">
        <v>17645</v>
      </c>
      <c r="C496" t="s">
        <v>949</v>
      </c>
      <c r="D496" t="s">
        <v>950</v>
      </c>
      <c r="E496" t="s">
        <v>5175</v>
      </c>
      <c r="F496" t="s">
        <v>6380</v>
      </c>
      <c r="G496" t="s">
        <v>6381</v>
      </c>
      <c r="H496" t="s">
        <v>6382</v>
      </c>
      <c r="I496" t="s">
        <v>1090</v>
      </c>
      <c r="K496" t="s">
        <v>46</v>
      </c>
      <c r="L496" t="s">
        <v>4716</v>
      </c>
      <c r="M496" t="s">
        <v>33</v>
      </c>
      <c r="O496">
        <v>1863</v>
      </c>
    </row>
    <row r="497" spans="1:15" x14ac:dyDescent="0.35">
      <c r="A497" t="s">
        <v>20</v>
      </c>
      <c r="B497">
        <v>17645</v>
      </c>
      <c r="C497" t="s">
        <v>949</v>
      </c>
      <c r="D497" t="s">
        <v>950</v>
      </c>
      <c r="E497" t="s">
        <v>5179</v>
      </c>
      <c r="F497" t="s">
        <v>6383</v>
      </c>
      <c r="G497" t="s">
        <v>6384</v>
      </c>
      <c r="H497" t="s">
        <v>6385</v>
      </c>
      <c r="I497" t="s">
        <v>1090</v>
      </c>
      <c r="L497" t="s">
        <v>4726</v>
      </c>
      <c r="M497" t="s">
        <v>33</v>
      </c>
      <c r="O497">
        <v>1870</v>
      </c>
    </row>
    <row r="498" spans="1:15" x14ac:dyDescent="0.35">
      <c r="A498" t="s">
        <v>20</v>
      </c>
      <c r="B498">
        <v>17645</v>
      </c>
      <c r="C498" t="s">
        <v>949</v>
      </c>
      <c r="D498" t="s">
        <v>950</v>
      </c>
      <c r="E498" t="s">
        <v>5183</v>
      </c>
      <c r="F498" t="s">
        <v>6386</v>
      </c>
      <c r="G498" t="s">
        <v>6387</v>
      </c>
      <c r="H498" t="s">
        <v>6388</v>
      </c>
      <c r="I498" t="s">
        <v>1090</v>
      </c>
      <c r="K498" t="s">
        <v>28</v>
      </c>
      <c r="L498" t="s">
        <v>4726</v>
      </c>
      <c r="M498" t="s">
        <v>33</v>
      </c>
      <c r="O498">
        <v>1983</v>
      </c>
    </row>
    <row r="499" spans="1:15" x14ac:dyDescent="0.35">
      <c r="A499" t="s">
        <v>20</v>
      </c>
      <c r="B499">
        <v>17645</v>
      </c>
      <c r="C499" t="s">
        <v>949</v>
      </c>
      <c r="D499" t="s">
        <v>950</v>
      </c>
      <c r="E499" t="s">
        <v>5187</v>
      </c>
      <c r="F499" t="s">
        <v>6389</v>
      </c>
      <c r="G499" t="s">
        <v>6390</v>
      </c>
      <c r="H499" t="s">
        <v>6391</v>
      </c>
      <c r="I499" t="s">
        <v>1090</v>
      </c>
      <c r="K499" t="s">
        <v>28</v>
      </c>
      <c r="L499" t="s">
        <v>4721</v>
      </c>
      <c r="M499" t="s">
        <v>33</v>
      </c>
      <c r="O499">
        <v>1992</v>
      </c>
    </row>
    <row r="500" spans="1:15" x14ac:dyDescent="0.35">
      <c r="A500" t="s">
        <v>20</v>
      </c>
      <c r="B500">
        <v>17645</v>
      </c>
      <c r="C500" t="s">
        <v>949</v>
      </c>
      <c r="D500" t="s">
        <v>950</v>
      </c>
      <c r="E500" t="s">
        <v>5191</v>
      </c>
      <c r="F500" t="s">
        <v>6392</v>
      </c>
      <c r="G500" t="s">
        <v>6393</v>
      </c>
      <c r="H500" t="s">
        <v>6394</v>
      </c>
      <c r="I500" t="s">
        <v>1090</v>
      </c>
      <c r="K500" t="s">
        <v>46</v>
      </c>
      <c r="L500" t="s">
        <v>4721</v>
      </c>
      <c r="M500" t="s">
        <v>33</v>
      </c>
      <c r="O500">
        <v>1998</v>
      </c>
    </row>
    <row r="501" spans="1:15" x14ac:dyDescent="0.35">
      <c r="A501" t="s">
        <v>20</v>
      </c>
      <c r="B501">
        <v>17645</v>
      </c>
      <c r="C501" t="s">
        <v>949</v>
      </c>
      <c r="D501" t="s">
        <v>950</v>
      </c>
      <c r="E501" t="s">
        <v>5195</v>
      </c>
      <c r="F501" t="s">
        <v>6395</v>
      </c>
      <c r="G501" t="s">
        <v>6396</v>
      </c>
      <c r="H501" t="s">
        <v>6397</v>
      </c>
      <c r="I501" t="s">
        <v>1090</v>
      </c>
      <c r="K501" t="s">
        <v>46</v>
      </c>
      <c r="L501" t="s">
        <v>4726</v>
      </c>
      <c r="M501" t="s">
        <v>33</v>
      </c>
      <c r="O501">
        <v>2010</v>
      </c>
    </row>
    <row r="502" spans="1:15" x14ac:dyDescent="0.35">
      <c r="A502" t="s">
        <v>20</v>
      </c>
      <c r="B502">
        <v>17645</v>
      </c>
      <c r="C502" t="s">
        <v>949</v>
      </c>
      <c r="D502" t="s">
        <v>950</v>
      </c>
      <c r="E502" t="s">
        <v>5199</v>
      </c>
      <c r="F502" t="s">
        <v>6398</v>
      </c>
      <c r="G502" t="s">
        <v>6399</v>
      </c>
      <c r="H502" t="s">
        <v>6400</v>
      </c>
      <c r="I502" t="s">
        <v>1090</v>
      </c>
      <c r="K502" t="s">
        <v>28</v>
      </c>
      <c r="L502" t="s">
        <v>4726</v>
      </c>
      <c r="M502" t="s">
        <v>33</v>
      </c>
      <c r="O502">
        <v>2138</v>
      </c>
    </row>
    <row r="503" spans="1:15" x14ac:dyDescent="0.35">
      <c r="A503" t="s">
        <v>20</v>
      </c>
      <c r="B503">
        <v>17645</v>
      </c>
      <c r="C503" t="s">
        <v>949</v>
      </c>
      <c r="D503" t="s">
        <v>950</v>
      </c>
      <c r="E503" t="s">
        <v>5203</v>
      </c>
      <c r="F503" t="s">
        <v>6401</v>
      </c>
      <c r="G503" t="s">
        <v>6402</v>
      </c>
      <c r="H503" t="s">
        <v>6403</v>
      </c>
      <c r="I503" t="s">
        <v>1090</v>
      </c>
      <c r="K503" t="s">
        <v>28</v>
      </c>
      <c r="L503" t="s">
        <v>4726</v>
      </c>
      <c r="M503" t="s">
        <v>33</v>
      </c>
      <c r="O503">
        <v>2146</v>
      </c>
    </row>
    <row r="504" spans="1:15" x14ac:dyDescent="0.35">
      <c r="A504" t="s">
        <v>20</v>
      </c>
      <c r="B504">
        <v>17645</v>
      </c>
      <c r="C504" t="s">
        <v>949</v>
      </c>
      <c r="D504" t="s">
        <v>950</v>
      </c>
      <c r="E504" t="s">
        <v>5207</v>
      </c>
      <c r="F504" t="s">
        <v>6404</v>
      </c>
      <c r="G504" t="s">
        <v>6405</v>
      </c>
      <c r="H504" t="s">
        <v>6406</v>
      </c>
      <c r="I504" t="s">
        <v>1090</v>
      </c>
      <c r="K504" t="s">
        <v>38</v>
      </c>
      <c r="L504" t="s">
        <v>4799</v>
      </c>
      <c r="M504" t="s">
        <v>33</v>
      </c>
      <c r="O504">
        <v>2349</v>
      </c>
    </row>
    <row r="505" spans="1:15" x14ac:dyDescent="0.35">
      <c r="A505" t="s">
        <v>20</v>
      </c>
      <c r="B505">
        <v>17645</v>
      </c>
      <c r="C505" t="s">
        <v>949</v>
      </c>
      <c r="D505" t="s">
        <v>950</v>
      </c>
      <c r="E505" t="s">
        <v>5211</v>
      </c>
      <c r="F505" t="s">
        <v>6407</v>
      </c>
      <c r="G505" t="s">
        <v>6408</v>
      </c>
      <c r="H505" t="s">
        <v>6409</v>
      </c>
      <c r="I505" t="s">
        <v>1090</v>
      </c>
      <c r="K505" t="s">
        <v>38</v>
      </c>
      <c r="L505" t="s">
        <v>4799</v>
      </c>
      <c r="M505" t="s">
        <v>33</v>
      </c>
      <c r="O505">
        <v>3739</v>
      </c>
    </row>
    <row r="506" spans="1:15" x14ac:dyDescent="0.35">
      <c r="A506" t="s">
        <v>20</v>
      </c>
      <c r="B506">
        <v>17645</v>
      </c>
      <c r="C506" t="s">
        <v>949</v>
      </c>
      <c r="D506" t="s">
        <v>950</v>
      </c>
      <c r="E506" t="s">
        <v>5215</v>
      </c>
      <c r="F506" t="s">
        <v>6410</v>
      </c>
      <c r="G506" t="s">
        <v>6411</v>
      </c>
      <c r="H506" t="s">
        <v>6412</v>
      </c>
      <c r="I506" t="s">
        <v>1090</v>
      </c>
      <c r="K506" t="s">
        <v>61</v>
      </c>
      <c r="L506" t="s">
        <v>4721</v>
      </c>
      <c r="M506" t="s">
        <v>33</v>
      </c>
      <c r="O506">
        <v>3767</v>
      </c>
    </row>
    <row r="507" spans="1:15" x14ac:dyDescent="0.35">
      <c r="A507" t="s">
        <v>20</v>
      </c>
      <c r="B507">
        <v>17645</v>
      </c>
      <c r="C507" t="s">
        <v>949</v>
      </c>
      <c r="D507" t="s">
        <v>950</v>
      </c>
      <c r="E507" t="s">
        <v>5219</v>
      </c>
      <c r="F507" t="s">
        <v>6413</v>
      </c>
      <c r="G507" t="s">
        <v>6414</v>
      </c>
      <c r="H507" t="s">
        <v>6415</v>
      </c>
      <c r="I507" t="s">
        <v>1090</v>
      </c>
      <c r="K507" t="s">
        <v>28</v>
      </c>
      <c r="L507" t="s">
        <v>4721</v>
      </c>
      <c r="M507" t="s">
        <v>33</v>
      </c>
      <c r="O507">
        <v>4117</v>
      </c>
    </row>
    <row r="508" spans="1:15" x14ac:dyDescent="0.35">
      <c r="A508" t="s">
        <v>20</v>
      </c>
      <c r="B508">
        <v>17645</v>
      </c>
      <c r="C508" t="s">
        <v>949</v>
      </c>
      <c r="D508" t="s">
        <v>950</v>
      </c>
      <c r="E508" t="s">
        <v>5223</v>
      </c>
      <c r="F508" t="s">
        <v>6416</v>
      </c>
      <c r="G508" t="s">
        <v>6417</v>
      </c>
      <c r="H508" t="s">
        <v>6418</v>
      </c>
      <c r="I508" t="s">
        <v>1090</v>
      </c>
      <c r="K508" t="s">
        <v>28</v>
      </c>
      <c r="L508" t="s">
        <v>4721</v>
      </c>
      <c r="M508" t="s">
        <v>33</v>
      </c>
      <c r="O508">
        <v>4131</v>
      </c>
    </row>
    <row r="509" spans="1:15" x14ac:dyDescent="0.35">
      <c r="A509" t="s">
        <v>20</v>
      </c>
      <c r="B509">
        <v>17645</v>
      </c>
      <c r="C509" t="s">
        <v>949</v>
      </c>
      <c r="D509" t="s">
        <v>950</v>
      </c>
      <c r="E509" t="s">
        <v>5226</v>
      </c>
      <c r="F509" t="s">
        <v>6419</v>
      </c>
      <c r="G509" t="s">
        <v>6420</v>
      </c>
      <c r="H509" t="s">
        <v>6421</v>
      </c>
      <c r="I509" t="s">
        <v>1090</v>
      </c>
      <c r="K509" t="s">
        <v>28</v>
      </c>
      <c r="L509" t="s">
        <v>4721</v>
      </c>
      <c r="M509" t="s">
        <v>33</v>
      </c>
      <c r="O509">
        <v>4136</v>
      </c>
    </row>
    <row r="510" spans="1:15" x14ac:dyDescent="0.35">
      <c r="A510" t="s">
        <v>20</v>
      </c>
      <c r="B510">
        <v>17645</v>
      </c>
      <c r="C510" t="s">
        <v>949</v>
      </c>
      <c r="D510" t="s">
        <v>950</v>
      </c>
      <c r="E510" t="s">
        <v>5230</v>
      </c>
      <c r="F510" t="s">
        <v>6422</v>
      </c>
      <c r="G510" t="s">
        <v>6423</v>
      </c>
      <c r="H510" t="s">
        <v>6424</v>
      </c>
      <c r="I510" t="s">
        <v>1090</v>
      </c>
      <c r="K510" t="s">
        <v>46</v>
      </c>
      <c r="L510" t="s">
        <v>4716</v>
      </c>
      <c r="M510" t="s">
        <v>33</v>
      </c>
      <c r="O510">
        <v>4257</v>
      </c>
    </row>
    <row r="511" spans="1:15" x14ac:dyDescent="0.35">
      <c r="A511" t="s">
        <v>20</v>
      </c>
      <c r="B511">
        <v>17645</v>
      </c>
      <c r="C511" t="s">
        <v>949</v>
      </c>
      <c r="D511" t="s">
        <v>950</v>
      </c>
      <c r="E511" t="s">
        <v>5234</v>
      </c>
      <c r="F511" t="s">
        <v>6425</v>
      </c>
      <c r="G511" t="s">
        <v>6426</v>
      </c>
      <c r="H511" t="s">
        <v>6427</v>
      </c>
      <c r="I511" t="s">
        <v>1090</v>
      </c>
      <c r="K511" t="s">
        <v>46</v>
      </c>
      <c r="L511" t="s">
        <v>4799</v>
      </c>
      <c r="M511" t="s">
        <v>33</v>
      </c>
      <c r="O511">
        <v>4271</v>
      </c>
    </row>
    <row r="512" spans="1:15" x14ac:dyDescent="0.35">
      <c r="A512" t="s">
        <v>20</v>
      </c>
      <c r="B512">
        <v>17645</v>
      </c>
      <c r="C512" t="s">
        <v>949</v>
      </c>
      <c r="D512" t="s">
        <v>950</v>
      </c>
      <c r="E512" t="s">
        <v>5238</v>
      </c>
      <c r="F512" t="s">
        <v>6428</v>
      </c>
      <c r="G512" t="s">
        <v>6429</v>
      </c>
      <c r="H512" t="s">
        <v>6430</v>
      </c>
      <c r="I512" t="s">
        <v>1090</v>
      </c>
      <c r="K512" t="s">
        <v>61</v>
      </c>
      <c r="L512" t="s">
        <v>4721</v>
      </c>
      <c r="M512" t="s">
        <v>33</v>
      </c>
      <c r="O512">
        <v>4341</v>
      </c>
    </row>
    <row r="513" spans="1:15" x14ac:dyDescent="0.35">
      <c r="A513" t="s">
        <v>20</v>
      </c>
      <c r="B513">
        <v>17645</v>
      </c>
      <c r="C513" t="s">
        <v>949</v>
      </c>
      <c r="D513" t="s">
        <v>950</v>
      </c>
      <c r="E513" t="s">
        <v>5242</v>
      </c>
      <c r="F513" t="s">
        <v>6431</v>
      </c>
      <c r="G513" t="s">
        <v>6432</v>
      </c>
      <c r="H513" t="s">
        <v>6433</v>
      </c>
      <c r="I513" t="s">
        <v>1090</v>
      </c>
      <c r="K513" t="s">
        <v>28</v>
      </c>
      <c r="L513" t="s">
        <v>4726</v>
      </c>
      <c r="M513" t="s">
        <v>33</v>
      </c>
      <c r="O513">
        <v>4348</v>
      </c>
    </row>
    <row r="514" spans="1:15" x14ac:dyDescent="0.35">
      <c r="A514" t="s">
        <v>20</v>
      </c>
      <c r="B514">
        <v>17645</v>
      </c>
      <c r="C514" t="s">
        <v>949</v>
      </c>
      <c r="D514" t="s">
        <v>950</v>
      </c>
      <c r="E514" t="s">
        <v>5246</v>
      </c>
      <c r="F514" t="s">
        <v>6434</v>
      </c>
      <c r="G514" t="s">
        <v>6435</v>
      </c>
      <c r="H514" t="s">
        <v>6436</v>
      </c>
      <c r="I514" t="s">
        <v>1090</v>
      </c>
      <c r="K514" t="s">
        <v>46</v>
      </c>
      <c r="L514" t="s">
        <v>4721</v>
      </c>
      <c r="M514" t="s">
        <v>33</v>
      </c>
      <c r="O514">
        <v>4462</v>
      </c>
    </row>
    <row r="515" spans="1:15" x14ac:dyDescent="0.35">
      <c r="A515" t="s">
        <v>20</v>
      </c>
      <c r="B515">
        <v>17645</v>
      </c>
      <c r="C515" t="s">
        <v>949</v>
      </c>
      <c r="D515" t="s">
        <v>950</v>
      </c>
      <c r="E515" t="s">
        <v>5250</v>
      </c>
      <c r="F515" t="s">
        <v>6437</v>
      </c>
      <c r="G515" t="s">
        <v>6438</v>
      </c>
      <c r="H515" t="s">
        <v>6439</v>
      </c>
      <c r="I515" t="s">
        <v>1090</v>
      </c>
      <c r="K515" t="s">
        <v>28</v>
      </c>
      <c r="L515" t="s">
        <v>4721</v>
      </c>
      <c r="M515" t="s">
        <v>33</v>
      </c>
      <c r="O515">
        <v>4475</v>
      </c>
    </row>
    <row r="516" spans="1:15" x14ac:dyDescent="0.35">
      <c r="A516" t="s">
        <v>20</v>
      </c>
      <c r="B516">
        <v>17645</v>
      </c>
      <c r="C516" t="s">
        <v>949</v>
      </c>
      <c r="D516" t="s">
        <v>950</v>
      </c>
      <c r="E516" t="s">
        <v>5254</v>
      </c>
      <c r="F516" t="s">
        <v>6440</v>
      </c>
      <c r="G516" t="s">
        <v>6441</v>
      </c>
      <c r="H516" t="s">
        <v>6442</v>
      </c>
      <c r="I516" t="s">
        <v>1090</v>
      </c>
      <c r="K516" t="s">
        <v>28</v>
      </c>
      <c r="L516" t="s">
        <v>4721</v>
      </c>
      <c r="M516" t="s">
        <v>33</v>
      </c>
      <c r="O516">
        <v>4481</v>
      </c>
    </row>
    <row r="517" spans="1:15" x14ac:dyDescent="0.35">
      <c r="A517" t="s">
        <v>20</v>
      </c>
      <c r="B517">
        <v>17645</v>
      </c>
      <c r="C517" t="s">
        <v>949</v>
      </c>
      <c r="D517" t="s">
        <v>950</v>
      </c>
      <c r="E517" t="s">
        <v>5258</v>
      </c>
      <c r="F517" t="s">
        <v>6443</v>
      </c>
      <c r="G517" t="s">
        <v>6444</v>
      </c>
      <c r="H517" t="s">
        <v>6445</v>
      </c>
      <c r="I517" t="s">
        <v>1090</v>
      </c>
      <c r="K517" t="s">
        <v>46</v>
      </c>
      <c r="L517" t="s">
        <v>4799</v>
      </c>
      <c r="M517" t="s">
        <v>33</v>
      </c>
      <c r="O517">
        <v>5233</v>
      </c>
    </row>
    <row r="518" spans="1:15" x14ac:dyDescent="0.35">
      <c r="A518" t="s">
        <v>20</v>
      </c>
      <c r="B518">
        <v>17645</v>
      </c>
      <c r="C518" t="s">
        <v>949</v>
      </c>
      <c r="D518" t="s">
        <v>950</v>
      </c>
      <c r="E518" t="s">
        <v>5262</v>
      </c>
      <c r="F518" t="s">
        <v>6446</v>
      </c>
      <c r="G518" t="s">
        <v>6447</v>
      </c>
      <c r="H518" t="s">
        <v>6448</v>
      </c>
      <c r="I518" t="s">
        <v>1090</v>
      </c>
      <c r="K518" t="s">
        <v>28</v>
      </c>
      <c r="L518" t="s">
        <v>4721</v>
      </c>
      <c r="M518" t="s">
        <v>33</v>
      </c>
      <c r="O518">
        <v>5244</v>
      </c>
    </row>
    <row r="519" spans="1:15" x14ac:dyDescent="0.35">
      <c r="A519" t="s">
        <v>20</v>
      </c>
      <c r="B519">
        <v>17645</v>
      </c>
      <c r="C519" t="s">
        <v>949</v>
      </c>
      <c r="D519" t="s">
        <v>950</v>
      </c>
      <c r="E519" t="s">
        <v>5266</v>
      </c>
      <c r="F519" t="s">
        <v>6449</v>
      </c>
      <c r="G519" t="s">
        <v>6450</v>
      </c>
      <c r="H519" t="s">
        <v>6451</v>
      </c>
      <c r="I519" t="s">
        <v>1090</v>
      </c>
      <c r="K519" t="s">
        <v>28</v>
      </c>
      <c r="L519" t="s">
        <v>4726</v>
      </c>
      <c r="M519" t="s">
        <v>33</v>
      </c>
      <c r="O519">
        <v>5259</v>
      </c>
    </row>
    <row r="520" spans="1:15" x14ac:dyDescent="0.35">
      <c r="A520" t="s">
        <v>20</v>
      </c>
      <c r="B520">
        <v>17645</v>
      </c>
      <c r="C520" t="s">
        <v>949</v>
      </c>
      <c r="D520" t="s">
        <v>950</v>
      </c>
      <c r="E520" t="s">
        <v>5270</v>
      </c>
      <c r="F520" t="s">
        <v>6452</v>
      </c>
      <c r="G520" t="s">
        <v>6453</v>
      </c>
      <c r="H520" t="s">
        <v>6454</v>
      </c>
      <c r="I520" t="s">
        <v>1090</v>
      </c>
      <c r="K520" t="s">
        <v>28</v>
      </c>
      <c r="L520" t="s">
        <v>4721</v>
      </c>
      <c r="M520" t="s">
        <v>33</v>
      </c>
      <c r="O520">
        <v>5264</v>
      </c>
    </row>
    <row r="521" spans="1:15" x14ac:dyDescent="0.35">
      <c r="A521" t="s">
        <v>20</v>
      </c>
      <c r="B521">
        <v>17645</v>
      </c>
      <c r="C521" t="s">
        <v>949</v>
      </c>
      <c r="D521" t="s">
        <v>950</v>
      </c>
      <c r="E521" t="s">
        <v>5274</v>
      </c>
      <c r="F521" t="s">
        <v>6455</v>
      </c>
      <c r="G521" t="s">
        <v>6456</v>
      </c>
      <c r="H521" t="s">
        <v>6457</v>
      </c>
      <c r="I521" t="s">
        <v>1090</v>
      </c>
      <c r="K521" t="s">
        <v>28</v>
      </c>
      <c r="L521" t="s">
        <v>4726</v>
      </c>
      <c r="M521" t="s">
        <v>33</v>
      </c>
      <c r="O521">
        <v>5277</v>
      </c>
    </row>
    <row r="522" spans="1:15" x14ac:dyDescent="0.35">
      <c r="A522" t="s">
        <v>20</v>
      </c>
      <c r="B522">
        <v>17645</v>
      </c>
      <c r="C522" t="s">
        <v>949</v>
      </c>
      <c r="D522" t="s">
        <v>950</v>
      </c>
      <c r="E522" t="s">
        <v>5278</v>
      </c>
      <c r="F522" t="s">
        <v>6458</v>
      </c>
      <c r="G522" t="s">
        <v>6459</v>
      </c>
      <c r="H522" t="s">
        <v>6460</v>
      </c>
      <c r="I522" t="s">
        <v>1090</v>
      </c>
      <c r="K522" t="s">
        <v>28</v>
      </c>
      <c r="L522" t="s">
        <v>4721</v>
      </c>
      <c r="M522" t="s">
        <v>33</v>
      </c>
      <c r="O522">
        <v>5281</v>
      </c>
    </row>
    <row r="523" spans="1:15" x14ac:dyDescent="0.35">
      <c r="A523" t="s">
        <v>20</v>
      </c>
      <c r="B523">
        <v>17645</v>
      </c>
      <c r="C523" t="s">
        <v>949</v>
      </c>
      <c r="D523" t="s">
        <v>950</v>
      </c>
      <c r="E523" t="s">
        <v>5282</v>
      </c>
      <c r="F523" t="s">
        <v>6461</v>
      </c>
      <c r="G523" t="s">
        <v>6462</v>
      </c>
      <c r="H523" t="s">
        <v>6463</v>
      </c>
      <c r="I523" t="s">
        <v>1090</v>
      </c>
      <c r="K523" t="s">
        <v>28</v>
      </c>
      <c r="L523" t="s">
        <v>4726</v>
      </c>
      <c r="M523" t="s">
        <v>33</v>
      </c>
      <c r="O523">
        <v>5286</v>
      </c>
    </row>
    <row r="524" spans="1:15" x14ac:dyDescent="0.35">
      <c r="A524" t="s">
        <v>20</v>
      </c>
      <c r="B524">
        <v>17645</v>
      </c>
      <c r="C524" t="s">
        <v>949</v>
      </c>
      <c r="D524" t="s">
        <v>950</v>
      </c>
      <c r="E524" t="s">
        <v>5286</v>
      </c>
      <c r="F524" t="s">
        <v>6464</v>
      </c>
      <c r="G524" t="s">
        <v>6465</v>
      </c>
      <c r="H524" t="s">
        <v>6466</v>
      </c>
      <c r="I524" t="s">
        <v>1090</v>
      </c>
      <c r="K524" t="s">
        <v>38</v>
      </c>
      <c r="L524" t="s">
        <v>4799</v>
      </c>
      <c r="M524" t="s">
        <v>33</v>
      </c>
      <c r="O524">
        <v>5612</v>
      </c>
    </row>
    <row r="525" spans="1:15" x14ac:dyDescent="0.35">
      <c r="A525" t="s">
        <v>20</v>
      </c>
      <c r="B525">
        <v>17645</v>
      </c>
      <c r="C525" t="s">
        <v>949</v>
      </c>
      <c r="D525" t="s">
        <v>950</v>
      </c>
      <c r="E525" t="s">
        <v>5290</v>
      </c>
      <c r="F525" t="s">
        <v>6467</v>
      </c>
      <c r="G525" t="s">
        <v>6468</v>
      </c>
      <c r="H525" t="s">
        <v>6469</v>
      </c>
      <c r="I525" t="s">
        <v>1090</v>
      </c>
      <c r="K525" t="s">
        <v>46</v>
      </c>
      <c r="L525" t="s">
        <v>4721</v>
      </c>
      <c r="M525" t="s">
        <v>33</v>
      </c>
      <c r="O525">
        <v>5692</v>
      </c>
    </row>
    <row r="526" spans="1:15" x14ac:dyDescent="0.35">
      <c r="A526" t="s">
        <v>20</v>
      </c>
      <c r="B526">
        <v>17645</v>
      </c>
      <c r="C526" t="s">
        <v>949</v>
      </c>
      <c r="D526" t="s">
        <v>950</v>
      </c>
      <c r="E526" t="s">
        <v>5294</v>
      </c>
      <c r="F526" t="s">
        <v>6470</v>
      </c>
      <c r="G526" t="s">
        <v>6471</v>
      </c>
      <c r="H526" t="s">
        <v>6472</v>
      </c>
      <c r="I526" t="s">
        <v>1090</v>
      </c>
      <c r="K526" t="s">
        <v>61</v>
      </c>
      <c r="L526" t="s">
        <v>4721</v>
      </c>
      <c r="M526" t="s">
        <v>33</v>
      </c>
      <c r="O526">
        <v>6034</v>
      </c>
    </row>
    <row r="527" spans="1:15" x14ac:dyDescent="0.35">
      <c r="A527" t="s">
        <v>20</v>
      </c>
      <c r="B527">
        <v>17645</v>
      </c>
      <c r="C527" t="s">
        <v>949</v>
      </c>
      <c r="D527" t="s">
        <v>950</v>
      </c>
      <c r="E527" t="s">
        <v>5298</v>
      </c>
      <c r="F527" t="s">
        <v>6473</v>
      </c>
      <c r="G527" t="s">
        <v>6474</v>
      </c>
      <c r="H527" t="s">
        <v>6475</v>
      </c>
      <c r="I527" t="s">
        <v>1090</v>
      </c>
      <c r="K527" t="s">
        <v>61</v>
      </c>
      <c r="L527" t="s">
        <v>4716</v>
      </c>
      <c r="M527" t="s">
        <v>33</v>
      </c>
      <c r="O527">
        <v>6041</v>
      </c>
    </row>
    <row r="528" spans="1:15" x14ac:dyDescent="0.35">
      <c r="A528" t="s">
        <v>20</v>
      </c>
      <c r="B528">
        <v>17645</v>
      </c>
      <c r="C528" t="s">
        <v>949</v>
      </c>
      <c r="D528" t="s">
        <v>950</v>
      </c>
      <c r="E528" t="s">
        <v>5302</v>
      </c>
      <c r="F528" t="s">
        <v>6476</v>
      </c>
      <c r="G528" t="s">
        <v>6477</v>
      </c>
      <c r="H528" t="s">
        <v>6478</v>
      </c>
      <c r="I528" t="s">
        <v>1090</v>
      </c>
      <c r="K528" t="s">
        <v>61</v>
      </c>
      <c r="L528" t="s">
        <v>4726</v>
      </c>
      <c r="M528" t="s">
        <v>33</v>
      </c>
      <c r="O528">
        <v>6046</v>
      </c>
    </row>
    <row r="529" spans="1:15" x14ac:dyDescent="0.35">
      <c r="A529" t="s">
        <v>20</v>
      </c>
      <c r="B529">
        <v>17645</v>
      </c>
      <c r="C529" t="s">
        <v>949</v>
      </c>
      <c r="D529" t="s">
        <v>950</v>
      </c>
      <c r="E529" t="s">
        <v>5306</v>
      </c>
      <c r="F529" t="s">
        <v>6479</v>
      </c>
      <c r="G529" t="s">
        <v>6480</v>
      </c>
      <c r="H529" t="s">
        <v>6481</v>
      </c>
      <c r="I529" t="s">
        <v>1090</v>
      </c>
      <c r="K529" t="s">
        <v>46</v>
      </c>
      <c r="L529" t="s">
        <v>4721</v>
      </c>
      <c r="M529" t="s">
        <v>33</v>
      </c>
      <c r="O529">
        <v>6158</v>
      </c>
    </row>
    <row r="530" spans="1:15" x14ac:dyDescent="0.35">
      <c r="A530" t="s">
        <v>20</v>
      </c>
      <c r="B530">
        <v>17645</v>
      </c>
      <c r="C530" t="s">
        <v>949</v>
      </c>
      <c r="D530" t="s">
        <v>950</v>
      </c>
      <c r="E530" t="s">
        <v>5310</v>
      </c>
      <c r="F530" t="s">
        <v>6482</v>
      </c>
      <c r="G530" t="s">
        <v>6483</v>
      </c>
      <c r="H530" t="s">
        <v>6484</v>
      </c>
      <c r="I530" t="s">
        <v>1090</v>
      </c>
      <c r="K530" t="s">
        <v>28</v>
      </c>
      <c r="L530" t="s">
        <v>4721</v>
      </c>
      <c r="M530" t="s">
        <v>33</v>
      </c>
      <c r="O530">
        <v>6168</v>
      </c>
    </row>
    <row r="531" spans="1:15" x14ac:dyDescent="0.35">
      <c r="A531" t="s">
        <v>20</v>
      </c>
      <c r="B531">
        <v>17645</v>
      </c>
      <c r="C531" t="s">
        <v>949</v>
      </c>
      <c r="D531" t="s">
        <v>950</v>
      </c>
      <c r="E531" t="s">
        <v>5314</v>
      </c>
      <c r="F531" t="s">
        <v>6485</v>
      </c>
      <c r="G531" t="s">
        <v>6486</v>
      </c>
      <c r="H531" t="s">
        <v>6487</v>
      </c>
      <c r="I531" t="s">
        <v>1090</v>
      </c>
      <c r="K531" t="s">
        <v>28</v>
      </c>
      <c r="L531" t="s">
        <v>4721</v>
      </c>
      <c r="M531" t="s">
        <v>33</v>
      </c>
      <c r="O531">
        <v>6175</v>
      </c>
    </row>
    <row r="532" spans="1:15" x14ac:dyDescent="0.35">
      <c r="A532" t="s">
        <v>20</v>
      </c>
      <c r="B532">
        <v>17645</v>
      </c>
      <c r="C532" t="s">
        <v>949</v>
      </c>
      <c r="D532" t="s">
        <v>950</v>
      </c>
      <c r="E532" t="s">
        <v>5318</v>
      </c>
      <c r="F532" t="s">
        <v>6488</v>
      </c>
      <c r="G532" t="s">
        <v>6489</v>
      </c>
      <c r="H532" t="s">
        <v>6490</v>
      </c>
      <c r="I532" t="s">
        <v>1090</v>
      </c>
      <c r="K532" t="s">
        <v>28</v>
      </c>
      <c r="L532" t="s">
        <v>4721</v>
      </c>
      <c r="M532" t="s">
        <v>33</v>
      </c>
      <c r="O532">
        <v>6180</v>
      </c>
    </row>
    <row r="533" spans="1:15" x14ac:dyDescent="0.35">
      <c r="A533" t="s">
        <v>20</v>
      </c>
      <c r="B533">
        <v>17645</v>
      </c>
      <c r="C533" t="s">
        <v>949</v>
      </c>
      <c r="D533" t="s">
        <v>950</v>
      </c>
      <c r="E533" t="s">
        <v>5322</v>
      </c>
      <c r="F533" t="s">
        <v>6491</v>
      </c>
      <c r="G533" t="s">
        <v>6492</v>
      </c>
      <c r="H533" t="s">
        <v>6493</v>
      </c>
      <c r="I533" t="s">
        <v>1090</v>
      </c>
      <c r="K533" t="s">
        <v>38</v>
      </c>
      <c r="L533" t="s">
        <v>4721</v>
      </c>
      <c r="M533" t="s">
        <v>33</v>
      </c>
      <c r="O533">
        <v>6296</v>
      </c>
    </row>
    <row r="534" spans="1:15" x14ac:dyDescent="0.35">
      <c r="A534" t="s">
        <v>20</v>
      </c>
      <c r="B534">
        <v>17645</v>
      </c>
      <c r="C534" t="s">
        <v>949</v>
      </c>
      <c r="D534" t="s">
        <v>950</v>
      </c>
      <c r="E534" t="s">
        <v>5326</v>
      </c>
      <c r="F534" t="s">
        <v>6494</v>
      </c>
      <c r="G534" t="s">
        <v>6495</v>
      </c>
      <c r="H534" t="s">
        <v>6496</v>
      </c>
      <c r="I534" t="s">
        <v>1090</v>
      </c>
      <c r="K534" t="s">
        <v>38</v>
      </c>
      <c r="L534" t="s">
        <v>4799</v>
      </c>
      <c r="M534" t="s">
        <v>33</v>
      </c>
      <c r="O534">
        <v>6307</v>
      </c>
    </row>
    <row r="535" spans="1:15" x14ac:dyDescent="0.35">
      <c r="A535" t="s">
        <v>20</v>
      </c>
      <c r="B535">
        <v>17645</v>
      </c>
      <c r="C535" t="s">
        <v>949</v>
      </c>
      <c r="D535" t="s">
        <v>950</v>
      </c>
      <c r="E535" t="s">
        <v>4712</v>
      </c>
      <c r="F535" t="s">
        <v>6497</v>
      </c>
      <c r="G535" t="s">
        <v>6498</v>
      </c>
      <c r="H535" t="s">
        <v>6499</v>
      </c>
      <c r="I535" t="s">
        <v>954</v>
      </c>
      <c r="K535" t="s">
        <v>61</v>
      </c>
      <c r="L535" t="s">
        <v>4716</v>
      </c>
      <c r="M535" t="s">
        <v>33</v>
      </c>
      <c r="O535">
        <v>378</v>
      </c>
    </row>
    <row r="536" spans="1:15" x14ac:dyDescent="0.35">
      <c r="A536" t="s">
        <v>20</v>
      </c>
      <c r="B536">
        <v>17645</v>
      </c>
      <c r="C536" t="s">
        <v>949</v>
      </c>
      <c r="D536" t="s">
        <v>950</v>
      </c>
      <c r="E536" t="s">
        <v>4717</v>
      </c>
      <c r="F536" t="s">
        <v>6500</v>
      </c>
      <c r="G536" t="s">
        <v>6501</v>
      </c>
      <c r="H536" t="s">
        <v>6502</v>
      </c>
      <c r="I536" t="s">
        <v>954</v>
      </c>
      <c r="K536" t="s">
        <v>61</v>
      </c>
      <c r="L536" t="s">
        <v>4726</v>
      </c>
      <c r="M536" t="s">
        <v>33</v>
      </c>
      <c r="O536">
        <v>384</v>
      </c>
    </row>
    <row r="537" spans="1:15" x14ac:dyDescent="0.35">
      <c r="A537" t="s">
        <v>20</v>
      </c>
      <c r="B537">
        <v>17645</v>
      </c>
      <c r="C537" t="s">
        <v>949</v>
      </c>
      <c r="D537" t="s">
        <v>950</v>
      </c>
      <c r="E537" t="s">
        <v>4722</v>
      </c>
      <c r="F537" t="s">
        <v>6503</v>
      </c>
      <c r="G537" t="s">
        <v>6504</v>
      </c>
      <c r="H537" t="s">
        <v>6505</v>
      </c>
      <c r="I537" t="s">
        <v>954</v>
      </c>
      <c r="K537" t="s">
        <v>38</v>
      </c>
      <c r="L537" t="s">
        <v>4716</v>
      </c>
      <c r="M537" t="s">
        <v>33</v>
      </c>
      <c r="O537">
        <v>539</v>
      </c>
    </row>
    <row r="538" spans="1:15" x14ac:dyDescent="0.35">
      <c r="A538" t="s">
        <v>20</v>
      </c>
      <c r="B538">
        <v>17645</v>
      </c>
      <c r="C538" t="s">
        <v>949</v>
      </c>
      <c r="D538" t="s">
        <v>950</v>
      </c>
      <c r="E538" t="s">
        <v>4727</v>
      </c>
      <c r="F538" t="s">
        <v>6506</v>
      </c>
      <c r="G538" t="s">
        <v>6507</v>
      </c>
      <c r="H538" t="s">
        <v>6508</v>
      </c>
      <c r="I538" t="s">
        <v>954</v>
      </c>
      <c r="K538" t="s">
        <v>28</v>
      </c>
      <c r="L538" t="s">
        <v>4726</v>
      </c>
      <c r="M538" t="s">
        <v>33</v>
      </c>
      <c r="O538">
        <v>808</v>
      </c>
    </row>
    <row r="539" spans="1:15" x14ac:dyDescent="0.35">
      <c r="A539" t="s">
        <v>20</v>
      </c>
      <c r="B539">
        <v>17645</v>
      </c>
      <c r="C539" t="s">
        <v>949</v>
      </c>
      <c r="D539" t="s">
        <v>950</v>
      </c>
      <c r="E539" t="s">
        <v>4731</v>
      </c>
      <c r="F539" t="s">
        <v>6509</v>
      </c>
      <c r="G539" t="s">
        <v>6510</v>
      </c>
      <c r="H539" t="s">
        <v>6511</v>
      </c>
      <c r="I539" t="s">
        <v>954</v>
      </c>
      <c r="K539" t="s">
        <v>28</v>
      </c>
      <c r="L539" t="s">
        <v>4726</v>
      </c>
      <c r="M539" t="s">
        <v>33</v>
      </c>
      <c r="O539">
        <v>816</v>
      </c>
    </row>
    <row r="540" spans="1:15" x14ac:dyDescent="0.35">
      <c r="A540" t="s">
        <v>20</v>
      </c>
      <c r="B540">
        <v>17645</v>
      </c>
      <c r="C540" t="s">
        <v>949</v>
      </c>
      <c r="D540" t="s">
        <v>950</v>
      </c>
      <c r="E540" t="s">
        <v>4735</v>
      </c>
      <c r="F540" t="s">
        <v>6512</v>
      </c>
      <c r="G540" t="s">
        <v>6513</v>
      </c>
      <c r="H540" t="s">
        <v>6514</v>
      </c>
      <c r="I540" t="s">
        <v>954</v>
      </c>
      <c r="K540" t="s">
        <v>28</v>
      </c>
      <c r="L540" t="s">
        <v>4721</v>
      </c>
      <c r="M540" t="s">
        <v>33</v>
      </c>
      <c r="O540">
        <v>821</v>
      </c>
    </row>
    <row r="541" spans="1:15" x14ac:dyDescent="0.35">
      <c r="A541" t="s">
        <v>20</v>
      </c>
      <c r="B541">
        <v>17645</v>
      </c>
      <c r="C541" t="s">
        <v>949</v>
      </c>
      <c r="D541" t="s">
        <v>950</v>
      </c>
      <c r="E541" t="s">
        <v>4739</v>
      </c>
      <c r="F541" t="s">
        <v>6515</v>
      </c>
      <c r="G541" t="s">
        <v>6516</v>
      </c>
      <c r="H541" t="s">
        <v>6517</v>
      </c>
      <c r="I541" t="s">
        <v>954</v>
      </c>
      <c r="K541" t="s">
        <v>61</v>
      </c>
      <c r="L541" t="s">
        <v>4721</v>
      </c>
      <c r="M541" t="s">
        <v>33</v>
      </c>
      <c r="O541">
        <v>958</v>
      </c>
    </row>
    <row r="542" spans="1:15" x14ac:dyDescent="0.35">
      <c r="A542" t="s">
        <v>20</v>
      </c>
      <c r="B542">
        <v>17645</v>
      </c>
      <c r="C542" t="s">
        <v>949</v>
      </c>
      <c r="D542" t="s">
        <v>950</v>
      </c>
      <c r="E542" t="s">
        <v>4743</v>
      </c>
      <c r="F542" t="s">
        <v>6518</v>
      </c>
      <c r="G542" t="s">
        <v>6519</v>
      </c>
      <c r="H542" t="s">
        <v>6520</v>
      </c>
      <c r="I542" t="s">
        <v>954</v>
      </c>
      <c r="K542" t="s">
        <v>61</v>
      </c>
      <c r="L542" t="s">
        <v>4721</v>
      </c>
      <c r="M542" t="s">
        <v>33</v>
      </c>
      <c r="O542">
        <v>1066</v>
      </c>
    </row>
    <row r="543" spans="1:15" x14ac:dyDescent="0.35">
      <c r="A543" t="s">
        <v>20</v>
      </c>
      <c r="B543">
        <v>17645</v>
      </c>
      <c r="C543" t="s">
        <v>949</v>
      </c>
      <c r="D543" t="s">
        <v>950</v>
      </c>
      <c r="E543" t="s">
        <v>4747</v>
      </c>
      <c r="F543" t="s">
        <v>6521</v>
      </c>
      <c r="G543" t="s">
        <v>6522</v>
      </c>
      <c r="H543" t="s">
        <v>6523</v>
      </c>
      <c r="I543" t="s">
        <v>954</v>
      </c>
      <c r="K543" t="s">
        <v>61</v>
      </c>
      <c r="L543" t="s">
        <v>4716</v>
      </c>
      <c r="M543" t="s">
        <v>33</v>
      </c>
      <c r="O543">
        <v>1076</v>
      </c>
    </row>
    <row r="544" spans="1:15" x14ac:dyDescent="0.35">
      <c r="A544" t="s">
        <v>20</v>
      </c>
      <c r="B544">
        <v>17645</v>
      </c>
      <c r="C544" t="s">
        <v>949</v>
      </c>
      <c r="D544" t="s">
        <v>950</v>
      </c>
      <c r="E544" t="s">
        <v>4751</v>
      </c>
      <c r="F544" t="s">
        <v>6524</v>
      </c>
      <c r="G544" t="s">
        <v>6525</v>
      </c>
      <c r="H544" t="s">
        <v>6526</v>
      </c>
      <c r="I544" t="s">
        <v>954</v>
      </c>
      <c r="K544" t="s">
        <v>61</v>
      </c>
      <c r="L544" t="s">
        <v>4716</v>
      </c>
      <c r="M544" t="s">
        <v>33</v>
      </c>
      <c r="O544">
        <v>1084</v>
      </c>
    </row>
    <row r="545" spans="1:15" x14ac:dyDescent="0.35">
      <c r="A545" t="s">
        <v>20</v>
      </c>
      <c r="B545">
        <v>17645</v>
      </c>
      <c r="C545" t="s">
        <v>949</v>
      </c>
      <c r="D545" t="s">
        <v>950</v>
      </c>
      <c r="E545" t="s">
        <v>4755</v>
      </c>
      <c r="F545" t="s">
        <v>6527</v>
      </c>
      <c r="G545" t="s">
        <v>6528</v>
      </c>
      <c r="H545" t="s">
        <v>6529</v>
      </c>
      <c r="I545" t="s">
        <v>954</v>
      </c>
      <c r="K545" t="s">
        <v>61</v>
      </c>
      <c r="L545" t="s">
        <v>4716</v>
      </c>
      <c r="M545" t="s">
        <v>33</v>
      </c>
      <c r="O545">
        <v>1092</v>
      </c>
    </row>
    <row r="546" spans="1:15" x14ac:dyDescent="0.35">
      <c r="A546" t="s">
        <v>20</v>
      </c>
      <c r="B546">
        <v>17645</v>
      </c>
      <c r="C546" t="s">
        <v>949</v>
      </c>
      <c r="D546" t="s">
        <v>950</v>
      </c>
      <c r="E546" t="s">
        <v>4759</v>
      </c>
      <c r="F546" t="s">
        <v>6530</v>
      </c>
      <c r="G546" t="s">
        <v>6531</v>
      </c>
      <c r="H546" t="s">
        <v>6532</v>
      </c>
      <c r="I546" t="s">
        <v>954</v>
      </c>
      <c r="K546" t="s">
        <v>28</v>
      </c>
      <c r="L546" t="s">
        <v>4721</v>
      </c>
      <c r="M546" t="s">
        <v>33</v>
      </c>
      <c r="O546">
        <v>1335</v>
      </c>
    </row>
    <row r="547" spans="1:15" x14ac:dyDescent="0.35">
      <c r="A547" t="s">
        <v>20</v>
      </c>
      <c r="B547">
        <v>17645</v>
      </c>
      <c r="C547" t="s">
        <v>949</v>
      </c>
      <c r="D547" t="s">
        <v>950</v>
      </c>
      <c r="E547" t="s">
        <v>4763</v>
      </c>
      <c r="F547" t="s">
        <v>6533</v>
      </c>
      <c r="G547" t="s">
        <v>6534</v>
      </c>
      <c r="H547" t="s">
        <v>6535</v>
      </c>
      <c r="I547" t="s">
        <v>954</v>
      </c>
      <c r="K547" t="s">
        <v>28</v>
      </c>
      <c r="L547" t="s">
        <v>4721</v>
      </c>
      <c r="M547" t="s">
        <v>33</v>
      </c>
      <c r="O547">
        <v>2392</v>
      </c>
    </row>
    <row r="548" spans="1:15" x14ac:dyDescent="0.35">
      <c r="A548" t="s">
        <v>20</v>
      </c>
      <c r="B548">
        <v>17645</v>
      </c>
      <c r="C548" t="s">
        <v>949</v>
      </c>
      <c r="D548" t="s">
        <v>950</v>
      </c>
      <c r="E548" t="s">
        <v>4767</v>
      </c>
      <c r="F548" t="s">
        <v>6536</v>
      </c>
      <c r="G548" t="s">
        <v>6537</v>
      </c>
      <c r="H548" t="s">
        <v>6538</v>
      </c>
      <c r="I548" t="s">
        <v>954</v>
      </c>
      <c r="K548" t="s">
        <v>28</v>
      </c>
      <c r="L548" t="s">
        <v>4721</v>
      </c>
      <c r="M548" t="s">
        <v>33</v>
      </c>
      <c r="O548">
        <v>2401</v>
      </c>
    </row>
    <row r="549" spans="1:15" x14ac:dyDescent="0.35">
      <c r="A549" t="s">
        <v>20</v>
      </c>
      <c r="B549">
        <v>17645</v>
      </c>
      <c r="C549" t="s">
        <v>949</v>
      </c>
      <c r="D549" t="s">
        <v>950</v>
      </c>
      <c r="E549" t="s">
        <v>4771</v>
      </c>
      <c r="F549" t="s">
        <v>6539</v>
      </c>
      <c r="G549" t="s">
        <v>6540</v>
      </c>
      <c r="H549" t="s">
        <v>6541</v>
      </c>
      <c r="I549" t="s">
        <v>954</v>
      </c>
      <c r="K549" t="s">
        <v>28</v>
      </c>
      <c r="L549" t="s">
        <v>4721</v>
      </c>
      <c r="M549" t="s">
        <v>33</v>
      </c>
      <c r="O549">
        <v>2407</v>
      </c>
    </row>
    <row r="550" spans="1:15" x14ac:dyDescent="0.35">
      <c r="A550" t="s">
        <v>20</v>
      </c>
      <c r="B550">
        <v>17645</v>
      </c>
      <c r="C550" t="s">
        <v>949</v>
      </c>
      <c r="D550" t="s">
        <v>950</v>
      </c>
      <c r="E550" t="s">
        <v>4775</v>
      </c>
      <c r="F550" t="s">
        <v>6542</v>
      </c>
      <c r="G550" t="s">
        <v>6543</v>
      </c>
      <c r="H550" t="s">
        <v>6544</v>
      </c>
      <c r="I550" t="s">
        <v>954</v>
      </c>
      <c r="K550" t="s">
        <v>28</v>
      </c>
      <c r="L550" t="s">
        <v>4721</v>
      </c>
      <c r="M550" t="s">
        <v>33</v>
      </c>
      <c r="O550">
        <v>2413</v>
      </c>
    </row>
    <row r="551" spans="1:15" x14ac:dyDescent="0.35">
      <c r="A551" t="s">
        <v>20</v>
      </c>
      <c r="B551">
        <v>17645</v>
      </c>
      <c r="C551" t="s">
        <v>949</v>
      </c>
      <c r="D551" t="s">
        <v>950</v>
      </c>
      <c r="E551" t="s">
        <v>4779</v>
      </c>
      <c r="F551" t="s">
        <v>6545</v>
      </c>
      <c r="G551" t="s">
        <v>6546</v>
      </c>
      <c r="H551" t="s">
        <v>6547</v>
      </c>
      <c r="I551" t="s">
        <v>954</v>
      </c>
      <c r="K551" t="s">
        <v>28</v>
      </c>
      <c r="L551" t="s">
        <v>4721</v>
      </c>
      <c r="M551" t="s">
        <v>33</v>
      </c>
      <c r="O551">
        <v>2507</v>
      </c>
    </row>
    <row r="552" spans="1:15" x14ac:dyDescent="0.35">
      <c r="A552" t="s">
        <v>20</v>
      </c>
      <c r="B552">
        <v>17645</v>
      </c>
      <c r="C552" t="s">
        <v>949</v>
      </c>
      <c r="D552" t="s">
        <v>950</v>
      </c>
      <c r="E552" t="s">
        <v>4783</v>
      </c>
      <c r="F552" t="s">
        <v>6548</v>
      </c>
      <c r="G552" t="s">
        <v>6549</v>
      </c>
      <c r="H552" t="s">
        <v>6550</v>
      </c>
      <c r="I552" t="s">
        <v>954</v>
      </c>
      <c r="K552" t="s">
        <v>28</v>
      </c>
      <c r="L552" t="s">
        <v>4721</v>
      </c>
      <c r="M552" t="s">
        <v>33</v>
      </c>
      <c r="O552">
        <v>2514</v>
      </c>
    </row>
    <row r="553" spans="1:15" x14ac:dyDescent="0.35">
      <c r="A553" t="s">
        <v>20</v>
      </c>
      <c r="B553">
        <v>17645</v>
      </c>
      <c r="C553" t="s">
        <v>949</v>
      </c>
      <c r="D553" t="s">
        <v>950</v>
      </c>
      <c r="E553" t="s">
        <v>4787</v>
      </c>
      <c r="F553" t="s">
        <v>6551</v>
      </c>
      <c r="G553" t="s">
        <v>6552</v>
      </c>
      <c r="H553" t="s">
        <v>6553</v>
      </c>
      <c r="I553" t="s">
        <v>954</v>
      </c>
      <c r="K553" t="s">
        <v>28</v>
      </c>
      <c r="L553" t="s">
        <v>4721</v>
      </c>
      <c r="M553" t="s">
        <v>33</v>
      </c>
      <c r="O553">
        <v>2521</v>
      </c>
    </row>
    <row r="554" spans="1:15" x14ac:dyDescent="0.35">
      <c r="A554" t="s">
        <v>20</v>
      </c>
      <c r="B554">
        <v>17645</v>
      </c>
      <c r="C554" t="s">
        <v>949</v>
      </c>
      <c r="D554" t="s">
        <v>950</v>
      </c>
      <c r="E554" t="s">
        <v>4791</v>
      </c>
      <c r="F554" t="s">
        <v>6554</v>
      </c>
      <c r="G554" t="s">
        <v>6555</v>
      </c>
      <c r="H554" t="s">
        <v>6556</v>
      </c>
      <c r="I554" t="s">
        <v>954</v>
      </c>
      <c r="K554" t="s">
        <v>28</v>
      </c>
      <c r="L554" t="s">
        <v>4721</v>
      </c>
      <c r="M554" t="s">
        <v>33</v>
      </c>
      <c r="O554">
        <v>2531</v>
      </c>
    </row>
    <row r="555" spans="1:15" x14ac:dyDescent="0.35">
      <c r="A555" t="s">
        <v>20</v>
      </c>
      <c r="B555">
        <v>17645</v>
      </c>
      <c r="C555" t="s">
        <v>949</v>
      </c>
      <c r="D555" t="s">
        <v>950</v>
      </c>
      <c r="E555" t="s">
        <v>4795</v>
      </c>
      <c r="F555" t="s">
        <v>6557</v>
      </c>
      <c r="G555" t="s">
        <v>6558</v>
      </c>
      <c r="H555" t="s">
        <v>6559</v>
      </c>
      <c r="I555" t="s">
        <v>954</v>
      </c>
      <c r="K555" t="s">
        <v>28</v>
      </c>
      <c r="L555" t="s">
        <v>4716</v>
      </c>
      <c r="M555" t="s">
        <v>33</v>
      </c>
      <c r="O555">
        <v>2538</v>
      </c>
    </row>
    <row r="556" spans="1:15" x14ac:dyDescent="0.35">
      <c r="A556" t="s">
        <v>20</v>
      </c>
      <c r="B556">
        <v>17645</v>
      </c>
      <c r="C556" t="s">
        <v>949</v>
      </c>
      <c r="D556" t="s">
        <v>950</v>
      </c>
      <c r="E556" t="s">
        <v>4800</v>
      </c>
      <c r="F556" t="s">
        <v>6560</v>
      </c>
      <c r="G556" t="s">
        <v>6561</v>
      </c>
      <c r="H556" t="s">
        <v>6562</v>
      </c>
      <c r="I556" t="s">
        <v>954</v>
      </c>
      <c r="K556" t="s">
        <v>46</v>
      </c>
      <c r="L556" t="s">
        <v>4721</v>
      </c>
      <c r="M556" t="s">
        <v>33</v>
      </c>
      <c r="O556">
        <v>4023</v>
      </c>
    </row>
    <row r="557" spans="1:15" x14ac:dyDescent="0.35">
      <c r="A557" t="s">
        <v>20</v>
      </c>
      <c r="B557">
        <v>17645</v>
      </c>
      <c r="C557" t="s">
        <v>949</v>
      </c>
      <c r="D557" t="s">
        <v>950</v>
      </c>
      <c r="E557" t="s">
        <v>4804</v>
      </c>
      <c r="F557" t="s">
        <v>6563</v>
      </c>
      <c r="G557" t="s">
        <v>6564</v>
      </c>
      <c r="H557" t="s">
        <v>6565</v>
      </c>
      <c r="I557" t="s">
        <v>954</v>
      </c>
      <c r="K557" t="s">
        <v>46</v>
      </c>
      <c r="L557" t="s">
        <v>4716</v>
      </c>
      <c r="M557" t="s">
        <v>33</v>
      </c>
      <c r="O557">
        <v>4030</v>
      </c>
    </row>
    <row r="558" spans="1:15" x14ac:dyDescent="0.35">
      <c r="A558" t="s">
        <v>20</v>
      </c>
      <c r="B558">
        <v>17645</v>
      </c>
      <c r="C558" t="s">
        <v>949</v>
      </c>
      <c r="D558" t="s">
        <v>950</v>
      </c>
      <c r="E558" t="s">
        <v>4808</v>
      </c>
      <c r="F558" t="s">
        <v>6566</v>
      </c>
      <c r="G558" t="s">
        <v>6567</v>
      </c>
      <c r="H558" t="s">
        <v>6568</v>
      </c>
      <c r="I558" t="s">
        <v>954</v>
      </c>
      <c r="K558" t="s">
        <v>28</v>
      </c>
      <c r="L558" t="s">
        <v>4721</v>
      </c>
      <c r="M558" t="s">
        <v>33</v>
      </c>
      <c r="O558">
        <v>4123</v>
      </c>
    </row>
    <row r="559" spans="1:15" x14ac:dyDescent="0.35">
      <c r="A559" t="s">
        <v>20</v>
      </c>
      <c r="B559">
        <v>17645</v>
      </c>
      <c r="C559" t="s">
        <v>949</v>
      </c>
      <c r="D559" t="s">
        <v>950</v>
      </c>
      <c r="E559" t="s">
        <v>4812</v>
      </c>
      <c r="F559" t="s">
        <v>6569</v>
      </c>
      <c r="G559" t="s">
        <v>6570</v>
      </c>
      <c r="H559" t="s">
        <v>6571</v>
      </c>
      <c r="I559" t="s">
        <v>954</v>
      </c>
      <c r="K559" t="s">
        <v>28</v>
      </c>
      <c r="L559" t="s">
        <v>4721</v>
      </c>
      <c r="M559" t="s">
        <v>33</v>
      </c>
      <c r="O559">
        <v>4553</v>
      </c>
    </row>
    <row r="560" spans="1:15" x14ac:dyDescent="0.35">
      <c r="A560" t="s">
        <v>20</v>
      </c>
      <c r="B560">
        <v>17645</v>
      </c>
      <c r="C560" t="s">
        <v>949</v>
      </c>
      <c r="D560" t="s">
        <v>950</v>
      </c>
      <c r="E560" t="s">
        <v>4816</v>
      </c>
      <c r="F560" t="s">
        <v>6572</v>
      </c>
      <c r="G560" t="s">
        <v>6573</v>
      </c>
      <c r="H560" t="s">
        <v>6574</v>
      </c>
      <c r="I560" t="s">
        <v>954</v>
      </c>
      <c r="K560" t="s">
        <v>28</v>
      </c>
      <c r="L560" t="s">
        <v>4721</v>
      </c>
      <c r="M560" t="s">
        <v>33</v>
      </c>
      <c r="O560">
        <v>4562</v>
      </c>
    </row>
    <row r="561" spans="1:15" x14ac:dyDescent="0.35">
      <c r="A561" t="s">
        <v>20</v>
      </c>
      <c r="B561">
        <v>17645</v>
      </c>
      <c r="C561" t="s">
        <v>949</v>
      </c>
      <c r="D561" t="s">
        <v>950</v>
      </c>
      <c r="E561" t="s">
        <v>4820</v>
      </c>
      <c r="F561" t="s">
        <v>6575</v>
      </c>
      <c r="G561" t="s">
        <v>6576</v>
      </c>
      <c r="H561" t="s">
        <v>6577</v>
      </c>
      <c r="I561" t="s">
        <v>954</v>
      </c>
      <c r="K561" t="s">
        <v>28</v>
      </c>
      <c r="L561" t="s">
        <v>4721</v>
      </c>
      <c r="M561" t="s">
        <v>33</v>
      </c>
      <c r="O561">
        <v>4568</v>
      </c>
    </row>
    <row r="562" spans="1:15" x14ac:dyDescent="0.35">
      <c r="A562" t="s">
        <v>20</v>
      </c>
      <c r="B562">
        <v>17645</v>
      </c>
      <c r="C562" t="s">
        <v>949</v>
      </c>
      <c r="D562" t="s">
        <v>950</v>
      </c>
      <c r="E562" t="s">
        <v>4824</v>
      </c>
      <c r="F562" t="s">
        <v>6578</v>
      </c>
      <c r="G562" t="s">
        <v>6579</v>
      </c>
      <c r="H562" t="s">
        <v>6580</v>
      </c>
      <c r="I562" t="s">
        <v>954</v>
      </c>
      <c r="K562" t="s">
        <v>61</v>
      </c>
      <c r="L562" t="s">
        <v>4726</v>
      </c>
      <c r="M562" t="s">
        <v>33</v>
      </c>
      <c r="O562">
        <v>4820</v>
      </c>
    </row>
    <row r="563" spans="1:15" x14ac:dyDescent="0.35">
      <c r="A563" t="s">
        <v>20</v>
      </c>
      <c r="B563">
        <v>17645</v>
      </c>
      <c r="C563" t="s">
        <v>949</v>
      </c>
      <c r="D563" t="s">
        <v>950</v>
      </c>
      <c r="E563" t="s">
        <v>4828</v>
      </c>
      <c r="F563" t="s">
        <v>6581</v>
      </c>
      <c r="G563" t="s">
        <v>6582</v>
      </c>
      <c r="H563" t="s">
        <v>6583</v>
      </c>
      <c r="I563" t="s">
        <v>954</v>
      </c>
      <c r="K563" t="s">
        <v>28</v>
      </c>
      <c r="L563" t="s">
        <v>4726</v>
      </c>
      <c r="M563" t="s">
        <v>33</v>
      </c>
      <c r="O563">
        <v>4999</v>
      </c>
    </row>
    <row r="564" spans="1:15" x14ac:dyDescent="0.35">
      <c r="A564" t="s">
        <v>20</v>
      </c>
      <c r="B564">
        <v>17645</v>
      </c>
      <c r="C564" t="s">
        <v>949</v>
      </c>
      <c r="D564" t="s">
        <v>950</v>
      </c>
      <c r="E564" t="s">
        <v>4832</v>
      </c>
      <c r="F564" t="s">
        <v>6584</v>
      </c>
      <c r="G564" t="s">
        <v>6585</v>
      </c>
      <c r="H564" t="s">
        <v>6586</v>
      </c>
      <c r="I564" t="s">
        <v>954</v>
      </c>
      <c r="K564" t="s">
        <v>28</v>
      </c>
      <c r="L564" t="s">
        <v>4721</v>
      </c>
      <c r="M564" t="s">
        <v>33</v>
      </c>
      <c r="O564">
        <v>6266</v>
      </c>
    </row>
    <row r="565" spans="1:15" x14ac:dyDescent="0.35">
      <c r="A565" t="s">
        <v>20</v>
      </c>
      <c r="B565">
        <v>17645</v>
      </c>
      <c r="C565" t="s">
        <v>949</v>
      </c>
      <c r="D565" t="s">
        <v>950</v>
      </c>
      <c r="E565" t="s">
        <v>4836</v>
      </c>
      <c r="F565" t="s">
        <v>6587</v>
      </c>
      <c r="G565" t="s">
        <v>6588</v>
      </c>
      <c r="H565" t="s">
        <v>6589</v>
      </c>
      <c r="I565" t="s">
        <v>954</v>
      </c>
      <c r="K565" t="s">
        <v>28</v>
      </c>
      <c r="L565" t="s">
        <v>4721</v>
      </c>
      <c r="M565" t="s">
        <v>33</v>
      </c>
      <c r="O565">
        <v>6276</v>
      </c>
    </row>
    <row r="566" spans="1:15" x14ac:dyDescent="0.35">
      <c r="A566" t="s">
        <v>20</v>
      </c>
      <c r="B566">
        <v>17645</v>
      </c>
      <c r="C566" t="s">
        <v>949</v>
      </c>
      <c r="D566" t="s">
        <v>950</v>
      </c>
      <c r="E566" t="s">
        <v>4840</v>
      </c>
      <c r="F566" t="s">
        <v>6590</v>
      </c>
      <c r="G566" t="s">
        <v>6591</v>
      </c>
      <c r="H566" t="s">
        <v>6592</v>
      </c>
      <c r="I566" t="s">
        <v>954</v>
      </c>
      <c r="K566" t="s">
        <v>61</v>
      </c>
      <c r="L566" t="s">
        <v>4721</v>
      </c>
      <c r="M566" t="s">
        <v>33</v>
      </c>
      <c r="O566">
        <v>6280</v>
      </c>
    </row>
    <row r="567" spans="1:15" x14ac:dyDescent="0.35">
      <c r="A567" t="s">
        <v>20</v>
      </c>
      <c r="B567">
        <v>17645</v>
      </c>
      <c r="C567" t="s">
        <v>949</v>
      </c>
      <c r="D567" t="s">
        <v>950</v>
      </c>
      <c r="E567" t="s">
        <v>4844</v>
      </c>
      <c r="F567" t="s">
        <v>6593</v>
      </c>
      <c r="G567" t="s">
        <v>6594</v>
      </c>
      <c r="H567" t="s">
        <v>6595</v>
      </c>
      <c r="I567" t="s">
        <v>954</v>
      </c>
      <c r="K567" t="s">
        <v>46</v>
      </c>
      <c r="L567" t="s">
        <v>4721</v>
      </c>
      <c r="M567" t="s">
        <v>33</v>
      </c>
      <c r="O567">
        <v>6317</v>
      </c>
    </row>
    <row r="568" spans="1:15" x14ac:dyDescent="0.35">
      <c r="A568" t="s">
        <v>20</v>
      </c>
      <c r="B568">
        <v>17645</v>
      </c>
      <c r="C568" t="s">
        <v>949</v>
      </c>
      <c r="D568" t="s">
        <v>950</v>
      </c>
      <c r="E568" t="s">
        <v>4848</v>
      </c>
      <c r="F568" t="s">
        <v>6596</v>
      </c>
      <c r="G568" t="s">
        <v>6597</v>
      </c>
      <c r="H568" t="s">
        <v>6598</v>
      </c>
      <c r="I568" t="s">
        <v>954</v>
      </c>
      <c r="K568" t="s">
        <v>28</v>
      </c>
      <c r="L568" t="s">
        <v>4721</v>
      </c>
      <c r="M568" t="s">
        <v>33</v>
      </c>
      <c r="O568">
        <v>6323</v>
      </c>
    </row>
    <row r="569" spans="1:15" x14ac:dyDescent="0.35">
      <c r="A569" t="s">
        <v>20</v>
      </c>
      <c r="B569">
        <v>17645</v>
      </c>
      <c r="C569" t="s">
        <v>949</v>
      </c>
      <c r="D569" t="s">
        <v>950</v>
      </c>
      <c r="E569" t="s">
        <v>4852</v>
      </c>
      <c r="F569" t="s">
        <v>6599</v>
      </c>
      <c r="G569" t="s">
        <v>6600</v>
      </c>
      <c r="H569" t="s">
        <v>6601</v>
      </c>
      <c r="I569" t="s">
        <v>954</v>
      </c>
      <c r="K569" t="s">
        <v>61</v>
      </c>
      <c r="L569" t="s">
        <v>4721</v>
      </c>
      <c r="M569" t="s">
        <v>33</v>
      </c>
      <c r="O569">
        <v>6478</v>
      </c>
    </row>
    <row r="570" spans="1:15" x14ac:dyDescent="0.35">
      <c r="A570" t="s">
        <v>20</v>
      </c>
      <c r="B570">
        <v>17645</v>
      </c>
      <c r="C570" t="s">
        <v>949</v>
      </c>
      <c r="D570" t="s">
        <v>950</v>
      </c>
      <c r="E570" t="s">
        <v>4856</v>
      </c>
      <c r="F570" t="s">
        <v>6602</v>
      </c>
      <c r="G570" t="s">
        <v>6603</v>
      </c>
      <c r="H570" t="s">
        <v>6604</v>
      </c>
      <c r="I570" t="s">
        <v>954</v>
      </c>
      <c r="K570" t="s">
        <v>61</v>
      </c>
      <c r="L570" t="s">
        <v>4721</v>
      </c>
      <c r="M570" t="s">
        <v>33</v>
      </c>
      <c r="O570">
        <v>6487</v>
      </c>
    </row>
    <row r="571" spans="1:15" x14ac:dyDescent="0.35">
      <c r="A571" t="s">
        <v>20</v>
      </c>
      <c r="B571">
        <v>17647</v>
      </c>
      <c r="C571" t="s">
        <v>1252</v>
      </c>
      <c r="D571" t="s">
        <v>1253</v>
      </c>
      <c r="E571" t="s">
        <v>4712</v>
      </c>
      <c r="F571" t="s">
        <v>6605</v>
      </c>
      <c r="G571" t="s">
        <v>6606</v>
      </c>
      <c r="H571" t="s">
        <v>6607</v>
      </c>
      <c r="I571" t="s">
        <v>1257</v>
      </c>
      <c r="K571" t="s">
        <v>28</v>
      </c>
      <c r="L571" t="s">
        <v>4721</v>
      </c>
      <c r="M571" t="s">
        <v>33</v>
      </c>
      <c r="O571">
        <v>589</v>
      </c>
    </row>
    <row r="572" spans="1:15" x14ac:dyDescent="0.35">
      <c r="A572" t="s">
        <v>20</v>
      </c>
      <c r="B572">
        <v>17647</v>
      </c>
      <c r="C572" t="s">
        <v>1252</v>
      </c>
      <c r="D572" t="s">
        <v>1253</v>
      </c>
      <c r="E572" t="s">
        <v>4717</v>
      </c>
      <c r="F572" t="s">
        <v>6608</v>
      </c>
      <c r="G572" t="s">
        <v>6609</v>
      </c>
      <c r="H572" t="s">
        <v>6610</v>
      </c>
      <c r="I572" t="s">
        <v>1257</v>
      </c>
      <c r="K572" t="s">
        <v>28</v>
      </c>
      <c r="L572" t="s">
        <v>4721</v>
      </c>
      <c r="M572" t="s">
        <v>33</v>
      </c>
      <c r="O572">
        <v>598</v>
      </c>
    </row>
    <row r="573" spans="1:15" x14ac:dyDescent="0.35">
      <c r="A573" t="s">
        <v>20</v>
      </c>
      <c r="B573">
        <v>17647</v>
      </c>
      <c r="C573" t="s">
        <v>1252</v>
      </c>
      <c r="D573" t="s">
        <v>1253</v>
      </c>
      <c r="E573" t="s">
        <v>4722</v>
      </c>
      <c r="F573" t="s">
        <v>6611</v>
      </c>
      <c r="G573" t="s">
        <v>6612</v>
      </c>
      <c r="H573" t="s">
        <v>6613</v>
      </c>
      <c r="I573" t="s">
        <v>1257</v>
      </c>
      <c r="K573" t="s">
        <v>28</v>
      </c>
      <c r="L573" t="s">
        <v>4721</v>
      </c>
      <c r="M573" t="s">
        <v>33</v>
      </c>
      <c r="O573">
        <v>606</v>
      </c>
    </row>
    <row r="574" spans="1:15" x14ac:dyDescent="0.35">
      <c r="A574" t="s">
        <v>20</v>
      </c>
      <c r="B574">
        <v>17647</v>
      </c>
      <c r="C574" t="s">
        <v>1252</v>
      </c>
      <c r="D574" t="s">
        <v>1253</v>
      </c>
      <c r="E574" t="s">
        <v>4727</v>
      </c>
      <c r="F574" t="s">
        <v>6614</v>
      </c>
      <c r="G574" t="s">
        <v>6615</v>
      </c>
      <c r="H574" t="s">
        <v>6616</v>
      </c>
      <c r="I574" t="s">
        <v>1257</v>
      </c>
      <c r="K574" t="s">
        <v>28</v>
      </c>
      <c r="L574" t="s">
        <v>4721</v>
      </c>
      <c r="M574" t="s">
        <v>33</v>
      </c>
      <c r="O574">
        <v>614</v>
      </c>
    </row>
    <row r="575" spans="1:15" x14ac:dyDescent="0.35">
      <c r="A575" t="s">
        <v>20</v>
      </c>
      <c r="B575">
        <v>17647</v>
      </c>
      <c r="C575" t="s">
        <v>1252</v>
      </c>
      <c r="D575" t="s">
        <v>1253</v>
      </c>
      <c r="E575" t="s">
        <v>4731</v>
      </c>
      <c r="F575" t="s">
        <v>6617</v>
      </c>
      <c r="G575" t="s">
        <v>6618</v>
      </c>
      <c r="H575" t="s">
        <v>6619</v>
      </c>
      <c r="I575" t="s">
        <v>1257</v>
      </c>
      <c r="K575" t="s">
        <v>28</v>
      </c>
      <c r="L575" t="s">
        <v>4726</v>
      </c>
      <c r="M575" t="s">
        <v>33</v>
      </c>
      <c r="O575">
        <v>626</v>
      </c>
    </row>
    <row r="576" spans="1:15" x14ac:dyDescent="0.35">
      <c r="A576" t="s">
        <v>20</v>
      </c>
      <c r="B576">
        <v>17647</v>
      </c>
      <c r="C576" t="s">
        <v>1252</v>
      </c>
      <c r="D576" t="s">
        <v>1253</v>
      </c>
      <c r="E576" t="s">
        <v>4735</v>
      </c>
      <c r="F576" t="s">
        <v>6620</v>
      </c>
      <c r="G576" t="s">
        <v>6621</v>
      </c>
      <c r="H576" t="s">
        <v>6622</v>
      </c>
      <c r="I576" t="s">
        <v>1257</v>
      </c>
      <c r="K576" t="s">
        <v>28</v>
      </c>
      <c r="L576" t="s">
        <v>4721</v>
      </c>
      <c r="M576" t="s">
        <v>33</v>
      </c>
      <c r="O576">
        <v>632</v>
      </c>
    </row>
    <row r="577" spans="1:15" x14ac:dyDescent="0.35">
      <c r="A577" t="s">
        <v>20</v>
      </c>
      <c r="B577">
        <v>17647</v>
      </c>
      <c r="C577" t="s">
        <v>1252</v>
      </c>
      <c r="D577" t="s">
        <v>1253</v>
      </c>
      <c r="E577" t="s">
        <v>4739</v>
      </c>
      <c r="F577" t="s">
        <v>6623</v>
      </c>
      <c r="G577" t="s">
        <v>6624</v>
      </c>
      <c r="H577" t="s">
        <v>6625</v>
      </c>
      <c r="I577" t="s">
        <v>1257</v>
      </c>
      <c r="K577" t="s">
        <v>28</v>
      </c>
      <c r="L577" t="s">
        <v>4721</v>
      </c>
      <c r="M577" t="s">
        <v>33</v>
      </c>
      <c r="O577">
        <v>639</v>
      </c>
    </row>
    <row r="578" spans="1:15" x14ac:dyDescent="0.35">
      <c r="A578" t="s">
        <v>20</v>
      </c>
      <c r="B578">
        <v>17647</v>
      </c>
      <c r="C578" t="s">
        <v>1252</v>
      </c>
      <c r="D578" t="s">
        <v>1253</v>
      </c>
      <c r="E578" t="s">
        <v>4743</v>
      </c>
      <c r="F578" t="s">
        <v>6626</v>
      </c>
      <c r="G578" t="s">
        <v>6627</v>
      </c>
      <c r="H578" t="s">
        <v>6628</v>
      </c>
      <c r="I578" t="s">
        <v>1257</v>
      </c>
      <c r="K578" t="s">
        <v>28</v>
      </c>
      <c r="L578" t="s">
        <v>4716</v>
      </c>
      <c r="M578" t="s">
        <v>33</v>
      </c>
      <c r="O578">
        <v>650</v>
      </c>
    </row>
    <row r="579" spans="1:15" x14ac:dyDescent="0.35">
      <c r="A579" t="s">
        <v>20</v>
      </c>
      <c r="B579">
        <v>17647</v>
      </c>
      <c r="C579" t="s">
        <v>1252</v>
      </c>
      <c r="D579" t="s">
        <v>1253</v>
      </c>
      <c r="E579" t="s">
        <v>4747</v>
      </c>
      <c r="F579" t="s">
        <v>6629</v>
      </c>
      <c r="G579" t="s">
        <v>6630</v>
      </c>
      <c r="H579" t="s">
        <v>6631</v>
      </c>
      <c r="I579" t="s">
        <v>1257</v>
      </c>
      <c r="K579" t="s">
        <v>28</v>
      </c>
      <c r="L579" t="s">
        <v>4799</v>
      </c>
      <c r="M579" t="s">
        <v>33</v>
      </c>
      <c r="O579">
        <v>658</v>
      </c>
    </row>
    <row r="580" spans="1:15" x14ac:dyDescent="0.35">
      <c r="A580" t="s">
        <v>20</v>
      </c>
      <c r="B580">
        <v>17647</v>
      </c>
      <c r="C580" t="s">
        <v>1252</v>
      </c>
      <c r="D580" t="s">
        <v>1253</v>
      </c>
      <c r="E580" t="s">
        <v>4751</v>
      </c>
      <c r="F580" t="s">
        <v>6632</v>
      </c>
      <c r="G580" t="s">
        <v>6633</v>
      </c>
      <c r="H580" t="s">
        <v>6634</v>
      </c>
      <c r="I580" t="s">
        <v>1257</v>
      </c>
      <c r="K580" t="s">
        <v>61</v>
      </c>
      <c r="L580" t="s">
        <v>4726</v>
      </c>
      <c r="M580" t="s">
        <v>33</v>
      </c>
      <c r="O580">
        <v>1133</v>
      </c>
    </row>
    <row r="581" spans="1:15" x14ac:dyDescent="0.35">
      <c r="A581" t="s">
        <v>20</v>
      </c>
      <c r="B581">
        <v>17647</v>
      </c>
      <c r="C581" t="s">
        <v>1252</v>
      </c>
      <c r="D581" t="s">
        <v>1253</v>
      </c>
      <c r="E581" t="s">
        <v>4755</v>
      </c>
      <c r="F581" t="s">
        <v>6635</v>
      </c>
      <c r="G581" t="s">
        <v>6636</v>
      </c>
      <c r="H581" t="s">
        <v>6637</v>
      </c>
      <c r="I581" t="s">
        <v>1257</v>
      </c>
      <c r="K581" t="s">
        <v>61</v>
      </c>
      <c r="L581" t="s">
        <v>4716</v>
      </c>
      <c r="M581" t="s">
        <v>33</v>
      </c>
      <c r="O581">
        <v>1139</v>
      </c>
    </row>
    <row r="582" spans="1:15" x14ac:dyDescent="0.35">
      <c r="A582" t="s">
        <v>20</v>
      </c>
      <c r="B582">
        <v>17647</v>
      </c>
      <c r="C582" t="s">
        <v>1252</v>
      </c>
      <c r="D582" t="s">
        <v>1253</v>
      </c>
      <c r="E582" t="s">
        <v>4759</v>
      </c>
      <c r="F582" t="s">
        <v>6638</v>
      </c>
      <c r="G582" t="s">
        <v>6639</v>
      </c>
      <c r="H582" t="s">
        <v>6640</v>
      </c>
      <c r="I582" t="s">
        <v>1257</v>
      </c>
      <c r="K582" t="s">
        <v>61</v>
      </c>
      <c r="L582" t="s">
        <v>4716</v>
      </c>
      <c r="M582" t="s">
        <v>33</v>
      </c>
      <c r="O582">
        <v>1147</v>
      </c>
    </row>
    <row r="583" spans="1:15" x14ac:dyDescent="0.35">
      <c r="A583" t="s">
        <v>20</v>
      </c>
      <c r="B583">
        <v>17647</v>
      </c>
      <c r="C583" t="s">
        <v>1252</v>
      </c>
      <c r="D583" t="s">
        <v>1253</v>
      </c>
      <c r="E583" t="s">
        <v>4763</v>
      </c>
      <c r="F583" t="s">
        <v>6641</v>
      </c>
      <c r="G583" t="s">
        <v>6642</v>
      </c>
      <c r="H583" t="s">
        <v>6643</v>
      </c>
      <c r="I583" t="s">
        <v>1257</v>
      </c>
      <c r="K583" t="s">
        <v>46</v>
      </c>
      <c r="L583" t="s">
        <v>4799</v>
      </c>
      <c r="M583" t="s">
        <v>33</v>
      </c>
      <c r="O583">
        <v>1388</v>
      </c>
    </row>
    <row r="584" spans="1:15" x14ac:dyDescent="0.35">
      <c r="A584" t="s">
        <v>20</v>
      </c>
      <c r="B584">
        <v>17647</v>
      </c>
      <c r="C584" t="s">
        <v>1252</v>
      </c>
      <c r="D584" t="s">
        <v>1253</v>
      </c>
      <c r="E584" t="s">
        <v>4767</v>
      </c>
      <c r="F584" t="s">
        <v>6644</v>
      </c>
      <c r="G584" t="s">
        <v>6645</v>
      </c>
      <c r="H584" t="s">
        <v>6646</v>
      </c>
      <c r="I584" t="s">
        <v>1257</v>
      </c>
      <c r="K584" t="s">
        <v>46</v>
      </c>
      <c r="L584" t="s">
        <v>4716</v>
      </c>
      <c r="M584" t="s">
        <v>33</v>
      </c>
      <c r="O584">
        <v>1402</v>
      </c>
    </row>
    <row r="585" spans="1:15" x14ac:dyDescent="0.35">
      <c r="A585" t="s">
        <v>20</v>
      </c>
      <c r="B585">
        <v>17647</v>
      </c>
      <c r="C585" t="s">
        <v>1252</v>
      </c>
      <c r="D585" t="s">
        <v>1253</v>
      </c>
      <c r="E585" t="s">
        <v>4771</v>
      </c>
      <c r="F585" t="s">
        <v>6647</v>
      </c>
      <c r="G585" t="s">
        <v>6648</v>
      </c>
      <c r="H585" t="s">
        <v>6649</v>
      </c>
      <c r="I585" t="s">
        <v>1257</v>
      </c>
      <c r="K585" t="s">
        <v>28</v>
      </c>
      <c r="L585" t="s">
        <v>4721</v>
      </c>
      <c r="M585" t="s">
        <v>33</v>
      </c>
      <c r="O585">
        <v>1903</v>
      </c>
    </row>
    <row r="586" spans="1:15" x14ac:dyDescent="0.35">
      <c r="A586" t="s">
        <v>20</v>
      </c>
      <c r="B586">
        <v>17647</v>
      </c>
      <c r="C586" t="s">
        <v>1252</v>
      </c>
      <c r="D586" t="s">
        <v>1253</v>
      </c>
      <c r="E586" t="s">
        <v>4775</v>
      </c>
      <c r="F586" t="s">
        <v>6650</v>
      </c>
      <c r="G586" t="s">
        <v>6651</v>
      </c>
      <c r="H586" t="s">
        <v>6652</v>
      </c>
      <c r="I586" t="s">
        <v>1257</v>
      </c>
      <c r="K586" t="s">
        <v>28</v>
      </c>
      <c r="L586" t="s">
        <v>4721</v>
      </c>
      <c r="M586" t="s">
        <v>33</v>
      </c>
      <c r="O586">
        <v>1908</v>
      </c>
    </row>
    <row r="587" spans="1:15" x14ac:dyDescent="0.35">
      <c r="A587" t="s">
        <v>20</v>
      </c>
      <c r="B587">
        <v>17647</v>
      </c>
      <c r="C587" t="s">
        <v>1252</v>
      </c>
      <c r="D587" t="s">
        <v>1253</v>
      </c>
      <c r="E587" t="s">
        <v>4779</v>
      </c>
      <c r="F587" t="s">
        <v>6653</v>
      </c>
      <c r="G587" t="s">
        <v>6654</v>
      </c>
      <c r="H587" t="s">
        <v>6655</v>
      </c>
      <c r="I587" t="s">
        <v>1257</v>
      </c>
      <c r="K587" t="s">
        <v>38</v>
      </c>
      <c r="L587" t="s">
        <v>4716</v>
      </c>
      <c r="M587" t="s">
        <v>33</v>
      </c>
      <c r="O587">
        <v>1943</v>
      </c>
    </row>
    <row r="588" spans="1:15" x14ac:dyDescent="0.35">
      <c r="A588" t="s">
        <v>20</v>
      </c>
      <c r="B588">
        <v>17647</v>
      </c>
      <c r="C588" t="s">
        <v>1252</v>
      </c>
      <c r="D588" t="s">
        <v>1253</v>
      </c>
      <c r="E588" t="s">
        <v>4783</v>
      </c>
      <c r="F588" t="s">
        <v>6656</v>
      </c>
      <c r="G588" t="s">
        <v>6657</v>
      </c>
      <c r="H588" t="s">
        <v>6658</v>
      </c>
      <c r="I588" t="s">
        <v>1257</v>
      </c>
      <c r="K588" t="s">
        <v>38</v>
      </c>
      <c r="L588" t="s">
        <v>4799</v>
      </c>
      <c r="M588" t="s">
        <v>33</v>
      </c>
      <c r="O588">
        <v>1956</v>
      </c>
    </row>
    <row r="589" spans="1:15" x14ac:dyDescent="0.35">
      <c r="A589" t="s">
        <v>20</v>
      </c>
      <c r="B589">
        <v>17647</v>
      </c>
      <c r="C589" t="s">
        <v>1252</v>
      </c>
      <c r="D589" t="s">
        <v>1253</v>
      </c>
      <c r="E589" t="s">
        <v>4787</v>
      </c>
      <c r="F589" t="s">
        <v>6659</v>
      </c>
      <c r="G589" t="s">
        <v>6660</v>
      </c>
      <c r="H589" t="s">
        <v>6661</v>
      </c>
      <c r="I589" t="s">
        <v>1257</v>
      </c>
      <c r="L589" t="s">
        <v>4721</v>
      </c>
      <c r="M589" t="s">
        <v>33</v>
      </c>
      <c r="O589">
        <v>2378</v>
      </c>
    </row>
    <row r="590" spans="1:15" x14ac:dyDescent="0.35">
      <c r="A590" t="s">
        <v>20</v>
      </c>
      <c r="B590">
        <v>17647</v>
      </c>
      <c r="C590" t="s">
        <v>1252</v>
      </c>
      <c r="D590" t="s">
        <v>1253</v>
      </c>
      <c r="E590" t="s">
        <v>4791</v>
      </c>
      <c r="F590" t="s">
        <v>6662</v>
      </c>
      <c r="G590" t="s">
        <v>6663</v>
      </c>
      <c r="H590" t="s">
        <v>6664</v>
      </c>
      <c r="I590" t="s">
        <v>1257</v>
      </c>
      <c r="K590" t="s">
        <v>46</v>
      </c>
      <c r="L590" t="s">
        <v>4799</v>
      </c>
      <c r="M590" t="s">
        <v>33</v>
      </c>
      <c r="O590">
        <v>2397</v>
      </c>
    </row>
    <row r="591" spans="1:15" x14ac:dyDescent="0.35">
      <c r="A591" t="s">
        <v>20</v>
      </c>
      <c r="B591">
        <v>17647</v>
      </c>
      <c r="C591" t="s">
        <v>1252</v>
      </c>
      <c r="D591" t="s">
        <v>1253</v>
      </c>
      <c r="E591" t="s">
        <v>4795</v>
      </c>
      <c r="F591" t="s">
        <v>6665</v>
      </c>
      <c r="G591" t="s">
        <v>6666</v>
      </c>
      <c r="H591" t="s">
        <v>6667</v>
      </c>
      <c r="I591" t="s">
        <v>1257</v>
      </c>
      <c r="K591" t="s">
        <v>46</v>
      </c>
      <c r="L591" t="s">
        <v>4721</v>
      </c>
      <c r="M591" t="s">
        <v>33</v>
      </c>
      <c r="O591">
        <v>2402</v>
      </c>
    </row>
    <row r="592" spans="1:15" x14ac:dyDescent="0.35">
      <c r="A592" t="s">
        <v>20</v>
      </c>
      <c r="B592">
        <v>17647</v>
      </c>
      <c r="C592" t="s">
        <v>1252</v>
      </c>
      <c r="D592" t="s">
        <v>1253</v>
      </c>
      <c r="E592" t="s">
        <v>4800</v>
      </c>
      <c r="F592" t="s">
        <v>6668</v>
      </c>
      <c r="G592" t="s">
        <v>6669</v>
      </c>
      <c r="H592" t="s">
        <v>6670</v>
      </c>
      <c r="I592" t="s">
        <v>1257</v>
      </c>
      <c r="K592" t="s">
        <v>46</v>
      </c>
      <c r="L592" t="s">
        <v>4799</v>
      </c>
      <c r="M592" t="s">
        <v>33</v>
      </c>
      <c r="O592">
        <v>4458</v>
      </c>
    </row>
    <row r="593" spans="1:15" x14ac:dyDescent="0.35">
      <c r="A593" t="s">
        <v>20</v>
      </c>
      <c r="B593">
        <v>17647</v>
      </c>
      <c r="C593" t="s">
        <v>1252</v>
      </c>
      <c r="D593" t="s">
        <v>1253</v>
      </c>
      <c r="E593" t="s">
        <v>4804</v>
      </c>
      <c r="F593" t="s">
        <v>6671</v>
      </c>
      <c r="G593" t="s">
        <v>6672</v>
      </c>
      <c r="H593" t="s">
        <v>6673</v>
      </c>
      <c r="I593" t="s">
        <v>1257</v>
      </c>
      <c r="K593" t="s">
        <v>38</v>
      </c>
      <c r="L593" t="s">
        <v>4721</v>
      </c>
      <c r="M593" t="s">
        <v>33</v>
      </c>
      <c r="O593">
        <v>4671</v>
      </c>
    </row>
    <row r="594" spans="1:15" x14ac:dyDescent="0.35">
      <c r="A594" t="s">
        <v>20</v>
      </c>
      <c r="B594">
        <v>17647</v>
      </c>
      <c r="C594" t="s">
        <v>1252</v>
      </c>
      <c r="D594" t="s">
        <v>1253</v>
      </c>
      <c r="E594" t="s">
        <v>4808</v>
      </c>
      <c r="F594" t="s">
        <v>6674</v>
      </c>
      <c r="G594" t="s">
        <v>6675</v>
      </c>
      <c r="H594" t="s">
        <v>6676</v>
      </c>
      <c r="I594" t="s">
        <v>1257</v>
      </c>
      <c r="K594" t="s">
        <v>38</v>
      </c>
      <c r="L594" t="s">
        <v>4721</v>
      </c>
      <c r="M594" t="s">
        <v>33</v>
      </c>
      <c r="O594">
        <v>4687</v>
      </c>
    </row>
    <row r="595" spans="1:15" x14ac:dyDescent="0.35">
      <c r="A595" t="s">
        <v>20</v>
      </c>
      <c r="B595">
        <v>17647</v>
      </c>
      <c r="C595" t="s">
        <v>1252</v>
      </c>
      <c r="D595" t="s">
        <v>1253</v>
      </c>
      <c r="E595" t="s">
        <v>4812</v>
      </c>
      <c r="F595" t="s">
        <v>6677</v>
      </c>
      <c r="G595" t="s">
        <v>6678</v>
      </c>
      <c r="H595" t="s">
        <v>6679</v>
      </c>
      <c r="I595" t="s">
        <v>1257</v>
      </c>
      <c r="K595" t="s">
        <v>28</v>
      </c>
      <c r="L595" t="s">
        <v>4721</v>
      </c>
      <c r="M595" t="s">
        <v>33</v>
      </c>
      <c r="O595">
        <v>5197</v>
      </c>
    </row>
    <row r="596" spans="1:15" x14ac:dyDescent="0.35">
      <c r="A596" t="s">
        <v>20</v>
      </c>
      <c r="B596">
        <v>17647</v>
      </c>
      <c r="C596" t="s">
        <v>1252</v>
      </c>
      <c r="D596" t="s">
        <v>1253</v>
      </c>
      <c r="E596" t="s">
        <v>4816</v>
      </c>
      <c r="F596" t="s">
        <v>6680</v>
      </c>
      <c r="G596" t="s">
        <v>6681</v>
      </c>
      <c r="H596" t="s">
        <v>6682</v>
      </c>
      <c r="I596" t="s">
        <v>1257</v>
      </c>
      <c r="K596" t="s">
        <v>28</v>
      </c>
      <c r="L596" t="s">
        <v>4721</v>
      </c>
      <c r="M596" t="s">
        <v>33</v>
      </c>
      <c r="O596">
        <v>5211</v>
      </c>
    </row>
    <row r="597" spans="1:15" x14ac:dyDescent="0.35">
      <c r="A597" t="s">
        <v>20</v>
      </c>
      <c r="B597">
        <v>17647</v>
      </c>
      <c r="C597" t="s">
        <v>1252</v>
      </c>
      <c r="D597" t="s">
        <v>1253</v>
      </c>
      <c r="E597" t="s">
        <v>4820</v>
      </c>
      <c r="F597" t="s">
        <v>6683</v>
      </c>
      <c r="G597" t="s">
        <v>6684</v>
      </c>
      <c r="H597" t="s">
        <v>6685</v>
      </c>
      <c r="I597" t="s">
        <v>1257</v>
      </c>
      <c r="K597" t="s">
        <v>28</v>
      </c>
      <c r="L597" t="s">
        <v>4721</v>
      </c>
      <c r="M597" t="s">
        <v>33</v>
      </c>
      <c r="O597">
        <v>5217</v>
      </c>
    </row>
    <row r="598" spans="1:15" x14ac:dyDescent="0.35">
      <c r="A598" t="s">
        <v>20</v>
      </c>
      <c r="B598">
        <v>17647</v>
      </c>
      <c r="C598" t="s">
        <v>1252</v>
      </c>
      <c r="D598" t="s">
        <v>1253</v>
      </c>
      <c r="E598" t="s">
        <v>4824</v>
      </c>
      <c r="F598" t="s">
        <v>6686</v>
      </c>
      <c r="G598" t="s">
        <v>6687</v>
      </c>
      <c r="H598" t="s">
        <v>6688</v>
      </c>
      <c r="I598" t="s">
        <v>1257</v>
      </c>
      <c r="K598" t="s">
        <v>28</v>
      </c>
      <c r="L598" t="s">
        <v>4721</v>
      </c>
      <c r="M598" t="s">
        <v>33</v>
      </c>
      <c r="O598">
        <v>5226</v>
      </c>
    </row>
    <row r="599" spans="1:15" x14ac:dyDescent="0.35">
      <c r="A599" t="s">
        <v>20</v>
      </c>
      <c r="B599">
        <v>17647</v>
      </c>
      <c r="C599" t="s">
        <v>1252</v>
      </c>
      <c r="D599" t="s">
        <v>1253</v>
      </c>
      <c r="E599" t="s">
        <v>4828</v>
      </c>
      <c r="F599" t="s">
        <v>6689</v>
      </c>
      <c r="G599" t="s">
        <v>6690</v>
      </c>
      <c r="H599" t="s">
        <v>6691</v>
      </c>
      <c r="I599" t="s">
        <v>1257</v>
      </c>
      <c r="K599" t="s">
        <v>28</v>
      </c>
      <c r="L599" t="s">
        <v>4721</v>
      </c>
      <c r="M599" t="s">
        <v>33</v>
      </c>
      <c r="O599">
        <v>5234</v>
      </c>
    </row>
    <row r="600" spans="1:15" x14ac:dyDescent="0.35">
      <c r="A600" t="s">
        <v>20</v>
      </c>
      <c r="B600">
        <v>17647</v>
      </c>
      <c r="C600" t="s">
        <v>1252</v>
      </c>
      <c r="D600" t="s">
        <v>1253</v>
      </c>
      <c r="E600" t="s">
        <v>4832</v>
      </c>
      <c r="F600" t="s">
        <v>6692</v>
      </c>
      <c r="G600" t="s">
        <v>6693</v>
      </c>
      <c r="H600" t="s">
        <v>6694</v>
      </c>
      <c r="I600" t="s">
        <v>1257</v>
      </c>
      <c r="K600" t="s">
        <v>28</v>
      </c>
      <c r="L600" t="s">
        <v>4721</v>
      </c>
      <c r="M600" t="s">
        <v>33</v>
      </c>
      <c r="O600">
        <v>5564</v>
      </c>
    </row>
    <row r="601" spans="1:15" x14ac:dyDescent="0.35">
      <c r="A601" t="s">
        <v>20</v>
      </c>
      <c r="B601">
        <v>17647</v>
      </c>
      <c r="C601" t="s">
        <v>1252</v>
      </c>
      <c r="D601" t="s">
        <v>1253</v>
      </c>
      <c r="E601" t="s">
        <v>4836</v>
      </c>
      <c r="F601" t="s">
        <v>6695</v>
      </c>
      <c r="G601" t="s">
        <v>6696</v>
      </c>
      <c r="H601" t="s">
        <v>6697</v>
      </c>
      <c r="I601" t="s">
        <v>1257</v>
      </c>
      <c r="K601" t="s">
        <v>28</v>
      </c>
      <c r="L601" t="s">
        <v>4721</v>
      </c>
      <c r="M601" t="s">
        <v>33</v>
      </c>
      <c r="O601">
        <v>5575</v>
      </c>
    </row>
    <row r="602" spans="1:15" x14ac:dyDescent="0.35">
      <c r="A602" t="s">
        <v>20</v>
      </c>
      <c r="B602">
        <v>17647</v>
      </c>
      <c r="C602" t="s">
        <v>1252</v>
      </c>
      <c r="D602" t="s">
        <v>1253</v>
      </c>
      <c r="E602" t="s">
        <v>4840</v>
      </c>
      <c r="F602" t="s">
        <v>6698</v>
      </c>
      <c r="G602" t="s">
        <v>6699</v>
      </c>
      <c r="H602" t="s">
        <v>6700</v>
      </c>
      <c r="I602" t="s">
        <v>1257</v>
      </c>
      <c r="K602" t="s">
        <v>28</v>
      </c>
      <c r="L602" t="s">
        <v>4721</v>
      </c>
      <c r="M602" t="s">
        <v>33</v>
      </c>
      <c r="O602">
        <v>5583</v>
      </c>
    </row>
    <row r="603" spans="1:15" x14ac:dyDescent="0.35">
      <c r="A603" t="s">
        <v>20</v>
      </c>
      <c r="B603">
        <v>17647</v>
      </c>
      <c r="C603" t="s">
        <v>1252</v>
      </c>
      <c r="D603" t="s">
        <v>1253</v>
      </c>
      <c r="E603" t="s">
        <v>4844</v>
      </c>
      <c r="F603" t="s">
        <v>6701</v>
      </c>
      <c r="G603" t="s">
        <v>6702</v>
      </c>
      <c r="H603" t="s">
        <v>6703</v>
      </c>
      <c r="I603" t="s">
        <v>1257</v>
      </c>
      <c r="K603" t="s">
        <v>28</v>
      </c>
      <c r="L603" t="s">
        <v>4721</v>
      </c>
      <c r="M603" t="s">
        <v>33</v>
      </c>
      <c r="O603">
        <v>5590</v>
      </c>
    </row>
    <row r="604" spans="1:15" x14ac:dyDescent="0.35">
      <c r="A604" t="s">
        <v>20</v>
      </c>
      <c r="B604">
        <v>17647</v>
      </c>
      <c r="C604" t="s">
        <v>1252</v>
      </c>
      <c r="D604" t="s">
        <v>1253</v>
      </c>
      <c r="E604" t="s">
        <v>4848</v>
      </c>
      <c r="F604" t="s">
        <v>6704</v>
      </c>
      <c r="G604" t="s">
        <v>6705</v>
      </c>
      <c r="H604" t="s">
        <v>6706</v>
      </c>
      <c r="I604" t="s">
        <v>1257</v>
      </c>
      <c r="K604" t="s">
        <v>28</v>
      </c>
      <c r="L604" t="s">
        <v>4721</v>
      </c>
      <c r="M604" t="s">
        <v>33</v>
      </c>
      <c r="O604">
        <v>5597</v>
      </c>
    </row>
    <row r="605" spans="1:15" x14ac:dyDescent="0.35">
      <c r="A605" t="s">
        <v>20</v>
      </c>
      <c r="B605">
        <v>17647</v>
      </c>
      <c r="C605" t="s">
        <v>1252</v>
      </c>
      <c r="D605" t="s">
        <v>1253</v>
      </c>
      <c r="E605" t="s">
        <v>4852</v>
      </c>
      <c r="F605" t="s">
        <v>6707</v>
      </c>
      <c r="G605" t="s">
        <v>6708</v>
      </c>
      <c r="H605" t="s">
        <v>6709</v>
      </c>
      <c r="I605" t="s">
        <v>1257</v>
      </c>
      <c r="K605" t="s">
        <v>46</v>
      </c>
      <c r="L605" t="s">
        <v>4799</v>
      </c>
      <c r="M605" t="s">
        <v>33</v>
      </c>
      <c r="O605">
        <v>5868</v>
      </c>
    </row>
    <row r="606" spans="1:15" x14ac:dyDescent="0.35">
      <c r="A606" t="s">
        <v>20</v>
      </c>
      <c r="B606">
        <v>17647</v>
      </c>
      <c r="C606" t="s">
        <v>1252</v>
      </c>
      <c r="D606" t="s">
        <v>1253</v>
      </c>
      <c r="E606" t="s">
        <v>4856</v>
      </c>
      <c r="F606" t="s">
        <v>6710</v>
      </c>
      <c r="G606" t="s">
        <v>6711</v>
      </c>
      <c r="H606" t="s">
        <v>6712</v>
      </c>
      <c r="I606" t="s">
        <v>1257</v>
      </c>
      <c r="K606" t="s">
        <v>28</v>
      </c>
      <c r="L606" t="s">
        <v>4721</v>
      </c>
      <c r="M606" t="s">
        <v>33</v>
      </c>
      <c r="O606">
        <v>6091</v>
      </c>
    </row>
    <row r="607" spans="1:15" x14ac:dyDescent="0.35">
      <c r="A607" t="s">
        <v>20</v>
      </c>
      <c r="B607">
        <v>17647</v>
      </c>
      <c r="C607" t="s">
        <v>1252</v>
      </c>
      <c r="D607" t="s">
        <v>1253</v>
      </c>
      <c r="E607" t="s">
        <v>4860</v>
      </c>
      <c r="F607" t="s">
        <v>6713</v>
      </c>
      <c r="G607" t="s">
        <v>6714</v>
      </c>
      <c r="H607" t="s">
        <v>6715</v>
      </c>
      <c r="I607" t="s">
        <v>1257</v>
      </c>
      <c r="K607" t="s">
        <v>46</v>
      </c>
      <c r="L607" t="s">
        <v>4726</v>
      </c>
      <c r="M607" t="s">
        <v>33</v>
      </c>
      <c r="O607">
        <v>6327</v>
      </c>
    </row>
    <row r="608" spans="1:15" x14ac:dyDescent="0.35">
      <c r="A608" t="s">
        <v>20</v>
      </c>
      <c r="B608">
        <v>17647</v>
      </c>
      <c r="C608" t="s">
        <v>1252</v>
      </c>
      <c r="D608" t="s">
        <v>1253</v>
      </c>
      <c r="E608" t="s">
        <v>4864</v>
      </c>
      <c r="F608" t="s">
        <v>6716</v>
      </c>
      <c r="G608" t="s">
        <v>6717</v>
      </c>
      <c r="H608" t="s">
        <v>6718</v>
      </c>
      <c r="I608" t="s">
        <v>1257</v>
      </c>
      <c r="K608" t="s">
        <v>38</v>
      </c>
      <c r="L608" t="s">
        <v>4799</v>
      </c>
      <c r="M608" t="s">
        <v>33</v>
      </c>
      <c r="O608">
        <v>6339</v>
      </c>
    </row>
    <row r="609" spans="1:15" x14ac:dyDescent="0.35">
      <c r="A609" t="s">
        <v>20</v>
      </c>
      <c r="B609">
        <v>17647</v>
      </c>
      <c r="C609" t="s">
        <v>1252</v>
      </c>
      <c r="D609" t="s">
        <v>1253</v>
      </c>
      <c r="E609" t="s">
        <v>4868</v>
      </c>
      <c r="F609" t="s">
        <v>6719</v>
      </c>
      <c r="G609" t="s">
        <v>6720</v>
      </c>
      <c r="H609" t="s">
        <v>6721</v>
      </c>
      <c r="I609" t="s">
        <v>1257</v>
      </c>
      <c r="K609" t="s">
        <v>46</v>
      </c>
      <c r="L609" t="s">
        <v>4721</v>
      </c>
      <c r="M609" t="s">
        <v>33</v>
      </c>
      <c r="O609">
        <v>6691</v>
      </c>
    </row>
    <row r="610" spans="1:15" x14ac:dyDescent="0.35">
      <c r="A610" t="s">
        <v>20</v>
      </c>
      <c r="B610">
        <v>17647</v>
      </c>
      <c r="C610" t="s">
        <v>1252</v>
      </c>
      <c r="D610" t="s">
        <v>1253</v>
      </c>
      <c r="E610" t="s">
        <v>4872</v>
      </c>
      <c r="F610" t="s">
        <v>6722</v>
      </c>
      <c r="G610" t="s">
        <v>6723</v>
      </c>
      <c r="H610" t="s">
        <v>6724</v>
      </c>
      <c r="I610" t="s">
        <v>1257</v>
      </c>
      <c r="K610" t="s">
        <v>46</v>
      </c>
      <c r="L610" t="s">
        <v>4799</v>
      </c>
      <c r="M610" t="s">
        <v>33</v>
      </c>
      <c r="O610">
        <v>6699</v>
      </c>
    </row>
    <row r="611" spans="1:15" x14ac:dyDescent="0.35">
      <c r="A611" t="s">
        <v>20</v>
      </c>
      <c r="B611">
        <v>17647</v>
      </c>
      <c r="C611" t="s">
        <v>1252</v>
      </c>
      <c r="D611" t="s">
        <v>1253</v>
      </c>
      <c r="E611" t="s">
        <v>4873</v>
      </c>
      <c r="F611" t="s">
        <v>6725</v>
      </c>
      <c r="G611" t="s">
        <v>6726</v>
      </c>
      <c r="H611" t="s">
        <v>6727</v>
      </c>
      <c r="I611" t="s">
        <v>1257</v>
      </c>
      <c r="K611" t="s">
        <v>28</v>
      </c>
      <c r="L611" t="s">
        <v>4721</v>
      </c>
      <c r="M611" t="s">
        <v>33</v>
      </c>
      <c r="O611">
        <v>6724</v>
      </c>
    </row>
    <row r="612" spans="1:15" x14ac:dyDescent="0.35">
      <c r="A612" t="s">
        <v>20</v>
      </c>
      <c r="B612">
        <v>17647</v>
      </c>
      <c r="C612" t="s">
        <v>1252</v>
      </c>
      <c r="D612" t="s">
        <v>1253</v>
      </c>
      <c r="E612" t="s">
        <v>4874</v>
      </c>
      <c r="F612" t="s">
        <v>6728</v>
      </c>
      <c r="G612" t="s">
        <v>6729</v>
      </c>
      <c r="H612" t="s">
        <v>6730</v>
      </c>
      <c r="I612" t="s">
        <v>1257</v>
      </c>
      <c r="K612" t="s">
        <v>28</v>
      </c>
      <c r="L612" t="s">
        <v>4721</v>
      </c>
      <c r="M612" t="s">
        <v>33</v>
      </c>
      <c r="O612">
        <v>6736</v>
      </c>
    </row>
    <row r="613" spans="1:15" x14ac:dyDescent="0.35">
      <c r="A613" t="s">
        <v>20</v>
      </c>
      <c r="B613">
        <v>17647</v>
      </c>
      <c r="C613" t="s">
        <v>1252</v>
      </c>
      <c r="D613" t="s">
        <v>1253</v>
      </c>
      <c r="E613" t="s">
        <v>4875</v>
      </c>
      <c r="F613" t="s">
        <v>6731</v>
      </c>
      <c r="G613" t="s">
        <v>6732</v>
      </c>
      <c r="H613" t="s">
        <v>6733</v>
      </c>
      <c r="I613" t="s">
        <v>1257</v>
      </c>
      <c r="K613" t="s">
        <v>28</v>
      </c>
      <c r="L613" t="s">
        <v>4721</v>
      </c>
      <c r="M613" t="s">
        <v>33</v>
      </c>
      <c r="O613">
        <v>6747</v>
      </c>
    </row>
    <row r="614" spans="1:15" x14ac:dyDescent="0.35">
      <c r="A614" t="s">
        <v>20</v>
      </c>
      <c r="B614">
        <v>17647</v>
      </c>
      <c r="C614" t="s">
        <v>1252</v>
      </c>
      <c r="D614" t="s">
        <v>1253</v>
      </c>
      <c r="E614" t="s">
        <v>4879</v>
      </c>
      <c r="F614" t="s">
        <v>6734</v>
      </c>
      <c r="G614" t="s">
        <v>6735</v>
      </c>
      <c r="H614" t="s">
        <v>6736</v>
      </c>
      <c r="I614" t="s">
        <v>1257</v>
      </c>
      <c r="K614" t="s">
        <v>46</v>
      </c>
      <c r="L614" t="s">
        <v>4721</v>
      </c>
      <c r="M614" t="s">
        <v>33</v>
      </c>
      <c r="O614">
        <v>6999</v>
      </c>
    </row>
    <row r="615" spans="1:15" x14ac:dyDescent="0.35">
      <c r="A615" t="s">
        <v>20</v>
      </c>
      <c r="B615">
        <v>17647</v>
      </c>
      <c r="C615" t="s">
        <v>1252</v>
      </c>
      <c r="D615" t="s">
        <v>1253</v>
      </c>
      <c r="E615" t="s">
        <v>4883</v>
      </c>
      <c r="F615" t="s">
        <v>6737</v>
      </c>
      <c r="G615" t="s">
        <v>6738</v>
      </c>
      <c r="H615" t="s">
        <v>6739</v>
      </c>
      <c r="I615" t="s">
        <v>1257</v>
      </c>
      <c r="K615" t="s">
        <v>61</v>
      </c>
      <c r="L615" t="s">
        <v>4726</v>
      </c>
      <c r="M615" t="s">
        <v>33</v>
      </c>
      <c r="O615">
        <v>7043</v>
      </c>
    </row>
    <row r="616" spans="1:15" x14ac:dyDescent="0.35">
      <c r="A616" t="s">
        <v>20</v>
      </c>
      <c r="B616">
        <v>17647</v>
      </c>
      <c r="C616" t="s">
        <v>1252</v>
      </c>
      <c r="D616" t="s">
        <v>1253</v>
      </c>
      <c r="E616" t="s">
        <v>4887</v>
      </c>
      <c r="F616" t="s">
        <v>6740</v>
      </c>
      <c r="G616" t="s">
        <v>6741</v>
      </c>
      <c r="H616" t="s">
        <v>6742</v>
      </c>
      <c r="I616" t="s">
        <v>1257</v>
      </c>
      <c r="K616" t="s">
        <v>61</v>
      </c>
      <c r="L616" t="s">
        <v>4721</v>
      </c>
      <c r="M616" t="s">
        <v>33</v>
      </c>
      <c r="O616">
        <v>7050</v>
      </c>
    </row>
    <row r="617" spans="1:15" x14ac:dyDescent="0.35">
      <c r="A617" t="s">
        <v>20</v>
      </c>
      <c r="B617">
        <v>17647</v>
      </c>
      <c r="C617" t="s">
        <v>1252</v>
      </c>
      <c r="D617" t="s">
        <v>1253</v>
      </c>
      <c r="E617" t="s">
        <v>4891</v>
      </c>
      <c r="F617" t="s">
        <v>6743</v>
      </c>
      <c r="G617" t="s">
        <v>6744</v>
      </c>
      <c r="H617" t="s">
        <v>6745</v>
      </c>
      <c r="I617" t="s">
        <v>1257</v>
      </c>
      <c r="K617" t="s">
        <v>61</v>
      </c>
      <c r="L617" t="s">
        <v>4721</v>
      </c>
      <c r="M617" t="s">
        <v>33</v>
      </c>
      <c r="O617">
        <v>7061</v>
      </c>
    </row>
    <row r="618" spans="1:15" x14ac:dyDescent="0.35">
      <c r="A618" t="s">
        <v>20</v>
      </c>
      <c r="B618">
        <v>17647</v>
      </c>
      <c r="C618" t="s">
        <v>1252</v>
      </c>
      <c r="D618" t="s">
        <v>1253</v>
      </c>
      <c r="E618" t="s">
        <v>4895</v>
      </c>
      <c r="F618" t="s">
        <v>6746</v>
      </c>
      <c r="G618" t="s">
        <v>6747</v>
      </c>
      <c r="H618" t="s">
        <v>6748</v>
      </c>
      <c r="I618" t="s">
        <v>1257</v>
      </c>
      <c r="K618" t="s">
        <v>61</v>
      </c>
      <c r="L618" t="s">
        <v>4721</v>
      </c>
      <c r="M618" t="s">
        <v>33</v>
      </c>
      <c r="O618">
        <v>7073</v>
      </c>
    </row>
    <row r="619" spans="1:15" x14ac:dyDescent="0.35">
      <c r="A619" t="s">
        <v>20</v>
      </c>
      <c r="B619">
        <v>17647</v>
      </c>
      <c r="C619" t="s">
        <v>1252</v>
      </c>
      <c r="D619" t="s">
        <v>1253</v>
      </c>
      <c r="E619" t="s">
        <v>4899</v>
      </c>
      <c r="F619" t="s">
        <v>6749</v>
      </c>
      <c r="G619" t="s">
        <v>6750</v>
      </c>
      <c r="H619" t="s">
        <v>6751</v>
      </c>
      <c r="I619" t="s">
        <v>1257</v>
      </c>
      <c r="K619" t="s">
        <v>38</v>
      </c>
      <c r="L619" t="s">
        <v>4721</v>
      </c>
      <c r="M619" t="s">
        <v>33</v>
      </c>
      <c r="O619">
        <v>7097</v>
      </c>
    </row>
    <row r="620" spans="1:15" x14ac:dyDescent="0.35">
      <c r="A620" t="s">
        <v>20</v>
      </c>
      <c r="B620">
        <v>17647</v>
      </c>
      <c r="C620" t="s">
        <v>1252</v>
      </c>
      <c r="D620" t="s">
        <v>1253</v>
      </c>
      <c r="E620" t="s">
        <v>4903</v>
      </c>
      <c r="F620" t="s">
        <v>6752</v>
      </c>
      <c r="G620" t="s">
        <v>6753</v>
      </c>
      <c r="H620" t="s">
        <v>6754</v>
      </c>
      <c r="I620" t="s">
        <v>1257</v>
      </c>
      <c r="K620" t="s">
        <v>61</v>
      </c>
      <c r="L620" t="s">
        <v>4726</v>
      </c>
      <c r="M620" t="s">
        <v>33</v>
      </c>
      <c r="O620">
        <v>7387</v>
      </c>
    </row>
    <row r="621" spans="1:15" x14ac:dyDescent="0.35">
      <c r="A621" t="s">
        <v>20</v>
      </c>
      <c r="B621">
        <v>17647</v>
      </c>
      <c r="C621" t="s">
        <v>1252</v>
      </c>
      <c r="D621" t="s">
        <v>1253</v>
      </c>
      <c r="E621" t="s">
        <v>4907</v>
      </c>
      <c r="F621" t="s">
        <v>6755</v>
      </c>
      <c r="G621" t="s">
        <v>6756</v>
      </c>
      <c r="H621" t="s">
        <v>6757</v>
      </c>
      <c r="I621" t="s">
        <v>1257</v>
      </c>
      <c r="K621" t="s">
        <v>61</v>
      </c>
      <c r="L621" t="s">
        <v>4721</v>
      </c>
      <c r="M621" t="s">
        <v>33</v>
      </c>
      <c r="O621">
        <v>7398</v>
      </c>
    </row>
    <row r="622" spans="1:15" x14ac:dyDescent="0.35">
      <c r="A622" t="s">
        <v>20</v>
      </c>
      <c r="B622">
        <v>17647</v>
      </c>
      <c r="C622" t="s">
        <v>1252</v>
      </c>
      <c r="D622" t="s">
        <v>1253</v>
      </c>
      <c r="E622" t="s">
        <v>4911</v>
      </c>
      <c r="F622" t="s">
        <v>6758</v>
      </c>
      <c r="G622" t="s">
        <v>6759</v>
      </c>
      <c r="H622" t="s">
        <v>6760</v>
      </c>
      <c r="I622" t="s">
        <v>1257</v>
      </c>
      <c r="K622" t="s">
        <v>28</v>
      </c>
      <c r="L622" t="s">
        <v>4726</v>
      </c>
      <c r="M622" t="s">
        <v>33</v>
      </c>
      <c r="O622">
        <v>7586</v>
      </c>
    </row>
    <row r="623" spans="1:15" x14ac:dyDescent="0.35">
      <c r="A623" t="s">
        <v>20</v>
      </c>
      <c r="B623">
        <v>17647</v>
      </c>
      <c r="C623" t="s">
        <v>1252</v>
      </c>
      <c r="D623" t="s">
        <v>1253</v>
      </c>
      <c r="E623" t="s">
        <v>5147</v>
      </c>
      <c r="F623" t="s">
        <v>6761</v>
      </c>
      <c r="G623" t="s">
        <v>6762</v>
      </c>
      <c r="H623" t="s">
        <v>6763</v>
      </c>
      <c r="I623" t="s">
        <v>1395</v>
      </c>
      <c r="K623" t="s">
        <v>61</v>
      </c>
      <c r="L623" t="s">
        <v>4721</v>
      </c>
      <c r="M623" t="s">
        <v>33</v>
      </c>
      <c r="O623">
        <v>5909</v>
      </c>
    </row>
    <row r="624" spans="1:15" x14ac:dyDescent="0.35">
      <c r="A624" t="s">
        <v>20</v>
      </c>
      <c r="B624">
        <v>17647</v>
      </c>
      <c r="C624" t="s">
        <v>1252</v>
      </c>
      <c r="D624" t="s">
        <v>1253</v>
      </c>
      <c r="E624" t="s">
        <v>5151</v>
      </c>
      <c r="F624" t="s">
        <v>6764</v>
      </c>
      <c r="G624" t="s">
        <v>6765</v>
      </c>
      <c r="H624" t="s">
        <v>6766</v>
      </c>
      <c r="I624" t="s">
        <v>1395</v>
      </c>
      <c r="K624" t="s">
        <v>61</v>
      </c>
      <c r="L624" t="s">
        <v>4721</v>
      </c>
      <c r="M624" t="s">
        <v>33</v>
      </c>
      <c r="O624">
        <v>5914</v>
      </c>
    </row>
    <row r="625" spans="1:15" x14ac:dyDescent="0.35">
      <c r="A625" t="s">
        <v>20</v>
      </c>
      <c r="B625">
        <v>17647</v>
      </c>
      <c r="C625" t="s">
        <v>1252</v>
      </c>
      <c r="D625" t="s">
        <v>1253</v>
      </c>
      <c r="E625" t="s">
        <v>5155</v>
      </c>
      <c r="F625" t="s">
        <v>6767</v>
      </c>
      <c r="G625" t="s">
        <v>6768</v>
      </c>
      <c r="H625" t="s">
        <v>6769</v>
      </c>
      <c r="I625" t="s">
        <v>1395</v>
      </c>
      <c r="K625" t="s">
        <v>61</v>
      </c>
      <c r="L625" t="s">
        <v>4726</v>
      </c>
      <c r="M625" t="s">
        <v>33</v>
      </c>
      <c r="O625">
        <v>5924</v>
      </c>
    </row>
    <row r="626" spans="1:15" x14ac:dyDescent="0.35">
      <c r="A626" t="s">
        <v>20</v>
      </c>
      <c r="B626">
        <v>17647</v>
      </c>
      <c r="C626" t="s">
        <v>1252</v>
      </c>
      <c r="D626" t="s">
        <v>1253</v>
      </c>
      <c r="E626" t="s">
        <v>5159</v>
      </c>
      <c r="F626" t="s">
        <v>6770</v>
      </c>
      <c r="G626" t="s">
        <v>6771</v>
      </c>
      <c r="H626" t="s">
        <v>6772</v>
      </c>
      <c r="I626" t="s">
        <v>1395</v>
      </c>
      <c r="K626" t="s">
        <v>61</v>
      </c>
      <c r="L626" t="s">
        <v>4716</v>
      </c>
      <c r="M626" t="s">
        <v>33</v>
      </c>
      <c r="O626">
        <v>5947</v>
      </c>
    </row>
    <row r="627" spans="1:15" x14ac:dyDescent="0.35">
      <c r="A627" t="s">
        <v>20</v>
      </c>
      <c r="B627">
        <v>17647</v>
      </c>
      <c r="C627" t="s">
        <v>1252</v>
      </c>
      <c r="D627" t="s">
        <v>1253</v>
      </c>
      <c r="E627" t="s">
        <v>5163</v>
      </c>
      <c r="F627" t="s">
        <v>6773</v>
      </c>
      <c r="G627" t="s">
        <v>6774</v>
      </c>
      <c r="H627" t="s">
        <v>6775</v>
      </c>
      <c r="I627" t="s">
        <v>1395</v>
      </c>
      <c r="K627" t="s">
        <v>61</v>
      </c>
      <c r="L627" t="s">
        <v>4721</v>
      </c>
      <c r="M627" t="s">
        <v>33</v>
      </c>
      <c r="O627">
        <v>5961</v>
      </c>
    </row>
    <row r="628" spans="1:15" x14ac:dyDescent="0.35">
      <c r="A628" t="s">
        <v>20</v>
      </c>
      <c r="B628">
        <v>17647</v>
      </c>
      <c r="C628" t="s">
        <v>1252</v>
      </c>
      <c r="D628" t="s">
        <v>1253</v>
      </c>
      <c r="E628" t="s">
        <v>5167</v>
      </c>
      <c r="F628" t="s">
        <v>6776</v>
      </c>
      <c r="G628" t="s">
        <v>6777</v>
      </c>
      <c r="H628" t="s">
        <v>6778</v>
      </c>
      <c r="I628" t="s">
        <v>1395</v>
      </c>
      <c r="K628" t="s">
        <v>38</v>
      </c>
      <c r="L628" t="s">
        <v>4799</v>
      </c>
      <c r="M628" t="s">
        <v>33</v>
      </c>
      <c r="O628">
        <v>6048</v>
      </c>
    </row>
    <row r="629" spans="1:15" x14ac:dyDescent="0.35">
      <c r="A629" t="s">
        <v>20</v>
      </c>
      <c r="B629">
        <v>17647</v>
      </c>
      <c r="C629" t="s">
        <v>1252</v>
      </c>
      <c r="D629" t="s">
        <v>1253</v>
      </c>
      <c r="E629" t="s">
        <v>5171</v>
      </c>
      <c r="F629" t="s">
        <v>6779</v>
      </c>
      <c r="G629" t="s">
        <v>6780</v>
      </c>
      <c r="H629" t="s">
        <v>6781</v>
      </c>
      <c r="I629" t="s">
        <v>1395</v>
      </c>
      <c r="K629" t="s">
        <v>28</v>
      </c>
      <c r="L629" t="s">
        <v>4721</v>
      </c>
      <c r="M629" t="s">
        <v>33</v>
      </c>
      <c r="O629">
        <v>6265</v>
      </c>
    </row>
    <row r="630" spans="1:15" x14ac:dyDescent="0.35">
      <c r="A630" t="s">
        <v>20</v>
      </c>
      <c r="B630">
        <v>17647</v>
      </c>
      <c r="C630" t="s">
        <v>1252</v>
      </c>
      <c r="D630" t="s">
        <v>1253</v>
      </c>
      <c r="E630" t="s">
        <v>5175</v>
      </c>
      <c r="F630" t="s">
        <v>6782</v>
      </c>
      <c r="G630" t="s">
        <v>6783</v>
      </c>
      <c r="H630" t="s">
        <v>6784</v>
      </c>
      <c r="I630" t="s">
        <v>1395</v>
      </c>
      <c r="K630" t="s">
        <v>28</v>
      </c>
      <c r="L630" t="s">
        <v>4721</v>
      </c>
      <c r="M630" t="s">
        <v>33</v>
      </c>
      <c r="O630">
        <v>6358</v>
      </c>
    </row>
    <row r="631" spans="1:15" x14ac:dyDescent="0.35">
      <c r="A631" t="s">
        <v>20</v>
      </c>
      <c r="B631">
        <v>17647</v>
      </c>
      <c r="C631" t="s">
        <v>1252</v>
      </c>
      <c r="D631" t="s">
        <v>1253</v>
      </c>
      <c r="E631" t="s">
        <v>5179</v>
      </c>
      <c r="F631" t="s">
        <v>6785</v>
      </c>
      <c r="G631" t="s">
        <v>6786</v>
      </c>
      <c r="H631" t="s">
        <v>6787</v>
      </c>
      <c r="I631" t="s">
        <v>1395</v>
      </c>
      <c r="K631" t="s">
        <v>28</v>
      </c>
      <c r="L631" t="s">
        <v>4721</v>
      </c>
      <c r="M631" t="s">
        <v>33</v>
      </c>
      <c r="O631">
        <v>6366</v>
      </c>
    </row>
    <row r="632" spans="1:15" x14ac:dyDescent="0.35">
      <c r="A632" t="s">
        <v>20</v>
      </c>
      <c r="B632">
        <v>17647</v>
      </c>
      <c r="C632" t="s">
        <v>1252</v>
      </c>
      <c r="D632" t="s">
        <v>1253</v>
      </c>
      <c r="E632" t="s">
        <v>5183</v>
      </c>
      <c r="F632" t="s">
        <v>6788</v>
      </c>
      <c r="G632" t="s">
        <v>6789</v>
      </c>
      <c r="H632" t="s">
        <v>6790</v>
      </c>
      <c r="I632" t="s">
        <v>1395</v>
      </c>
      <c r="K632" t="s">
        <v>28</v>
      </c>
      <c r="L632" t="s">
        <v>4721</v>
      </c>
      <c r="M632" t="s">
        <v>33</v>
      </c>
      <c r="O632">
        <v>6372</v>
      </c>
    </row>
    <row r="633" spans="1:15" x14ac:dyDescent="0.35">
      <c r="A633" t="s">
        <v>20</v>
      </c>
      <c r="B633">
        <v>17647</v>
      </c>
      <c r="C633" t="s">
        <v>1252</v>
      </c>
      <c r="D633" t="s">
        <v>1253</v>
      </c>
      <c r="E633" t="s">
        <v>5187</v>
      </c>
      <c r="F633" t="s">
        <v>6791</v>
      </c>
      <c r="G633" t="s">
        <v>6792</v>
      </c>
      <c r="H633" t="s">
        <v>6793</v>
      </c>
      <c r="I633" t="s">
        <v>1395</v>
      </c>
      <c r="K633" t="s">
        <v>28</v>
      </c>
      <c r="L633" t="s">
        <v>4716</v>
      </c>
      <c r="M633" t="s">
        <v>33</v>
      </c>
      <c r="O633">
        <v>6543</v>
      </c>
    </row>
    <row r="634" spans="1:15" x14ac:dyDescent="0.35">
      <c r="A634" t="s">
        <v>20</v>
      </c>
      <c r="B634">
        <v>17647</v>
      </c>
      <c r="C634" t="s">
        <v>1252</v>
      </c>
      <c r="D634" t="s">
        <v>1253</v>
      </c>
      <c r="E634" t="s">
        <v>5191</v>
      </c>
      <c r="F634" t="s">
        <v>6794</v>
      </c>
      <c r="G634" t="s">
        <v>6795</v>
      </c>
      <c r="H634" t="s">
        <v>6796</v>
      </c>
      <c r="I634" t="s">
        <v>1395</v>
      </c>
      <c r="K634" t="s">
        <v>28</v>
      </c>
      <c r="L634" t="s">
        <v>4721</v>
      </c>
      <c r="M634" t="s">
        <v>33</v>
      </c>
      <c r="O634">
        <v>6550</v>
      </c>
    </row>
    <row r="635" spans="1:15" x14ac:dyDescent="0.35">
      <c r="A635" t="s">
        <v>20</v>
      </c>
      <c r="B635">
        <v>17647</v>
      </c>
      <c r="C635" t="s">
        <v>1252</v>
      </c>
      <c r="D635" t="s">
        <v>1253</v>
      </c>
      <c r="E635" t="s">
        <v>5195</v>
      </c>
      <c r="F635" t="s">
        <v>6797</v>
      </c>
      <c r="G635" t="s">
        <v>6798</v>
      </c>
      <c r="H635" t="s">
        <v>6799</v>
      </c>
      <c r="I635" t="s">
        <v>1395</v>
      </c>
      <c r="K635" t="s">
        <v>28</v>
      </c>
      <c r="L635" t="s">
        <v>4721</v>
      </c>
      <c r="M635" t="s">
        <v>33</v>
      </c>
      <c r="O635">
        <v>6562</v>
      </c>
    </row>
    <row r="636" spans="1:15" x14ac:dyDescent="0.35">
      <c r="A636" t="s">
        <v>20</v>
      </c>
      <c r="B636">
        <v>17647</v>
      </c>
      <c r="C636" t="s">
        <v>1252</v>
      </c>
      <c r="D636" t="s">
        <v>1253</v>
      </c>
      <c r="E636" t="s">
        <v>5199</v>
      </c>
      <c r="F636" t="s">
        <v>6800</v>
      </c>
      <c r="G636" t="s">
        <v>6801</v>
      </c>
      <c r="H636" t="s">
        <v>6802</v>
      </c>
      <c r="I636" t="s">
        <v>1395</v>
      </c>
      <c r="K636" t="s">
        <v>28</v>
      </c>
      <c r="L636" t="s">
        <v>4721</v>
      </c>
      <c r="M636" t="s">
        <v>33</v>
      </c>
      <c r="O636">
        <v>6572</v>
      </c>
    </row>
    <row r="637" spans="1:15" x14ac:dyDescent="0.35">
      <c r="A637" t="s">
        <v>20</v>
      </c>
      <c r="B637">
        <v>17647</v>
      </c>
      <c r="C637" t="s">
        <v>1252</v>
      </c>
      <c r="D637" t="s">
        <v>1253</v>
      </c>
      <c r="E637" t="s">
        <v>5203</v>
      </c>
      <c r="F637" t="s">
        <v>6803</v>
      </c>
      <c r="G637" t="s">
        <v>6804</v>
      </c>
      <c r="H637" t="s">
        <v>6805</v>
      </c>
      <c r="I637" t="s">
        <v>1395</v>
      </c>
      <c r="K637" t="s">
        <v>28</v>
      </c>
      <c r="L637" t="s">
        <v>4721</v>
      </c>
      <c r="M637" t="s">
        <v>33</v>
      </c>
      <c r="O637">
        <v>6576</v>
      </c>
    </row>
    <row r="638" spans="1:15" x14ac:dyDescent="0.35">
      <c r="A638" t="s">
        <v>20</v>
      </c>
      <c r="B638">
        <v>17647</v>
      </c>
      <c r="C638" t="s">
        <v>1252</v>
      </c>
      <c r="D638" t="s">
        <v>1253</v>
      </c>
      <c r="E638" t="s">
        <v>5207</v>
      </c>
      <c r="F638" t="s">
        <v>6806</v>
      </c>
      <c r="G638" t="s">
        <v>6807</v>
      </c>
      <c r="H638" t="s">
        <v>6808</v>
      </c>
      <c r="I638" t="s">
        <v>1395</v>
      </c>
      <c r="K638" t="s">
        <v>28</v>
      </c>
      <c r="L638" t="s">
        <v>4721</v>
      </c>
      <c r="M638" t="s">
        <v>33</v>
      </c>
      <c r="O638">
        <v>6584</v>
      </c>
    </row>
    <row r="639" spans="1:15" x14ac:dyDescent="0.35">
      <c r="A639" t="s">
        <v>20</v>
      </c>
      <c r="B639">
        <v>17647</v>
      </c>
      <c r="C639" t="s">
        <v>1252</v>
      </c>
      <c r="D639" t="s">
        <v>1253</v>
      </c>
      <c r="E639" t="s">
        <v>5211</v>
      </c>
      <c r="F639" t="s">
        <v>6809</v>
      </c>
      <c r="G639" t="s">
        <v>6810</v>
      </c>
      <c r="H639" t="s">
        <v>6811</v>
      </c>
      <c r="I639" t="s">
        <v>1395</v>
      </c>
      <c r="K639" t="s">
        <v>46</v>
      </c>
      <c r="L639" t="s">
        <v>4716</v>
      </c>
      <c r="M639" t="s">
        <v>33</v>
      </c>
      <c r="O639">
        <v>6666</v>
      </c>
    </row>
    <row r="640" spans="1:15" x14ac:dyDescent="0.35">
      <c r="A640" t="s">
        <v>20</v>
      </c>
      <c r="B640">
        <v>17647</v>
      </c>
      <c r="C640" t="s">
        <v>1252</v>
      </c>
      <c r="D640" t="s">
        <v>1253</v>
      </c>
      <c r="E640" t="s">
        <v>5215</v>
      </c>
      <c r="F640" t="s">
        <v>6812</v>
      </c>
      <c r="G640" t="s">
        <v>6813</v>
      </c>
      <c r="H640" t="s">
        <v>6814</v>
      </c>
      <c r="I640" t="s">
        <v>1395</v>
      </c>
      <c r="K640" t="s">
        <v>46</v>
      </c>
      <c r="L640" t="s">
        <v>4799</v>
      </c>
      <c r="M640" t="s">
        <v>33</v>
      </c>
      <c r="O640">
        <v>6676</v>
      </c>
    </row>
    <row r="641" spans="1:15" x14ac:dyDescent="0.35">
      <c r="A641" t="s">
        <v>20</v>
      </c>
      <c r="B641">
        <v>17647</v>
      </c>
      <c r="C641" t="s">
        <v>1252</v>
      </c>
      <c r="D641" t="s">
        <v>1253</v>
      </c>
      <c r="E641" t="s">
        <v>5219</v>
      </c>
      <c r="F641" t="s">
        <v>6815</v>
      </c>
      <c r="G641" t="s">
        <v>6816</v>
      </c>
      <c r="H641" t="s">
        <v>6817</v>
      </c>
      <c r="I641" t="s">
        <v>1395</v>
      </c>
      <c r="K641" t="s">
        <v>46</v>
      </c>
      <c r="L641" t="s">
        <v>4721</v>
      </c>
      <c r="M641" t="s">
        <v>33</v>
      </c>
      <c r="O641">
        <v>6714</v>
      </c>
    </row>
    <row r="642" spans="1:15" x14ac:dyDescent="0.35">
      <c r="A642" t="s">
        <v>20</v>
      </c>
      <c r="B642">
        <v>17647</v>
      </c>
      <c r="C642" t="s">
        <v>1252</v>
      </c>
      <c r="D642" t="s">
        <v>1253</v>
      </c>
      <c r="E642" t="s">
        <v>5223</v>
      </c>
      <c r="F642" t="s">
        <v>6818</v>
      </c>
      <c r="G642" t="s">
        <v>6819</v>
      </c>
      <c r="H642" t="s">
        <v>6820</v>
      </c>
      <c r="I642" t="s">
        <v>1395</v>
      </c>
      <c r="K642" t="s">
        <v>28</v>
      </c>
      <c r="L642" t="s">
        <v>4721</v>
      </c>
      <c r="M642" t="s">
        <v>33</v>
      </c>
      <c r="O642">
        <v>7013</v>
      </c>
    </row>
    <row r="643" spans="1:15" x14ac:dyDescent="0.35">
      <c r="A643" t="s">
        <v>20</v>
      </c>
      <c r="B643">
        <v>17647</v>
      </c>
      <c r="C643" t="s">
        <v>1252</v>
      </c>
      <c r="D643" t="s">
        <v>1253</v>
      </c>
      <c r="E643" t="s">
        <v>5226</v>
      </c>
      <c r="F643" t="s">
        <v>6821</v>
      </c>
      <c r="G643" t="s">
        <v>6822</v>
      </c>
      <c r="H643" t="s">
        <v>6823</v>
      </c>
      <c r="I643" t="s">
        <v>1395</v>
      </c>
      <c r="K643" t="s">
        <v>28</v>
      </c>
      <c r="L643" t="s">
        <v>4726</v>
      </c>
      <c r="M643" t="s">
        <v>33</v>
      </c>
      <c r="O643">
        <v>7020</v>
      </c>
    </row>
    <row r="644" spans="1:15" x14ac:dyDescent="0.35">
      <c r="A644" t="s">
        <v>20</v>
      </c>
      <c r="B644">
        <v>17647</v>
      </c>
      <c r="C644" t="s">
        <v>1252</v>
      </c>
      <c r="D644" t="s">
        <v>1253</v>
      </c>
      <c r="E644" t="s">
        <v>5230</v>
      </c>
      <c r="F644" t="s">
        <v>6824</v>
      </c>
      <c r="G644" t="s">
        <v>6825</v>
      </c>
      <c r="H644" t="s">
        <v>6826</v>
      </c>
      <c r="I644" t="s">
        <v>1395</v>
      </c>
      <c r="K644" t="s">
        <v>38</v>
      </c>
      <c r="L644" t="s">
        <v>4721</v>
      </c>
      <c r="M644" t="s">
        <v>33</v>
      </c>
      <c r="O644">
        <v>7285</v>
      </c>
    </row>
    <row r="645" spans="1:15" x14ac:dyDescent="0.35">
      <c r="A645" t="s">
        <v>20</v>
      </c>
      <c r="B645">
        <v>17647</v>
      </c>
      <c r="C645" t="s">
        <v>1252</v>
      </c>
      <c r="D645" t="s">
        <v>1253</v>
      </c>
      <c r="E645" t="s">
        <v>5234</v>
      </c>
      <c r="F645" t="s">
        <v>6827</v>
      </c>
      <c r="G645" t="s">
        <v>6828</v>
      </c>
      <c r="H645" t="s">
        <v>6829</v>
      </c>
      <c r="I645" t="s">
        <v>1395</v>
      </c>
      <c r="K645" t="s">
        <v>28</v>
      </c>
      <c r="L645" t="s">
        <v>4721</v>
      </c>
      <c r="M645" t="s">
        <v>33</v>
      </c>
      <c r="O645">
        <v>7487</v>
      </c>
    </row>
    <row r="646" spans="1:15" x14ac:dyDescent="0.35">
      <c r="A646" t="s">
        <v>20</v>
      </c>
      <c r="B646">
        <v>17647</v>
      </c>
      <c r="C646" t="s">
        <v>1252</v>
      </c>
      <c r="D646" t="s">
        <v>1253</v>
      </c>
      <c r="E646" t="s">
        <v>5238</v>
      </c>
      <c r="F646" t="s">
        <v>6830</v>
      </c>
      <c r="G646" t="s">
        <v>6831</v>
      </c>
      <c r="H646" t="s">
        <v>6832</v>
      </c>
      <c r="I646" t="s">
        <v>1395</v>
      </c>
      <c r="K646" t="s">
        <v>28</v>
      </c>
      <c r="L646" t="s">
        <v>4721</v>
      </c>
      <c r="M646" t="s">
        <v>33</v>
      </c>
      <c r="O646">
        <v>7496</v>
      </c>
    </row>
    <row r="647" spans="1:15" x14ac:dyDescent="0.35">
      <c r="A647" t="s">
        <v>20</v>
      </c>
      <c r="B647">
        <v>17647</v>
      </c>
      <c r="C647" t="s">
        <v>1252</v>
      </c>
      <c r="D647" t="s">
        <v>1253</v>
      </c>
      <c r="E647" t="s">
        <v>5242</v>
      </c>
      <c r="F647" t="s">
        <v>6833</v>
      </c>
      <c r="G647" t="s">
        <v>6834</v>
      </c>
      <c r="H647" t="s">
        <v>6835</v>
      </c>
      <c r="I647" t="s">
        <v>1395</v>
      </c>
      <c r="K647" t="s">
        <v>28</v>
      </c>
      <c r="L647" t="s">
        <v>4726</v>
      </c>
      <c r="M647" t="s">
        <v>33</v>
      </c>
      <c r="O647">
        <v>7505</v>
      </c>
    </row>
    <row r="648" spans="1:15" x14ac:dyDescent="0.35">
      <c r="A648" t="s">
        <v>20</v>
      </c>
      <c r="B648">
        <v>17647</v>
      </c>
      <c r="C648" t="s">
        <v>1252</v>
      </c>
      <c r="D648" t="s">
        <v>1253</v>
      </c>
      <c r="E648" t="s">
        <v>5246</v>
      </c>
      <c r="F648" t="s">
        <v>6836</v>
      </c>
      <c r="G648" t="s">
        <v>6837</v>
      </c>
      <c r="H648" t="s">
        <v>6838</v>
      </c>
      <c r="I648" t="s">
        <v>1395</v>
      </c>
      <c r="K648" t="s">
        <v>28</v>
      </c>
      <c r="L648" t="s">
        <v>4726</v>
      </c>
      <c r="M648" t="s">
        <v>33</v>
      </c>
      <c r="O648">
        <v>7516</v>
      </c>
    </row>
    <row r="649" spans="1:15" x14ac:dyDescent="0.35">
      <c r="A649" t="s">
        <v>20</v>
      </c>
      <c r="B649">
        <v>17643</v>
      </c>
      <c r="C649" t="s">
        <v>426</v>
      </c>
      <c r="D649" t="s">
        <v>427</v>
      </c>
      <c r="E649" t="s">
        <v>4712</v>
      </c>
      <c r="F649" t="s">
        <v>5518</v>
      </c>
      <c r="G649" t="s">
        <v>5519</v>
      </c>
      <c r="H649" t="s">
        <v>5520</v>
      </c>
      <c r="I649" t="s">
        <v>557</v>
      </c>
      <c r="K649" t="s">
        <v>28</v>
      </c>
      <c r="L649" t="s">
        <v>4716</v>
      </c>
      <c r="M649" t="s">
        <v>33</v>
      </c>
      <c r="O649">
        <v>386</v>
      </c>
    </row>
    <row r="650" spans="1:15" x14ac:dyDescent="0.35">
      <c r="A650" t="s">
        <v>20</v>
      </c>
      <c r="B650">
        <v>17643</v>
      </c>
      <c r="C650" t="s">
        <v>426</v>
      </c>
      <c r="D650" t="s">
        <v>427</v>
      </c>
      <c r="E650" t="s">
        <v>4717</v>
      </c>
      <c r="F650" t="s">
        <v>5521</v>
      </c>
      <c r="G650" t="s">
        <v>5522</v>
      </c>
      <c r="H650" t="s">
        <v>5523</v>
      </c>
      <c r="I650" t="s">
        <v>557</v>
      </c>
      <c r="K650" t="s">
        <v>61</v>
      </c>
      <c r="L650" t="s">
        <v>4721</v>
      </c>
      <c r="M650" t="s">
        <v>33</v>
      </c>
      <c r="O650">
        <v>552</v>
      </c>
    </row>
    <row r="651" spans="1:15" x14ac:dyDescent="0.35">
      <c r="A651" t="s">
        <v>20</v>
      </c>
      <c r="B651">
        <v>17643</v>
      </c>
      <c r="C651" t="s">
        <v>426</v>
      </c>
      <c r="D651" t="s">
        <v>427</v>
      </c>
      <c r="E651" t="s">
        <v>4722</v>
      </c>
      <c r="F651" t="s">
        <v>5524</v>
      </c>
      <c r="G651" t="s">
        <v>5525</v>
      </c>
      <c r="H651" t="s">
        <v>5526</v>
      </c>
      <c r="I651" t="s">
        <v>557</v>
      </c>
      <c r="K651" t="s">
        <v>28</v>
      </c>
      <c r="L651" t="s">
        <v>4721</v>
      </c>
      <c r="M651" t="s">
        <v>33</v>
      </c>
      <c r="O651">
        <v>666</v>
      </c>
    </row>
    <row r="652" spans="1:15" x14ac:dyDescent="0.35">
      <c r="A652" t="s">
        <v>20</v>
      </c>
      <c r="B652">
        <v>17643</v>
      </c>
      <c r="C652" t="s">
        <v>426</v>
      </c>
      <c r="D652" t="s">
        <v>427</v>
      </c>
      <c r="E652" t="s">
        <v>4727</v>
      </c>
      <c r="F652" t="s">
        <v>5527</v>
      </c>
      <c r="G652" t="s">
        <v>5528</v>
      </c>
      <c r="H652" t="s">
        <v>5529</v>
      </c>
      <c r="I652" t="s">
        <v>557</v>
      </c>
      <c r="K652" t="s">
        <v>46</v>
      </c>
      <c r="L652" t="s">
        <v>4721</v>
      </c>
      <c r="M652" t="s">
        <v>33</v>
      </c>
      <c r="O652">
        <v>708</v>
      </c>
    </row>
    <row r="653" spans="1:15" x14ac:dyDescent="0.35">
      <c r="A653" t="s">
        <v>20</v>
      </c>
      <c r="B653">
        <v>17643</v>
      </c>
      <c r="C653" t="s">
        <v>426</v>
      </c>
      <c r="D653" t="s">
        <v>427</v>
      </c>
      <c r="E653" t="s">
        <v>4731</v>
      </c>
      <c r="F653" t="s">
        <v>5530</v>
      </c>
      <c r="G653" t="s">
        <v>5531</v>
      </c>
      <c r="H653" t="s">
        <v>5532</v>
      </c>
      <c r="I653" t="s">
        <v>557</v>
      </c>
      <c r="K653" t="s">
        <v>46</v>
      </c>
      <c r="L653" t="s">
        <v>4721</v>
      </c>
      <c r="M653" t="s">
        <v>33</v>
      </c>
      <c r="O653">
        <v>770</v>
      </c>
    </row>
    <row r="654" spans="1:15" x14ac:dyDescent="0.35">
      <c r="A654" t="s">
        <v>20</v>
      </c>
      <c r="B654">
        <v>17643</v>
      </c>
      <c r="C654" t="s">
        <v>426</v>
      </c>
      <c r="D654" t="s">
        <v>427</v>
      </c>
      <c r="E654" t="s">
        <v>4735</v>
      </c>
      <c r="F654" t="s">
        <v>5533</v>
      </c>
      <c r="G654" t="s">
        <v>5534</v>
      </c>
      <c r="H654" t="s">
        <v>5535</v>
      </c>
      <c r="I654" t="s">
        <v>557</v>
      </c>
      <c r="K654" t="s">
        <v>46</v>
      </c>
      <c r="L654" t="s">
        <v>4799</v>
      </c>
      <c r="M654" t="s">
        <v>33</v>
      </c>
      <c r="O654">
        <v>781</v>
      </c>
    </row>
    <row r="655" spans="1:15" x14ac:dyDescent="0.35">
      <c r="A655" t="s">
        <v>20</v>
      </c>
      <c r="B655">
        <v>17643</v>
      </c>
      <c r="C655" t="s">
        <v>426</v>
      </c>
      <c r="D655" t="s">
        <v>427</v>
      </c>
      <c r="E655" t="s">
        <v>4739</v>
      </c>
      <c r="F655" t="s">
        <v>5536</v>
      </c>
      <c r="G655" t="s">
        <v>5537</v>
      </c>
      <c r="H655" t="s">
        <v>5538</v>
      </c>
      <c r="I655" t="s">
        <v>557</v>
      </c>
      <c r="K655" t="s">
        <v>28</v>
      </c>
      <c r="L655" t="s">
        <v>4721</v>
      </c>
      <c r="M655" t="s">
        <v>33</v>
      </c>
      <c r="O655">
        <v>790</v>
      </c>
    </row>
    <row r="656" spans="1:15" x14ac:dyDescent="0.35">
      <c r="A656" t="s">
        <v>20</v>
      </c>
      <c r="B656">
        <v>17643</v>
      </c>
      <c r="C656" t="s">
        <v>426</v>
      </c>
      <c r="D656" t="s">
        <v>427</v>
      </c>
      <c r="E656" t="s">
        <v>4743</v>
      </c>
      <c r="F656" t="s">
        <v>5539</v>
      </c>
      <c r="G656" t="s">
        <v>5540</v>
      </c>
      <c r="H656" t="s">
        <v>5541</v>
      </c>
      <c r="I656" t="s">
        <v>557</v>
      </c>
      <c r="K656" t="s">
        <v>46</v>
      </c>
      <c r="L656" t="s">
        <v>4726</v>
      </c>
      <c r="M656" t="s">
        <v>33</v>
      </c>
      <c r="O656">
        <v>904</v>
      </c>
    </row>
    <row r="657" spans="1:15" x14ac:dyDescent="0.35">
      <c r="A657" t="s">
        <v>20</v>
      </c>
      <c r="B657">
        <v>17643</v>
      </c>
      <c r="C657" t="s">
        <v>426</v>
      </c>
      <c r="D657" t="s">
        <v>427</v>
      </c>
      <c r="E657" t="s">
        <v>4747</v>
      </c>
      <c r="F657" t="s">
        <v>5542</v>
      </c>
      <c r="G657" t="s">
        <v>5543</v>
      </c>
      <c r="H657" t="s">
        <v>5544</v>
      </c>
      <c r="I657" t="s">
        <v>557</v>
      </c>
      <c r="K657" t="s">
        <v>46</v>
      </c>
      <c r="L657" t="s">
        <v>4799</v>
      </c>
      <c r="M657" t="s">
        <v>33</v>
      </c>
      <c r="O657">
        <v>915</v>
      </c>
    </row>
    <row r="658" spans="1:15" x14ac:dyDescent="0.35">
      <c r="A658" t="s">
        <v>20</v>
      </c>
      <c r="B658">
        <v>17643</v>
      </c>
      <c r="C658" t="s">
        <v>426</v>
      </c>
      <c r="D658" t="s">
        <v>427</v>
      </c>
      <c r="E658" t="s">
        <v>4751</v>
      </c>
      <c r="F658" t="s">
        <v>5545</v>
      </c>
      <c r="G658" t="s">
        <v>5546</v>
      </c>
      <c r="H658" t="s">
        <v>5547</v>
      </c>
      <c r="I658" t="s">
        <v>557</v>
      </c>
      <c r="K658" t="s">
        <v>28</v>
      </c>
      <c r="L658" t="s">
        <v>4721</v>
      </c>
      <c r="M658" t="s">
        <v>33</v>
      </c>
      <c r="O658">
        <v>1037</v>
      </c>
    </row>
    <row r="659" spans="1:15" x14ac:dyDescent="0.35">
      <c r="A659" t="s">
        <v>20</v>
      </c>
      <c r="B659">
        <v>17643</v>
      </c>
      <c r="C659" t="s">
        <v>426</v>
      </c>
      <c r="D659" t="s">
        <v>427</v>
      </c>
      <c r="E659" t="s">
        <v>4755</v>
      </c>
      <c r="F659" t="s">
        <v>5548</v>
      </c>
      <c r="G659" t="s">
        <v>5549</v>
      </c>
      <c r="H659" t="s">
        <v>5550</v>
      </c>
      <c r="I659" t="s">
        <v>557</v>
      </c>
      <c r="K659" t="s">
        <v>61</v>
      </c>
      <c r="L659" t="s">
        <v>4721</v>
      </c>
      <c r="M659" t="s">
        <v>33</v>
      </c>
      <c r="O659">
        <v>1052</v>
      </c>
    </row>
    <row r="660" spans="1:15" x14ac:dyDescent="0.35">
      <c r="A660" t="s">
        <v>20</v>
      </c>
      <c r="B660">
        <v>17643</v>
      </c>
      <c r="C660" t="s">
        <v>426</v>
      </c>
      <c r="D660" t="s">
        <v>427</v>
      </c>
      <c r="E660" t="s">
        <v>4759</v>
      </c>
      <c r="F660" t="s">
        <v>5551</v>
      </c>
      <c r="G660" t="s">
        <v>5552</v>
      </c>
      <c r="H660" t="s">
        <v>5553</v>
      </c>
      <c r="I660" t="s">
        <v>557</v>
      </c>
      <c r="K660" t="s">
        <v>61</v>
      </c>
      <c r="L660" t="s">
        <v>4721</v>
      </c>
      <c r="M660" t="s">
        <v>33</v>
      </c>
      <c r="O660">
        <v>1062</v>
      </c>
    </row>
    <row r="661" spans="1:15" x14ac:dyDescent="0.35">
      <c r="A661" t="s">
        <v>20</v>
      </c>
      <c r="B661">
        <v>17643</v>
      </c>
      <c r="C661" t="s">
        <v>426</v>
      </c>
      <c r="D661" t="s">
        <v>427</v>
      </c>
      <c r="E661" t="s">
        <v>4763</v>
      </c>
      <c r="F661" t="s">
        <v>5554</v>
      </c>
      <c r="G661" t="s">
        <v>5555</v>
      </c>
      <c r="H661" t="s">
        <v>5556</v>
      </c>
      <c r="I661" t="s">
        <v>557</v>
      </c>
      <c r="K661" t="s">
        <v>46</v>
      </c>
      <c r="L661" t="s">
        <v>4716</v>
      </c>
      <c r="M661" t="s">
        <v>33</v>
      </c>
      <c r="O661">
        <v>1252</v>
      </c>
    </row>
    <row r="662" spans="1:15" x14ac:dyDescent="0.35">
      <c r="A662" t="s">
        <v>20</v>
      </c>
      <c r="B662">
        <v>17643</v>
      </c>
      <c r="C662" t="s">
        <v>426</v>
      </c>
      <c r="D662" t="s">
        <v>427</v>
      </c>
      <c r="E662" t="s">
        <v>4767</v>
      </c>
      <c r="F662" t="s">
        <v>5557</v>
      </c>
      <c r="G662" t="s">
        <v>5558</v>
      </c>
      <c r="H662" t="s">
        <v>5559</v>
      </c>
      <c r="I662" t="s">
        <v>557</v>
      </c>
      <c r="K662" t="s">
        <v>46</v>
      </c>
      <c r="L662" t="s">
        <v>4726</v>
      </c>
      <c r="M662" t="s">
        <v>33</v>
      </c>
      <c r="O662">
        <v>1265</v>
      </c>
    </row>
    <row r="663" spans="1:15" x14ac:dyDescent="0.35">
      <c r="A663" t="s">
        <v>20</v>
      </c>
      <c r="B663">
        <v>17643</v>
      </c>
      <c r="C663" t="s">
        <v>426</v>
      </c>
      <c r="D663" t="s">
        <v>427</v>
      </c>
      <c r="E663" t="s">
        <v>4771</v>
      </c>
      <c r="F663" t="s">
        <v>5560</v>
      </c>
      <c r="G663" t="s">
        <v>5561</v>
      </c>
      <c r="H663" t="s">
        <v>5562</v>
      </c>
      <c r="I663" t="s">
        <v>557</v>
      </c>
      <c r="K663" t="s">
        <v>46</v>
      </c>
      <c r="L663" t="s">
        <v>4721</v>
      </c>
      <c r="M663" t="s">
        <v>33</v>
      </c>
      <c r="O663">
        <v>1274</v>
      </c>
    </row>
    <row r="664" spans="1:15" x14ac:dyDescent="0.35">
      <c r="A664" t="s">
        <v>20</v>
      </c>
      <c r="B664">
        <v>17643</v>
      </c>
      <c r="C664" t="s">
        <v>426</v>
      </c>
      <c r="D664" t="s">
        <v>427</v>
      </c>
      <c r="E664" t="s">
        <v>4775</v>
      </c>
      <c r="F664" t="s">
        <v>5563</v>
      </c>
      <c r="G664" t="s">
        <v>5564</v>
      </c>
      <c r="H664" t="s">
        <v>5565</v>
      </c>
      <c r="I664" t="s">
        <v>557</v>
      </c>
      <c r="K664" t="s">
        <v>46</v>
      </c>
      <c r="L664" t="s">
        <v>4721</v>
      </c>
      <c r="M664" t="s">
        <v>33</v>
      </c>
      <c r="O664">
        <v>1279</v>
      </c>
    </row>
    <row r="665" spans="1:15" x14ac:dyDescent="0.35">
      <c r="A665" t="s">
        <v>20</v>
      </c>
      <c r="B665">
        <v>17643</v>
      </c>
      <c r="C665" t="s">
        <v>426</v>
      </c>
      <c r="D665" t="s">
        <v>427</v>
      </c>
      <c r="E665" t="s">
        <v>4779</v>
      </c>
      <c r="F665" t="s">
        <v>5566</v>
      </c>
      <c r="G665" t="s">
        <v>5567</v>
      </c>
      <c r="H665" t="s">
        <v>5568</v>
      </c>
      <c r="I665" t="s">
        <v>557</v>
      </c>
      <c r="K665" t="s">
        <v>46</v>
      </c>
      <c r="L665" t="s">
        <v>4799</v>
      </c>
      <c r="M665" t="s">
        <v>33</v>
      </c>
      <c r="O665">
        <v>1293</v>
      </c>
    </row>
    <row r="666" spans="1:15" x14ac:dyDescent="0.35">
      <c r="A666" t="s">
        <v>20</v>
      </c>
      <c r="B666">
        <v>17643</v>
      </c>
      <c r="C666" t="s">
        <v>426</v>
      </c>
      <c r="D666" t="s">
        <v>427</v>
      </c>
      <c r="E666" t="s">
        <v>4783</v>
      </c>
      <c r="F666" t="s">
        <v>5569</v>
      </c>
      <c r="G666" t="s">
        <v>5570</v>
      </c>
      <c r="H666" t="s">
        <v>5571</v>
      </c>
      <c r="I666" t="s">
        <v>557</v>
      </c>
      <c r="K666" t="s">
        <v>61</v>
      </c>
      <c r="L666" t="s">
        <v>4726</v>
      </c>
      <c r="M666" t="s">
        <v>33</v>
      </c>
      <c r="O666">
        <v>1732</v>
      </c>
    </row>
    <row r="667" spans="1:15" x14ac:dyDescent="0.35">
      <c r="A667" t="s">
        <v>20</v>
      </c>
      <c r="B667">
        <v>17643</v>
      </c>
      <c r="C667" t="s">
        <v>426</v>
      </c>
      <c r="D667" t="s">
        <v>427</v>
      </c>
      <c r="E667" t="s">
        <v>4787</v>
      </c>
      <c r="F667" t="s">
        <v>5572</v>
      </c>
      <c r="G667" t="s">
        <v>5573</v>
      </c>
      <c r="H667" t="s">
        <v>5574</v>
      </c>
      <c r="I667" t="s">
        <v>557</v>
      </c>
      <c r="K667" t="s">
        <v>61</v>
      </c>
      <c r="L667" t="s">
        <v>4726</v>
      </c>
      <c r="M667" t="s">
        <v>33</v>
      </c>
      <c r="O667">
        <v>1740</v>
      </c>
    </row>
    <row r="668" spans="1:15" x14ac:dyDescent="0.35">
      <c r="A668" t="s">
        <v>20</v>
      </c>
      <c r="B668">
        <v>17643</v>
      </c>
      <c r="C668" t="s">
        <v>426</v>
      </c>
      <c r="D668" t="s">
        <v>427</v>
      </c>
      <c r="E668" t="s">
        <v>4791</v>
      </c>
      <c r="F668" t="s">
        <v>5575</v>
      </c>
      <c r="G668" t="s">
        <v>5576</v>
      </c>
      <c r="H668" t="s">
        <v>5577</v>
      </c>
      <c r="I668" t="s">
        <v>557</v>
      </c>
      <c r="K668" t="s">
        <v>28</v>
      </c>
      <c r="L668" t="s">
        <v>4721</v>
      </c>
      <c r="M668" t="s">
        <v>33</v>
      </c>
      <c r="O668">
        <v>2174</v>
      </c>
    </row>
    <row r="669" spans="1:15" x14ac:dyDescent="0.35">
      <c r="A669" t="s">
        <v>20</v>
      </c>
      <c r="B669">
        <v>17643</v>
      </c>
      <c r="C669" t="s">
        <v>426</v>
      </c>
      <c r="D669" t="s">
        <v>427</v>
      </c>
      <c r="E669" t="s">
        <v>4795</v>
      </c>
      <c r="F669" t="s">
        <v>5578</v>
      </c>
      <c r="G669" t="s">
        <v>5579</v>
      </c>
      <c r="H669" t="s">
        <v>5580</v>
      </c>
      <c r="I669" t="s">
        <v>557</v>
      </c>
      <c r="K669" t="s">
        <v>28</v>
      </c>
      <c r="L669" t="s">
        <v>4721</v>
      </c>
      <c r="M669" t="s">
        <v>33</v>
      </c>
      <c r="O669">
        <v>2182</v>
      </c>
    </row>
    <row r="670" spans="1:15" x14ac:dyDescent="0.35">
      <c r="A670" t="s">
        <v>20</v>
      </c>
      <c r="B670">
        <v>17643</v>
      </c>
      <c r="C670" t="s">
        <v>426</v>
      </c>
      <c r="D670" t="s">
        <v>427</v>
      </c>
      <c r="E670" t="s">
        <v>4800</v>
      </c>
      <c r="F670" t="s">
        <v>5581</v>
      </c>
      <c r="G670" t="s">
        <v>5582</v>
      </c>
      <c r="H670" t="s">
        <v>5583</v>
      </c>
      <c r="I670" t="s">
        <v>557</v>
      </c>
      <c r="K670" t="s">
        <v>28</v>
      </c>
      <c r="L670" t="s">
        <v>4726</v>
      </c>
      <c r="M670" t="s">
        <v>33</v>
      </c>
      <c r="O670">
        <v>2346</v>
      </c>
    </row>
    <row r="671" spans="1:15" x14ac:dyDescent="0.35">
      <c r="A671" t="s">
        <v>20</v>
      </c>
      <c r="B671">
        <v>17643</v>
      </c>
      <c r="C671" t="s">
        <v>426</v>
      </c>
      <c r="D671" t="s">
        <v>427</v>
      </c>
      <c r="E671" t="s">
        <v>4804</v>
      </c>
      <c r="F671" t="s">
        <v>5584</v>
      </c>
      <c r="G671" t="s">
        <v>5585</v>
      </c>
      <c r="H671" t="s">
        <v>5586</v>
      </c>
      <c r="I671" t="s">
        <v>557</v>
      </c>
      <c r="K671" t="s">
        <v>28</v>
      </c>
      <c r="L671" t="s">
        <v>4721</v>
      </c>
      <c r="M671" t="s">
        <v>33</v>
      </c>
      <c r="O671">
        <v>2353</v>
      </c>
    </row>
    <row r="672" spans="1:15" x14ac:dyDescent="0.35">
      <c r="A672" t="s">
        <v>20</v>
      </c>
      <c r="B672">
        <v>17643</v>
      </c>
      <c r="C672" t="s">
        <v>426</v>
      </c>
      <c r="D672" t="s">
        <v>427</v>
      </c>
      <c r="E672" t="s">
        <v>4808</v>
      </c>
      <c r="F672" t="s">
        <v>5587</v>
      </c>
      <c r="G672" t="s">
        <v>5588</v>
      </c>
      <c r="H672" t="s">
        <v>5589</v>
      </c>
      <c r="I672" t="s">
        <v>557</v>
      </c>
      <c r="K672" t="s">
        <v>61</v>
      </c>
      <c r="L672" t="s">
        <v>4721</v>
      </c>
      <c r="M672" t="s">
        <v>33</v>
      </c>
      <c r="O672">
        <v>2360</v>
      </c>
    </row>
    <row r="673" spans="1:15" x14ac:dyDescent="0.35">
      <c r="A673" t="s">
        <v>20</v>
      </c>
      <c r="B673">
        <v>17643</v>
      </c>
      <c r="C673" t="s">
        <v>426</v>
      </c>
      <c r="D673" t="s">
        <v>427</v>
      </c>
      <c r="E673" t="s">
        <v>4812</v>
      </c>
      <c r="F673" t="s">
        <v>5590</v>
      </c>
      <c r="G673" t="s">
        <v>5591</v>
      </c>
      <c r="H673" t="s">
        <v>5592</v>
      </c>
      <c r="I673" t="s">
        <v>557</v>
      </c>
      <c r="K673" t="s">
        <v>61</v>
      </c>
      <c r="L673" t="s">
        <v>4726</v>
      </c>
      <c r="M673" t="s">
        <v>33</v>
      </c>
      <c r="O673">
        <v>2365</v>
      </c>
    </row>
    <row r="674" spans="1:15" x14ac:dyDescent="0.35">
      <c r="A674" t="s">
        <v>20</v>
      </c>
      <c r="B674">
        <v>17643</v>
      </c>
      <c r="C674" t="s">
        <v>426</v>
      </c>
      <c r="D674" t="s">
        <v>427</v>
      </c>
      <c r="E674" t="s">
        <v>4816</v>
      </c>
      <c r="F674" t="s">
        <v>5593</v>
      </c>
      <c r="G674" t="s">
        <v>5594</v>
      </c>
      <c r="H674" t="s">
        <v>5595</v>
      </c>
      <c r="I674" t="s">
        <v>557</v>
      </c>
      <c r="K674" t="s">
        <v>28</v>
      </c>
      <c r="L674" t="s">
        <v>4726</v>
      </c>
      <c r="M674" t="s">
        <v>33</v>
      </c>
      <c r="O674">
        <v>2372</v>
      </c>
    </row>
    <row r="675" spans="1:15" x14ac:dyDescent="0.35">
      <c r="A675" t="s">
        <v>20</v>
      </c>
      <c r="B675">
        <v>17643</v>
      </c>
      <c r="C675" t="s">
        <v>426</v>
      </c>
      <c r="D675" t="s">
        <v>427</v>
      </c>
      <c r="E675" t="s">
        <v>4820</v>
      </c>
      <c r="F675" t="s">
        <v>5596</v>
      </c>
      <c r="G675" t="s">
        <v>5597</v>
      </c>
      <c r="H675" t="s">
        <v>5598</v>
      </c>
      <c r="I675" t="s">
        <v>557</v>
      </c>
      <c r="K675" t="s">
        <v>28</v>
      </c>
      <c r="L675" t="s">
        <v>4716</v>
      </c>
      <c r="M675" t="s">
        <v>33</v>
      </c>
      <c r="O675">
        <v>2379</v>
      </c>
    </row>
    <row r="676" spans="1:15" x14ac:dyDescent="0.35">
      <c r="A676" t="s">
        <v>20</v>
      </c>
      <c r="B676">
        <v>17643</v>
      </c>
      <c r="C676" t="s">
        <v>426</v>
      </c>
      <c r="D676" t="s">
        <v>427</v>
      </c>
      <c r="E676" t="s">
        <v>4824</v>
      </c>
      <c r="F676" t="s">
        <v>5599</v>
      </c>
      <c r="G676" t="s">
        <v>5600</v>
      </c>
      <c r="H676" t="s">
        <v>5601</v>
      </c>
      <c r="I676" t="s">
        <v>557</v>
      </c>
      <c r="K676" t="s">
        <v>28</v>
      </c>
      <c r="L676" t="s">
        <v>4721</v>
      </c>
      <c r="M676" t="s">
        <v>33</v>
      </c>
      <c r="O676">
        <v>2384</v>
      </c>
    </row>
    <row r="677" spans="1:15" x14ac:dyDescent="0.35">
      <c r="A677" t="s">
        <v>20</v>
      </c>
      <c r="B677">
        <v>17643</v>
      </c>
      <c r="C677" t="s">
        <v>426</v>
      </c>
      <c r="D677" t="s">
        <v>427</v>
      </c>
      <c r="E677" t="s">
        <v>4828</v>
      </c>
      <c r="F677" t="s">
        <v>5602</v>
      </c>
      <c r="G677" t="s">
        <v>5603</v>
      </c>
      <c r="H677" t="s">
        <v>5604</v>
      </c>
      <c r="I677" t="s">
        <v>557</v>
      </c>
      <c r="K677" t="s">
        <v>28</v>
      </c>
      <c r="L677" t="s">
        <v>4716</v>
      </c>
      <c r="M677" t="s">
        <v>33</v>
      </c>
      <c r="O677">
        <v>2390</v>
      </c>
    </row>
    <row r="678" spans="1:15" x14ac:dyDescent="0.35">
      <c r="A678" t="s">
        <v>20</v>
      </c>
      <c r="B678">
        <v>17643</v>
      </c>
      <c r="C678" t="s">
        <v>426</v>
      </c>
      <c r="D678" t="s">
        <v>427</v>
      </c>
      <c r="E678" t="s">
        <v>4832</v>
      </c>
      <c r="F678" t="s">
        <v>5602</v>
      </c>
      <c r="G678" t="s">
        <v>5603</v>
      </c>
      <c r="H678" t="s">
        <v>5604</v>
      </c>
      <c r="I678" t="s">
        <v>557</v>
      </c>
      <c r="M678" t="s">
        <v>33</v>
      </c>
      <c r="O678">
        <v>2390</v>
      </c>
    </row>
    <row r="679" spans="1:15" x14ac:dyDescent="0.35">
      <c r="A679" t="s">
        <v>20</v>
      </c>
      <c r="B679">
        <v>17643</v>
      </c>
      <c r="C679" t="s">
        <v>426</v>
      </c>
      <c r="D679" t="s">
        <v>427</v>
      </c>
      <c r="E679" t="s">
        <v>4836</v>
      </c>
      <c r="F679" t="s">
        <v>5605</v>
      </c>
      <c r="G679" t="s">
        <v>5606</v>
      </c>
      <c r="H679" t="s">
        <v>5607</v>
      </c>
      <c r="I679" t="s">
        <v>557</v>
      </c>
      <c r="K679" t="s">
        <v>61</v>
      </c>
      <c r="L679" t="s">
        <v>4721</v>
      </c>
      <c r="M679" t="s">
        <v>33</v>
      </c>
      <c r="O679">
        <v>2480</v>
      </c>
    </row>
    <row r="680" spans="1:15" x14ac:dyDescent="0.35">
      <c r="A680" t="s">
        <v>20</v>
      </c>
      <c r="B680">
        <v>17643</v>
      </c>
      <c r="C680" t="s">
        <v>426</v>
      </c>
      <c r="D680" t="s">
        <v>427</v>
      </c>
      <c r="E680" t="s">
        <v>4840</v>
      </c>
      <c r="F680" t="s">
        <v>5608</v>
      </c>
      <c r="G680" t="s">
        <v>5609</v>
      </c>
      <c r="H680" t="s">
        <v>5610</v>
      </c>
      <c r="I680" t="s">
        <v>557</v>
      </c>
      <c r="K680" t="s">
        <v>61</v>
      </c>
      <c r="L680" t="s">
        <v>4721</v>
      </c>
      <c r="M680" t="s">
        <v>33</v>
      </c>
      <c r="O680">
        <v>2484</v>
      </c>
    </row>
    <row r="681" spans="1:15" x14ac:dyDescent="0.35">
      <c r="A681" t="s">
        <v>20</v>
      </c>
      <c r="B681">
        <v>17643</v>
      </c>
      <c r="C681" t="s">
        <v>426</v>
      </c>
      <c r="D681" t="s">
        <v>427</v>
      </c>
      <c r="E681" t="s">
        <v>4844</v>
      </c>
      <c r="F681" t="s">
        <v>5611</v>
      </c>
      <c r="G681" t="s">
        <v>5612</v>
      </c>
      <c r="H681" t="s">
        <v>5613</v>
      </c>
      <c r="I681" t="s">
        <v>557</v>
      </c>
      <c r="K681" t="s">
        <v>61</v>
      </c>
      <c r="L681" t="s">
        <v>4721</v>
      </c>
      <c r="M681" t="s">
        <v>33</v>
      </c>
      <c r="O681">
        <v>2492</v>
      </c>
    </row>
    <row r="682" spans="1:15" x14ac:dyDescent="0.35">
      <c r="A682" t="s">
        <v>20</v>
      </c>
      <c r="B682">
        <v>17643</v>
      </c>
      <c r="C682" t="s">
        <v>426</v>
      </c>
      <c r="D682" t="s">
        <v>427</v>
      </c>
      <c r="E682" t="s">
        <v>4848</v>
      </c>
      <c r="F682" t="s">
        <v>5614</v>
      </c>
      <c r="G682" t="s">
        <v>5615</v>
      </c>
      <c r="H682" t="s">
        <v>5616</v>
      </c>
      <c r="I682" t="s">
        <v>557</v>
      </c>
      <c r="K682" t="s">
        <v>61</v>
      </c>
      <c r="L682" t="s">
        <v>4721</v>
      </c>
      <c r="M682" t="s">
        <v>33</v>
      </c>
      <c r="O682">
        <v>2504</v>
      </c>
    </row>
    <row r="683" spans="1:15" x14ac:dyDescent="0.35">
      <c r="A683" t="s">
        <v>20</v>
      </c>
      <c r="B683">
        <v>17643</v>
      </c>
      <c r="C683" t="s">
        <v>426</v>
      </c>
      <c r="D683" t="s">
        <v>427</v>
      </c>
      <c r="E683" t="s">
        <v>4852</v>
      </c>
      <c r="F683" t="s">
        <v>5617</v>
      </c>
      <c r="G683" t="s">
        <v>5618</v>
      </c>
      <c r="H683" t="s">
        <v>5619</v>
      </c>
      <c r="I683" t="s">
        <v>557</v>
      </c>
      <c r="K683" t="s">
        <v>61</v>
      </c>
      <c r="L683" t="s">
        <v>4721</v>
      </c>
      <c r="M683" t="s">
        <v>33</v>
      </c>
      <c r="O683">
        <v>2510</v>
      </c>
    </row>
    <row r="684" spans="1:15" x14ac:dyDescent="0.35">
      <c r="A684" t="s">
        <v>20</v>
      </c>
      <c r="B684">
        <v>17643</v>
      </c>
      <c r="C684" t="s">
        <v>426</v>
      </c>
      <c r="D684" t="s">
        <v>427</v>
      </c>
      <c r="E684" t="s">
        <v>4856</v>
      </c>
      <c r="F684" t="s">
        <v>5620</v>
      </c>
      <c r="G684" t="s">
        <v>5621</v>
      </c>
      <c r="H684" t="s">
        <v>5622</v>
      </c>
      <c r="I684" t="s">
        <v>557</v>
      </c>
      <c r="K684" t="s">
        <v>28</v>
      </c>
      <c r="L684" t="s">
        <v>4721</v>
      </c>
      <c r="M684" t="s">
        <v>33</v>
      </c>
      <c r="O684">
        <v>3815</v>
      </c>
    </row>
    <row r="685" spans="1:15" x14ac:dyDescent="0.35">
      <c r="A685" t="s">
        <v>20</v>
      </c>
      <c r="B685">
        <v>17643</v>
      </c>
      <c r="C685" t="s">
        <v>426</v>
      </c>
      <c r="D685" t="s">
        <v>427</v>
      </c>
      <c r="E685" t="s">
        <v>4860</v>
      </c>
      <c r="F685" t="s">
        <v>5623</v>
      </c>
      <c r="G685" t="s">
        <v>5624</v>
      </c>
      <c r="H685" t="s">
        <v>5625</v>
      </c>
      <c r="I685" t="s">
        <v>557</v>
      </c>
      <c r="K685" t="s">
        <v>28</v>
      </c>
      <c r="L685" t="s">
        <v>4726</v>
      </c>
      <c r="M685" t="s">
        <v>33</v>
      </c>
      <c r="O685">
        <v>3837</v>
      </c>
    </row>
    <row r="686" spans="1:15" x14ac:dyDescent="0.35">
      <c r="A686" t="s">
        <v>20</v>
      </c>
      <c r="B686">
        <v>17643</v>
      </c>
      <c r="C686" t="s">
        <v>426</v>
      </c>
      <c r="D686" t="s">
        <v>427</v>
      </c>
      <c r="E686" t="s">
        <v>4864</v>
      </c>
      <c r="F686" t="s">
        <v>5626</v>
      </c>
      <c r="G686" t="s">
        <v>5627</v>
      </c>
      <c r="H686" t="s">
        <v>5628</v>
      </c>
      <c r="I686" t="s">
        <v>557</v>
      </c>
      <c r="K686" t="s">
        <v>28</v>
      </c>
      <c r="L686" t="s">
        <v>4726</v>
      </c>
      <c r="M686" t="s">
        <v>33</v>
      </c>
      <c r="O686">
        <v>3853</v>
      </c>
    </row>
    <row r="687" spans="1:15" x14ac:dyDescent="0.35">
      <c r="A687" t="s">
        <v>20</v>
      </c>
      <c r="B687">
        <v>17643</v>
      </c>
      <c r="C687" t="s">
        <v>426</v>
      </c>
      <c r="D687" t="s">
        <v>427</v>
      </c>
      <c r="E687" t="s">
        <v>4868</v>
      </c>
      <c r="F687" t="s">
        <v>5629</v>
      </c>
      <c r="G687" t="s">
        <v>5630</v>
      </c>
      <c r="H687" t="s">
        <v>5631</v>
      </c>
      <c r="I687" t="s">
        <v>557</v>
      </c>
      <c r="K687" t="s">
        <v>28</v>
      </c>
      <c r="L687" t="s">
        <v>4726</v>
      </c>
      <c r="M687" t="s">
        <v>33</v>
      </c>
      <c r="O687">
        <v>3858</v>
      </c>
    </row>
    <row r="688" spans="1:15" x14ac:dyDescent="0.35">
      <c r="A688" t="s">
        <v>20</v>
      </c>
      <c r="B688">
        <v>17643</v>
      </c>
      <c r="C688" t="s">
        <v>426</v>
      </c>
      <c r="D688" t="s">
        <v>427</v>
      </c>
      <c r="E688" t="s">
        <v>4872</v>
      </c>
      <c r="F688" t="s">
        <v>5632</v>
      </c>
      <c r="G688" t="s">
        <v>5633</v>
      </c>
      <c r="H688" t="s">
        <v>5634</v>
      </c>
      <c r="I688" t="s">
        <v>557</v>
      </c>
      <c r="K688" t="s">
        <v>28</v>
      </c>
      <c r="L688" t="s">
        <v>4726</v>
      </c>
      <c r="M688" t="s">
        <v>33</v>
      </c>
      <c r="O688">
        <v>3862</v>
      </c>
    </row>
    <row r="689" spans="1:15" x14ac:dyDescent="0.35">
      <c r="A689" t="s">
        <v>20</v>
      </c>
      <c r="B689">
        <v>17643</v>
      </c>
      <c r="C689" t="s">
        <v>426</v>
      </c>
      <c r="D689" t="s">
        <v>427</v>
      </c>
      <c r="E689" t="s">
        <v>4873</v>
      </c>
      <c r="F689" t="s">
        <v>5635</v>
      </c>
      <c r="G689" t="s">
        <v>5636</v>
      </c>
      <c r="H689" t="s">
        <v>5637</v>
      </c>
      <c r="I689" t="s">
        <v>557</v>
      </c>
      <c r="K689" t="s">
        <v>28</v>
      </c>
      <c r="L689" t="s">
        <v>4726</v>
      </c>
      <c r="M689" t="s">
        <v>33</v>
      </c>
      <c r="O689">
        <v>3869</v>
      </c>
    </row>
    <row r="690" spans="1:15" x14ac:dyDescent="0.35">
      <c r="A690" t="s">
        <v>20</v>
      </c>
      <c r="B690">
        <v>17643</v>
      </c>
      <c r="C690" t="s">
        <v>426</v>
      </c>
      <c r="D690" t="s">
        <v>427</v>
      </c>
      <c r="E690" t="s">
        <v>4874</v>
      </c>
      <c r="F690" t="s">
        <v>5638</v>
      </c>
      <c r="G690" t="s">
        <v>5639</v>
      </c>
      <c r="H690" t="s">
        <v>5640</v>
      </c>
      <c r="I690" t="s">
        <v>557</v>
      </c>
      <c r="K690" t="s">
        <v>28</v>
      </c>
      <c r="L690" t="s">
        <v>4716</v>
      </c>
      <c r="M690" t="s">
        <v>33</v>
      </c>
      <c r="O690">
        <v>3875</v>
      </c>
    </row>
    <row r="691" spans="1:15" x14ac:dyDescent="0.35">
      <c r="A691" t="s">
        <v>20</v>
      </c>
      <c r="B691">
        <v>17643</v>
      </c>
      <c r="C691" t="s">
        <v>426</v>
      </c>
      <c r="D691" t="s">
        <v>427</v>
      </c>
      <c r="E691" t="s">
        <v>4875</v>
      </c>
      <c r="F691" t="s">
        <v>5641</v>
      </c>
      <c r="G691" t="s">
        <v>5642</v>
      </c>
      <c r="H691" t="s">
        <v>5643</v>
      </c>
      <c r="I691" t="s">
        <v>557</v>
      </c>
      <c r="K691" t="s">
        <v>28</v>
      </c>
      <c r="L691" t="s">
        <v>4721</v>
      </c>
      <c r="M691" t="s">
        <v>33</v>
      </c>
      <c r="O691">
        <v>4051</v>
      </c>
    </row>
    <row r="692" spans="1:15" x14ac:dyDescent="0.35">
      <c r="A692" t="s">
        <v>20</v>
      </c>
      <c r="B692">
        <v>17643</v>
      </c>
      <c r="C692" t="s">
        <v>426</v>
      </c>
      <c r="D692" t="s">
        <v>427</v>
      </c>
      <c r="E692" t="s">
        <v>4879</v>
      </c>
      <c r="F692" t="s">
        <v>5644</v>
      </c>
      <c r="G692" t="s">
        <v>5645</v>
      </c>
      <c r="H692" t="s">
        <v>5646</v>
      </c>
      <c r="I692" t="s">
        <v>557</v>
      </c>
      <c r="K692" t="s">
        <v>28</v>
      </c>
      <c r="L692" t="s">
        <v>4721</v>
      </c>
      <c r="M692" t="s">
        <v>33</v>
      </c>
      <c r="O692">
        <v>4055</v>
      </c>
    </row>
    <row r="693" spans="1:15" x14ac:dyDescent="0.35">
      <c r="A693" t="s">
        <v>20</v>
      </c>
      <c r="B693">
        <v>17643</v>
      </c>
      <c r="C693" t="s">
        <v>426</v>
      </c>
      <c r="D693" t="s">
        <v>427</v>
      </c>
      <c r="E693" t="s">
        <v>4883</v>
      </c>
      <c r="F693" t="s">
        <v>5647</v>
      </c>
      <c r="G693" t="s">
        <v>5648</v>
      </c>
      <c r="H693" t="s">
        <v>5649</v>
      </c>
      <c r="I693" t="s">
        <v>557</v>
      </c>
      <c r="K693" t="s">
        <v>38</v>
      </c>
      <c r="L693" t="s">
        <v>4726</v>
      </c>
      <c r="M693" t="s">
        <v>33</v>
      </c>
      <c r="O693">
        <v>4335</v>
      </c>
    </row>
    <row r="694" spans="1:15" x14ac:dyDescent="0.35">
      <c r="A694" t="s">
        <v>20</v>
      </c>
      <c r="B694">
        <v>17643</v>
      </c>
      <c r="C694" t="s">
        <v>426</v>
      </c>
      <c r="D694" t="s">
        <v>427</v>
      </c>
      <c r="E694" t="s">
        <v>4887</v>
      </c>
      <c r="F694" t="s">
        <v>5650</v>
      </c>
      <c r="G694" t="s">
        <v>5651</v>
      </c>
      <c r="H694" t="s">
        <v>5652</v>
      </c>
      <c r="I694" t="s">
        <v>557</v>
      </c>
      <c r="K694" t="s">
        <v>38</v>
      </c>
      <c r="L694" t="s">
        <v>4716</v>
      </c>
      <c r="M694" t="s">
        <v>33</v>
      </c>
      <c r="O694">
        <v>4345</v>
      </c>
    </row>
    <row r="695" spans="1:15" x14ac:dyDescent="0.35">
      <c r="A695" t="s">
        <v>20</v>
      </c>
      <c r="B695">
        <v>17643</v>
      </c>
      <c r="C695" t="s">
        <v>426</v>
      </c>
      <c r="D695" t="s">
        <v>427</v>
      </c>
      <c r="E695" t="s">
        <v>4891</v>
      </c>
      <c r="F695" t="s">
        <v>5653</v>
      </c>
      <c r="G695" t="s">
        <v>5654</v>
      </c>
      <c r="H695" t="s">
        <v>5655</v>
      </c>
      <c r="I695" t="s">
        <v>557</v>
      </c>
      <c r="K695" t="s">
        <v>28</v>
      </c>
      <c r="L695" t="s">
        <v>4721</v>
      </c>
      <c r="M695" t="s">
        <v>33</v>
      </c>
      <c r="O695">
        <v>4567</v>
      </c>
    </row>
    <row r="696" spans="1:15" x14ac:dyDescent="0.35">
      <c r="A696" t="s">
        <v>20</v>
      </c>
      <c r="B696">
        <v>17643</v>
      </c>
      <c r="C696" t="s">
        <v>426</v>
      </c>
      <c r="D696" t="s">
        <v>427</v>
      </c>
      <c r="E696" t="s">
        <v>4895</v>
      </c>
      <c r="F696" t="s">
        <v>5656</v>
      </c>
      <c r="G696" t="s">
        <v>5657</v>
      </c>
      <c r="H696" t="s">
        <v>5658</v>
      </c>
      <c r="I696" t="s">
        <v>557</v>
      </c>
      <c r="K696" t="s">
        <v>28</v>
      </c>
      <c r="L696" t="s">
        <v>4716</v>
      </c>
      <c r="M696" t="s">
        <v>33</v>
      </c>
      <c r="O696">
        <v>4584</v>
      </c>
    </row>
    <row r="697" spans="1:15" x14ac:dyDescent="0.35">
      <c r="A697" t="s">
        <v>20</v>
      </c>
      <c r="B697">
        <v>17643</v>
      </c>
      <c r="C697" t="s">
        <v>426</v>
      </c>
      <c r="D697" t="s">
        <v>427</v>
      </c>
      <c r="E697" t="s">
        <v>4899</v>
      </c>
      <c r="F697" t="s">
        <v>5659</v>
      </c>
      <c r="G697" t="s">
        <v>5660</v>
      </c>
      <c r="H697" t="s">
        <v>5661</v>
      </c>
      <c r="I697" t="s">
        <v>557</v>
      </c>
      <c r="K697" t="s">
        <v>38</v>
      </c>
      <c r="L697" t="s">
        <v>4726</v>
      </c>
      <c r="M697" t="s">
        <v>33</v>
      </c>
      <c r="O697">
        <v>4700</v>
      </c>
    </row>
    <row r="698" spans="1:15" x14ac:dyDescent="0.35">
      <c r="A698" t="s">
        <v>20</v>
      </c>
      <c r="B698">
        <v>17643</v>
      </c>
      <c r="C698" t="s">
        <v>426</v>
      </c>
      <c r="D698" t="s">
        <v>427</v>
      </c>
      <c r="E698" t="s">
        <v>4903</v>
      </c>
      <c r="F698" t="s">
        <v>5662</v>
      </c>
      <c r="G698" t="s">
        <v>5663</v>
      </c>
      <c r="H698" t="s">
        <v>5664</v>
      </c>
      <c r="I698" t="s">
        <v>557</v>
      </c>
      <c r="K698" t="s">
        <v>38</v>
      </c>
      <c r="L698" t="s">
        <v>4721</v>
      </c>
      <c r="M698" t="s">
        <v>33</v>
      </c>
      <c r="O698">
        <v>4705</v>
      </c>
    </row>
    <row r="699" spans="1:15" x14ac:dyDescent="0.35">
      <c r="A699" t="s">
        <v>20</v>
      </c>
      <c r="B699">
        <v>17643</v>
      </c>
      <c r="C699" t="s">
        <v>426</v>
      </c>
      <c r="D699" t="s">
        <v>427</v>
      </c>
      <c r="E699" t="s">
        <v>4907</v>
      </c>
      <c r="F699" t="s">
        <v>5665</v>
      </c>
      <c r="G699" t="s">
        <v>5666</v>
      </c>
      <c r="H699" t="s">
        <v>5667</v>
      </c>
      <c r="I699" t="s">
        <v>557</v>
      </c>
      <c r="K699" t="s">
        <v>38</v>
      </c>
      <c r="L699" t="s">
        <v>4721</v>
      </c>
      <c r="M699" t="s">
        <v>33</v>
      </c>
      <c r="O699">
        <v>4712</v>
      </c>
    </row>
    <row r="700" spans="1:15" x14ac:dyDescent="0.35">
      <c r="A700" t="s">
        <v>20</v>
      </c>
      <c r="B700">
        <v>17643</v>
      </c>
      <c r="C700" t="s">
        <v>426</v>
      </c>
      <c r="D700" t="s">
        <v>427</v>
      </c>
      <c r="E700" t="s">
        <v>4911</v>
      </c>
      <c r="F700" t="s">
        <v>5668</v>
      </c>
      <c r="G700" t="s">
        <v>5669</v>
      </c>
      <c r="H700" t="s">
        <v>5670</v>
      </c>
      <c r="I700" t="s">
        <v>557</v>
      </c>
      <c r="K700" t="s">
        <v>38</v>
      </c>
      <c r="L700" t="s">
        <v>4721</v>
      </c>
      <c r="M700" t="s">
        <v>33</v>
      </c>
      <c r="O700">
        <v>5501</v>
      </c>
    </row>
    <row r="701" spans="1:15" x14ac:dyDescent="0.35">
      <c r="A701" t="s">
        <v>20</v>
      </c>
      <c r="B701">
        <v>17643</v>
      </c>
      <c r="C701" t="s">
        <v>426</v>
      </c>
      <c r="D701" t="s">
        <v>427</v>
      </c>
      <c r="E701" t="s">
        <v>4915</v>
      </c>
      <c r="F701" t="s">
        <v>5671</v>
      </c>
      <c r="G701" t="s">
        <v>5672</v>
      </c>
      <c r="H701" t="s">
        <v>5673</v>
      </c>
      <c r="I701" t="s">
        <v>557</v>
      </c>
      <c r="K701" t="s">
        <v>61</v>
      </c>
      <c r="L701" t="s">
        <v>4726</v>
      </c>
      <c r="M701" t="s">
        <v>33</v>
      </c>
      <c r="O701">
        <v>5872</v>
      </c>
    </row>
    <row r="702" spans="1:15" x14ac:dyDescent="0.35">
      <c r="A702" t="s">
        <v>20</v>
      </c>
      <c r="B702">
        <v>17643</v>
      </c>
      <c r="C702" t="s">
        <v>426</v>
      </c>
      <c r="D702" t="s">
        <v>427</v>
      </c>
      <c r="E702" t="s">
        <v>4919</v>
      </c>
      <c r="F702" t="s">
        <v>5674</v>
      </c>
      <c r="G702" t="s">
        <v>5675</v>
      </c>
      <c r="H702" t="s">
        <v>5676</v>
      </c>
      <c r="I702" t="s">
        <v>557</v>
      </c>
      <c r="K702" t="s">
        <v>61</v>
      </c>
      <c r="L702" t="s">
        <v>4721</v>
      </c>
      <c r="M702" t="s">
        <v>33</v>
      </c>
      <c r="O702">
        <v>5882</v>
      </c>
    </row>
    <row r="703" spans="1:15" x14ac:dyDescent="0.35">
      <c r="A703" t="s">
        <v>20</v>
      </c>
      <c r="B703">
        <v>17643</v>
      </c>
      <c r="C703" t="s">
        <v>426</v>
      </c>
      <c r="D703" t="s">
        <v>427</v>
      </c>
      <c r="E703" t="s">
        <v>4923</v>
      </c>
      <c r="F703" t="s">
        <v>5677</v>
      </c>
      <c r="G703" t="s">
        <v>5678</v>
      </c>
      <c r="H703" t="s">
        <v>5679</v>
      </c>
      <c r="I703" t="s">
        <v>557</v>
      </c>
      <c r="K703" t="s">
        <v>28</v>
      </c>
      <c r="L703" t="s">
        <v>4721</v>
      </c>
      <c r="M703" t="s">
        <v>33</v>
      </c>
      <c r="O703">
        <v>6165</v>
      </c>
    </row>
    <row r="704" spans="1:15" x14ac:dyDescent="0.35">
      <c r="A704" t="s">
        <v>20</v>
      </c>
      <c r="B704">
        <v>17643</v>
      </c>
      <c r="C704" t="s">
        <v>426</v>
      </c>
      <c r="D704" t="s">
        <v>427</v>
      </c>
      <c r="E704" t="s">
        <v>4927</v>
      </c>
      <c r="F704" t="s">
        <v>5680</v>
      </c>
      <c r="G704" t="s">
        <v>5681</v>
      </c>
      <c r="H704" t="s">
        <v>5682</v>
      </c>
      <c r="I704" t="s">
        <v>557</v>
      </c>
      <c r="K704" t="s">
        <v>28</v>
      </c>
      <c r="L704" t="s">
        <v>4721</v>
      </c>
      <c r="M704" t="s">
        <v>33</v>
      </c>
      <c r="O704">
        <v>6175</v>
      </c>
    </row>
    <row r="705" spans="1:15" x14ac:dyDescent="0.35">
      <c r="A705" t="s">
        <v>20</v>
      </c>
      <c r="B705">
        <v>17643</v>
      </c>
      <c r="C705" t="s">
        <v>426</v>
      </c>
      <c r="D705" t="s">
        <v>427</v>
      </c>
      <c r="E705" t="s">
        <v>4931</v>
      </c>
      <c r="F705" t="s">
        <v>5683</v>
      </c>
      <c r="G705" t="s">
        <v>5684</v>
      </c>
      <c r="H705" t="s">
        <v>5685</v>
      </c>
      <c r="I705" t="s">
        <v>557</v>
      </c>
      <c r="K705" t="s">
        <v>28</v>
      </c>
      <c r="L705" t="s">
        <v>4721</v>
      </c>
      <c r="M705" t="s">
        <v>33</v>
      </c>
      <c r="O705">
        <v>6183</v>
      </c>
    </row>
    <row r="706" spans="1:15" x14ac:dyDescent="0.35">
      <c r="A706" t="s">
        <v>20</v>
      </c>
      <c r="B706">
        <v>17643</v>
      </c>
      <c r="C706" t="s">
        <v>426</v>
      </c>
      <c r="D706" t="s">
        <v>427</v>
      </c>
      <c r="E706" t="s">
        <v>4935</v>
      </c>
      <c r="F706" t="s">
        <v>5686</v>
      </c>
      <c r="G706" t="s">
        <v>5687</v>
      </c>
      <c r="H706" t="s">
        <v>5688</v>
      </c>
      <c r="I706" t="s">
        <v>557</v>
      </c>
      <c r="K706" t="s">
        <v>28</v>
      </c>
      <c r="L706" t="s">
        <v>4721</v>
      </c>
      <c r="M706" t="s">
        <v>33</v>
      </c>
      <c r="O706">
        <v>6188</v>
      </c>
    </row>
    <row r="707" spans="1:15" x14ac:dyDescent="0.35">
      <c r="A707" t="s">
        <v>20</v>
      </c>
      <c r="B707">
        <v>17643</v>
      </c>
      <c r="C707" t="s">
        <v>426</v>
      </c>
      <c r="D707" t="s">
        <v>427</v>
      </c>
      <c r="E707" t="s">
        <v>4939</v>
      </c>
      <c r="F707" t="s">
        <v>5689</v>
      </c>
      <c r="G707" t="s">
        <v>5690</v>
      </c>
      <c r="H707" t="s">
        <v>5691</v>
      </c>
      <c r="I707" t="s">
        <v>557</v>
      </c>
      <c r="K707" t="s">
        <v>28</v>
      </c>
      <c r="L707" t="s">
        <v>4721</v>
      </c>
      <c r="M707" t="s">
        <v>33</v>
      </c>
      <c r="O707">
        <v>6194</v>
      </c>
    </row>
    <row r="708" spans="1:15" x14ac:dyDescent="0.35">
      <c r="A708" t="s">
        <v>20</v>
      </c>
      <c r="B708">
        <v>17643</v>
      </c>
      <c r="C708" t="s">
        <v>426</v>
      </c>
      <c r="D708" t="s">
        <v>427</v>
      </c>
      <c r="E708" t="s">
        <v>4943</v>
      </c>
      <c r="F708" t="s">
        <v>5692</v>
      </c>
      <c r="G708" t="s">
        <v>5693</v>
      </c>
      <c r="H708" t="s">
        <v>5694</v>
      </c>
      <c r="I708" t="s">
        <v>557</v>
      </c>
      <c r="K708" t="s">
        <v>28</v>
      </c>
      <c r="L708" t="s">
        <v>4721</v>
      </c>
      <c r="M708" t="s">
        <v>33</v>
      </c>
      <c r="O708">
        <v>6204</v>
      </c>
    </row>
    <row r="709" spans="1:15" x14ac:dyDescent="0.35">
      <c r="A709" t="s">
        <v>20</v>
      </c>
      <c r="B709">
        <v>17643</v>
      </c>
      <c r="C709" t="s">
        <v>426</v>
      </c>
      <c r="D709" t="s">
        <v>427</v>
      </c>
      <c r="E709" t="s">
        <v>4947</v>
      </c>
      <c r="F709" t="s">
        <v>5695</v>
      </c>
      <c r="G709" t="s">
        <v>5696</v>
      </c>
      <c r="H709" t="s">
        <v>5697</v>
      </c>
      <c r="I709" t="s">
        <v>557</v>
      </c>
      <c r="K709" t="s">
        <v>28</v>
      </c>
      <c r="L709" t="s">
        <v>4721</v>
      </c>
      <c r="M709" t="s">
        <v>33</v>
      </c>
      <c r="O709">
        <v>6213</v>
      </c>
    </row>
    <row r="710" spans="1:15" x14ac:dyDescent="0.35">
      <c r="A710" t="s">
        <v>20</v>
      </c>
      <c r="B710">
        <v>17643</v>
      </c>
      <c r="C710" t="s">
        <v>426</v>
      </c>
      <c r="D710" t="s">
        <v>427</v>
      </c>
      <c r="E710" t="s">
        <v>4951</v>
      </c>
      <c r="F710" t="s">
        <v>5698</v>
      </c>
      <c r="G710" t="s">
        <v>5699</v>
      </c>
      <c r="H710" t="s">
        <v>5700</v>
      </c>
      <c r="I710" t="s">
        <v>557</v>
      </c>
      <c r="K710" t="s">
        <v>28</v>
      </c>
      <c r="L710" t="s">
        <v>4721</v>
      </c>
      <c r="M710" t="s">
        <v>33</v>
      </c>
      <c r="O710">
        <v>6225</v>
      </c>
    </row>
    <row r="711" spans="1:15" x14ac:dyDescent="0.35">
      <c r="A711" t="s">
        <v>20</v>
      </c>
      <c r="B711">
        <v>17643</v>
      </c>
      <c r="C711" t="s">
        <v>426</v>
      </c>
      <c r="D711" t="s">
        <v>427</v>
      </c>
      <c r="E711" t="s">
        <v>4955</v>
      </c>
      <c r="F711" t="s">
        <v>5701</v>
      </c>
      <c r="G711" t="s">
        <v>5702</v>
      </c>
      <c r="H711" t="s">
        <v>5703</v>
      </c>
      <c r="I711" t="s">
        <v>557</v>
      </c>
      <c r="K711" t="s">
        <v>28</v>
      </c>
      <c r="L711" t="s">
        <v>4716</v>
      </c>
      <c r="M711" t="s">
        <v>33</v>
      </c>
      <c r="O711">
        <v>6327</v>
      </c>
    </row>
    <row r="712" spans="1:15" x14ac:dyDescent="0.35">
      <c r="A712" t="s">
        <v>20</v>
      </c>
      <c r="B712">
        <v>17643</v>
      </c>
      <c r="C712" t="s">
        <v>426</v>
      </c>
      <c r="D712" t="s">
        <v>427</v>
      </c>
      <c r="E712" t="s">
        <v>5147</v>
      </c>
      <c r="F712" t="s">
        <v>5704</v>
      </c>
      <c r="G712" t="s">
        <v>5705</v>
      </c>
      <c r="H712" t="s">
        <v>5706</v>
      </c>
      <c r="I712" t="s">
        <v>431</v>
      </c>
      <c r="K712" t="s">
        <v>46</v>
      </c>
      <c r="L712" t="s">
        <v>4721</v>
      </c>
      <c r="M712" t="s">
        <v>33</v>
      </c>
      <c r="O712">
        <v>366</v>
      </c>
    </row>
    <row r="713" spans="1:15" x14ac:dyDescent="0.35">
      <c r="A713" t="s">
        <v>20</v>
      </c>
      <c r="B713">
        <v>17643</v>
      </c>
      <c r="C713" t="s">
        <v>426</v>
      </c>
      <c r="D713" t="s">
        <v>427</v>
      </c>
      <c r="E713" t="s">
        <v>5151</v>
      </c>
      <c r="F713" t="s">
        <v>5707</v>
      </c>
      <c r="G713" t="s">
        <v>5708</v>
      </c>
      <c r="H713" t="s">
        <v>5709</v>
      </c>
      <c r="I713" t="s">
        <v>431</v>
      </c>
      <c r="K713" t="s">
        <v>46</v>
      </c>
      <c r="L713" t="s">
        <v>4721</v>
      </c>
      <c r="M713" t="s">
        <v>33</v>
      </c>
      <c r="O713">
        <v>372</v>
      </c>
    </row>
    <row r="714" spans="1:15" x14ac:dyDescent="0.35">
      <c r="A714" t="s">
        <v>20</v>
      </c>
      <c r="B714">
        <v>17643</v>
      </c>
      <c r="C714" t="s">
        <v>426</v>
      </c>
      <c r="D714" t="s">
        <v>427</v>
      </c>
      <c r="E714" t="s">
        <v>5155</v>
      </c>
      <c r="F714" t="s">
        <v>5710</v>
      </c>
      <c r="G714" t="s">
        <v>5711</v>
      </c>
      <c r="H714" t="s">
        <v>5712</v>
      </c>
      <c r="I714" t="s">
        <v>431</v>
      </c>
      <c r="K714" t="s">
        <v>46</v>
      </c>
      <c r="L714" t="s">
        <v>4716</v>
      </c>
      <c r="M714" t="s">
        <v>33</v>
      </c>
      <c r="O714">
        <v>404</v>
      </c>
    </row>
    <row r="715" spans="1:15" x14ac:dyDescent="0.35">
      <c r="A715" t="s">
        <v>20</v>
      </c>
      <c r="B715">
        <v>17643</v>
      </c>
      <c r="C715" t="s">
        <v>426</v>
      </c>
      <c r="D715" t="s">
        <v>427</v>
      </c>
      <c r="E715" t="s">
        <v>5159</v>
      </c>
      <c r="F715" t="s">
        <v>5713</v>
      </c>
      <c r="G715" t="s">
        <v>5714</v>
      </c>
      <c r="H715" t="s">
        <v>5715</v>
      </c>
      <c r="I715" t="s">
        <v>431</v>
      </c>
      <c r="K715" t="s">
        <v>46</v>
      </c>
      <c r="L715" t="s">
        <v>4726</v>
      </c>
      <c r="M715" t="s">
        <v>33</v>
      </c>
      <c r="O715">
        <v>412</v>
      </c>
    </row>
    <row r="716" spans="1:15" x14ac:dyDescent="0.35">
      <c r="A716" t="s">
        <v>20</v>
      </c>
      <c r="B716">
        <v>17643</v>
      </c>
      <c r="C716" t="s">
        <v>426</v>
      </c>
      <c r="D716" t="s">
        <v>427</v>
      </c>
      <c r="E716" t="s">
        <v>5163</v>
      </c>
      <c r="F716" t="s">
        <v>5716</v>
      </c>
      <c r="G716" t="s">
        <v>5717</v>
      </c>
      <c r="H716" t="s">
        <v>5718</v>
      </c>
      <c r="I716" t="s">
        <v>431</v>
      </c>
      <c r="K716" t="s">
        <v>38</v>
      </c>
      <c r="L716" t="s">
        <v>4716</v>
      </c>
      <c r="M716" t="s">
        <v>33</v>
      </c>
      <c r="O716">
        <v>425</v>
      </c>
    </row>
    <row r="717" spans="1:15" x14ac:dyDescent="0.35">
      <c r="A717" t="s">
        <v>20</v>
      </c>
      <c r="B717">
        <v>17643</v>
      </c>
      <c r="C717" t="s">
        <v>426</v>
      </c>
      <c r="D717" t="s">
        <v>427</v>
      </c>
      <c r="E717" t="s">
        <v>5167</v>
      </c>
      <c r="F717" t="s">
        <v>5719</v>
      </c>
      <c r="G717" t="s">
        <v>5720</v>
      </c>
      <c r="H717" t="s">
        <v>5721</v>
      </c>
      <c r="I717" t="s">
        <v>431</v>
      </c>
      <c r="K717" t="s">
        <v>38</v>
      </c>
      <c r="L717" t="s">
        <v>4799</v>
      </c>
      <c r="M717" t="s">
        <v>33</v>
      </c>
      <c r="O717">
        <v>437</v>
      </c>
    </row>
    <row r="718" spans="1:15" x14ac:dyDescent="0.35">
      <c r="A718" t="s">
        <v>20</v>
      </c>
      <c r="B718">
        <v>17643</v>
      </c>
      <c r="C718" t="s">
        <v>426</v>
      </c>
      <c r="D718" t="s">
        <v>427</v>
      </c>
      <c r="E718" t="s">
        <v>5171</v>
      </c>
      <c r="F718" t="s">
        <v>5722</v>
      </c>
      <c r="G718" t="s">
        <v>5723</v>
      </c>
      <c r="H718" t="s">
        <v>5724</v>
      </c>
      <c r="I718" t="s">
        <v>431</v>
      </c>
      <c r="K718" t="s">
        <v>28</v>
      </c>
      <c r="L718" t="s">
        <v>4721</v>
      </c>
      <c r="M718" t="s">
        <v>33</v>
      </c>
      <c r="O718">
        <v>511</v>
      </c>
    </row>
    <row r="719" spans="1:15" x14ac:dyDescent="0.35">
      <c r="A719" t="s">
        <v>20</v>
      </c>
      <c r="B719">
        <v>17643</v>
      </c>
      <c r="C719" t="s">
        <v>426</v>
      </c>
      <c r="D719" t="s">
        <v>427</v>
      </c>
      <c r="E719" t="s">
        <v>5175</v>
      </c>
      <c r="F719" t="s">
        <v>5725</v>
      </c>
      <c r="G719" t="s">
        <v>5726</v>
      </c>
      <c r="H719" t="s">
        <v>5727</v>
      </c>
      <c r="I719" t="s">
        <v>431</v>
      </c>
      <c r="K719" t="s">
        <v>28</v>
      </c>
      <c r="L719" t="s">
        <v>4726</v>
      </c>
      <c r="M719" t="s">
        <v>33</v>
      </c>
      <c r="O719">
        <v>520</v>
      </c>
    </row>
    <row r="720" spans="1:15" x14ac:dyDescent="0.35">
      <c r="A720" t="s">
        <v>20</v>
      </c>
      <c r="B720">
        <v>17643</v>
      </c>
      <c r="C720" t="s">
        <v>426</v>
      </c>
      <c r="D720" t="s">
        <v>427</v>
      </c>
      <c r="E720" t="s">
        <v>5179</v>
      </c>
      <c r="F720" t="s">
        <v>5728</v>
      </c>
      <c r="G720" t="s">
        <v>5729</v>
      </c>
      <c r="H720" t="s">
        <v>5730</v>
      </c>
      <c r="I720" t="s">
        <v>431</v>
      </c>
      <c r="K720" t="s">
        <v>28</v>
      </c>
      <c r="L720" t="s">
        <v>4726</v>
      </c>
      <c r="M720" t="s">
        <v>33</v>
      </c>
      <c r="O720">
        <v>527</v>
      </c>
    </row>
    <row r="721" spans="1:15" x14ac:dyDescent="0.35">
      <c r="A721" t="s">
        <v>20</v>
      </c>
      <c r="B721">
        <v>17643</v>
      </c>
      <c r="C721" t="s">
        <v>426</v>
      </c>
      <c r="D721" t="s">
        <v>427</v>
      </c>
      <c r="E721" t="s">
        <v>5183</v>
      </c>
      <c r="F721" t="s">
        <v>5731</v>
      </c>
      <c r="G721" t="s">
        <v>5732</v>
      </c>
      <c r="H721" t="s">
        <v>5733</v>
      </c>
      <c r="I721" t="s">
        <v>431</v>
      </c>
      <c r="K721" t="s">
        <v>28</v>
      </c>
      <c r="L721" t="s">
        <v>4721</v>
      </c>
      <c r="M721" t="s">
        <v>33</v>
      </c>
      <c r="O721">
        <v>535</v>
      </c>
    </row>
    <row r="722" spans="1:15" x14ac:dyDescent="0.35">
      <c r="A722" t="s">
        <v>20</v>
      </c>
      <c r="B722">
        <v>17643</v>
      </c>
      <c r="C722" t="s">
        <v>426</v>
      </c>
      <c r="D722" t="s">
        <v>427</v>
      </c>
      <c r="E722" t="s">
        <v>5187</v>
      </c>
      <c r="F722" t="s">
        <v>5734</v>
      </c>
      <c r="G722" t="s">
        <v>5735</v>
      </c>
      <c r="H722" t="s">
        <v>5736</v>
      </c>
      <c r="I722" t="s">
        <v>431</v>
      </c>
      <c r="K722" t="s">
        <v>28</v>
      </c>
      <c r="L722" t="s">
        <v>4721</v>
      </c>
      <c r="M722" t="s">
        <v>33</v>
      </c>
      <c r="O722">
        <v>539</v>
      </c>
    </row>
    <row r="723" spans="1:15" x14ac:dyDescent="0.35">
      <c r="A723" t="s">
        <v>20</v>
      </c>
      <c r="B723">
        <v>17643</v>
      </c>
      <c r="C723" t="s">
        <v>426</v>
      </c>
      <c r="D723" t="s">
        <v>427</v>
      </c>
      <c r="E723" t="s">
        <v>5191</v>
      </c>
      <c r="F723" t="s">
        <v>5737</v>
      </c>
      <c r="G723" t="s">
        <v>5738</v>
      </c>
      <c r="H723" t="s">
        <v>5739</v>
      </c>
      <c r="I723" t="s">
        <v>431</v>
      </c>
      <c r="K723" t="s">
        <v>28</v>
      </c>
      <c r="L723" t="s">
        <v>4721</v>
      </c>
      <c r="M723" t="s">
        <v>33</v>
      </c>
      <c r="O723">
        <v>546</v>
      </c>
    </row>
    <row r="724" spans="1:15" x14ac:dyDescent="0.35">
      <c r="A724" t="s">
        <v>20</v>
      </c>
      <c r="B724">
        <v>17643</v>
      </c>
      <c r="C724" t="s">
        <v>426</v>
      </c>
      <c r="D724" t="s">
        <v>427</v>
      </c>
      <c r="E724" t="s">
        <v>5195</v>
      </c>
      <c r="F724" t="s">
        <v>5740</v>
      </c>
      <c r="G724" t="s">
        <v>5741</v>
      </c>
      <c r="H724" t="s">
        <v>5742</v>
      </c>
      <c r="I724" t="s">
        <v>431</v>
      </c>
      <c r="K724" t="s">
        <v>38</v>
      </c>
      <c r="L724" t="s">
        <v>4716</v>
      </c>
      <c r="M724" t="s">
        <v>33</v>
      </c>
      <c r="O724">
        <v>683</v>
      </c>
    </row>
    <row r="725" spans="1:15" x14ac:dyDescent="0.35">
      <c r="A725" t="s">
        <v>20</v>
      </c>
      <c r="B725">
        <v>17643</v>
      </c>
      <c r="C725" t="s">
        <v>426</v>
      </c>
      <c r="D725" t="s">
        <v>427</v>
      </c>
      <c r="E725" t="s">
        <v>5199</v>
      </c>
      <c r="F725" t="s">
        <v>5743</v>
      </c>
      <c r="G725" t="s">
        <v>5744</v>
      </c>
      <c r="H725" t="s">
        <v>5745</v>
      </c>
      <c r="I725" t="s">
        <v>431</v>
      </c>
      <c r="K725" t="s">
        <v>38</v>
      </c>
      <c r="L725" t="s">
        <v>4799</v>
      </c>
      <c r="M725" t="s">
        <v>33</v>
      </c>
      <c r="O725">
        <v>694</v>
      </c>
    </row>
    <row r="726" spans="1:15" x14ac:dyDescent="0.35">
      <c r="A726" t="s">
        <v>20</v>
      </c>
      <c r="B726">
        <v>17643</v>
      </c>
      <c r="C726" t="s">
        <v>426</v>
      </c>
      <c r="D726" t="s">
        <v>427</v>
      </c>
      <c r="E726" t="s">
        <v>5203</v>
      </c>
      <c r="F726" t="s">
        <v>5746</v>
      </c>
      <c r="G726" t="s">
        <v>5747</v>
      </c>
      <c r="H726" t="s">
        <v>5748</v>
      </c>
      <c r="I726" t="s">
        <v>431</v>
      </c>
      <c r="K726" t="s">
        <v>28</v>
      </c>
      <c r="L726" t="s">
        <v>4721</v>
      </c>
      <c r="M726" t="s">
        <v>33</v>
      </c>
      <c r="O726">
        <v>930</v>
      </c>
    </row>
    <row r="727" spans="1:15" x14ac:dyDescent="0.35">
      <c r="A727" t="s">
        <v>20</v>
      </c>
      <c r="B727">
        <v>17643</v>
      </c>
      <c r="C727" t="s">
        <v>426</v>
      </c>
      <c r="D727" t="s">
        <v>427</v>
      </c>
      <c r="E727" t="s">
        <v>5207</v>
      </c>
      <c r="F727" t="s">
        <v>5749</v>
      </c>
      <c r="G727" t="s">
        <v>5750</v>
      </c>
      <c r="H727" t="s">
        <v>5751</v>
      </c>
      <c r="I727" t="s">
        <v>431</v>
      </c>
      <c r="K727" t="s">
        <v>28</v>
      </c>
      <c r="L727" t="s">
        <v>4721</v>
      </c>
      <c r="M727" t="s">
        <v>33</v>
      </c>
      <c r="O727">
        <v>1309</v>
      </c>
    </row>
    <row r="728" spans="1:15" x14ac:dyDescent="0.35">
      <c r="A728" t="s">
        <v>20</v>
      </c>
      <c r="B728">
        <v>17643</v>
      </c>
      <c r="C728" t="s">
        <v>426</v>
      </c>
      <c r="D728" t="s">
        <v>427</v>
      </c>
      <c r="E728" t="s">
        <v>5211</v>
      </c>
      <c r="F728" t="s">
        <v>5752</v>
      </c>
      <c r="G728" t="s">
        <v>5753</v>
      </c>
      <c r="H728" t="s">
        <v>5754</v>
      </c>
      <c r="I728" t="s">
        <v>431</v>
      </c>
      <c r="K728" t="s">
        <v>28</v>
      </c>
      <c r="L728" t="s">
        <v>4721</v>
      </c>
      <c r="M728" t="s">
        <v>33</v>
      </c>
      <c r="O728">
        <v>1316</v>
      </c>
    </row>
    <row r="729" spans="1:15" x14ac:dyDescent="0.35">
      <c r="A729" t="s">
        <v>20</v>
      </c>
      <c r="B729">
        <v>17643</v>
      </c>
      <c r="C729" t="s">
        <v>426</v>
      </c>
      <c r="D729" t="s">
        <v>427</v>
      </c>
      <c r="E729" t="s">
        <v>5215</v>
      </c>
      <c r="F729" t="s">
        <v>5755</v>
      </c>
      <c r="G729" t="s">
        <v>5756</v>
      </c>
      <c r="H729" t="s">
        <v>5757</v>
      </c>
      <c r="I729" t="s">
        <v>431</v>
      </c>
      <c r="K729" t="s">
        <v>46</v>
      </c>
      <c r="L729" t="s">
        <v>4716</v>
      </c>
      <c r="M729" t="s">
        <v>33</v>
      </c>
      <c r="O729">
        <v>1432</v>
      </c>
    </row>
    <row r="730" spans="1:15" x14ac:dyDescent="0.35">
      <c r="A730" t="s">
        <v>20</v>
      </c>
      <c r="B730">
        <v>17643</v>
      </c>
      <c r="C730" t="s">
        <v>426</v>
      </c>
      <c r="D730" t="s">
        <v>427</v>
      </c>
      <c r="E730" t="s">
        <v>5219</v>
      </c>
      <c r="F730" t="s">
        <v>5758</v>
      </c>
      <c r="G730" t="s">
        <v>5759</v>
      </c>
      <c r="H730" t="s">
        <v>5760</v>
      </c>
      <c r="I730" t="s">
        <v>431</v>
      </c>
      <c r="K730" t="s">
        <v>46</v>
      </c>
      <c r="L730" t="s">
        <v>4799</v>
      </c>
      <c r="M730" t="s">
        <v>33</v>
      </c>
      <c r="O730">
        <v>1443</v>
      </c>
    </row>
    <row r="731" spans="1:15" x14ac:dyDescent="0.35">
      <c r="A731" t="s">
        <v>20</v>
      </c>
      <c r="B731">
        <v>17643</v>
      </c>
      <c r="C731" t="s">
        <v>426</v>
      </c>
      <c r="D731" t="s">
        <v>427</v>
      </c>
      <c r="E731" t="s">
        <v>5223</v>
      </c>
      <c r="F731" t="s">
        <v>5761</v>
      </c>
      <c r="G731" t="s">
        <v>5762</v>
      </c>
      <c r="H731" t="s">
        <v>5763</v>
      </c>
      <c r="I731" t="s">
        <v>431</v>
      </c>
      <c r="K731" t="s">
        <v>46</v>
      </c>
      <c r="L731" t="s">
        <v>4721</v>
      </c>
      <c r="M731" t="s">
        <v>33</v>
      </c>
      <c r="O731">
        <v>1452</v>
      </c>
    </row>
    <row r="732" spans="1:15" x14ac:dyDescent="0.35">
      <c r="A732" t="s">
        <v>20</v>
      </c>
      <c r="B732">
        <v>17643</v>
      </c>
      <c r="C732" t="s">
        <v>426</v>
      </c>
      <c r="D732" t="s">
        <v>427</v>
      </c>
      <c r="E732" t="s">
        <v>5226</v>
      </c>
      <c r="F732" t="s">
        <v>5764</v>
      </c>
      <c r="G732" t="s">
        <v>5765</v>
      </c>
      <c r="H732" t="s">
        <v>5766</v>
      </c>
      <c r="I732" t="s">
        <v>431</v>
      </c>
      <c r="K732" t="s">
        <v>46</v>
      </c>
      <c r="L732" t="s">
        <v>4721</v>
      </c>
      <c r="M732" t="s">
        <v>33</v>
      </c>
      <c r="O732">
        <v>1461</v>
      </c>
    </row>
    <row r="733" spans="1:15" x14ac:dyDescent="0.35">
      <c r="A733" t="s">
        <v>20</v>
      </c>
      <c r="B733">
        <v>17643</v>
      </c>
      <c r="C733" t="s">
        <v>426</v>
      </c>
      <c r="D733" t="s">
        <v>427</v>
      </c>
      <c r="E733" t="s">
        <v>5230</v>
      </c>
      <c r="F733" t="s">
        <v>5767</v>
      </c>
      <c r="G733" t="s">
        <v>5768</v>
      </c>
      <c r="H733" t="s">
        <v>5769</v>
      </c>
      <c r="I733" t="s">
        <v>431</v>
      </c>
      <c r="K733" t="s">
        <v>46</v>
      </c>
      <c r="L733" t="s">
        <v>4721</v>
      </c>
      <c r="M733" t="s">
        <v>33</v>
      </c>
      <c r="O733">
        <v>1466</v>
      </c>
    </row>
    <row r="734" spans="1:15" x14ac:dyDescent="0.35">
      <c r="A734" t="s">
        <v>20</v>
      </c>
      <c r="B734">
        <v>17643</v>
      </c>
      <c r="C734" t="s">
        <v>426</v>
      </c>
      <c r="D734" t="s">
        <v>427</v>
      </c>
      <c r="E734" t="s">
        <v>5234</v>
      </c>
      <c r="F734" t="s">
        <v>5770</v>
      </c>
      <c r="G734" t="s">
        <v>5771</v>
      </c>
      <c r="H734" t="s">
        <v>5772</v>
      </c>
      <c r="I734" t="s">
        <v>431</v>
      </c>
      <c r="K734" t="s">
        <v>28</v>
      </c>
      <c r="L734" t="s">
        <v>4721</v>
      </c>
      <c r="M734" t="s">
        <v>33</v>
      </c>
      <c r="O734">
        <v>1477</v>
      </c>
    </row>
    <row r="735" spans="1:15" x14ac:dyDescent="0.35">
      <c r="A735" t="s">
        <v>20</v>
      </c>
      <c r="B735">
        <v>17643</v>
      </c>
      <c r="C735" t="s">
        <v>426</v>
      </c>
      <c r="D735" t="s">
        <v>427</v>
      </c>
      <c r="E735" t="s">
        <v>5238</v>
      </c>
      <c r="F735" t="s">
        <v>5773</v>
      </c>
      <c r="G735" t="s">
        <v>5774</v>
      </c>
      <c r="H735" t="s">
        <v>5775</v>
      </c>
      <c r="I735" t="s">
        <v>431</v>
      </c>
      <c r="K735" t="s">
        <v>61</v>
      </c>
      <c r="L735" t="s">
        <v>4721</v>
      </c>
      <c r="M735" t="s">
        <v>33</v>
      </c>
      <c r="O735">
        <v>1608</v>
      </c>
    </row>
    <row r="736" spans="1:15" x14ac:dyDescent="0.35">
      <c r="A736" t="s">
        <v>20</v>
      </c>
      <c r="B736">
        <v>17643</v>
      </c>
      <c r="C736" t="s">
        <v>426</v>
      </c>
      <c r="D736" t="s">
        <v>427</v>
      </c>
      <c r="E736" t="s">
        <v>5242</v>
      </c>
      <c r="F736" t="s">
        <v>5776</v>
      </c>
      <c r="G736" t="s">
        <v>5777</v>
      </c>
      <c r="H736" t="s">
        <v>5778</v>
      </c>
      <c r="I736" t="s">
        <v>431</v>
      </c>
      <c r="K736" t="s">
        <v>61</v>
      </c>
      <c r="L736" t="s">
        <v>4726</v>
      </c>
      <c r="M736" t="s">
        <v>33</v>
      </c>
      <c r="O736">
        <v>1616</v>
      </c>
    </row>
    <row r="737" spans="1:15" x14ac:dyDescent="0.35">
      <c r="A737" t="s">
        <v>20</v>
      </c>
      <c r="B737">
        <v>17643</v>
      </c>
      <c r="C737" t="s">
        <v>426</v>
      </c>
      <c r="D737" t="s">
        <v>427</v>
      </c>
      <c r="E737" t="s">
        <v>5246</v>
      </c>
      <c r="F737" t="s">
        <v>5779</v>
      </c>
      <c r="G737" t="s">
        <v>5780</v>
      </c>
      <c r="H737" t="s">
        <v>5781</v>
      </c>
      <c r="I737" t="s">
        <v>431</v>
      </c>
      <c r="K737" t="s">
        <v>61</v>
      </c>
      <c r="L737" t="s">
        <v>4726</v>
      </c>
      <c r="M737" t="s">
        <v>33</v>
      </c>
      <c r="O737">
        <v>1626</v>
      </c>
    </row>
    <row r="738" spans="1:15" x14ac:dyDescent="0.35">
      <c r="A738" t="s">
        <v>20</v>
      </c>
      <c r="B738">
        <v>17643</v>
      </c>
      <c r="C738" t="s">
        <v>426</v>
      </c>
      <c r="D738" t="s">
        <v>427</v>
      </c>
      <c r="E738" t="s">
        <v>5250</v>
      </c>
      <c r="F738" t="s">
        <v>5782</v>
      </c>
      <c r="G738" t="s">
        <v>5783</v>
      </c>
      <c r="H738" t="s">
        <v>5784</v>
      </c>
      <c r="I738" t="s">
        <v>431</v>
      </c>
      <c r="K738" t="s">
        <v>61</v>
      </c>
      <c r="L738" t="s">
        <v>4726</v>
      </c>
      <c r="M738" t="s">
        <v>33</v>
      </c>
      <c r="O738">
        <v>1632</v>
      </c>
    </row>
    <row r="739" spans="1:15" x14ac:dyDescent="0.35">
      <c r="A739" t="s">
        <v>20</v>
      </c>
      <c r="B739">
        <v>17643</v>
      </c>
      <c r="C739" t="s">
        <v>426</v>
      </c>
      <c r="D739" t="s">
        <v>427</v>
      </c>
      <c r="E739" t="s">
        <v>5254</v>
      </c>
      <c r="F739" t="s">
        <v>5785</v>
      </c>
      <c r="G739" t="s">
        <v>5786</v>
      </c>
      <c r="H739" t="s">
        <v>5787</v>
      </c>
      <c r="I739" t="s">
        <v>431</v>
      </c>
      <c r="K739" t="s">
        <v>61</v>
      </c>
      <c r="L739" t="s">
        <v>4721</v>
      </c>
      <c r="M739" t="s">
        <v>33</v>
      </c>
      <c r="O739">
        <v>1720</v>
      </c>
    </row>
    <row r="740" spans="1:15" x14ac:dyDescent="0.35">
      <c r="A740" t="s">
        <v>20</v>
      </c>
      <c r="B740">
        <v>17643</v>
      </c>
      <c r="C740" t="s">
        <v>426</v>
      </c>
      <c r="D740" t="s">
        <v>427</v>
      </c>
      <c r="E740" t="s">
        <v>5258</v>
      </c>
      <c r="F740" t="s">
        <v>5788</v>
      </c>
      <c r="G740" t="s">
        <v>5789</v>
      </c>
      <c r="H740" t="s">
        <v>5790</v>
      </c>
      <c r="I740" t="s">
        <v>431</v>
      </c>
      <c r="K740" t="s">
        <v>61</v>
      </c>
      <c r="L740" t="s">
        <v>4721</v>
      </c>
      <c r="M740" t="s">
        <v>33</v>
      </c>
      <c r="O740">
        <v>1727</v>
      </c>
    </row>
    <row r="741" spans="1:15" x14ac:dyDescent="0.35">
      <c r="A741" t="s">
        <v>20</v>
      </c>
      <c r="B741">
        <v>17643</v>
      </c>
      <c r="C741" t="s">
        <v>426</v>
      </c>
      <c r="D741" t="s">
        <v>427</v>
      </c>
      <c r="E741" t="s">
        <v>5262</v>
      </c>
      <c r="F741" t="s">
        <v>5791</v>
      </c>
      <c r="G741" t="s">
        <v>5792</v>
      </c>
      <c r="H741" t="s">
        <v>5793</v>
      </c>
      <c r="I741" t="s">
        <v>431</v>
      </c>
      <c r="K741" t="s">
        <v>38</v>
      </c>
      <c r="L741" t="s">
        <v>4716</v>
      </c>
      <c r="M741" t="s">
        <v>33</v>
      </c>
      <c r="O741">
        <v>1988</v>
      </c>
    </row>
    <row r="742" spans="1:15" x14ac:dyDescent="0.35">
      <c r="A742" t="s">
        <v>20</v>
      </c>
      <c r="B742">
        <v>17643</v>
      </c>
      <c r="C742" t="s">
        <v>426</v>
      </c>
      <c r="D742" t="s">
        <v>427</v>
      </c>
      <c r="E742" t="s">
        <v>5266</v>
      </c>
      <c r="F742" t="s">
        <v>5794</v>
      </c>
      <c r="G742" t="s">
        <v>5795</v>
      </c>
      <c r="H742" t="s">
        <v>5796</v>
      </c>
      <c r="I742" t="s">
        <v>431</v>
      </c>
      <c r="K742" t="s">
        <v>28</v>
      </c>
      <c r="L742" t="s">
        <v>4721</v>
      </c>
      <c r="M742" t="s">
        <v>33</v>
      </c>
      <c r="O742">
        <v>3095</v>
      </c>
    </row>
    <row r="743" spans="1:15" x14ac:dyDescent="0.35">
      <c r="A743" t="s">
        <v>20</v>
      </c>
      <c r="B743">
        <v>17643</v>
      </c>
      <c r="C743" t="s">
        <v>426</v>
      </c>
      <c r="D743" t="s">
        <v>427</v>
      </c>
      <c r="E743" t="s">
        <v>5270</v>
      </c>
      <c r="F743" t="s">
        <v>5797</v>
      </c>
      <c r="G743" t="s">
        <v>5798</v>
      </c>
      <c r="H743" t="s">
        <v>5799</v>
      </c>
      <c r="I743" t="s">
        <v>431</v>
      </c>
      <c r="K743" t="s">
        <v>28</v>
      </c>
      <c r="L743" t="s">
        <v>4721</v>
      </c>
      <c r="M743" t="s">
        <v>33</v>
      </c>
      <c r="O743">
        <v>3105</v>
      </c>
    </row>
    <row r="744" spans="1:15" x14ac:dyDescent="0.35">
      <c r="A744" t="s">
        <v>20</v>
      </c>
      <c r="B744">
        <v>17643</v>
      </c>
      <c r="C744" t="s">
        <v>426</v>
      </c>
      <c r="D744" t="s">
        <v>427</v>
      </c>
      <c r="E744" t="s">
        <v>5274</v>
      </c>
      <c r="F744" t="s">
        <v>5800</v>
      </c>
      <c r="G744" t="s">
        <v>5801</v>
      </c>
      <c r="H744" t="s">
        <v>5802</v>
      </c>
      <c r="I744" t="s">
        <v>431</v>
      </c>
      <c r="K744" t="s">
        <v>28</v>
      </c>
      <c r="L744" t="s">
        <v>4721</v>
      </c>
      <c r="M744" t="s">
        <v>33</v>
      </c>
      <c r="O744">
        <v>3112</v>
      </c>
    </row>
    <row r="745" spans="1:15" x14ac:dyDescent="0.35">
      <c r="A745" t="s">
        <v>20</v>
      </c>
      <c r="B745">
        <v>17643</v>
      </c>
      <c r="C745" t="s">
        <v>426</v>
      </c>
      <c r="D745" t="s">
        <v>427</v>
      </c>
      <c r="E745" t="s">
        <v>5278</v>
      </c>
      <c r="F745" t="s">
        <v>5803</v>
      </c>
      <c r="G745" t="s">
        <v>5804</v>
      </c>
      <c r="H745" t="s">
        <v>5805</v>
      </c>
      <c r="I745" t="s">
        <v>431</v>
      </c>
      <c r="K745" t="s">
        <v>46</v>
      </c>
      <c r="L745" t="s">
        <v>4716</v>
      </c>
      <c r="M745" t="s">
        <v>33</v>
      </c>
      <c r="O745">
        <v>4135</v>
      </c>
    </row>
    <row r="746" spans="1:15" x14ac:dyDescent="0.35">
      <c r="A746" t="s">
        <v>20</v>
      </c>
      <c r="B746">
        <v>17643</v>
      </c>
      <c r="C746" t="s">
        <v>426</v>
      </c>
      <c r="D746" t="s">
        <v>427</v>
      </c>
      <c r="E746" t="s">
        <v>5282</v>
      </c>
      <c r="F746" t="s">
        <v>5806</v>
      </c>
      <c r="G746" t="s">
        <v>5807</v>
      </c>
      <c r="H746" t="s">
        <v>5808</v>
      </c>
      <c r="I746" t="s">
        <v>431</v>
      </c>
      <c r="K746" t="s">
        <v>28</v>
      </c>
      <c r="L746" t="s">
        <v>4721</v>
      </c>
      <c r="M746" t="s">
        <v>33</v>
      </c>
      <c r="O746">
        <v>4205</v>
      </c>
    </row>
    <row r="747" spans="1:15" x14ac:dyDescent="0.35">
      <c r="A747" t="s">
        <v>20</v>
      </c>
      <c r="B747">
        <v>17643</v>
      </c>
      <c r="C747" t="s">
        <v>426</v>
      </c>
      <c r="D747" t="s">
        <v>427</v>
      </c>
      <c r="E747" t="s">
        <v>5286</v>
      </c>
      <c r="F747" t="s">
        <v>5809</v>
      </c>
      <c r="G747" t="s">
        <v>5810</v>
      </c>
      <c r="H747" t="s">
        <v>5811</v>
      </c>
      <c r="I747" t="s">
        <v>431</v>
      </c>
      <c r="K747" t="s">
        <v>28</v>
      </c>
      <c r="L747" t="s">
        <v>4721</v>
      </c>
      <c r="M747" t="s">
        <v>33</v>
      </c>
      <c r="O747">
        <v>4214</v>
      </c>
    </row>
    <row r="748" spans="1:15" x14ac:dyDescent="0.35">
      <c r="A748" t="s">
        <v>20</v>
      </c>
      <c r="B748">
        <v>17643</v>
      </c>
      <c r="C748" t="s">
        <v>426</v>
      </c>
      <c r="D748" t="s">
        <v>427</v>
      </c>
      <c r="E748" t="s">
        <v>5290</v>
      </c>
      <c r="F748" t="s">
        <v>5812</v>
      </c>
      <c r="G748" t="s">
        <v>5813</v>
      </c>
      <c r="H748" t="s">
        <v>5814</v>
      </c>
      <c r="I748" t="s">
        <v>431</v>
      </c>
      <c r="K748" t="s">
        <v>61</v>
      </c>
      <c r="L748" t="s">
        <v>4726</v>
      </c>
      <c r="M748" t="s">
        <v>33</v>
      </c>
      <c r="O748">
        <v>4453</v>
      </c>
    </row>
    <row r="749" spans="1:15" x14ac:dyDescent="0.35">
      <c r="A749" t="s">
        <v>20</v>
      </c>
      <c r="B749">
        <v>17643</v>
      </c>
      <c r="C749" t="s">
        <v>426</v>
      </c>
      <c r="D749" t="s">
        <v>427</v>
      </c>
      <c r="E749" t="s">
        <v>5294</v>
      </c>
      <c r="F749" t="s">
        <v>5815</v>
      </c>
      <c r="G749" t="s">
        <v>5816</v>
      </c>
      <c r="H749" t="s">
        <v>5817</v>
      </c>
      <c r="I749" t="s">
        <v>431</v>
      </c>
      <c r="K749" t="s">
        <v>61</v>
      </c>
      <c r="L749" t="s">
        <v>4721</v>
      </c>
      <c r="M749" t="s">
        <v>33</v>
      </c>
      <c r="O749">
        <v>4462</v>
      </c>
    </row>
    <row r="750" spans="1:15" x14ac:dyDescent="0.35">
      <c r="A750" t="s">
        <v>20</v>
      </c>
      <c r="B750">
        <v>17643</v>
      </c>
      <c r="C750" t="s">
        <v>426</v>
      </c>
      <c r="D750" t="s">
        <v>427</v>
      </c>
      <c r="E750" t="s">
        <v>5298</v>
      </c>
      <c r="F750" t="s">
        <v>5818</v>
      </c>
      <c r="G750" t="s">
        <v>5819</v>
      </c>
      <c r="H750" t="s">
        <v>5820</v>
      </c>
      <c r="I750" t="s">
        <v>431</v>
      </c>
      <c r="K750" t="s">
        <v>61</v>
      </c>
      <c r="L750" t="s">
        <v>4721</v>
      </c>
      <c r="M750" t="s">
        <v>33</v>
      </c>
      <c r="O750">
        <v>4469</v>
      </c>
    </row>
    <row r="751" spans="1:15" x14ac:dyDescent="0.35">
      <c r="A751" t="s">
        <v>20</v>
      </c>
      <c r="B751">
        <v>17643</v>
      </c>
      <c r="C751" t="s">
        <v>426</v>
      </c>
      <c r="D751" t="s">
        <v>427</v>
      </c>
      <c r="E751" t="s">
        <v>5302</v>
      </c>
      <c r="F751" t="s">
        <v>5821</v>
      </c>
      <c r="G751" t="s">
        <v>5822</v>
      </c>
      <c r="H751" t="s">
        <v>5823</v>
      </c>
      <c r="I751" t="s">
        <v>431</v>
      </c>
      <c r="K751" t="s">
        <v>46</v>
      </c>
      <c r="L751" t="s">
        <v>4721</v>
      </c>
      <c r="M751" t="s">
        <v>33</v>
      </c>
      <c r="O751">
        <v>4513</v>
      </c>
    </row>
    <row r="752" spans="1:15" x14ac:dyDescent="0.35">
      <c r="A752" t="s">
        <v>20</v>
      </c>
      <c r="B752">
        <v>17643</v>
      </c>
      <c r="C752" t="s">
        <v>426</v>
      </c>
      <c r="D752" t="s">
        <v>427</v>
      </c>
      <c r="E752" t="s">
        <v>5306</v>
      </c>
      <c r="F752" t="s">
        <v>5824</v>
      </c>
      <c r="G752" t="s">
        <v>5825</v>
      </c>
      <c r="H752" t="s">
        <v>5826</v>
      </c>
      <c r="I752" t="s">
        <v>431</v>
      </c>
      <c r="K752" t="s">
        <v>46</v>
      </c>
      <c r="L752" t="s">
        <v>4726</v>
      </c>
      <c r="M752" t="s">
        <v>33</v>
      </c>
      <c r="O752">
        <v>4524</v>
      </c>
    </row>
    <row r="753" spans="1:15" x14ac:dyDescent="0.35">
      <c r="A753" t="s">
        <v>20</v>
      </c>
      <c r="B753">
        <v>17643</v>
      </c>
      <c r="C753" t="s">
        <v>426</v>
      </c>
      <c r="D753" t="s">
        <v>427</v>
      </c>
      <c r="E753" t="s">
        <v>5310</v>
      </c>
      <c r="F753" t="s">
        <v>5827</v>
      </c>
      <c r="G753" t="s">
        <v>5828</v>
      </c>
      <c r="H753" t="s">
        <v>5829</v>
      </c>
      <c r="I753" t="s">
        <v>431</v>
      </c>
      <c r="K753" t="s">
        <v>46</v>
      </c>
      <c r="L753" t="s">
        <v>4726</v>
      </c>
      <c r="M753" t="s">
        <v>33</v>
      </c>
      <c r="O753">
        <v>4532</v>
      </c>
    </row>
    <row r="754" spans="1:15" x14ac:dyDescent="0.35">
      <c r="A754" t="s">
        <v>20</v>
      </c>
      <c r="B754">
        <v>17643</v>
      </c>
      <c r="C754" t="s">
        <v>426</v>
      </c>
      <c r="D754" t="s">
        <v>427</v>
      </c>
      <c r="E754" t="s">
        <v>5314</v>
      </c>
      <c r="F754" t="s">
        <v>5830</v>
      </c>
      <c r="G754" t="s">
        <v>5831</v>
      </c>
      <c r="H754" t="s">
        <v>5832</v>
      </c>
      <c r="I754" t="s">
        <v>431</v>
      </c>
      <c r="K754" t="s">
        <v>46</v>
      </c>
      <c r="L754" t="s">
        <v>4716</v>
      </c>
      <c r="M754" t="s">
        <v>33</v>
      </c>
      <c r="O754">
        <v>4544</v>
      </c>
    </row>
    <row r="755" spans="1:15" x14ac:dyDescent="0.35">
      <c r="A755" t="s">
        <v>20</v>
      </c>
      <c r="B755">
        <v>17643</v>
      </c>
      <c r="C755" t="s">
        <v>426</v>
      </c>
      <c r="D755" t="s">
        <v>427</v>
      </c>
      <c r="E755" t="s">
        <v>5318</v>
      </c>
      <c r="F755" t="s">
        <v>5833</v>
      </c>
      <c r="G755" t="s">
        <v>5834</v>
      </c>
      <c r="H755" t="s">
        <v>5835</v>
      </c>
      <c r="I755" t="s">
        <v>431</v>
      </c>
      <c r="K755" t="s">
        <v>46</v>
      </c>
      <c r="L755" t="s">
        <v>4799</v>
      </c>
      <c r="M755" t="s">
        <v>33</v>
      </c>
      <c r="O755">
        <v>4560</v>
      </c>
    </row>
    <row r="756" spans="1:15" x14ac:dyDescent="0.35">
      <c r="A756" t="s">
        <v>20</v>
      </c>
      <c r="B756">
        <v>17643</v>
      </c>
      <c r="C756" t="s">
        <v>426</v>
      </c>
      <c r="D756" t="s">
        <v>427</v>
      </c>
      <c r="E756" t="s">
        <v>5322</v>
      </c>
      <c r="F756" t="s">
        <v>5836</v>
      </c>
      <c r="G756" t="s">
        <v>5837</v>
      </c>
      <c r="H756" t="s">
        <v>5838</v>
      </c>
      <c r="I756" t="s">
        <v>431</v>
      </c>
      <c r="K756" t="s">
        <v>28</v>
      </c>
      <c r="L756" t="s">
        <v>4726</v>
      </c>
      <c r="M756" t="s">
        <v>33</v>
      </c>
      <c r="O756">
        <v>4728</v>
      </c>
    </row>
    <row r="757" spans="1:15" x14ac:dyDescent="0.35">
      <c r="A757" t="s">
        <v>20</v>
      </c>
      <c r="B757">
        <v>17643</v>
      </c>
      <c r="C757" t="s">
        <v>426</v>
      </c>
      <c r="D757" t="s">
        <v>427</v>
      </c>
      <c r="E757" t="s">
        <v>5326</v>
      </c>
      <c r="F757" t="s">
        <v>5839</v>
      </c>
      <c r="G757" t="s">
        <v>5840</v>
      </c>
      <c r="H757" t="s">
        <v>5841</v>
      </c>
      <c r="I757" t="s">
        <v>431</v>
      </c>
      <c r="K757" t="s">
        <v>46</v>
      </c>
      <c r="L757" t="s">
        <v>4716</v>
      </c>
      <c r="M757" t="s">
        <v>33</v>
      </c>
      <c r="O757">
        <v>4739</v>
      </c>
    </row>
    <row r="758" spans="1:15" x14ac:dyDescent="0.35">
      <c r="A758" t="s">
        <v>20</v>
      </c>
      <c r="B758">
        <v>17643</v>
      </c>
      <c r="C758" t="s">
        <v>426</v>
      </c>
      <c r="D758" t="s">
        <v>427</v>
      </c>
      <c r="E758" t="s">
        <v>5330</v>
      </c>
      <c r="F758" t="s">
        <v>5842</v>
      </c>
      <c r="G758" t="s">
        <v>5843</v>
      </c>
      <c r="H758" t="s">
        <v>5844</v>
      </c>
      <c r="I758" t="s">
        <v>431</v>
      </c>
      <c r="K758" t="s">
        <v>38</v>
      </c>
      <c r="L758" t="s">
        <v>4716</v>
      </c>
      <c r="M758" t="s">
        <v>33</v>
      </c>
      <c r="O758">
        <v>4883</v>
      </c>
    </row>
    <row r="759" spans="1:15" x14ac:dyDescent="0.35">
      <c r="A759" t="s">
        <v>20</v>
      </c>
      <c r="B759">
        <v>17643</v>
      </c>
      <c r="C759" t="s">
        <v>426</v>
      </c>
      <c r="D759" t="s">
        <v>427</v>
      </c>
      <c r="E759" t="s">
        <v>5334</v>
      </c>
      <c r="F759" t="s">
        <v>5845</v>
      </c>
      <c r="G759" t="s">
        <v>5846</v>
      </c>
      <c r="H759" t="s">
        <v>5847</v>
      </c>
      <c r="I759" t="s">
        <v>431</v>
      </c>
      <c r="K759" t="s">
        <v>61</v>
      </c>
      <c r="L759" t="s">
        <v>4716</v>
      </c>
      <c r="M759" t="s">
        <v>33</v>
      </c>
      <c r="O759">
        <v>5376</v>
      </c>
    </row>
    <row r="760" spans="1:15" x14ac:dyDescent="0.35">
      <c r="A760" t="s">
        <v>20</v>
      </c>
      <c r="B760">
        <v>17643</v>
      </c>
      <c r="C760" t="s">
        <v>426</v>
      </c>
      <c r="D760" t="s">
        <v>427</v>
      </c>
      <c r="E760" t="s">
        <v>5338</v>
      </c>
      <c r="F760" t="s">
        <v>5848</v>
      </c>
      <c r="G760" t="s">
        <v>5849</v>
      </c>
      <c r="H760" t="s">
        <v>5850</v>
      </c>
      <c r="I760" t="s">
        <v>431</v>
      </c>
      <c r="K760" t="s">
        <v>61</v>
      </c>
      <c r="L760" t="s">
        <v>4721</v>
      </c>
      <c r="M760" t="s">
        <v>33</v>
      </c>
      <c r="O760">
        <v>5382</v>
      </c>
    </row>
    <row r="761" spans="1:15" x14ac:dyDescent="0.35">
      <c r="A761" t="s">
        <v>20</v>
      </c>
      <c r="B761">
        <v>17643</v>
      </c>
      <c r="C761" t="s">
        <v>426</v>
      </c>
      <c r="D761" t="s">
        <v>427</v>
      </c>
      <c r="E761" t="s">
        <v>5342</v>
      </c>
      <c r="F761" t="s">
        <v>5851</v>
      </c>
      <c r="G761" t="s">
        <v>5852</v>
      </c>
      <c r="H761" t="s">
        <v>5853</v>
      </c>
      <c r="I761" t="s">
        <v>431</v>
      </c>
      <c r="K761" t="s">
        <v>61</v>
      </c>
      <c r="L761" t="s">
        <v>4716</v>
      </c>
      <c r="M761" t="s">
        <v>33</v>
      </c>
      <c r="O761">
        <v>5390</v>
      </c>
    </row>
    <row r="762" spans="1:15" x14ac:dyDescent="0.35">
      <c r="A762" t="s">
        <v>20</v>
      </c>
      <c r="B762">
        <v>17643</v>
      </c>
      <c r="C762" t="s">
        <v>426</v>
      </c>
      <c r="D762" t="s">
        <v>427</v>
      </c>
      <c r="E762" t="s">
        <v>5346</v>
      </c>
      <c r="F762" t="s">
        <v>5854</v>
      </c>
      <c r="G762" t="s">
        <v>5855</v>
      </c>
      <c r="H762" t="s">
        <v>5856</v>
      </c>
      <c r="I762" t="s">
        <v>431</v>
      </c>
      <c r="K762" t="s">
        <v>61</v>
      </c>
      <c r="L762" t="s">
        <v>4716</v>
      </c>
      <c r="M762" t="s">
        <v>33</v>
      </c>
      <c r="O762">
        <v>5399</v>
      </c>
    </row>
    <row r="763" spans="1:15" x14ac:dyDescent="0.35">
      <c r="A763" t="s">
        <v>20</v>
      </c>
      <c r="B763">
        <v>17643</v>
      </c>
      <c r="C763" t="s">
        <v>426</v>
      </c>
      <c r="D763" t="s">
        <v>427</v>
      </c>
      <c r="E763" t="s">
        <v>5350</v>
      </c>
      <c r="F763" t="s">
        <v>5857</v>
      </c>
      <c r="G763" t="s">
        <v>4383</v>
      </c>
      <c r="H763" t="s">
        <v>5858</v>
      </c>
      <c r="I763" t="s">
        <v>431</v>
      </c>
      <c r="K763" t="s">
        <v>61</v>
      </c>
      <c r="L763" t="s">
        <v>4716</v>
      </c>
      <c r="M763" t="s">
        <v>33</v>
      </c>
      <c r="O763">
        <v>5405</v>
      </c>
    </row>
    <row r="764" spans="1:15" x14ac:dyDescent="0.35">
      <c r="A764" t="s">
        <v>20</v>
      </c>
      <c r="B764">
        <v>17643</v>
      </c>
      <c r="C764" t="s">
        <v>426</v>
      </c>
      <c r="D764" t="s">
        <v>427</v>
      </c>
      <c r="E764" t="s">
        <v>5354</v>
      </c>
      <c r="F764" t="s">
        <v>5859</v>
      </c>
      <c r="G764" t="s">
        <v>5860</v>
      </c>
      <c r="H764" t="s">
        <v>5861</v>
      </c>
      <c r="I764" t="s">
        <v>431</v>
      </c>
      <c r="K764" t="s">
        <v>61</v>
      </c>
      <c r="L764" t="s">
        <v>4716</v>
      </c>
      <c r="M764" t="s">
        <v>33</v>
      </c>
      <c r="O764">
        <v>5413</v>
      </c>
    </row>
    <row r="765" spans="1:15" x14ac:dyDescent="0.35">
      <c r="A765" t="s">
        <v>20</v>
      </c>
      <c r="B765">
        <v>17643</v>
      </c>
      <c r="C765" t="s">
        <v>426</v>
      </c>
      <c r="D765" t="s">
        <v>427</v>
      </c>
      <c r="E765" t="s">
        <v>5358</v>
      </c>
      <c r="F765" t="s">
        <v>5862</v>
      </c>
      <c r="G765" t="s">
        <v>5863</v>
      </c>
      <c r="H765" t="s">
        <v>5864</v>
      </c>
      <c r="I765" t="s">
        <v>431</v>
      </c>
      <c r="K765" t="s">
        <v>61</v>
      </c>
      <c r="L765" t="s">
        <v>4726</v>
      </c>
      <c r="M765" t="s">
        <v>33</v>
      </c>
      <c r="O765">
        <v>5594</v>
      </c>
    </row>
    <row r="766" spans="1:15" x14ac:dyDescent="0.35">
      <c r="A766" t="s">
        <v>20</v>
      </c>
      <c r="B766">
        <v>17643</v>
      </c>
      <c r="C766" t="s">
        <v>426</v>
      </c>
      <c r="D766" t="s">
        <v>427</v>
      </c>
      <c r="E766" t="s">
        <v>5362</v>
      </c>
      <c r="F766" t="s">
        <v>5865</v>
      </c>
      <c r="G766" t="s">
        <v>5866</v>
      </c>
      <c r="H766" t="s">
        <v>5867</v>
      </c>
      <c r="I766" t="s">
        <v>431</v>
      </c>
      <c r="K766" t="s">
        <v>61</v>
      </c>
      <c r="L766" t="s">
        <v>4721</v>
      </c>
      <c r="M766" t="s">
        <v>33</v>
      </c>
      <c r="O766">
        <v>5601</v>
      </c>
    </row>
    <row r="767" spans="1:15" x14ac:dyDescent="0.35">
      <c r="A767" t="s">
        <v>20</v>
      </c>
      <c r="B767">
        <v>17643</v>
      </c>
      <c r="C767" t="s">
        <v>426</v>
      </c>
      <c r="D767" t="s">
        <v>427</v>
      </c>
      <c r="E767" t="s">
        <v>5366</v>
      </c>
      <c r="F767" t="s">
        <v>5868</v>
      </c>
      <c r="G767" t="s">
        <v>5869</v>
      </c>
      <c r="H767" t="s">
        <v>5870</v>
      </c>
      <c r="I767" t="s">
        <v>431</v>
      </c>
      <c r="K767" t="s">
        <v>61</v>
      </c>
      <c r="L767" t="s">
        <v>4721</v>
      </c>
      <c r="M767" t="s">
        <v>33</v>
      </c>
      <c r="O767">
        <v>5606</v>
      </c>
    </row>
    <row r="768" spans="1:15" x14ac:dyDescent="0.35">
      <c r="A768" t="s">
        <v>20</v>
      </c>
      <c r="B768">
        <v>17643</v>
      </c>
      <c r="C768" t="s">
        <v>426</v>
      </c>
      <c r="D768" t="s">
        <v>427</v>
      </c>
      <c r="E768" t="s">
        <v>5370</v>
      </c>
      <c r="F768" t="s">
        <v>5871</v>
      </c>
      <c r="G768" t="s">
        <v>5872</v>
      </c>
      <c r="H768" t="s">
        <v>5873</v>
      </c>
      <c r="I768" t="s">
        <v>431</v>
      </c>
      <c r="K768" t="s">
        <v>61</v>
      </c>
      <c r="L768" t="s">
        <v>4721</v>
      </c>
      <c r="M768" t="s">
        <v>33</v>
      </c>
      <c r="O768">
        <v>5610</v>
      </c>
    </row>
    <row r="769" spans="1:15" x14ac:dyDescent="0.35">
      <c r="A769" t="s">
        <v>20</v>
      </c>
      <c r="B769">
        <v>17643</v>
      </c>
      <c r="C769" t="s">
        <v>426</v>
      </c>
      <c r="D769" t="s">
        <v>427</v>
      </c>
      <c r="E769" t="s">
        <v>5374</v>
      </c>
      <c r="F769" t="s">
        <v>5874</v>
      </c>
      <c r="G769" t="s">
        <v>5875</v>
      </c>
      <c r="H769" t="s">
        <v>5876</v>
      </c>
      <c r="I769" t="s">
        <v>431</v>
      </c>
      <c r="K769" t="s">
        <v>61</v>
      </c>
      <c r="L769" t="s">
        <v>4721</v>
      </c>
      <c r="M769" t="s">
        <v>33</v>
      </c>
      <c r="O769">
        <v>5614</v>
      </c>
    </row>
    <row r="770" spans="1:15" x14ac:dyDescent="0.35">
      <c r="A770" t="s">
        <v>20</v>
      </c>
      <c r="B770">
        <v>17643</v>
      </c>
      <c r="C770" t="s">
        <v>426</v>
      </c>
      <c r="D770" t="s">
        <v>427</v>
      </c>
      <c r="E770" t="s">
        <v>5378</v>
      </c>
      <c r="F770" t="s">
        <v>5877</v>
      </c>
      <c r="G770" t="s">
        <v>5878</v>
      </c>
      <c r="H770" t="s">
        <v>5879</v>
      </c>
      <c r="I770" t="s">
        <v>431</v>
      </c>
      <c r="K770" t="s">
        <v>61</v>
      </c>
      <c r="L770" t="s">
        <v>4721</v>
      </c>
      <c r="M770" t="s">
        <v>33</v>
      </c>
      <c r="O770">
        <v>5619</v>
      </c>
    </row>
    <row r="771" spans="1:15" x14ac:dyDescent="0.35">
      <c r="A771" t="s">
        <v>20</v>
      </c>
      <c r="B771">
        <v>17643</v>
      </c>
      <c r="C771" t="s">
        <v>426</v>
      </c>
      <c r="D771" t="s">
        <v>427</v>
      </c>
      <c r="E771" t="s">
        <v>5382</v>
      </c>
      <c r="F771" t="s">
        <v>5880</v>
      </c>
      <c r="G771" t="s">
        <v>5881</v>
      </c>
      <c r="H771" t="s">
        <v>5882</v>
      </c>
      <c r="I771" t="s">
        <v>431</v>
      </c>
      <c r="K771" t="s">
        <v>61</v>
      </c>
      <c r="L771" t="s">
        <v>4721</v>
      </c>
      <c r="M771" t="s">
        <v>33</v>
      </c>
      <c r="O771">
        <v>5625</v>
      </c>
    </row>
    <row r="772" spans="1:15" x14ac:dyDescent="0.35">
      <c r="A772" t="s">
        <v>20</v>
      </c>
      <c r="B772">
        <v>17643</v>
      </c>
      <c r="C772" t="s">
        <v>426</v>
      </c>
      <c r="D772" t="s">
        <v>427</v>
      </c>
      <c r="E772" t="s">
        <v>5386</v>
      </c>
      <c r="F772" t="s">
        <v>5883</v>
      </c>
      <c r="G772" t="s">
        <v>5884</v>
      </c>
      <c r="H772" t="s">
        <v>5885</v>
      </c>
      <c r="I772" t="s">
        <v>431</v>
      </c>
      <c r="K772" t="s">
        <v>61</v>
      </c>
      <c r="L772" t="s">
        <v>4716</v>
      </c>
      <c r="M772" t="s">
        <v>33</v>
      </c>
      <c r="O772">
        <v>5630</v>
      </c>
    </row>
    <row r="773" spans="1:15" x14ac:dyDescent="0.35">
      <c r="A773" t="s">
        <v>20</v>
      </c>
      <c r="B773">
        <v>17643</v>
      </c>
      <c r="C773" t="s">
        <v>426</v>
      </c>
      <c r="D773" t="s">
        <v>427</v>
      </c>
      <c r="E773" t="s">
        <v>5390</v>
      </c>
      <c r="F773" t="s">
        <v>5886</v>
      </c>
      <c r="G773" t="s">
        <v>5887</v>
      </c>
      <c r="H773" t="s">
        <v>5888</v>
      </c>
      <c r="I773" t="s">
        <v>431</v>
      </c>
      <c r="K773" t="s">
        <v>38</v>
      </c>
      <c r="L773" t="s">
        <v>4716</v>
      </c>
      <c r="M773" t="s">
        <v>33</v>
      </c>
      <c r="O773">
        <v>5733</v>
      </c>
    </row>
    <row r="774" spans="1:15" x14ac:dyDescent="0.35">
      <c r="A774" t="s">
        <v>20</v>
      </c>
      <c r="B774">
        <v>17643</v>
      </c>
      <c r="C774" t="s">
        <v>426</v>
      </c>
      <c r="D774" t="s">
        <v>427</v>
      </c>
      <c r="E774" t="s">
        <v>5394</v>
      </c>
      <c r="F774" t="s">
        <v>5889</v>
      </c>
      <c r="G774" t="s">
        <v>5890</v>
      </c>
      <c r="H774" t="s">
        <v>5891</v>
      </c>
      <c r="I774" t="s">
        <v>431</v>
      </c>
      <c r="K774" t="s">
        <v>38</v>
      </c>
      <c r="L774" t="s">
        <v>4716</v>
      </c>
      <c r="M774" t="s">
        <v>33</v>
      </c>
      <c r="O774">
        <v>5741</v>
      </c>
    </row>
    <row r="775" spans="1:15" x14ac:dyDescent="0.35">
      <c r="A775" t="s">
        <v>20</v>
      </c>
      <c r="B775">
        <v>17643</v>
      </c>
      <c r="C775" t="s">
        <v>426</v>
      </c>
      <c r="D775" t="s">
        <v>427</v>
      </c>
      <c r="E775" t="s">
        <v>5398</v>
      </c>
      <c r="F775" t="s">
        <v>5892</v>
      </c>
      <c r="G775" t="s">
        <v>5893</v>
      </c>
      <c r="H775" t="s">
        <v>5894</v>
      </c>
      <c r="I775" t="s">
        <v>431</v>
      </c>
      <c r="K775" t="s">
        <v>38</v>
      </c>
      <c r="L775" t="s">
        <v>4726</v>
      </c>
      <c r="M775" t="s">
        <v>33</v>
      </c>
      <c r="O775">
        <v>5750</v>
      </c>
    </row>
    <row r="776" spans="1:15" x14ac:dyDescent="0.35">
      <c r="A776" t="s">
        <v>20</v>
      </c>
      <c r="B776">
        <v>17643</v>
      </c>
      <c r="C776" t="s">
        <v>426</v>
      </c>
      <c r="D776" t="s">
        <v>427</v>
      </c>
      <c r="E776" t="s">
        <v>5402</v>
      </c>
      <c r="F776" t="s">
        <v>5895</v>
      </c>
      <c r="G776" t="s">
        <v>5896</v>
      </c>
      <c r="H776" t="s">
        <v>5897</v>
      </c>
      <c r="I776" t="s">
        <v>431</v>
      </c>
      <c r="K776" t="s">
        <v>38</v>
      </c>
      <c r="L776" t="s">
        <v>4721</v>
      </c>
      <c r="M776" t="s">
        <v>33</v>
      </c>
      <c r="O776">
        <v>5755</v>
      </c>
    </row>
    <row r="777" spans="1:15" x14ac:dyDescent="0.35">
      <c r="A777" t="s">
        <v>20</v>
      </c>
      <c r="B777">
        <v>17643</v>
      </c>
      <c r="C777" t="s">
        <v>426</v>
      </c>
      <c r="D777" t="s">
        <v>427</v>
      </c>
      <c r="E777" t="s">
        <v>5406</v>
      </c>
      <c r="F777" t="s">
        <v>5898</v>
      </c>
      <c r="G777" t="s">
        <v>5899</v>
      </c>
      <c r="H777" t="s">
        <v>5900</v>
      </c>
      <c r="I777" t="s">
        <v>431</v>
      </c>
      <c r="K777" t="s">
        <v>28</v>
      </c>
      <c r="L777" t="s">
        <v>4726</v>
      </c>
      <c r="M777" t="s">
        <v>33</v>
      </c>
      <c r="O777">
        <v>5993</v>
      </c>
    </row>
    <row r="778" spans="1:15" x14ac:dyDescent="0.35">
      <c r="A778" t="s">
        <v>20</v>
      </c>
      <c r="B778">
        <v>17643</v>
      </c>
      <c r="C778" t="s">
        <v>426</v>
      </c>
      <c r="D778" t="s">
        <v>427</v>
      </c>
      <c r="E778" t="s">
        <v>5410</v>
      </c>
      <c r="F778" t="s">
        <v>5901</v>
      </c>
      <c r="G778" t="s">
        <v>5902</v>
      </c>
      <c r="H778" t="s">
        <v>5903</v>
      </c>
      <c r="I778" t="s">
        <v>431</v>
      </c>
      <c r="K778" t="s">
        <v>28</v>
      </c>
      <c r="L778" t="s">
        <v>4721</v>
      </c>
      <c r="M778" t="s">
        <v>33</v>
      </c>
      <c r="O778">
        <v>6001</v>
      </c>
    </row>
    <row r="779" spans="1:15" x14ac:dyDescent="0.35">
      <c r="A779" t="s">
        <v>20</v>
      </c>
      <c r="B779">
        <v>17643</v>
      </c>
      <c r="C779" t="s">
        <v>426</v>
      </c>
      <c r="D779" t="s">
        <v>427</v>
      </c>
      <c r="E779" t="s">
        <v>5414</v>
      </c>
      <c r="F779" t="s">
        <v>5904</v>
      </c>
      <c r="G779" t="s">
        <v>5905</v>
      </c>
      <c r="H779" t="s">
        <v>5906</v>
      </c>
      <c r="I779" t="s">
        <v>431</v>
      </c>
      <c r="K779" t="s">
        <v>28</v>
      </c>
      <c r="L779" t="s">
        <v>4721</v>
      </c>
      <c r="M779" t="s">
        <v>33</v>
      </c>
      <c r="O779">
        <v>6016</v>
      </c>
    </row>
    <row r="780" spans="1:15" x14ac:dyDescent="0.35">
      <c r="A780" t="s">
        <v>20</v>
      </c>
      <c r="B780">
        <v>17643</v>
      </c>
      <c r="C780" t="s">
        <v>426</v>
      </c>
      <c r="D780" t="s">
        <v>427</v>
      </c>
      <c r="E780" t="s">
        <v>5418</v>
      </c>
      <c r="F780" t="s">
        <v>5907</v>
      </c>
      <c r="G780" t="s">
        <v>5908</v>
      </c>
      <c r="H780" t="s">
        <v>5909</v>
      </c>
      <c r="I780" t="s">
        <v>431</v>
      </c>
      <c r="K780" t="s">
        <v>28</v>
      </c>
      <c r="L780" t="s">
        <v>4716</v>
      </c>
      <c r="M780" t="s">
        <v>33</v>
      </c>
      <c r="O780">
        <v>6024</v>
      </c>
    </row>
    <row r="781" spans="1:15" x14ac:dyDescent="0.35">
      <c r="A781" t="s">
        <v>20</v>
      </c>
      <c r="B781">
        <v>17643</v>
      </c>
      <c r="C781" t="s">
        <v>426</v>
      </c>
      <c r="D781" t="s">
        <v>427</v>
      </c>
      <c r="E781" t="s">
        <v>5422</v>
      </c>
      <c r="F781" t="s">
        <v>5910</v>
      </c>
      <c r="G781" t="s">
        <v>5911</v>
      </c>
      <c r="H781" t="s">
        <v>5912</v>
      </c>
      <c r="I781" t="s">
        <v>431</v>
      </c>
      <c r="K781" t="s">
        <v>28</v>
      </c>
      <c r="L781" t="s">
        <v>4721</v>
      </c>
      <c r="M781" t="s">
        <v>33</v>
      </c>
      <c r="O781">
        <v>6035</v>
      </c>
    </row>
    <row r="782" spans="1:15" x14ac:dyDescent="0.35">
      <c r="A782" t="s">
        <v>20</v>
      </c>
      <c r="B782">
        <v>17643</v>
      </c>
      <c r="C782" t="s">
        <v>426</v>
      </c>
      <c r="D782" t="s">
        <v>427</v>
      </c>
      <c r="E782" t="s">
        <v>5426</v>
      </c>
      <c r="F782" t="s">
        <v>5913</v>
      </c>
      <c r="G782" t="s">
        <v>5914</v>
      </c>
      <c r="H782" t="s">
        <v>5915</v>
      </c>
      <c r="I782" t="s">
        <v>431</v>
      </c>
      <c r="K782" t="s">
        <v>28</v>
      </c>
      <c r="L782" t="s">
        <v>4721</v>
      </c>
      <c r="M782" t="s">
        <v>33</v>
      </c>
      <c r="O782">
        <v>6039</v>
      </c>
    </row>
    <row r="783" spans="1:15" x14ac:dyDescent="0.35">
      <c r="A783" t="s">
        <v>20</v>
      </c>
      <c r="B783">
        <v>17643</v>
      </c>
      <c r="C783" t="s">
        <v>426</v>
      </c>
      <c r="D783" t="s">
        <v>427</v>
      </c>
      <c r="E783" t="s">
        <v>5430</v>
      </c>
      <c r="F783" t="s">
        <v>5916</v>
      </c>
      <c r="G783" t="s">
        <v>5917</v>
      </c>
      <c r="H783" t="s">
        <v>5918</v>
      </c>
      <c r="I783" t="s">
        <v>431</v>
      </c>
      <c r="K783" t="s">
        <v>28</v>
      </c>
      <c r="L783" t="s">
        <v>4716</v>
      </c>
      <c r="M783" t="s">
        <v>33</v>
      </c>
      <c r="O783">
        <v>6047</v>
      </c>
    </row>
    <row r="784" spans="1:15" x14ac:dyDescent="0.35">
      <c r="A784" t="s">
        <v>20</v>
      </c>
      <c r="B784">
        <v>17643</v>
      </c>
      <c r="C784" t="s">
        <v>426</v>
      </c>
      <c r="D784" t="s">
        <v>427</v>
      </c>
      <c r="E784" t="s">
        <v>5434</v>
      </c>
      <c r="F784" t="s">
        <v>5919</v>
      </c>
      <c r="G784" t="s">
        <v>5920</v>
      </c>
      <c r="H784" t="s">
        <v>5921</v>
      </c>
      <c r="I784" t="s">
        <v>431</v>
      </c>
      <c r="K784" t="s">
        <v>38</v>
      </c>
      <c r="L784" t="s">
        <v>4721</v>
      </c>
      <c r="M784" t="s">
        <v>33</v>
      </c>
      <c r="O784">
        <v>6106</v>
      </c>
    </row>
    <row r="785" spans="1:15" x14ac:dyDescent="0.35">
      <c r="A785" t="s">
        <v>20</v>
      </c>
      <c r="B785">
        <v>17643</v>
      </c>
      <c r="C785" t="s">
        <v>426</v>
      </c>
      <c r="D785" t="s">
        <v>427</v>
      </c>
      <c r="E785" t="s">
        <v>5438</v>
      </c>
      <c r="F785" t="s">
        <v>5922</v>
      </c>
      <c r="G785" t="s">
        <v>5923</v>
      </c>
      <c r="H785" t="s">
        <v>5924</v>
      </c>
      <c r="I785" t="s">
        <v>431</v>
      </c>
      <c r="K785" t="s">
        <v>46</v>
      </c>
      <c r="L785" t="s">
        <v>4726</v>
      </c>
      <c r="M785" t="s">
        <v>33</v>
      </c>
      <c r="O785">
        <v>6116</v>
      </c>
    </row>
    <row r="786" spans="1:15" x14ac:dyDescent="0.35">
      <c r="A786" t="s">
        <v>20</v>
      </c>
      <c r="B786">
        <v>17643</v>
      </c>
      <c r="C786" t="s">
        <v>426</v>
      </c>
      <c r="D786" t="s">
        <v>427</v>
      </c>
      <c r="E786" t="s">
        <v>5442</v>
      </c>
      <c r="F786" t="s">
        <v>5925</v>
      </c>
      <c r="G786" t="s">
        <v>5926</v>
      </c>
      <c r="H786" t="s">
        <v>5927</v>
      </c>
      <c r="I786" t="s">
        <v>431</v>
      </c>
      <c r="K786" t="s">
        <v>46</v>
      </c>
      <c r="L786" t="s">
        <v>4721</v>
      </c>
      <c r="M786" t="s">
        <v>33</v>
      </c>
      <c r="O786">
        <v>6123</v>
      </c>
    </row>
    <row r="787" spans="1:15" x14ac:dyDescent="0.35">
      <c r="A787" t="s">
        <v>20</v>
      </c>
      <c r="B787">
        <v>17643</v>
      </c>
      <c r="C787" t="s">
        <v>426</v>
      </c>
      <c r="D787" t="s">
        <v>427</v>
      </c>
      <c r="E787" t="s">
        <v>5446</v>
      </c>
      <c r="F787" t="s">
        <v>5928</v>
      </c>
      <c r="G787" t="s">
        <v>5929</v>
      </c>
      <c r="H787" t="s">
        <v>5930</v>
      </c>
      <c r="I787" t="s">
        <v>431</v>
      </c>
      <c r="K787" t="s">
        <v>46</v>
      </c>
      <c r="L787" t="s">
        <v>4721</v>
      </c>
      <c r="M787" t="s">
        <v>33</v>
      </c>
      <c r="O787">
        <v>6130</v>
      </c>
    </row>
    <row r="788" spans="1:15" x14ac:dyDescent="0.35">
      <c r="A788" t="s">
        <v>20</v>
      </c>
      <c r="B788">
        <v>17643</v>
      </c>
      <c r="C788" t="s">
        <v>426</v>
      </c>
      <c r="D788" t="s">
        <v>427</v>
      </c>
      <c r="E788" t="s">
        <v>5450</v>
      </c>
      <c r="F788" t="s">
        <v>5931</v>
      </c>
      <c r="G788" t="s">
        <v>5932</v>
      </c>
      <c r="H788" t="s">
        <v>5933</v>
      </c>
      <c r="I788" t="s">
        <v>431</v>
      </c>
      <c r="K788" t="s">
        <v>46</v>
      </c>
      <c r="L788" t="s">
        <v>4721</v>
      </c>
      <c r="M788" t="s">
        <v>33</v>
      </c>
      <c r="O788">
        <v>6304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selection activeCell="I6" sqref="I6:I7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1528</v>
      </c>
      <c r="M1" t="s">
        <v>15</v>
      </c>
      <c r="N1" t="s">
        <v>19</v>
      </c>
    </row>
    <row r="2" spans="1:14" x14ac:dyDescent="0.35">
      <c r="A2" t="s">
        <v>20</v>
      </c>
      <c r="B2">
        <v>17644</v>
      </c>
      <c r="C2" t="s">
        <v>21</v>
      </c>
      <c r="D2" t="s">
        <v>22</v>
      </c>
      <c r="E2" t="s">
        <v>6839</v>
      </c>
      <c r="F2" t="s">
        <v>6840</v>
      </c>
      <c r="G2" t="s">
        <v>6841</v>
      </c>
      <c r="H2" t="s">
        <v>6842</v>
      </c>
      <c r="I2" t="s">
        <v>238</v>
      </c>
      <c r="M2" t="s">
        <v>33</v>
      </c>
    </row>
    <row r="3" spans="1:14" x14ac:dyDescent="0.35">
      <c r="A3" t="s">
        <v>20</v>
      </c>
      <c r="B3">
        <v>17644</v>
      </c>
      <c r="C3" t="s">
        <v>21</v>
      </c>
      <c r="D3" t="s">
        <v>22</v>
      </c>
      <c r="E3" t="s">
        <v>6843</v>
      </c>
      <c r="F3" t="s">
        <v>6844</v>
      </c>
      <c r="G3" t="s">
        <v>6845</v>
      </c>
      <c r="H3" t="s">
        <v>6846</v>
      </c>
      <c r="I3" t="s">
        <v>238</v>
      </c>
      <c r="M3" t="s">
        <v>33</v>
      </c>
    </row>
    <row r="4" spans="1:14" x14ac:dyDescent="0.35">
      <c r="A4" t="s">
        <v>20</v>
      </c>
      <c r="B4">
        <v>17644</v>
      </c>
      <c r="C4" t="s">
        <v>21</v>
      </c>
      <c r="D4" t="s">
        <v>22</v>
      </c>
      <c r="E4" t="s">
        <v>6847</v>
      </c>
      <c r="F4" t="s">
        <v>6848</v>
      </c>
      <c r="G4" t="s">
        <v>6849</v>
      </c>
      <c r="H4" t="s">
        <v>6850</v>
      </c>
      <c r="I4" t="s">
        <v>238</v>
      </c>
      <c r="M4" t="s">
        <v>33</v>
      </c>
    </row>
    <row r="5" spans="1:14" x14ac:dyDescent="0.35">
      <c r="A5" t="s">
        <v>20</v>
      </c>
      <c r="B5">
        <v>17644</v>
      </c>
      <c r="C5" t="s">
        <v>21</v>
      </c>
      <c r="D5" t="s">
        <v>22</v>
      </c>
      <c r="E5" t="s">
        <v>6851</v>
      </c>
      <c r="F5" t="s">
        <v>6852</v>
      </c>
      <c r="G5" t="s">
        <v>6853</v>
      </c>
      <c r="H5" t="s">
        <v>6854</v>
      </c>
      <c r="I5" t="s">
        <v>238</v>
      </c>
      <c r="M5" t="s">
        <v>33</v>
      </c>
    </row>
    <row r="6" spans="1:14" x14ac:dyDescent="0.35">
      <c r="A6" t="s">
        <v>20</v>
      </c>
      <c r="B6">
        <v>17644</v>
      </c>
      <c r="C6" t="s">
        <v>21</v>
      </c>
      <c r="D6" t="s">
        <v>22</v>
      </c>
      <c r="E6" t="s">
        <v>6855</v>
      </c>
      <c r="F6" t="s">
        <v>6856</v>
      </c>
      <c r="G6" t="s">
        <v>6857</v>
      </c>
      <c r="H6" t="s">
        <v>6858</v>
      </c>
      <c r="I6" t="s">
        <v>27</v>
      </c>
      <c r="M6" t="s">
        <v>33</v>
      </c>
    </row>
    <row r="7" spans="1:14" x14ac:dyDescent="0.35">
      <c r="A7" t="s">
        <v>20</v>
      </c>
      <c r="B7">
        <v>17644</v>
      </c>
      <c r="C7" t="s">
        <v>21</v>
      </c>
      <c r="D7" t="s">
        <v>22</v>
      </c>
      <c r="E7" t="s">
        <v>6859</v>
      </c>
      <c r="F7" t="s">
        <v>6860</v>
      </c>
      <c r="G7" t="s">
        <v>6861</v>
      </c>
      <c r="H7" t="s">
        <v>6862</v>
      </c>
      <c r="I7" t="s">
        <v>27</v>
      </c>
      <c r="M7" t="s">
        <v>33</v>
      </c>
    </row>
    <row r="8" spans="1:14" x14ac:dyDescent="0.35">
      <c r="A8" t="s">
        <v>20</v>
      </c>
      <c r="B8">
        <v>17643</v>
      </c>
      <c r="C8" t="s">
        <v>426</v>
      </c>
      <c r="D8" t="s">
        <v>427</v>
      </c>
      <c r="E8" t="s">
        <v>6839</v>
      </c>
      <c r="F8" t="s">
        <v>6863</v>
      </c>
      <c r="G8" t="s">
        <v>6864</v>
      </c>
      <c r="H8" t="s">
        <v>6865</v>
      </c>
      <c r="I8" t="s">
        <v>431</v>
      </c>
      <c r="M8" t="s">
        <v>33</v>
      </c>
      <c r="N8" t="s">
        <v>432</v>
      </c>
    </row>
    <row r="9" spans="1:14" x14ac:dyDescent="0.35">
      <c r="A9" t="s">
        <v>20</v>
      </c>
      <c r="B9">
        <v>17643</v>
      </c>
      <c r="C9" t="s">
        <v>426</v>
      </c>
      <c r="D9" t="s">
        <v>427</v>
      </c>
      <c r="E9" t="s">
        <v>6843</v>
      </c>
      <c r="F9" t="s">
        <v>6866</v>
      </c>
      <c r="G9" t="s">
        <v>6867</v>
      </c>
      <c r="H9" t="s">
        <v>6868</v>
      </c>
      <c r="I9" t="s">
        <v>431</v>
      </c>
      <c r="M9" t="s">
        <v>33</v>
      </c>
      <c r="N9" t="s">
        <v>432</v>
      </c>
    </row>
    <row r="10" spans="1:14" x14ac:dyDescent="0.35">
      <c r="A10" t="s">
        <v>20</v>
      </c>
      <c r="B10">
        <v>17643</v>
      </c>
      <c r="C10" t="s">
        <v>426</v>
      </c>
      <c r="D10" t="s">
        <v>427</v>
      </c>
      <c r="E10" t="s">
        <v>6847</v>
      </c>
      <c r="F10" t="s">
        <v>6869</v>
      </c>
      <c r="G10" t="s">
        <v>6870</v>
      </c>
      <c r="H10" t="s">
        <v>6871</v>
      </c>
      <c r="I10" t="s">
        <v>431</v>
      </c>
      <c r="M10" t="s">
        <v>33</v>
      </c>
      <c r="N10" t="s">
        <v>432</v>
      </c>
    </row>
    <row r="11" spans="1:14" x14ac:dyDescent="0.35">
      <c r="A11" t="s">
        <v>20</v>
      </c>
      <c r="B11">
        <v>17643</v>
      </c>
      <c r="C11" t="s">
        <v>426</v>
      </c>
      <c r="D11" t="s">
        <v>427</v>
      </c>
      <c r="E11" t="s">
        <v>6851</v>
      </c>
      <c r="F11" t="s">
        <v>6872</v>
      </c>
      <c r="G11" t="s">
        <v>6873</v>
      </c>
      <c r="H11" t="s">
        <v>6874</v>
      </c>
      <c r="I11" t="s">
        <v>431</v>
      </c>
      <c r="M11" t="s">
        <v>33</v>
      </c>
      <c r="N11" t="s">
        <v>432</v>
      </c>
    </row>
    <row r="12" spans="1:14" x14ac:dyDescent="0.35">
      <c r="A12" t="s">
        <v>20</v>
      </c>
      <c r="B12">
        <v>17646</v>
      </c>
      <c r="C12" t="s">
        <v>666</v>
      </c>
      <c r="D12" t="s">
        <v>667</v>
      </c>
      <c r="E12" t="s">
        <v>6839</v>
      </c>
      <c r="F12" t="s">
        <v>6875</v>
      </c>
      <c r="G12" t="s">
        <v>6876</v>
      </c>
      <c r="H12" t="s">
        <v>6877</v>
      </c>
      <c r="I12" t="s">
        <v>671</v>
      </c>
      <c r="M12" t="s">
        <v>33</v>
      </c>
    </row>
    <row r="13" spans="1:14" x14ac:dyDescent="0.35">
      <c r="A13" t="s">
        <v>20</v>
      </c>
      <c r="B13">
        <v>17646</v>
      </c>
      <c r="C13" t="s">
        <v>666</v>
      </c>
      <c r="D13" t="s">
        <v>667</v>
      </c>
      <c r="E13" t="s">
        <v>6843</v>
      </c>
      <c r="F13" t="s">
        <v>6878</v>
      </c>
      <c r="G13" t="s">
        <v>6879</v>
      </c>
      <c r="H13" t="s">
        <v>6880</v>
      </c>
      <c r="I13" t="s">
        <v>671</v>
      </c>
      <c r="M13" t="s">
        <v>33</v>
      </c>
    </row>
    <row r="14" spans="1:14" x14ac:dyDescent="0.35">
      <c r="A14" t="s">
        <v>20</v>
      </c>
      <c r="B14">
        <v>17646</v>
      </c>
      <c r="C14" t="s">
        <v>666</v>
      </c>
      <c r="D14" t="s">
        <v>667</v>
      </c>
      <c r="E14" t="s">
        <v>6847</v>
      </c>
      <c r="F14" t="s">
        <v>6881</v>
      </c>
      <c r="G14" t="s">
        <v>6882</v>
      </c>
      <c r="H14" t="s">
        <v>6883</v>
      </c>
      <c r="I14" t="s">
        <v>671</v>
      </c>
      <c r="M14" t="s">
        <v>33</v>
      </c>
    </row>
    <row r="15" spans="1:14" x14ac:dyDescent="0.35">
      <c r="A15" t="s">
        <v>20</v>
      </c>
      <c r="B15">
        <v>17646</v>
      </c>
      <c r="C15" t="s">
        <v>666</v>
      </c>
      <c r="D15" t="s">
        <v>667</v>
      </c>
      <c r="E15" t="s">
        <v>6851</v>
      </c>
      <c r="F15" t="s">
        <v>6884</v>
      </c>
      <c r="G15" t="s">
        <v>6885</v>
      </c>
      <c r="H15" t="s">
        <v>6886</v>
      </c>
      <c r="I15" t="s">
        <v>671</v>
      </c>
      <c r="M15" t="s">
        <v>33</v>
      </c>
    </row>
    <row r="16" spans="1:14" x14ac:dyDescent="0.35">
      <c r="A16" t="s">
        <v>20</v>
      </c>
      <c r="B16">
        <v>17646</v>
      </c>
      <c r="C16" t="s">
        <v>666</v>
      </c>
      <c r="D16" t="s">
        <v>667</v>
      </c>
      <c r="E16" t="s">
        <v>6855</v>
      </c>
      <c r="F16" t="s">
        <v>6887</v>
      </c>
      <c r="G16" t="s">
        <v>6888</v>
      </c>
      <c r="H16" t="s">
        <v>6889</v>
      </c>
      <c r="I16" t="s">
        <v>809</v>
      </c>
      <c r="M16" t="s">
        <v>33</v>
      </c>
    </row>
    <row r="17" spans="1:13" x14ac:dyDescent="0.35">
      <c r="A17" t="s">
        <v>20</v>
      </c>
      <c r="B17">
        <v>17646</v>
      </c>
      <c r="C17" t="s">
        <v>666</v>
      </c>
      <c r="D17" t="s">
        <v>667</v>
      </c>
      <c r="E17" t="s">
        <v>6859</v>
      </c>
      <c r="F17" t="s">
        <v>6890</v>
      </c>
      <c r="G17" t="s">
        <v>6891</v>
      </c>
      <c r="H17" t="s">
        <v>6892</v>
      </c>
      <c r="I17" t="s">
        <v>809</v>
      </c>
      <c r="M17" t="s">
        <v>33</v>
      </c>
    </row>
    <row r="18" spans="1:13" x14ac:dyDescent="0.35">
      <c r="A18" t="s">
        <v>20</v>
      </c>
      <c r="B18">
        <v>17646</v>
      </c>
      <c r="C18" t="s">
        <v>666</v>
      </c>
      <c r="D18" t="s">
        <v>667</v>
      </c>
      <c r="E18" t="s">
        <v>6893</v>
      </c>
      <c r="F18" t="s">
        <v>6894</v>
      </c>
      <c r="G18" t="s">
        <v>6895</v>
      </c>
      <c r="H18" t="s">
        <v>6896</v>
      </c>
      <c r="I18" t="s">
        <v>809</v>
      </c>
      <c r="M18" t="s">
        <v>33</v>
      </c>
    </row>
    <row r="19" spans="1:13" x14ac:dyDescent="0.35">
      <c r="A19" t="s">
        <v>20</v>
      </c>
      <c r="B19">
        <v>17646</v>
      </c>
      <c r="C19" t="s">
        <v>666</v>
      </c>
      <c r="D19" t="s">
        <v>667</v>
      </c>
      <c r="E19" t="s">
        <v>6897</v>
      </c>
      <c r="F19" t="s">
        <v>6898</v>
      </c>
      <c r="G19" t="s">
        <v>6899</v>
      </c>
      <c r="H19" t="s">
        <v>6900</v>
      </c>
      <c r="I19" t="s">
        <v>809</v>
      </c>
      <c r="M19" t="s">
        <v>33</v>
      </c>
    </row>
    <row r="20" spans="1:13" x14ac:dyDescent="0.35">
      <c r="A20" t="s">
        <v>20</v>
      </c>
      <c r="B20">
        <v>17646</v>
      </c>
      <c r="C20" t="s">
        <v>666</v>
      </c>
      <c r="D20" t="s">
        <v>667</v>
      </c>
      <c r="E20" t="s">
        <v>6901</v>
      </c>
      <c r="F20" t="s">
        <v>6902</v>
      </c>
      <c r="G20" t="s">
        <v>6903</v>
      </c>
      <c r="H20" t="s">
        <v>6904</v>
      </c>
      <c r="I20" t="s">
        <v>809</v>
      </c>
      <c r="M20" t="s">
        <v>33</v>
      </c>
    </row>
    <row r="21" spans="1:13" x14ac:dyDescent="0.35">
      <c r="A21" t="s">
        <v>20</v>
      </c>
      <c r="B21">
        <v>17646</v>
      </c>
      <c r="C21" t="s">
        <v>666</v>
      </c>
      <c r="D21" t="s">
        <v>667</v>
      </c>
      <c r="E21" t="s">
        <v>6905</v>
      </c>
      <c r="F21" t="s">
        <v>6906</v>
      </c>
      <c r="G21" t="s">
        <v>6907</v>
      </c>
      <c r="H21" t="s">
        <v>6908</v>
      </c>
      <c r="I21" t="s">
        <v>809</v>
      </c>
      <c r="M21" t="s">
        <v>33</v>
      </c>
    </row>
    <row r="22" spans="1:13" x14ac:dyDescent="0.35">
      <c r="A22" t="s">
        <v>20</v>
      </c>
      <c r="B22">
        <v>17645</v>
      </c>
      <c r="C22" t="s">
        <v>949</v>
      </c>
      <c r="D22" t="s">
        <v>950</v>
      </c>
      <c r="E22" t="s">
        <v>6855</v>
      </c>
      <c r="F22" t="s">
        <v>6909</v>
      </c>
      <c r="G22" t="s">
        <v>6910</v>
      </c>
      <c r="H22" t="s">
        <v>6911</v>
      </c>
      <c r="I22" t="s">
        <v>954</v>
      </c>
      <c r="M22" t="s">
        <v>33</v>
      </c>
    </row>
    <row r="23" spans="1:13" x14ac:dyDescent="0.35">
      <c r="A23" t="s">
        <v>20</v>
      </c>
      <c r="B23">
        <v>17645</v>
      </c>
      <c r="C23" t="s">
        <v>949</v>
      </c>
      <c r="D23" t="s">
        <v>950</v>
      </c>
      <c r="E23" t="s">
        <v>6859</v>
      </c>
      <c r="F23" t="s">
        <v>6912</v>
      </c>
      <c r="G23" t="s">
        <v>6913</v>
      </c>
      <c r="H23" t="s">
        <v>6914</v>
      </c>
      <c r="I23" t="s">
        <v>954</v>
      </c>
      <c r="M23" t="s">
        <v>33</v>
      </c>
    </row>
    <row r="24" spans="1:13" x14ac:dyDescent="0.35">
      <c r="A24" t="s">
        <v>20</v>
      </c>
      <c r="B24">
        <v>17647</v>
      </c>
      <c r="C24" t="s">
        <v>1252</v>
      </c>
      <c r="D24" t="s">
        <v>1253</v>
      </c>
      <c r="E24" t="s">
        <v>6855</v>
      </c>
      <c r="F24" t="s">
        <v>1329</v>
      </c>
      <c r="G24" t="s">
        <v>6915</v>
      </c>
      <c r="H24" t="s">
        <v>6916</v>
      </c>
      <c r="I24" t="s">
        <v>1257</v>
      </c>
      <c r="M24" t="s">
        <v>33</v>
      </c>
    </row>
    <row r="25" spans="1:13" x14ac:dyDescent="0.35">
      <c r="A25" t="s">
        <v>20</v>
      </c>
      <c r="B25">
        <v>17647</v>
      </c>
      <c r="C25" t="s">
        <v>1252</v>
      </c>
      <c r="D25" t="s">
        <v>1253</v>
      </c>
      <c r="E25" t="s">
        <v>6859</v>
      </c>
      <c r="F25" t="s">
        <v>6917</v>
      </c>
      <c r="G25" t="s">
        <v>6918</v>
      </c>
      <c r="H25" t="s">
        <v>6919</v>
      </c>
      <c r="I25" t="s">
        <v>1257</v>
      </c>
      <c r="M25" t="s">
        <v>33</v>
      </c>
    </row>
    <row r="26" spans="1:13" x14ac:dyDescent="0.35">
      <c r="A26" t="s">
        <v>20</v>
      </c>
      <c r="B26">
        <v>17647</v>
      </c>
      <c r="C26" t="s">
        <v>1252</v>
      </c>
      <c r="D26" t="s">
        <v>1253</v>
      </c>
      <c r="E26" t="s">
        <v>6893</v>
      </c>
      <c r="F26" t="s">
        <v>6920</v>
      </c>
      <c r="G26" t="s">
        <v>6921</v>
      </c>
      <c r="H26" t="s">
        <v>6922</v>
      </c>
      <c r="I26" t="s">
        <v>1257</v>
      </c>
      <c r="M26" t="s">
        <v>33</v>
      </c>
    </row>
    <row r="27" spans="1:13" x14ac:dyDescent="0.35">
      <c r="A27" t="s">
        <v>20</v>
      </c>
      <c r="B27">
        <v>17647</v>
      </c>
      <c r="C27" t="s">
        <v>1252</v>
      </c>
      <c r="D27" t="s">
        <v>1253</v>
      </c>
      <c r="E27" t="s">
        <v>6839</v>
      </c>
      <c r="F27" t="s">
        <v>6923</v>
      </c>
      <c r="G27" t="s">
        <v>6924</v>
      </c>
      <c r="H27" t="s">
        <v>6925</v>
      </c>
      <c r="I27" t="s">
        <v>1395</v>
      </c>
      <c r="M27" t="s">
        <v>33</v>
      </c>
    </row>
    <row r="28" spans="1:13" x14ac:dyDescent="0.35">
      <c r="A28" t="s">
        <v>20</v>
      </c>
      <c r="B28">
        <v>17647</v>
      </c>
      <c r="C28" t="s">
        <v>1252</v>
      </c>
      <c r="D28" t="s">
        <v>1253</v>
      </c>
      <c r="E28" t="s">
        <v>6843</v>
      </c>
      <c r="F28" t="s">
        <v>6926</v>
      </c>
      <c r="G28" t="s">
        <v>6927</v>
      </c>
      <c r="H28" t="s">
        <v>6928</v>
      </c>
      <c r="I28" t="s">
        <v>1395</v>
      </c>
      <c r="M28" t="s">
        <v>33</v>
      </c>
    </row>
    <row r="29" spans="1:13" x14ac:dyDescent="0.35">
      <c r="A29" t="s">
        <v>20</v>
      </c>
      <c r="B29">
        <v>17647</v>
      </c>
      <c r="C29" t="s">
        <v>1252</v>
      </c>
      <c r="D29" t="s">
        <v>1253</v>
      </c>
      <c r="E29" t="s">
        <v>6847</v>
      </c>
      <c r="F29" t="s">
        <v>6929</v>
      </c>
      <c r="G29" t="s">
        <v>6930</v>
      </c>
      <c r="H29" t="s">
        <v>6931</v>
      </c>
      <c r="I29" t="s">
        <v>1395</v>
      </c>
      <c r="M29" t="s">
        <v>33</v>
      </c>
    </row>
    <row r="30" spans="1:13" x14ac:dyDescent="0.35">
      <c r="A30" t="s">
        <v>20</v>
      </c>
      <c r="B30">
        <v>17647</v>
      </c>
      <c r="C30" t="s">
        <v>1252</v>
      </c>
      <c r="D30" t="s">
        <v>1253</v>
      </c>
      <c r="E30" t="s">
        <v>6851</v>
      </c>
      <c r="F30" t="s">
        <v>6932</v>
      </c>
      <c r="G30" t="s">
        <v>6933</v>
      </c>
      <c r="H30" t="s">
        <v>6934</v>
      </c>
      <c r="I30" t="s">
        <v>1395</v>
      </c>
      <c r="M30" t="s">
        <v>33</v>
      </c>
    </row>
    <row r="31" spans="1:13" x14ac:dyDescent="0.35">
      <c r="A31" t="s">
        <v>20</v>
      </c>
      <c r="B31">
        <v>17643</v>
      </c>
      <c r="C31" t="s">
        <v>426</v>
      </c>
      <c r="D31" t="s">
        <v>427</v>
      </c>
      <c r="E31" t="s">
        <v>6839</v>
      </c>
      <c r="F31" t="s">
        <v>6863</v>
      </c>
      <c r="G31" t="s">
        <v>6864</v>
      </c>
      <c r="H31" t="s">
        <v>6865</v>
      </c>
      <c r="I31" t="s">
        <v>431</v>
      </c>
      <c r="M31" t="s">
        <v>33</v>
      </c>
    </row>
    <row r="32" spans="1:13" x14ac:dyDescent="0.35">
      <c r="A32" t="s">
        <v>20</v>
      </c>
      <c r="B32">
        <v>17643</v>
      </c>
      <c r="C32" t="s">
        <v>426</v>
      </c>
      <c r="D32" t="s">
        <v>427</v>
      </c>
      <c r="E32" t="s">
        <v>6843</v>
      </c>
      <c r="F32" t="s">
        <v>6866</v>
      </c>
      <c r="G32" t="s">
        <v>6867</v>
      </c>
      <c r="H32" t="s">
        <v>6868</v>
      </c>
      <c r="I32" t="s">
        <v>431</v>
      </c>
      <c r="M32" t="s">
        <v>33</v>
      </c>
    </row>
    <row r="33" spans="1:13" x14ac:dyDescent="0.35">
      <c r="A33" t="s">
        <v>20</v>
      </c>
      <c r="B33">
        <v>17643</v>
      </c>
      <c r="C33" t="s">
        <v>426</v>
      </c>
      <c r="D33" t="s">
        <v>427</v>
      </c>
      <c r="E33" t="s">
        <v>6847</v>
      </c>
      <c r="F33" t="s">
        <v>6869</v>
      </c>
      <c r="G33" t="s">
        <v>6870</v>
      </c>
      <c r="H33" t="s">
        <v>6871</v>
      </c>
      <c r="I33" t="s">
        <v>431</v>
      </c>
      <c r="M33" t="s">
        <v>33</v>
      </c>
    </row>
    <row r="34" spans="1:13" x14ac:dyDescent="0.35">
      <c r="A34" t="s">
        <v>20</v>
      </c>
      <c r="B34">
        <v>17643</v>
      </c>
      <c r="C34" t="s">
        <v>426</v>
      </c>
      <c r="D34" t="s">
        <v>427</v>
      </c>
      <c r="E34" t="s">
        <v>6851</v>
      </c>
      <c r="F34" t="s">
        <v>6872</v>
      </c>
      <c r="G34" t="s">
        <v>6873</v>
      </c>
      <c r="H34" t="s">
        <v>6874</v>
      </c>
      <c r="I34" t="s">
        <v>431</v>
      </c>
      <c r="M34" t="s">
        <v>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"/>
  <sheetViews>
    <sheetView workbookViewId="0">
      <selection activeCell="I2" sqref="I2:I3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2548</v>
      </c>
      <c r="M1" t="s">
        <v>1528</v>
      </c>
      <c r="N1" t="s">
        <v>15</v>
      </c>
      <c r="O1" t="s">
        <v>19</v>
      </c>
    </row>
    <row r="2" spans="1:15" x14ac:dyDescent="0.35">
      <c r="A2" t="s">
        <v>20</v>
      </c>
      <c r="B2">
        <v>17644</v>
      </c>
      <c r="C2" t="s">
        <v>21</v>
      </c>
      <c r="D2" t="s">
        <v>22</v>
      </c>
      <c r="E2" t="s">
        <v>6935</v>
      </c>
      <c r="F2" t="s">
        <v>1534</v>
      </c>
      <c r="G2" t="s">
        <v>1535</v>
      </c>
      <c r="H2" t="s">
        <v>1536</v>
      </c>
      <c r="I2" t="s">
        <v>27</v>
      </c>
      <c r="J2" t="s">
        <v>1537</v>
      </c>
      <c r="N2" t="s">
        <v>33</v>
      </c>
    </row>
    <row r="3" spans="1:15" x14ac:dyDescent="0.35">
      <c r="A3" t="s">
        <v>20</v>
      </c>
      <c r="B3">
        <v>17644</v>
      </c>
      <c r="C3" t="s">
        <v>21</v>
      </c>
      <c r="D3" t="s">
        <v>22</v>
      </c>
      <c r="E3" t="s">
        <v>6936</v>
      </c>
      <c r="F3" t="s">
        <v>6937</v>
      </c>
      <c r="G3" t="s">
        <v>6938</v>
      </c>
      <c r="H3" t="s">
        <v>6939</v>
      </c>
      <c r="I3" t="s">
        <v>27</v>
      </c>
      <c r="N3" t="s">
        <v>33</v>
      </c>
    </row>
    <row r="4" spans="1:15" x14ac:dyDescent="0.35">
      <c r="A4" t="s">
        <v>20</v>
      </c>
      <c r="B4">
        <v>17644</v>
      </c>
      <c r="C4" t="s">
        <v>21</v>
      </c>
      <c r="D4" t="s">
        <v>22</v>
      </c>
      <c r="E4" t="s">
        <v>6940</v>
      </c>
      <c r="F4" t="s">
        <v>6941</v>
      </c>
      <c r="G4" t="s">
        <v>6942</v>
      </c>
      <c r="H4" t="s">
        <v>6943</v>
      </c>
      <c r="I4" t="s">
        <v>27</v>
      </c>
      <c r="N4" t="s">
        <v>33</v>
      </c>
    </row>
    <row r="5" spans="1:15" x14ac:dyDescent="0.35">
      <c r="A5" t="s">
        <v>20</v>
      </c>
      <c r="B5">
        <v>17644</v>
      </c>
      <c r="C5" t="s">
        <v>21</v>
      </c>
      <c r="D5" t="s">
        <v>22</v>
      </c>
      <c r="E5" t="s">
        <v>6944</v>
      </c>
      <c r="F5" t="s">
        <v>6945</v>
      </c>
      <c r="G5" t="s">
        <v>6946</v>
      </c>
      <c r="H5" t="s">
        <v>6947</v>
      </c>
      <c r="I5" t="s">
        <v>27</v>
      </c>
      <c r="N5" t="s">
        <v>33</v>
      </c>
    </row>
    <row r="6" spans="1:15" x14ac:dyDescent="0.35">
      <c r="A6" t="s">
        <v>20</v>
      </c>
      <c r="B6">
        <v>17644</v>
      </c>
      <c r="C6" t="s">
        <v>21</v>
      </c>
      <c r="D6" t="s">
        <v>22</v>
      </c>
      <c r="E6" t="s">
        <v>6948</v>
      </c>
      <c r="F6" t="s">
        <v>6949</v>
      </c>
      <c r="G6" t="s">
        <v>6950</v>
      </c>
      <c r="H6" t="s">
        <v>6951</v>
      </c>
      <c r="I6" t="s">
        <v>27</v>
      </c>
      <c r="N6" t="s">
        <v>33</v>
      </c>
    </row>
    <row r="7" spans="1:15" x14ac:dyDescent="0.35">
      <c r="A7" t="s">
        <v>20</v>
      </c>
      <c r="B7">
        <v>17644</v>
      </c>
      <c r="C7" t="s">
        <v>21</v>
      </c>
      <c r="D7" t="s">
        <v>22</v>
      </c>
      <c r="E7" t="s">
        <v>6952</v>
      </c>
      <c r="F7" t="s">
        <v>1539</v>
      </c>
      <c r="G7" t="s">
        <v>1540</v>
      </c>
      <c r="H7" t="s">
        <v>1541</v>
      </c>
      <c r="I7" t="s">
        <v>27</v>
      </c>
      <c r="J7" t="s">
        <v>1537</v>
      </c>
      <c r="N7" t="s">
        <v>33</v>
      </c>
    </row>
    <row r="8" spans="1:15" x14ac:dyDescent="0.35">
      <c r="A8" t="s">
        <v>20</v>
      </c>
      <c r="B8">
        <v>17644</v>
      </c>
      <c r="C8" t="s">
        <v>21</v>
      </c>
      <c r="D8" t="s">
        <v>22</v>
      </c>
      <c r="E8" t="s">
        <v>6953</v>
      </c>
      <c r="F8" t="s">
        <v>6954</v>
      </c>
      <c r="G8" t="s">
        <v>6955</v>
      </c>
      <c r="H8" t="s">
        <v>6956</v>
      </c>
      <c r="I8" t="s">
        <v>27</v>
      </c>
      <c r="N8" t="s">
        <v>33</v>
      </c>
    </row>
    <row r="9" spans="1:15" x14ac:dyDescent="0.35">
      <c r="A9" t="s">
        <v>20</v>
      </c>
      <c r="B9">
        <v>17644</v>
      </c>
      <c r="C9" t="s">
        <v>21</v>
      </c>
      <c r="D9" t="s">
        <v>22</v>
      </c>
      <c r="E9" t="s">
        <v>6957</v>
      </c>
      <c r="F9" t="s">
        <v>6958</v>
      </c>
      <c r="G9" t="s">
        <v>6959</v>
      </c>
      <c r="H9" t="s">
        <v>6960</v>
      </c>
      <c r="I9" t="s">
        <v>27</v>
      </c>
      <c r="N9" t="s">
        <v>33</v>
      </c>
    </row>
    <row r="10" spans="1:15" x14ac:dyDescent="0.35">
      <c r="A10" t="s">
        <v>20</v>
      </c>
      <c r="B10">
        <v>17644</v>
      </c>
      <c r="C10" t="s">
        <v>21</v>
      </c>
      <c r="D10" t="s">
        <v>22</v>
      </c>
      <c r="E10" t="s">
        <v>6961</v>
      </c>
      <c r="F10" t="s">
        <v>6962</v>
      </c>
      <c r="G10" t="s">
        <v>6963</v>
      </c>
      <c r="H10" t="s">
        <v>6964</v>
      </c>
      <c r="I10" t="s">
        <v>27</v>
      </c>
      <c r="N10" t="s">
        <v>33</v>
      </c>
    </row>
    <row r="11" spans="1:15" x14ac:dyDescent="0.35">
      <c r="A11" t="s">
        <v>20</v>
      </c>
      <c r="B11">
        <v>17644</v>
      </c>
      <c r="C11" t="s">
        <v>21</v>
      </c>
      <c r="D11" t="s">
        <v>22</v>
      </c>
      <c r="E11" t="s">
        <v>6965</v>
      </c>
      <c r="F11" t="s">
        <v>6966</v>
      </c>
      <c r="G11" t="s">
        <v>6967</v>
      </c>
      <c r="H11" t="s">
        <v>6968</v>
      </c>
      <c r="I11" t="s">
        <v>27</v>
      </c>
      <c r="N11" t="s">
        <v>33</v>
      </c>
    </row>
    <row r="12" spans="1:15" x14ac:dyDescent="0.35">
      <c r="A12" t="s">
        <v>20</v>
      </c>
      <c r="B12">
        <v>17644</v>
      </c>
      <c r="C12" t="s">
        <v>21</v>
      </c>
      <c r="D12" t="s">
        <v>22</v>
      </c>
      <c r="E12" t="s">
        <v>6969</v>
      </c>
      <c r="F12" t="s">
        <v>6970</v>
      </c>
      <c r="G12" t="s">
        <v>6971</v>
      </c>
      <c r="H12" t="s">
        <v>6972</v>
      </c>
      <c r="I12" t="s">
        <v>27</v>
      </c>
      <c r="N12" t="s">
        <v>33</v>
      </c>
    </row>
    <row r="13" spans="1:15" x14ac:dyDescent="0.35">
      <c r="A13" t="s">
        <v>20</v>
      </c>
      <c r="B13">
        <v>17644</v>
      </c>
      <c r="C13" t="s">
        <v>21</v>
      </c>
      <c r="D13" t="s">
        <v>22</v>
      </c>
      <c r="E13" t="s">
        <v>6973</v>
      </c>
      <c r="F13" t="s">
        <v>6974</v>
      </c>
      <c r="G13" t="s">
        <v>6975</v>
      </c>
      <c r="H13" t="s">
        <v>6976</v>
      </c>
      <c r="I13" t="s">
        <v>27</v>
      </c>
      <c r="N13" t="s">
        <v>33</v>
      </c>
    </row>
    <row r="14" spans="1:15" x14ac:dyDescent="0.35">
      <c r="A14" t="s">
        <v>20</v>
      </c>
      <c r="B14">
        <v>17644</v>
      </c>
      <c r="C14" t="s">
        <v>21</v>
      </c>
      <c r="D14" t="s">
        <v>22</v>
      </c>
      <c r="E14" t="s">
        <v>6977</v>
      </c>
      <c r="F14" t="s">
        <v>6978</v>
      </c>
      <c r="G14" t="s">
        <v>6979</v>
      </c>
      <c r="H14" t="s">
        <v>6980</v>
      </c>
      <c r="I14" t="s">
        <v>27</v>
      </c>
      <c r="N14" t="s">
        <v>33</v>
      </c>
    </row>
    <row r="15" spans="1:15" x14ac:dyDescent="0.35">
      <c r="A15" t="s">
        <v>20</v>
      </c>
      <c r="B15">
        <v>17644</v>
      </c>
      <c r="C15" t="s">
        <v>21</v>
      </c>
      <c r="D15" t="s">
        <v>22</v>
      </c>
      <c r="E15" t="s">
        <v>6981</v>
      </c>
      <c r="F15" t="s">
        <v>6982</v>
      </c>
      <c r="G15" t="s">
        <v>6983</v>
      </c>
      <c r="H15" t="s">
        <v>6984</v>
      </c>
      <c r="I15" t="s">
        <v>27</v>
      </c>
      <c r="N15" t="s">
        <v>33</v>
      </c>
    </row>
    <row r="16" spans="1:15" x14ac:dyDescent="0.35">
      <c r="A16" t="s">
        <v>20</v>
      </c>
      <c r="B16">
        <v>17644</v>
      </c>
      <c r="C16" t="s">
        <v>21</v>
      </c>
      <c r="D16" t="s">
        <v>22</v>
      </c>
      <c r="E16" t="s">
        <v>6985</v>
      </c>
      <c r="F16" t="s">
        <v>1616</v>
      </c>
      <c r="G16" t="s">
        <v>1617</v>
      </c>
      <c r="H16" t="s">
        <v>1618</v>
      </c>
      <c r="I16" t="s">
        <v>27</v>
      </c>
      <c r="J16" t="s">
        <v>1537</v>
      </c>
      <c r="N16" t="s">
        <v>33</v>
      </c>
    </row>
    <row r="17" spans="1:14" x14ac:dyDescent="0.35">
      <c r="A17" t="s">
        <v>20</v>
      </c>
      <c r="B17">
        <v>17644</v>
      </c>
      <c r="C17" t="s">
        <v>21</v>
      </c>
      <c r="D17" t="s">
        <v>22</v>
      </c>
      <c r="E17" t="s">
        <v>6986</v>
      </c>
      <c r="F17" t="s">
        <v>6987</v>
      </c>
      <c r="G17" t="s">
        <v>6988</v>
      </c>
      <c r="H17" t="s">
        <v>6989</v>
      </c>
      <c r="I17" t="s">
        <v>27</v>
      </c>
      <c r="N17" t="s">
        <v>33</v>
      </c>
    </row>
    <row r="18" spans="1:14" x14ac:dyDescent="0.35">
      <c r="A18" t="s">
        <v>20</v>
      </c>
      <c r="B18">
        <v>17644</v>
      </c>
      <c r="C18" t="s">
        <v>21</v>
      </c>
      <c r="D18" t="s">
        <v>22</v>
      </c>
      <c r="E18" t="s">
        <v>6990</v>
      </c>
      <c r="F18" t="s">
        <v>6991</v>
      </c>
      <c r="G18" t="s">
        <v>6992</v>
      </c>
      <c r="H18" t="s">
        <v>6993</v>
      </c>
      <c r="I18" t="s">
        <v>27</v>
      </c>
      <c r="N18" t="s">
        <v>33</v>
      </c>
    </row>
    <row r="19" spans="1:14" x14ac:dyDescent="0.35">
      <c r="A19" t="s">
        <v>20</v>
      </c>
      <c r="B19">
        <v>17644</v>
      </c>
      <c r="C19" t="s">
        <v>21</v>
      </c>
      <c r="D19" t="s">
        <v>22</v>
      </c>
      <c r="E19" t="s">
        <v>6994</v>
      </c>
      <c r="F19" t="s">
        <v>6995</v>
      </c>
      <c r="G19" t="s">
        <v>6996</v>
      </c>
      <c r="H19" t="s">
        <v>6997</v>
      </c>
      <c r="I19" t="s">
        <v>27</v>
      </c>
      <c r="N19" t="s">
        <v>33</v>
      </c>
    </row>
    <row r="20" spans="1:14" x14ac:dyDescent="0.35">
      <c r="A20" t="s">
        <v>20</v>
      </c>
      <c r="B20">
        <v>17644</v>
      </c>
      <c r="C20" t="s">
        <v>21</v>
      </c>
      <c r="D20" t="s">
        <v>22</v>
      </c>
      <c r="E20" t="s">
        <v>6998</v>
      </c>
      <c r="F20" t="s">
        <v>6999</v>
      </c>
      <c r="G20" t="s">
        <v>7000</v>
      </c>
      <c r="H20" t="s">
        <v>7001</v>
      </c>
      <c r="I20" t="s">
        <v>27</v>
      </c>
      <c r="N20" t="s">
        <v>33</v>
      </c>
    </row>
    <row r="21" spans="1:14" x14ac:dyDescent="0.35">
      <c r="A21" t="s">
        <v>20</v>
      </c>
      <c r="B21">
        <v>17644</v>
      </c>
      <c r="C21" t="s">
        <v>21</v>
      </c>
      <c r="D21" t="s">
        <v>22</v>
      </c>
      <c r="E21" t="s">
        <v>7002</v>
      </c>
      <c r="F21" t="s">
        <v>7003</v>
      </c>
      <c r="G21" t="s">
        <v>7004</v>
      </c>
      <c r="H21" t="s">
        <v>7005</v>
      </c>
      <c r="I21" t="s">
        <v>27</v>
      </c>
      <c r="N21" t="s">
        <v>33</v>
      </c>
    </row>
    <row r="22" spans="1:14" x14ac:dyDescent="0.35">
      <c r="A22" t="s">
        <v>20</v>
      </c>
      <c r="B22">
        <v>17644</v>
      </c>
      <c r="C22" t="s">
        <v>21</v>
      </c>
      <c r="D22" t="s">
        <v>22</v>
      </c>
      <c r="E22" t="s">
        <v>7006</v>
      </c>
      <c r="F22" t="s">
        <v>7007</v>
      </c>
      <c r="G22" t="s">
        <v>7008</v>
      </c>
      <c r="H22" t="s">
        <v>7009</v>
      </c>
      <c r="I22" t="s">
        <v>27</v>
      </c>
      <c r="N22" t="s">
        <v>33</v>
      </c>
    </row>
    <row r="23" spans="1:14" x14ac:dyDescent="0.35">
      <c r="A23" t="s">
        <v>20</v>
      </c>
      <c r="B23">
        <v>17644</v>
      </c>
      <c r="C23" t="s">
        <v>21</v>
      </c>
      <c r="D23" t="s">
        <v>22</v>
      </c>
      <c r="E23" t="s">
        <v>7010</v>
      </c>
      <c r="F23" t="s">
        <v>7011</v>
      </c>
      <c r="G23" t="s">
        <v>7012</v>
      </c>
      <c r="H23" t="s">
        <v>7013</v>
      </c>
      <c r="I23" t="s">
        <v>27</v>
      </c>
      <c r="N23" t="s">
        <v>33</v>
      </c>
    </row>
    <row r="24" spans="1:14" x14ac:dyDescent="0.35">
      <c r="A24" t="s">
        <v>20</v>
      </c>
      <c r="B24">
        <v>17644</v>
      </c>
      <c r="C24" t="s">
        <v>21</v>
      </c>
      <c r="D24" t="s">
        <v>22</v>
      </c>
      <c r="E24" t="s">
        <v>7014</v>
      </c>
      <c r="F24" t="s">
        <v>7015</v>
      </c>
      <c r="G24" t="s">
        <v>7016</v>
      </c>
      <c r="H24" t="s">
        <v>7017</v>
      </c>
      <c r="I24" t="s">
        <v>27</v>
      </c>
      <c r="N24" t="s">
        <v>33</v>
      </c>
    </row>
    <row r="25" spans="1:14" x14ac:dyDescent="0.35">
      <c r="A25" t="s">
        <v>20</v>
      </c>
      <c r="B25">
        <v>17644</v>
      </c>
      <c r="C25" t="s">
        <v>21</v>
      </c>
      <c r="D25" t="s">
        <v>22</v>
      </c>
      <c r="E25" t="s">
        <v>7018</v>
      </c>
      <c r="F25" t="s">
        <v>1543</v>
      </c>
      <c r="G25" t="s">
        <v>1544</v>
      </c>
      <c r="H25" t="s">
        <v>1545</v>
      </c>
      <c r="I25" t="s">
        <v>27</v>
      </c>
      <c r="J25" t="s">
        <v>1546</v>
      </c>
      <c r="N25" t="s">
        <v>33</v>
      </c>
    </row>
    <row r="26" spans="1:14" x14ac:dyDescent="0.35">
      <c r="A26" t="s">
        <v>20</v>
      </c>
      <c r="B26">
        <v>17644</v>
      </c>
      <c r="C26" t="s">
        <v>21</v>
      </c>
      <c r="D26" t="s">
        <v>22</v>
      </c>
      <c r="E26" t="s">
        <v>7019</v>
      </c>
      <c r="F26" t="s">
        <v>7020</v>
      </c>
      <c r="G26" t="s">
        <v>7021</v>
      </c>
      <c r="H26" t="s">
        <v>7022</v>
      </c>
      <c r="I26" t="s">
        <v>27</v>
      </c>
      <c r="N26" t="s">
        <v>33</v>
      </c>
    </row>
    <row r="27" spans="1:14" x14ac:dyDescent="0.35">
      <c r="A27" t="s">
        <v>20</v>
      </c>
      <c r="B27">
        <v>17644</v>
      </c>
      <c r="C27" t="s">
        <v>21</v>
      </c>
      <c r="D27" t="s">
        <v>22</v>
      </c>
      <c r="E27" t="s">
        <v>7023</v>
      </c>
      <c r="F27" t="s">
        <v>7024</v>
      </c>
      <c r="G27" t="s">
        <v>7025</v>
      </c>
      <c r="H27" t="s">
        <v>7026</v>
      </c>
      <c r="I27" t="s">
        <v>27</v>
      </c>
      <c r="N27" t="s">
        <v>33</v>
      </c>
    </row>
    <row r="28" spans="1:14" x14ac:dyDescent="0.35">
      <c r="A28" t="s">
        <v>20</v>
      </c>
      <c r="B28">
        <v>17644</v>
      </c>
      <c r="C28" t="s">
        <v>21</v>
      </c>
      <c r="D28" t="s">
        <v>22</v>
      </c>
      <c r="E28" t="s">
        <v>7027</v>
      </c>
      <c r="F28" t="s">
        <v>7028</v>
      </c>
      <c r="G28" t="s">
        <v>7029</v>
      </c>
      <c r="H28" t="s">
        <v>7030</v>
      </c>
      <c r="I28" t="s">
        <v>27</v>
      </c>
      <c r="N28" t="s">
        <v>33</v>
      </c>
    </row>
    <row r="29" spans="1:14" x14ac:dyDescent="0.35">
      <c r="A29" t="s">
        <v>20</v>
      </c>
      <c r="B29">
        <v>17644</v>
      </c>
      <c r="C29" t="s">
        <v>21</v>
      </c>
      <c r="D29" t="s">
        <v>22</v>
      </c>
      <c r="E29" t="s">
        <v>7031</v>
      </c>
      <c r="F29" t="s">
        <v>7032</v>
      </c>
      <c r="G29" t="s">
        <v>7033</v>
      </c>
      <c r="H29" t="s">
        <v>7034</v>
      </c>
      <c r="I29" t="s">
        <v>27</v>
      </c>
      <c r="N29" t="s">
        <v>33</v>
      </c>
    </row>
    <row r="30" spans="1:14" x14ac:dyDescent="0.35">
      <c r="A30" t="s">
        <v>20</v>
      </c>
      <c r="B30">
        <v>17644</v>
      </c>
      <c r="C30" t="s">
        <v>21</v>
      </c>
      <c r="D30" t="s">
        <v>22</v>
      </c>
      <c r="E30" t="s">
        <v>7035</v>
      </c>
      <c r="F30" t="s">
        <v>7036</v>
      </c>
      <c r="G30" t="s">
        <v>7037</v>
      </c>
      <c r="H30" t="s">
        <v>7038</v>
      </c>
      <c r="I30" t="s">
        <v>27</v>
      </c>
      <c r="N30" t="s">
        <v>33</v>
      </c>
    </row>
    <row r="31" spans="1:14" x14ac:dyDescent="0.35">
      <c r="A31" t="s">
        <v>20</v>
      </c>
      <c r="B31">
        <v>17644</v>
      </c>
      <c r="C31" t="s">
        <v>21</v>
      </c>
      <c r="D31" t="s">
        <v>22</v>
      </c>
      <c r="E31" t="s">
        <v>7039</v>
      </c>
      <c r="F31" t="s">
        <v>7040</v>
      </c>
      <c r="G31" t="s">
        <v>7041</v>
      </c>
      <c r="H31" t="s">
        <v>7042</v>
      </c>
      <c r="I31" t="s">
        <v>238</v>
      </c>
      <c r="N31" t="s">
        <v>33</v>
      </c>
    </row>
    <row r="32" spans="1:14" x14ac:dyDescent="0.35">
      <c r="A32" t="s">
        <v>20</v>
      </c>
      <c r="B32">
        <v>17644</v>
      </c>
      <c r="C32" t="s">
        <v>21</v>
      </c>
      <c r="D32" t="s">
        <v>22</v>
      </c>
      <c r="E32" t="s">
        <v>7043</v>
      </c>
      <c r="F32" t="s">
        <v>7044</v>
      </c>
      <c r="G32" t="s">
        <v>7045</v>
      </c>
      <c r="H32" t="s">
        <v>7046</v>
      </c>
      <c r="I32" t="s">
        <v>238</v>
      </c>
      <c r="N32" t="s">
        <v>33</v>
      </c>
    </row>
    <row r="33" spans="1:14" x14ac:dyDescent="0.35">
      <c r="A33" t="s">
        <v>20</v>
      </c>
      <c r="B33">
        <v>17644</v>
      </c>
      <c r="C33" t="s">
        <v>21</v>
      </c>
      <c r="D33" t="s">
        <v>22</v>
      </c>
      <c r="E33" t="s">
        <v>7047</v>
      </c>
      <c r="F33" t="s">
        <v>1548</v>
      </c>
      <c r="G33" t="s">
        <v>1549</v>
      </c>
      <c r="H33" t="s">
        <v>1550</v>
      </c>
      <c r="I33" t="s">
        <v>238</v>
      </c>
      <c r="N33" t="s">
        <v>33</v>
      </c>
    </row>
    <row r="34" spans="1:14" x14ac:dyDescent="0.35">
      <c r="A34" t="s">
        <v>20</v>
      </c>
      <c r="B34">
        <v>17644</v>
      </c>
      <c r="C34" t="s">
        <v>21</v>
      </c>
      <c r="D34" t="s">
        <v>22</v>
      </c>
      <c r="E34" t="s">
        <v>7048</v>
      </c>
      <c r="F34" t="s">
        <v>7049</v>
      </c>
      <c r="G34" t="s">
        <v>7050</v>
      </c>
      <c r="H34" t="s">
        <v>7051</v>
      </c>
      <c r="I34" t="s">
        <v>238</v>
      </c>
      <c r="N34" t="s">
        <v>33</v>
      </c>
    </row>
    <row r="35" spans="1:14" x14ac:dyDescent="0.35">
      <c r="A35" t="s">
        <v>20</v>
      </c>
      <c r="B35">
        <v>17644</v>
      </c>
      <c r="C35" t="s">
        <v>21</v>
      </c>
      <c r="D35" t="s">
        <v>22</v>
      </c>
      <c r="E35" t="s">
        <v>7052</v>
      </c>
      <c r="F35" t="s">
        <v>7053</v>
      </c>
      <c r="G35" t="s">
        <v>7054</v>
      </c>
      <c r="H35" t="s">
        <v>7055</v>
      </c>
      <c r="I35" t="s">
        <v>238</v>
      </c>
      <c r="N35" t="s">
        <v>33</v>
      </c>
    </row>
    <row r="36" spans="1:14" x14ac:dyDescent="0.35">
      <c r="A36" t="s">
        <v>20</v>
      </c>
      <c r="B36">
        <v>17644</v>
      </c>
      <c r="C36" t="s">
        <v>21</v>
      </c>
      <c r="D36" t="s">
        <v>22</v>
      </c>
      <c r="E36" t="s">
        <v>7056</v>
      </c>
      <c r="F36" t="s">
        <v>7057</v>
      </c>
      <c r="G36" t="s">
        <v>7058</v>
      </c>
      <c r="H36" t="s">
        <v>7059</v>
      </c>
      <c r="I36" t="s">
        <v>238</v>
      </c>
      <c r="N36" t="s">
        <v>33</v>
      </c>
    </row>
    <row r="37" spans="1:14" x14ac:dyDescent="0.35">
      <c r="A37" t="s">
        <v>20</v>
      </c>
      <c r="B37">
        <v>17644</v>
      </c>
      <c r="C37" t="s">
        <v>21</v>
      </c>
      <c r="D37" t="s">
        <v>22</v>
      </c>
      <c r="E37" t="s">
        <v>7060</v>
      </c>
      <c r="F37" t="s">
        <v>7061</v>
      </c>
      <c r="G37" t="s">
        <v>7062</v>
      </c>
      <c r="H37" t="s">
        <v>7063</v>
      </c>
      <c r="I37" t="s">
        <v>238</v>
      </c>
      <c r="N37" t="s">
        <v>33</v>
      </c>
    </row>
    <row r="38" spans="1:14" x14ac:dyDescent="0.35">
      <c r="A38" t="s">
        <v>20</v>
      </c>
      <c r="B38">
        <v>17644</v>
      </c>
      <c r="C38" t="s">
        <v>21</v>
      </c>
      <c r="D38" t="s">
        <v>22</v>
      </c>
      <c r="E38" t="s">
        <v>7064</v>
      </c>
      <c r="F38" t="s">
        <v>7065</v>
      </c>
      <c r="G38" t="s">
        <v>7066</v>
      </c>
      <c r="H38" t="s">
        <v>7067</v>
      </c>
      <c r="I38" t="s">
        <v>238</v>
      </c>
      <c r="N38" t="s">
        <v>33</v>
      </c>
    </row>
    <row r="39" spans="1:14" x14ac:dyDescent="0.35">
      <c r="A39" t="s">
        <v>20</v>
      </c>
      <c r="B39">
        <v>17644</v>
      </c>
      <c r="C39" t="s">
        <v>21</v>
      </c>
      <c r="D39" t="s">
        <v>22</v>
      </c>
      <c r="E39" t="s">
        <v>7068</v>
      </c>
      <c r="F39" t="s">
        <v>7069</v>
      </c>
      <c r="G39" t="s">
        <v>7070</v>
      </c>
      <c r="H39" t="s">
        <v>7071</v>
      </c>
      <c r="I39" t="s">
        <v>238</v>
      </c>
      <c r="N39" t="s">
        <v>33</v>
      </c>
    </row>
    <row r="40" spans="1:14" x14ac:dyDescent="0.35">
      <c r="A40" t="s">
        <v>20</v>
      </c>
      <c r="B40">
        <v>17644</v>
      </c>
      <c r="C40" t="s">
        <v>21</v>
      </c>
      <c r="D40" t="s">
        <v>22</v>
      </c>
      <c r="E40" t="s">
        <v>7072</v>
      </c>
      <c r="F40" t="s">
        <v>7073</v>
      </c>
      <c r="G40" t="s">
        <v>7074</v>
      </c>
      <c r="H40" t="s">
        <v>7075</v>
      </c>
      <c r="I40" t="s">
        <v>238</v>
      </c>
      <c r="N40" t="s">
        <v>33</v>
      </c>
    </row>
    <row r="41" spans="1:14" x14ac:dyDescent="0.35">
      <c r="A41" t="s">
        <v>20</v>
      </c>
      <c r="B41">
        <v>17644</v>
      </c>
      <c r="C41" t="s">
        <v>21</v>
      </c>
      <c r="D41" t="s">
        <v>22</v>
      </c>
      <c r="E41" t="s">
        <v>7076</v>
      </c>
      <c r="F41" t="s">
        <v>7077</v>
      </c>
      <c r="G41" t="s">
        <v>7078</v>
      </c>
      <c r="H41" t="s">
        <v>7079</v>
      </c>
      <c r="I41" t="s">
        <v>238</v>
      </c>
      <c r="N41" t="s">
        <v>33</v>
      </c>
    </row>
    <row r="42" spans="1:14" x14ac:dyDescent="0.35">
      <c r="A42" t="s">
        <v>20</v>
      </c>
      <c r="B42">
        <v>17644</v>
      </c>
      <c r="C42" t="s">
        <v>21</v>
      </c>
      <c r="D42" t="s">
        <v>22</v>
      </c>
      <c r="E42" t="s">
        <v>7080</v>
      </c>
      <c r="F42" t="s">
        <v>7081</v>
      </c>
      <c r="G42" t="s">
        <v>7082</v>
      </c>
      <c r="H42" t="s">
        <v>7083</v>
      </c>
      <c r="I42" t="s">
        <v>238</v>
      </c>
      <c r="N42" t="s">
        <v>33</v>
      </c>
    </row>
    <row r="43" spans="1:14" x14ac:dyDescent="0.35">
      <c r="A43" t="s">
        <v>20</v>
      </c>
      <c r="B43">
        <v>17644</v>
      </c>
      <c r="C43" t="s">
        <v>21</v>
      </c>
      <c r="D43" t="s">
        <v>22</v>
      </c>
      <c r="E43" t="s">
        <v>7084</v>
      </c>
      <c r="F43" t="s">
        <v>7085</v>
      </c>
      <c r="G43" t="s">
        <v>7086</v>
      </c>
      <c r="H43" t="s">
        <v>7087</v>
      </c>
      <c r="I43" t="s">
        <v>238</v>
      </c>
      <c r="N43" t="s">
        <v>33</v>
      </c>
    </row>
    <row r="44" spans="1:14" x14ac:dyDescent="0.35">
      <c r="A44" t="s">
        <v>20</v>
      </c>
      <c r="B44">
        <v>17644</v>
      </c>
      <c r="C44" t="s">
        <v>21</v>
      </c>
      <c r="D44" t="s">
        <v>22</v>
      </c>
      <c r="E44" t="s">
        <v>7088</v>
      </c>
      <c r="F44" t="s">
        <v>7089</v>
      </c>
      <c r="G44" t="s">
        <v>7090</v>
      </c>
      <c r="H44" t="s">
        <v>7091</v>
      </c>
      <c r="I44" t="s">
        <v>238</v>
      </c>
      <c r="N44" t="s">
        <v>33</v>
      </c>
    </row>
    <row r="45" spans="1:14" x14ac:dyDescent="0.35">
      <c r="A45" t="s">
        <v>20</v>
      </c>
      <c r="B45">
        <v>17644</v>
      </c>
      <c r="C45" t="s">
        <v>21</v>
      </c>
      <c r="D45" t="s">
        <v>22</v>
      </c>
      <c r="E45" t="s">
        <v>7092</v>
      </c>
      <c r="F45" t="s">
        <v>7093</v>
      </c>
      <c r="G45" t="s">
        <v>7094</v>
      </c>
      <c r="H45" t="s">
        <v>7095</v>
      </c>
      <c r="I45" t="s">
        <v>238</v>
      </c>
      <c r="N45" t="s">
        <v>33</v>
      </c>
    </row>
    <row r="46" spans="1:14" x14ac:dyDescent="0.35">
      <c r="A46" t="s">
        <v>20</v>
      </c>
      <c r="B46">
        <v>17644</v>
      </c>
      <c r="C46" t="s">
        <v>21</v>
      </c>
      <c r="D46" t="s">
        <v>22</v>
      </c>
      <c r="E46" t="s">
        <v>7096</v>
      </c>
      <c r="F46" t="s">
        <v>7097</v>
      </c>
      <c r="G46" t="s">
        <v>7098</v>
      </c>
      <c r="H46" t="s">
        <v>7099</v>
      </c>
      <c r="I46" t="s">
        <v>238</v>
      </c>
      <c r="N46" t="s">
        <v>33</v>
      </c>
    </row>
    <row r="47" spans="1:14" x14ac:dyDescent="0.35">
      <c r="A47" t="s">
        <v>20</v>
      </c>
      <c r="B47">
        <v>17644</v>
      </c>
      <c r="C47" t="s">
        <v>21</v>
      </c>
      <c r="D47" t="s">
        <v>22</v>
      </c>
      <c r="E47" t="s">
        <v>7100</v>
      </c>
      <c r="F47" t="s">
        <v>7101</v>
      </c>
      <c r="G47" t="s">
        <v>7102</v>
      </c>
      <c r="H47" t="s">
        <v>7103</v>
      </c>
      <c r="I47" t="s">
        <v>238</v>
      </c>
      <c r="N47" t="s">
        <v>33</v>
      </c>
    </row>
    <row r="48" spans="1:14" x14ac:dyDescent="0.35">
      <c r="A48" t="s">
        <v>20</v>
      </c>
      <c r="B48">
        <v>17644</v>
      </c>
      <c r="C48" t="s">
        <v>21</v>
      </c>
      <c r="D48" t="s">
        <v>22</v>
      </c>
      <c r="E48" t="s">
        <v>7104</v>
      </c>
      <c r="F48" t="s">
        <v>7105</v>
      </c>
      <c r="G48" t="s">
        <v>7106</v>
      </c>
      <c r="H48" t="s">
        <v>7107</v>
      </c>
      <c r="I48" t="s">
        <v>238</v>
      </c>
      <c r="N48" t="s">
        <v>33</v>
      </c>
    </row>
    <row r="49" spans="1:15" x14ac:dyDescent="0.35">
      <c r="A49" t="s">
        <v>20</v>
      </c>
      <c r="B49">
        <v>17644</v>
      </c>
      <c r="C49" t="s">
        <v>21</v>
      </c>
      <c r="D49" t="s">
        <v>22</v>
      </c>
      <c r="E49" t="s">
        <v>7108</v>
      </c>
      <c r="F49" t="s">
        <v>7109</v>
      </c>
      <c r="G49" t="s">
        <v>7110</v>
      </c>
      <c r="H49" t="s">
        <v>7111</v>
      </c>
      <c r="I49" t="s">
        <v>238</v>
      </c>
      <c r="N49" t="s">
        <v>33</v>
      </c>
    </row>
    <row r="50" spans="1:15" x14ac:dyDescent="0.35">
      <c r="A50" t="s">
        <v>20</v>
      </c>
      <c r="B50">
        <v>17644</v>
      </c>
      <c r="C50" t="s">
        <v>21</v>
      </c>
      <c r="D50" t="s">
        <v>22</v>
      </c>
      <c r="E50" t="s">
        <v>7112</v>
      </c>
      <c r="F50" t="s">
        <v>7113</v>
      </c>
      <c r="G50" t="s">
        <v>7114</v>
      </c>
      <c r="H50" t="s">
        <v>7115</v>
      </c>
      <c r="I50" t="s">
        <v>238</v>
      </c>
      <c r="N50" t="s">
        <v>33</v>
      </c>
    </row>
    <row r="51" spans="1:15" x14ac:dyDescent="0.35">
      <c r="A51" t="s">
        <v>20</v>
      </c>
      <c r="B51">
        <v>17644</v>
      </c>
      <c r="C51" t="s">
        <v>21</v>
      </c>
      <c r="D51" t="s">
        <v>22</v>
      </c>
      <c r="E51" t="s">
        <v>7116</v>
      </c>
      <c r="F51" t="s">
        <v>7117</v>
      </c>
      <c r="G51" t="s">
        <v>7118</v>
      </c>
      <c r="H51" t="s">
        <v>7119</v>
      </c>
      <c r="I51" t="s">
        <v>238</v>
      </c>
      <c r="N51" t="s">
        <v>33</v>
      </c>
    </row>
    <row r="52" spans="1:15" x14ac:dyDescent="0.35">
      <c r="A52" t="s">
        <v>20</v>
      </c>
      <c r="B52">
        <v>17644</v>
      </c>
      <c r="C52" t="s">
        <v>21</v>
      </c>
      <c r="D52" t="s">
        <v>22</v>
      </c>
      <c r="E52" t="s">
        <v>7120</v>
      </c>
      <c r="F52" t="s">
        <v>7121</v>
      </c>
      <c r="G52" t="s">
        <v>7122</v>
      </c>
      <c r="H52" t="s">
        <v>7123</v>
      </c>
      <c r="I52" t="s">
        <v>238</v>
      </c>
      <c r="N52" t="s">
        <v>33</v>
      </c>
    </row>
    <row r="53" spans="1:15" x14ac:dyDescent="0.35">
      <c r="A53" t="s">
        <v>20</v>
      </c>
      <c r="B53">
        <v>17643</v>
      </c>
      <c r="C53" t="s">
        <v>426</v>
      </c>
      <c r="D53" t="s">
        <v>427</v>
      </c>
      <c r="E53" t="s">
        <v>7039</v>
      </c>
      <c r="F53" t="s">
        <v>7124</v>
      </c>
      <c r="G53" t="s">
        <v>7125</v>
      </c>
      <c r="H53" t="s">
        <v>7126</v>
      </c>
      <c r="I53" t="s">
        <v>431</v>
      </c>
      <c r="N53" t="s">
        <v>33</v>
      </c>
      <c r="O53" t="s">
        <v>432</v>
      </c>
    </row>
    <row r="54" spans="1:15" x14ac:dyDescent="0.35">
      <c r="A54" t="s">
        <v>20</v>
      </c>
      <c r="B54">
        <v>17643</v>
      </c>
      <c r="C54" t="s">
        <v>426</v>
      </c>
      <c r="D54" t="s">
        <v>427</v>
      </c>
      <c r="E54" t="s">
        <v>7043</v>
      </c>
      <c r="F54" t="s">
        <v>7127</v>
      </c>
      <c r="G54" t="s">
        <v>7128</v>
      </c>
      <c r="H54" t="s">
        <v>7129</v>
      </c>
      <c r="I54" t="s">
        <v>431</v>
      </c>
      <c r="N54" t="s">
        <v>33</v>
      </c>
      <c r="O54" t="s">
        <v>432</v>
      </c>
    </row>
    <row r="55" spans="1:15" x14ac:dyDescent="0.35">
      <c r="A55" t="s">
        <v>20</v>
      </c>
      <c r="B55">
        <v>17643</v>
      </c>
      <c r="C55" t="s">
        <v>426</v>
      </c>
      <c r="D55" t="s">
        <v>427</v>
      </c>
      <c r="E55" t="s">
        <v>7047</v>
      </c>
      <c r="F55" t="s">
        <v>7130</v>
      </c>
      <c r="G55" t="s">
        <v>7131</v>
      </c>
      <c r="H55" t="s">
        <v>7132</v>
      </c>
      <c r="I55" t="s">
        <v>431</v>
      </c>
      <c r="N55" t="s">
        <v>33</v>
      </c>
      <c r="O55" t="s">
        <v>432</v>
      </c>
    </row>
    <row r="56" spans="1:15" x14ac:dyDescent="0.35">
      <c r="A56" t="s">
        <v>20</v>
      </c>
      <c r="B56">
        <v>17643</v>
      </c>
      <c r="C56" t="s">
        <v>426</v>
      </c>
      <c r="D56" t="s">
        <v>427</v>
      </c>
      <c r="E56" t="s">
        <v>7048</v>
      </c>
      <c r="F56" t="s">
        <v>1569</v>
      </c>
      <c r="G56" t="s">
        <v>1570</v>
      </c>
      <c r="H56" t="s">
        <v>1571</v>
      </c>
      <c r="I56" t="s">
        <v>431</v>
      </c>
      <c r="N56" t="s">
        <v>33</v>
      </c>
      <c r="O56" t="s">
        <v>432</v>
      </c>
    </row>
    <row r="57" spans="1:15" x14ac:dyDescent="0.35">
      <c r="A57" t="s">
        <v>20</v>
      </c>
      <c r="B57">
        <v>17643</v>
      </c>
      <c r="C57" t="s">
        <v>426</v>
      </c>
      <c r="D57" t="s">
        <v>427</v>
      </c>
      <c r="E57" t="s">
        <v>7052</v>
      </c>
      <c r="F57" t="s">
        <v>7133</v>
      </c>
      <c r="G57" t="s">
        <v>7134</v>
      </c>
      <c r="H57" t="s">
        <v>7135</v>
      </c>
      <c r="I57" t="s">
        <v>431</v>
      </c>
      <c r="N57" t="s">
        <v>33</v>
      </c>
      <c r="O57" t="s">
        <v>432</v>
      </c>
    </row>
    <row r="58" spans="1:15" x14ac:dyDescent="0.35">
      <c r="A58" t="s">
        <v>20</v>
      </c>
      <c r="B58">
        <v>17643</v>
      </c>
      <c r="C58" t="s">
        <v>426</v>
      </c>
      <c r="D58" t="s">
        <v>427</v>
      </c>
      <c r="E58" t="s">
        <v>7056</v>
      </c>
      <c r="F58" t="s">
        <v>7136</v>
      </c>
      <c r="G58" t="s">
        <v>7137</v>
      </c>
      <c r="H58" t="s">
        <v>7138</v>
      </c>
      <c r="I58" t="s">
        <v>431</v>
      </c>
      <c r="N58" t="s">
        <v>33</v>
      </c>
      <c r="O58" t="s">
        <v>432</v>
      </c>
    </row>
    <row r="59" spans="1:15" x14ac:dyDescent="0.35">
      <c r="A59" t="s">
        <v>20</v>
      </c>
      <c r="B59">
        <v>17643</v>
      </c>
      <c r="C59" t="s">
        <v>426</v>
      </c>
      <c r="D59" t="s">
        <v>427</v>
      </c>
      <c r="E59" t="s">
        <v>7060</v>
      </c>
      <c r="F59" t="s">
        <v>1573</v>
      </c>
      <c r="G59" t="s">
        <v>1574</v>
      </c>
      <c r="H59" t="s">
        <v>1575</v>
      </c>
      <c r="I59" t="s">
        <v>431</v>
      </c>
      <c r="N59" t="s">
        <v>33</v>
      </c>
      <c r="O59" t="s">
        <v>432</v>
      </c>
    </row>
    <row r="60" spans="1:15" x14ac:dyDescent="0.35">
      <c r="A60" t="s">
        <v>20</v>
      </c>
      <c r="B60">
        <v>17643</v>
      </c>
      <c r="C60" t="s">
        <v>426</v>
      </c>
      <c r="D60" t="s">
        <v>427</v>
      </c>
      <c r="E60" t="s">
        <v>7064</v>
      </c>
      <c r="F60" t="s">
        <v>7139</v>
      </c>
      <c r="G60" t="s">
        <v>1416</v>
      </c>
      <c r="H60" t="s">
        <v>7140</v>
      </c>
      <c r="I60" t="s">
        <v>431</v>
      </c>
      <c r="N60" t="s">
        <v>33</v>
      </c>
      <c r="O60" t="s">
        <v>432</v>
      </c>
    </row>
    <row r="61" spans="1:15" x14ac:dyDescent="0.35">
      <c r="A61" t="s">
        <v>20</v>
      </c>
      <c r="B61">
        <v>17643</v>
      </c>
      <c r="C61" t="s">
        <v>426</v>
      </c>
      <c r="D61" t="s">
        <v>427</v>
      </c>
      <c r="E61" t="s">
        <v>7068</v>
      </c>
      <c r="F61" t="s">
        <v>7141</v>
      </c>
      <c r="G61" t="s">
        <v>7142</v>
      </c>
      <c r="H61" t="s">
        <v>7143</v>
      </c>
      <c r="I61" t="s">
        <v>431</v>
      </c>
      <c r="N61" t="s">
        <v>33</v>
      </c>
      <c r="O61" t="s">
        <v>432</v>
      </c>
    </row>
    <row r="62" spans="1:15" x14ac:dyDescent="0.35">
      <c r="A62" t="s">
        <v>20</v>
      </c>
      <c r="B62">
        <v>17643</v>
      </c>
      <c r="C62" t="s">
        <v>426</v>
      </c>
      <c r="D62" t="s">
        <v>427</v>
      </c>
      <c r="E62" t="s">
        <v>7072</v>
      </c>
      <c r="F62" t="s">
        <v>7144</v>
      </c>
      <c r="G62" t="s">
        <v>7145</v>
      </c>
      <c r="H62" t="s">
        <v>7146</v>
      </c>
      <c r="I62" t="s">
        <v>431</v>
      </c>
      <c r="N62" t="s">
        <v>33</v>
      </c>
      <c r="O62" t="s">
        <v>432</v>
      </c>
    </row>
    <row r="63" spans="1:15" x14ac:dyDescent="0.35">
      <c r="A63" t="s">
        <v>20</v>
      </c>
      <c r="B63">
        <v>17643</v>
      </c>
      <c r="C63" t="s">
        <v>426</v>
      </c>
      <c r="D63" t="s">
        <v>427</v>
      </c>
      <c r="E63" t="s">
        <v>7076</v>
      </c>
      <c r="F63" t="s">
        <v>1620</v>
      </c>
      <c r="G63" t="s">
        <v>1621</v>
      </c>
      <c r="H63" t="s">
        <v>1622</v>
      </c>
      <c r="I63" t="s">
        <v>431</v>
      </c>
      <c r="J63" t="s">
        <v>1537</v>
      </c>
      <c r="N63" t="s">
        <v>33</v>
      </c>
      <c r="O63" t="s">
        <v>432</v>
      </c>
    </row>
    <row r="64" spans="1:15" x14ac:dyDescent="0.35">
      <c r="A64" t="s">
        <v>20</v>
      </c>
      <c r="B64">
        <v>17643</v>
      </c>
      <c r="C64" t="s">
        <v>426</v>
      </c>
      <c r="D64" t="s">
        <v>427</v>
      </c>
      <c r="E64" t="s">
        <v>7080</v>
      </c>
      <c r="F64" t="s">
        <v>7147</v>
      </c>
      <c r="G64" t="s">
        <v>7148</v>
      </c>
      <c r="H64" t="s">
        <v>7149</v>
      </c>
      <c r="I64" t="s">
        <v>431</v>
      </c>
      <c r="N64" t="s">
        <v>33</v>
      </c>
      <c r="O64" t="s">
        <v>432</v>
      </c>
    </row>
    <row r="65" spans="1:15" x14ac:dyDescent="0.35">
      <c r="A65" t="s">
        <v>20</v>
      </c>
      <c r="B65">
        <v>17643</v>
      </c>
      <c r="C65" t="s">
        <v>426</v>
      </c>
      <c r="D65" t="s">
        <v>427</v>
      </c>
      <c r="E65" t="s">
        <v>7084</v>
      </c>
      <c r="F65" t="s">
        <v>7150</v>
      </c>
      <c r="G65" t="s">
        <v>7151</v>
      </c>
      <c r="H65" t="s">
        <v>7152</v>
      </c>
      <c r="I65" t="s">
        <v>431</v>
      </c>
      <c r="N65" t="s">
        <v>33</v>
      </c>
      <c r="O65" t="s">
        <v>432</v>
      </c>
    </row>
    <row r="66" spans="1:15" x14ac:dyDescent="0.35">
      <c r="A66" t="s">
        <v>20</v>
      </c>
      <c r="B66">
        <v>17643</v>
      </c>
      <c r="C66" t="s">
        <v>426</v>
      </c>
      <c r="D66" t="s">
        <v>427</v>
      </c>
      <c r="E66" t="s">
        <v>7088</v>
      </c>
      <c r="F66" t="s">
        <v>7153</v>
      </c>
      <c r="G66" t="s">
        <v>7154</v>
      </c>
      <c r="H66" t="s">
        <v>7155</v>
      </c>
      <c r="I66" t="s">
        <v>431</v>
      </c>
      <c r="N66" t="s">
        <v>33</v>
      </c>
      <c r="O66" t="s">
        <v>432</v>
      </c>
    </row>
    <row r="67" spans="1:15" x14ac:dyDescent="0.35">
      <c r="A67" t="s">
        <v>20</v>
      </c>
      <c r="B67">
        <v>17643</v>
      </c>
      <c r="C67" t="s">
        <v>426</v>
      </c>
      <c r="D67" t="s">
        <v>427</v>
      </c>
      <c r="E67" t="s">
        <v>7092</v>
      </c>
      <c r="F67" t="s">
        <v>7156</v>
      </c>
      <c r="G67" t="s">
        <v>7157</v>
      </c>
      <c r="H67" t="s">
        <v>7158</v>
      </c>
      <c r="I67" t="s">
        <v>431</v>
      </c>
      <c r="N67" t="s">
        <v>33</v>
      </c>
      <c r="O67" t="s">
        <v>432</v>
      </c>
    </row>
    <row r="68" spans="1:15" x14ac:dyDescent="0.35">
      <c r="A68" t="s">
        <v>20</v>
      </c>
      <c r="B68">
        <v>17643</v>
      </c>
      <c r="C68" t="s">
        <v>426</v>
      </c>
      <c r="D68" t="s">
        <v>427</v>
      </c>
      <c r="E68" t="s">
        <v>7096</v>
      </c>
      <c r="F68" t="s">
        <v>7159</v>
      </c>
      <c r="G68" t="s">
        <v>7160</v>
      </c>
      <c r="H68" t="s">
        <v>7161</v>
      </c>
      <c r="I68" t="s">
        <v>431</v>
      </c>
      <c r="N68" t="s">
        <v>33</v>
      </c>
      <c r="O68" t="s">
        <v>432</v>
      </c>
    </row>
    <row r="69" spans="1:15" x14ac:dyDescent="0.35">
      <c r="A69" t="s">
        <v>20</v>
      </c>
      <c r="B69">
        <v>17643</v>
      </c>
      <c r="C69" t="s">
        <v>426</v>
      </c>
      <c r="D69" t="s">
        <v>427</v>
      </c>
      <c r="E69" t="s">
        <v>7100</v>
      </c>
      <c r="F69" t="s">
        <v>7162</v>
      </c>
      <c r="G69" t="s">
        <v>7163</v>
      </c>
      <c r="H69" t="s">
        <v>7164</v>
      </c>
      <c r="I69" t="s">
        <v>431</v>
      </c>
      <c r="N69" t="s">
        <v>33</v>
      </c>
      <c r="O69" t="s">
        <v>432</v>
      </c>
    </row>
    <row r="70" spans="1:15" x14ac:dyDescent="0.35">
      <c r="A70" t="s">
        <v>20</v>
      </c>
      <c r="B70">
        <v>17643</v>
      </c>
      <c r="C70" t="s">
        <v>426</v>
      </c>
      <c r="D70" t="s">
        <v>427</v>
      </c>
      <c r="E70" t="s">
        <v>7104</v>
      </c>
      <c r="F70" t="s">
        <v>7165</v>
      </c>
      <c r="G70" t="s">
        <v>7166</v>
      </c>
      <c r="H70" t="s">
        <v>7167</v>
      </c>
      <c r="I70" t="s">
        <v>431</v>
      </c>
      <c r="N70" t="s">
        <v>33</v>
      </c>
      <c r="O70" t="s">
        <v>432</v>
      </c>
    </row>
    <row r="71" spans="1:15" x14ac:dyDescent="0.35">
      <c r="A71" t="s">
        <v>20</v>
      </c>
      <c r="B71">
        <v>17643</v>
      </c>
      <c r="C71" t="s">
        <v>426</v>
      </c>
      <c r="D71" t="s">
        <v>427</v>
      </c>
      <c r="E71" t="s">
        <v>7108</v>
      </c>
      <c r="F71" t="s">
        <v>7168</v>
      </c>
      <c r="G71" t="s">
        <v>7169</v>
      </c>
      <c r="H71" t="s">
        <v>7170</v>
      </c>
      <c r="I71" t="s">
        <v>431</v>
      </c>
      <c r="N71" t="s">
        <v>33</v>
      </c>
      <c r="O71" t="s">
        <v>432</v>
      </c>
    </row>
    <row r="72" spans="1:15" x14ac:dyDescent="0.35">
      <c r="A72" t="s">
        <v>20</v>
      </c>
      <c r="B72">
        <v>17643</v>
      </c>
      <c r="C72" t="s">
        <v>426</v>
      </c>
      <c r="D72" t="s">
        <v>427</v>
      </c>
      <c r="E72" t="s">
        <v>7112</v>
      </c>
      <c r="F72" t="s">
        <v>7171</v>
      </c>
      <c r="G72" t="s">
        <v>7172</v>
      </c>
      <c r="H72" t="s">
        <v>7173</v>
      </c>
      <c r="I72" t="s">
        <v>431</v>
      </c>
      <c r="N72" t="s">
        <v>33</v>
      </c>
      <c r="O72" t="s">
        <v>432</v>
      </c>
    </row>
    <row r="73" spans="1:15" x14ac:dyDescent="0.35">
      <c r="A73" t="s">
        <v>20</v>
      </c>
      <c r="B73">
        <v>17643</v>
      </c>
      <c r="C73" t="s">
        <v>426</v>
      </c>
      <c r="D73" t="s">
        <v>427</v>
      </c>
      <c r="E73" t="s">
        <v>7116</v>
      </c>
      <c r="F73" t="s">
        <v>7174</v>
      </c>
      <c r="G73" t="s">
        <v>7175</v>
      </c>
      <c r="H73" t="s">
        <v>7176</v>
      </c>
      <c r="I73" t="s">
        <v>431</v>
      </c>
      <c r="N73" t="s">
        <v>33</v>
      </c>
      <c r="O73" t="s">
        <v>432</v>
      </c>
    </row>
    <row r="74" spans="1:15" x14ac:dyDescent="0.35">
      <c r="A74" t="s">
        <v>20</v>
      </c>
      <c r="B74">
        <v>17643</v>
      </c>
      <c r="C74" t="s">
        <v>426</v>
      </c>
      <c r="D74" t="s">
        <v>427</v>
      </c>
      <c r="E74" t="s">
        <v>7120</v>
      </c>
      <c r="F74" t="s">
        <v>1577</v>
      </c>
      <c r="G74" t="s">
        <v>1578</v>
      </c>
      <c r="H74" t="s">
        <v>1579</v>
      </c>
      <c r="I74" t="s">
        <v>431</v>
      </c>
      <c r="N74" t="s">
        <v>33</v>
      </c>
      <c r="O74" t="s">
        <v>432</v>
      </c>
    </row>
    <row r="75" spans="1:15" x14ac:dyDescent="0.35">
      <c r="A75" t="s">
        <v>20</v>
      </c>
      <c r="B75">
        <v>17643</v>
      </c>
      <c r="C75" t="s">
        <v>426</v>
      </c>
      <c r="D75" t="s">
        <v>427</v>
      </c>
      <c r="E75" t="s">
        <v>7177</v>
      </c>
      <c r="F75" t="s">
        <v>7178</v>
      </c>
      <c r="G75" t="s">
        <v>7179</v>
      </c>
      <c r="H75" t="s">
        <v>7180</v>
      </c>
      <c r="I75" t="s">
        <v>431</v>
      </c>
      <c r="N75" t="s">
        <v>33</v>
      </c>
      <c r="O75" t="s">
        <v>432</v>
      </c>
    </row>
    <row r="76" spans="1:15" x14ac:dyDescent="0.35">
      <c r="A76" t="s">
        <v>20</v>
      </c>
      <c r="B76">
        <v>17643</v>
      </c>
      <c r="C76" t="s">
        <v>426</v>
      </c>
      <c r="D76" t="s">
        <v>427</v>
      </c>
      <c r="E76" t="s">
        <v>6935</v>
      </c>
      <c r="F76" t="s">
        <v>7181</v>
      </c>
      <c r="G76" t="s">
        <v>7182</v>
      </c>
      <c r="H76" t="s">
        <v>7183</v>
      </c>
      <c r="I76" t="s">
        <v>557</v>
      </c>
      <c r="N76" t="s">
        <v>33</v>
      </c>
      <c r="O76" t="s">
        <v>432</v>
      </c>
    </row>
    <row r="77" spans="1:15" x14ac:dyDescent="0.35">
      <c r="A77" t="s">
        <v>20</v>
      </c>
      <c r="B77">
        <v>17643</v>
      </c>
      <c r="C77" t="s">
        <v>426</v>
      </c>
      <c r="D77" t="s">
        <v>427</v>
      </c>
      <c r="E77" t="s">
        <v>6936</v>
      </c>
      <c r="F77" t="s">
        <v>7184</v>
      </c>
      <c r="G77" t="s">
        <v>7185</v>
      </c>
      <c r="H77" t="s">
        <v>7186</v>
      </c>
      <c r="I77" t="s">
        <v>557</v>
      </c>
      <c r="N77" t="s">
        <v>33</v>
      </c>
      <c r="O77" t="s">
        <v>432</v>
      </c>
    </row>
    <row r="78" spans="1:15" x14ac:dyDescent="0.35">
      <c r="A78" t="s">
        <v>20</v>
      </c>
      <c r="B78">
        <v>17643</v>
      </c>
      <c r="C78" t="s">
        <v>426</v>
      </c>
      <c r="D78" t="s">
        <v>427</v>
      </c>
      <c r="E78" t="s">
        <v>6940</v>
      </c>
      <c r="F78" t="s">
        <v>7187</v>
      </c>
      <c r="G78" t="s">
        <v>7188</v>
      </c>
      <c r="H78" t="s">
        <v>7189</v>
      </c>
      <c r="I78" t="s">
        <v>557</v>
      </c>
      <c r="N78" t="s">
        <v>33</v>
      </c>
      <c r="O78" t="s">
        <v>432</v>
      </c>
    </row>
    <row r="79" spans="1:15" x14ac:dyDescent="0.35">
      <c r="A79" t="s">
        <v>20</v>
      </c>
      <c r="B79">
        <v>17643</v>
      </c>
      <c r="C79" t="s">
        <v>426</v>
      </c>
      <c r="D79" t="s">
        <v>427</v>
      </c>
      <c r="E79" t="s">
        <v>6944</v>
      </c>
      <c r="F79" t="s">
        <v>7190</v>
      </c>
      <c r="G79" t="s">
        <v>7191</v>
      </c>
      <c r="H79" t="s">
        <v>7192</v>
      </c>
      <c r="I79" t="s">
        <v>557</v>
      </c>
      <c r="N79" t="s">
        <v>33</v>
      </c>
      <c r="O79" t="s">
        <v>432</v>
      </c>
    </row>
    <row r="80" spans="1:15" x14ac:dyDescent="0.35">
      <c r="A80" t="s">
        <v>20</v>
      </c>
      <c r="B80">
        <v>17643</v>
      </c>
      <c r="C80" t="s">
        <v>426</v>
      </c>
      <c r="D80" t="s">
        <v>427</v>
      </c>
      <c r="E80" t="s">
        <v>6948</v>
      </c>
      <c r="F80" t="s">
        <v>7193</v>
      </c>
      <c r="G80" t="s">
        <v>7194</v>
      </c>
      <c r="H80" t="s">
        <v>7195</v>
      </c>
      <c r="I80" t="s">
        <v>557</v>
      </c>
      <c r="N80" t="s">
        <v>33</v>
      </c>
      <c r="O80" t="s">
        <v>432</v>
      </c>
    </row>
    <row r="81" spans="1:15" x14ac:dyDescent="0.35">
      <c r="A81" t="s">
        <v>20</v>
      </c>
      <c r="B81">
        <v>17643</v>
      </c>
      <c r="C81" t="s">
        <v>426</v>
      </c>
      <c r="D81" t="s">
        <v>427</v>
      </c>
      <c r="E81" t="s">
        <v>6952</v>
      </c>
      <c r="F81" t="s">
        <v>1551</v>
      </c>
      <c r="G81" t="s">
        <v>1552</v>
      </c>
      <c r="H81" t="s">
        <v>1553</v>
      </c>
      <c r="I81" t="s">
        <v>557</v>
      </c>
      <c r="N81" t="s">
        <v>33</v>
      </c>
      <c r="O81" t="s">
        <v>432</v>
      </c>
    </row>
    <row r="82" spans="1:15" x14ac:dyDescent="0.35">
      <c r="A82" t="s">
        <v>20</v>
      </c>
      <c r="B82">
        <v>17643</v>
      </c>
      <c r="C82" t="s">
        <v>426</v>
      </c>
      <c r="D82" t="s">
        <v>427</v>
      </c>
      <c r="E82" t="s">
        <v>6953</v>
      </c>
      <c r="F82" t="s">
        <v>7196</v>
      </c>
      <c r="G82" t="s">
        <v>7197</v>
      </c>
      <c r="H82" t="s">
        <v>7198</v>
      </c>
      <c r="I82" t="s">
        <v>557</v>
      </c>
      <c r="N82" t="s">
        <v>33</v>
      </c>
      <c r="O82" t="s">
        <v>432</v>
      </c>
    </row>
    <row r="83" spans="1:15" x14ac:dyDescent="0.35">
      <c r="A83" t="s">
        <v>20</v>
      </c>
      <c r="B83">
        <v>17643</v>
      </c>
      <c r="C83" t="s">
        <v>426</v>
      </c>
      <c r="D83" t="s">
        <v>427</v>
      </c>
      <c r="E83" t="s">
        <v>6957</v>
      </c>
      <c r="F83" t="s">
        <v>7199</v>
      </c>
      <c r="G83" t="s">
        <v>7200</v>
      </c>
      <c r="H83" t="s">
        <v>7201</v>
      </c>
      <c r="I83" t="s">
        <v>557</v>
      </c>
      <c r="J83" t="s">
        <v>1537</v>
      </c>
      <c r="K83" t="s">
        <v>61</v>
      </c>
      <c r="L83" t="s">
        <v>7202</v>
      </c>
      <c r="N83" t="s">
        <v>33</v>
      </c>
      <c r="O83" t="s">
        <v>432</v>
      </c>
    </row>
    <row r="84" spans="1:15" x14ac:dyDescent="0.35">
      <c r="A84" t="s">
        <v>20</v>
      </c>
      <c r="B84">
        <v>17643</v>
      </c>
      <c r="C84" t="s">
        <v>426</v>
      </c>
      <c r="D84" t="s">
        <v>427</v>
      </c>
      <c r="E84" t="s">
        <v>6961</v>
      </c>
      <c r="F84" t="s">
        <v>1554</v>
      </c>
      <c r="G84" t="s">
        <v>1555</v>
      </c>
      <c r="H84" t="s">
        <v>1556</v>
      </c>
      <c r="I84" t="s">
        <v>557</v>
      </c>
      <c r="J84" t="s">
        <v>1537</v>
      </c>
      <c r="N84" t="s">
        <v>33</v>
      </c>
      <c r="O84" t="s">
        <v>432</v>
      </c>
    </row>
    <row r="85" spans="1:15" x14ac:dyDescent="0.35">
      <c r="A85" t="s">
        <v>20</v>
      </c>
      <c r="B85">
        <v>17643</v>
      </c>
      <c r="C85" t="s">
        <v>426</v>
      </c>
      <c r="D85" t="s">
        <v>427</v>
      </c>
      <c r="E85" t="s">
        <v>6965</v>
      </c>
      <c r="F85" t="s">
        <v>7203</v>
      </c>
      <c r="G85" t="s">
        <v>7204</v>
      </c>
      <c r="H85" t="s">
        <v>7205</v>
      </c>
      <c r="I85" t="s">
        <v>557</v>
      </c>
      <c r="N85" t="s">
        <v>33</v>
      </c>
      <c r="O85" t="s">
        <v>432</v>
      </c>
    </row>
    <row r="86" spans="1:15" x14ac:dyDescent="0.35">
      <c r="A86" t="s">
        <v>20</v>
      </c>
      <c r="B86">
        <v>17643</v>
      </c>
      <c r="C86" t="s">
        <v>426</v>
      </c>
      <c r="D86" t="s">
        <v>427</v>
      </c>
      <c r="E86" t="s">
        <v>6969</v>
      </c>
      <c r="F86" t="s">
        <v>1557</v>
      </c>
      <c r="G86" t="s">
        <v>1558</v>
      </c>
      <c r="H86" t="s">
        <v>1559</v>
      </c>
      <c r="I86" t="s">
        <v>557</v>
      </c>
      <c r="N86" t="s">
        <v>33</v>
      </c>
      <c r="O86" t="s">
        <v>432</v>
      </c>
    </row>
    <row r="87" spans="1:15" x14ac:dyDescent="0.35">
      <c r="A87" t="s">
        <v>20</v>
      </c>
      <c r="B87">
        <v>17643</v>
      </c>
      <c r="C87" t="s">
        <v>426</v>
      </c>
      <c r="D87" t="s">
        <v>427</v>
      </c>
      <c r="E87" t="s">
        <v>6973</v>
      </c>
      <c r="F87" t="s">
        <v>7206</v>
      </c>
      <c r="G87" t="s">
        <v>7207</v>
      </c>
      <c r="H87" t="s">
        <v>7208</v>
      </c>
      <c r="I87" t="s">
        <v>557</v>
      </c>
      <c r="N87" t="s">
        <v>33</v>
      </c>
      <c r="O87" t="s">
        <v>432</v>
      </c>
    </row>
    <row r="88" spans="1:15" x14ac:dyDescent="0.35">
      <c r="A88" t="s">
        <v>20</v>
      </c>
      <c r="B88">
        <v>17643</v>
      </c>
      <c r="C88" t="s">
        <v>426</v>
      </c>
      <c r="D88" t="s">
        <v>427</v>
      </c>
      <c r="E88" t="s">
        <v>6977</v>
      </c>
      <c r="F88" t="s">
        <v>7209</v>
      </c>
      <c r="G88" t="s">
        <v>7210</v>
      </c>
      <c r="H88" t="s">
        <v>7211</v>
      </c>
      <c r="I88" t="s">
        <v>557</v>
      </c>
      <c r="N88" t="s">
        <v>33</v>
      </c>
      <c r="O88" t="s">
        <v>432</v>
      </c>
    </row>
    <row r="89" spans="1:15" x14ac:dyDescent="0.35">
      <c r="A89" t="s">
        <v>20</v>
      </c>
      <c r="B89">
        <v>17643</v>
      </c>
      <c r="C89" t="s">
        <v>426</v>
      </c>
      <c r="D89" t="s">
        <v>427</v>
      </c>
      <c r="E89" t="s">
        <v>6981</v>
      </c>
      <c r="F89" t="s">
        <v>1561</v>
      </c>
      <c r="G89" t="s">
        <v>1562</v>
      </c>
      <c r="H89" t="s">
        <v>1563</v>
      </c>
      <c r="I89" t="s">
        <v>557</v>
      </c>
      <c r="J89" t="s">
        <v>1537</v>
      </c>
      <c r="N89" t="s">
        <v>33</v>
      </c>
      <c r="O89" t="s">
        <v>432</v>
      </c>
    </row>
    <row r="90" spans="1:15" x14ac:dyDescent="0.35">
      <c r="A90" t="s">
        <v>20</v>
      </c>
      <c r="B90">
        <v>17643</v>
      </c>
      <c r="C90" t="s">
        <v>426</v>
      </c>
      <c r="D90" t="s">
        <v>427</v>
      </c>
      <c r="E90" t="s">
        <v>6985</v>
      </c>
      <c r="F90" t="s">
        <v>7212</v>
      </c>
      <c r="G90" t="s">
        <v>7213</v>
      </c>
      <c r="H90" t="s">
        <v>7214</v>
      </c>
      <c r="I90" t="s">
        <v>557</v>
      </c>
      <c r="N90" t="s">
        <v>33</v>
      </c>
      <c r="O90" t="s">
        <v>432</v>
      </c>
    </row>
    <row r="91" spans="1:15" x14ac:dyDescent="0.35">
      <c r="A91" t="s">
        <v>20</v>
      </c>
      <c r="B91">
        <v>17643</v>
      </c>
      <c r="C91" t="s">
        <v>426</v>
      </c>
      <c r="D91" t="s">
        <v>427</v>
      </c>
      <c r="E91" t="s">
        <v>6986</v>
      </c>
      <c r="F91" t="s">
        <v>7215</v>
      </c>
      <c r="G91" t="s">
        <v>7216</v>
      </c>
      <c r="H91" t="s">
        <v>7217</v>
      </c>
      <c r="I91" t="s">
        <v>557</v>
      </c>
      <c r="N91" t="s">
        <v>33</v>
      </c>
      <c r="O91" t="s">
        <v>432</v>
      </c>
    </row>
    <row r="92" spans="1:15" x14ac:dyDescent="0.35">
      <c r="A92" t="s">
        <v>20</v>
      </c>
      <c r="B92">
        <v>17643</v>
      </c>
      <c r="C92" t="s">
        <v>426</v>
      </c>
      <c r="D92" t="s">
        <v>427</v>
      </c>
      <c r="E92" t="s">
        <v>6990</v>
      </c>
      <c r="F92" t="s">
        <v>7218</v>
      </c>
      <c r="G92" t="s">
        <v>7219</v>
      </c>
      <c r="H92" t="s">
        <v>7220</v>
      </c>
      <c r="I92" t="s">
        <v>557</v>
      </c>
      <c r="N92" t="s">
        <v>33</v>
      </c>
      <c r="O92" t="s">
        <v>432</v>
      </c>
    </row>
    <row r="93" spans="1:15" x14ac:dyDescent="0.35">
      <c r="A93" t="s">
        <v>20</v>
      </c>
      <c r="B93">
        <v>17643</v>
      </c>
      <c r="C93" t="s">
        <v>426</v>
      </c>
      <c r="D93" t="s">
        <v>427</v>
      </c>
      <c r="E93" t="s">
        <v>6994</v>
      </c>
      <c r="F93" t="s">
        <v>1565</v>
      </c>
      <c r="G93" t="s">
        <v>1566</v>
      </c>
      <c r="H93" t="s">
        <v>1567</v>
      </c>
      <c r="I93" t="s">
        <v>557</v>
      </c>
      <c r="J93" t="s">
        <v>1568</v>
      </c>
      <c r="N93" t="s">
        <v>33</v>
      </c>
      <c r="O93" t="s">
        <v>432</v>
      </c>
    </row>
    <row r="94" spans="1:15" x14ac:dyDescent="0.35">
      <c r="A94" t="s">
        <v>20</v>
      </c>
      <c r="B94">
        <v>17643</v>
      </c>
      <c r="C94" t="s">
        <v>426</v>
      </c>
      <c r="D94" t="s">
        <v>427</v>
      </c>
      <c r="E94" t="s">
        <v>6998</v>
      </c>
      <c r="F94" t="s">
        <v>7221</v>
      </c>
      <c r="G94" t="s">
        <v>7222</v>
      </c>
      <c r="H94" t="s">
        <v>7223</v>
      </c>
      <c r="I94" t="s">
        <v>557</v>
      </c>
      <c r="N94" t="s">
        <v>33</v>
      </c>
      <c r="O94" t="s">
        <v>432</v>
      </c>
    </row>
    <row r="95" spans="1:15" x14ac:dyDescent="0.35">
      <c r="A95" t="s">
        <v>20</v>
      </c>
      <c r="B95">
        <v>17643</v>
      </c>
      <c r="C95" t="s">
        <v>426</v>
      </c>
      <c r="D95" t="s">
        <v>427</v>
      </c>
      <c r="E95" t="s">
        <v>7002</v>
      </c>
      <c r="F95" t="s">
        <v>7224</v>
      </c>
      <c r="G95" t="s">
        <v>7225</v>
      </c>
      <c r="H95" t="s">
        <v>7226</v>
      </c>
      <c r="I95" t="s">
        <v>557</v>
      </c>
      <c r="N95" t="s">
        <v>33</v>
      </c>
      <c r="O95" t="s">
        <v>432</v>
      </c>
    </row>
    <row r="96" spans="1:15" x14ac:dyDescent="0.35">
      <c r="A96" t="s">
        <v>20</v>
      </c>
      <c r="B96">
        <v>17646</v>
      </c>
      <c r="C96" t="s">
        <v>666</v>
      </c>
      <c r="D96" t="s">
        <v>667</v>
      </c>
      <c r="E96" t="s">
        <v>7039</v>
      </c>
      <c r="F96" t="s">
        <v>1586</v>
      </c>
      <c r="G96" t="s">
        <v>1587</v>
      </c>
      <c r="H96" t="s">
        <v>1588</v>
      </c>
      <c r="I96" t="s">
        <v>671</v>
      </c>
      <c r="N96" t="s">
        <v>33</v>
      </c>
    </row>
    <row r="97" spans="1:14" x14ac:dyDescent="0.35">
      <c r="A97" t="s">
        <v>20</v>
      </c>
      <c r="B97">
        <v>17646</v>
      </c>
      <c r="C97" t="s">
        <v>666</v>
      </c>
      <c r="D97" t="s">
        <v>667</v>
      </c>
      <c r="E97" t="s">
        <v>7043</v>
      </c>
      <c r="F97" t="s">
        <v>7227</v>
      </c>
      <c r="G97" t="s">
        <v>7228</v>
      </c>
      <c r="H97" t="s">
        <v>7229</v>
      </c>
      <c r="I97" t="s">
        <v>671</v>
      </c>
      <c r="N97" t="s">
        <v>33</v>
      </c>
    </row>
    <row r="98" spans="1:14" x14ac:dyDescent="0.35">
      <c r="A98" t="s">
        <v>20</v>
      </c>
      <c r="B98">
        <v>17646</v>
      </c>
      <c r="C98" t="s">
        <v>666</v>
      </c>
      <c r="D98" t="s">
        <v>667</v>
      </c>
      <c r="E98" t="s">
        <v>7047</v>
      </c>
      <c r="F98" t="s">
        <v>7230</v>
      </c>
      <c r="G98" t="s">
        <v>7231</v>
      </c>
      <c r="H98" t="s">
        <v>7232</v>
      </c>
      <c r="I98" t="s">
        <v>671</v>
      </c>
      <c r="N98" t="s">
        <v>33</v>
      </c>
    </row>
    <row r="99" spans="1:14" x14ac:dyDescent="0.35">
      <c r="A99" t="s">
        <v>20</v>
      </c>
      <c r="B99">
        <v>17646</v>
      </c>
      <c r="C99" t="s">
        <v>666</v>
      </c>
      <c r="D99" t="s">
        <v>667</v>
      </c>
      <c r="E99" t="s">
        <v>7048</v>
      </c>
      <c r="F99" t="s">
        <v>7233</v>
      </c>
      <c r="G99" t="s">
        <v>7234</v>
      </c>
      <c r="H99" t="s">
        <v>7235</v>
      </c>
      <c r="I99" t="s">
        <v>671</v>
      </c>
      <c r="N99" t="s">
        <v>33</v>
      </c>
    </row>
    <row r="100" spans="1:14" x14ac:dyDescent="0.35">
      <c r="A100" t="s">
        <v>20</v>
      </c>
      <c r="B100">
        <v>17646</v>
      </c>
      <c r="C100" t="s">
        <v>666</v>
      </c>
      <c r="D100" t="s">
        <v>667</v>
      </c>
      <c r="E100" t="s">
        <v>7052</v>
      </c>
      <c r="F100" t="s">
        <v>7236</v>
      </c>
      <c r="G100" t="s">
        <v>7237</v>
      </c>
      <c r="H100" t="s">
        <v>7238</v>
      </c>
      <c r="I100" t="s">
        <v>671</v>
      </c>
      <c r="N100" t="s">
        <v>33</v>
      </c>
    </row>
    <row r="101" spans="1:14" x14ac:dyDescent="0.35">
      <c r="A101" t="s">
        <v>20</v>
      </c>
      <c r="B101">
        <v>17646</v>
      </c>
      <c r="C101" t="s">
        <v>666</v>
      </c>
      <c r="D101" t="s">
        <v>667</v>
      </c>
      <c r="E101" t="s">
        <v>7056</v>
      </c>
      <c r="F101" t="s">
        <v>7239</v>
      </c>
      <c r="G101" t="s">
        <v>7240</v>
      </c>
      <c r="H101" t="s">
        <v>7241</v>
      </c>
      <c r="I101" t="s">
        <v>671</v>
      </c>
      <c r="N101" t="s">
        <v>33</v>
      </c>
    </row>
    <row r="102" spans="1:14" x14ac:dyDescent="0.35">
      <c r="A102" t="s">
        <v>20</v>
      </c>
      <c r="B102">
        <v>17646</v>
      </c>
      <c r="C102" t="s">
        <v>666</v>
      </c>
      <c r="D102" t="s">
        <v>667</v>
      </c>
      <c r="E102" t="s">
        <v>7064</v>
      </c>
      <c r="F102" t="s">
        <v>7242</v>
      </c>
      <c r="G102" t="s">
        <v>7243</v>
      </c>
      <c r="H102" t="s">
        <v>7244</v>
      </c>
      <c r="I102" t="s">
        <v>671</v>
      </c>
      <c r="N102" t="s">
        <v>33</v>
      </c>
    </row>
    <row r="103" spans="1:14" x14ac:dyDescent="0.35">
      <c r="A103" t="s">
        <v>20</v>
      </c>
      <c r="B103">
        <v>17646</v>
      </c>
      <c r="C103" t="s">
        <v>666</v>
      </c>
      <c r="D103" t="s">
        <v>667</v>
      </c>
      <c r="E103" t="s">
        <v>7060</v>
      </c>
      <c r="F103" t="s">
        <v>7245</v>
      </c>
      <c r="G103" t="s">
        <v>7246</v>
      </c>
      <c r="H103" t="s">
        <v>7247</v>
      </c>
      <c r="I103" t="s">
        <v>671</v>
      </c>
      <c r="N103" t="s">
        <v>33</v>
      </c>
    </row>
    <row r="104" spans="1:14" x14ac:dyDescent="0.35">
      <c r="A104" t="s">
        <v>20</v>
      </c>
      <c r="B104">
        <v>17646</v>
      </c>
      <c r="C104" t="s">
        <v>666</v>
      </c>
      <c r="D104" t="s">
        <v>667</v>
      </c>
      <c r="E104" t="s">
        <v>7068</v>
      </c>
      <c r="F104" t="s">
        <v>7248</v>
      </c>
      <c r="G104" t="s">
        <v>7249</v>
      </c>
      <c r="H104" t="s">
        <v>7250</v>
      </c>
      <c r="I104" t="s">
        <v>671</v>
      </c>
      <c r="N104" t="s">
        <v>33</v>
      </c>
    </row>
    <row r="105" spans="1:14" x14ac:dyDescent="0.35">
      <c r="A105" t="s">
        <v>20</v>
      </c>
      <c r="B105">
        <v>17646</v>
      </c>
      <c r="C105" t="s">
        <v>666</v>
      </c>
      <c r="D105" t="s">
        <v>667</v>
      </c>
      <c r="E105" t="s">
        <v>7076</v>
      </c>
      <c r="F105" t="s">
        <v>710</v>
      </c>
      <c r="G105" t="s">
        <v>2866</v>
      </c>
      <c r="H105" t="s">
        <v>1630</v>
      </c>
      <c r="I105" t="s">
        <v>671</v>
      </c>
      <c r="N105" t="s">
        <v>33</v>
      </c>
    </row>
    <row r="106" spans="1:14" x14ac:dyDescent="0.35">
      <c r="A106" t="s">
        <v>20</v>
      </c>
      <c r="B106">
        <v>17646</v>
      </c>
      <c r="C106" t="s">
        <v>666</v>
      </c>
      <c r="D106" t="s">
        <v>667</v>
      </c>
      <c r="E106" t="s">
        <v>7072</v>
      </c>
      <c r="F106" t="s">
        <v>710</v>
      </c>
      <c r="G106" t="s">
        <v>711</v>
      </c>
      <c r="H106" t="s">
        <v>1630</v>
      </c>
      <c r="I106" t="s">
        <v>671</v>
      </c>
      <c r="J106" t="s">
        <v>1537</v>
      </c>
      <c r="N106" t="s">
        <v>33</v>
      </c>
    </row>
    <row r="107" spans="1:14" x14ac:dyDescent="0.35">
      <c r="A107" t="s">
        <v>20</v>
      </c>
      <c r="B107">
        <v>17646</v>
      </c>
      <c r="C107" t="s">
        <v>666</v>
      </c>
      <c r="D107" t="s">
        <v>667</v>
      </c>
      <c r="E107" t="s">
        <v>7080</v>
      </c>
      <c r="F107" t="s">
        <v>7251</v>
      </c>
      <c r="G107" t="s">
        <v>7252</v>
      </c>
      <c r="H107" t="s">
        <v>7253</v>
      </c>
      <c r="I107" t="s">
        <v>671</v>
      </c>
      <c r="N107" t="s">
        <v>33</v>
      </c>
    </row>
    <row r="108" spans="1:14" x14ac:dyDescent="0.35">
      <c r="A108" t="s">
        <v>20</v>
      </c>
      <c r="B108">
        <v>17646</v>
      </c>
      <c r="C108" t="s">
        <v>666</v>
      </c>
      <c r="D108" t="s">
        <v>667</v>
      </c>
      <c r="E108" t="s">
        <v>7084</v>
      </c>
      <c r="F108" t="s">
        <v>7254</v>
      </c>
      <c r="G108" t="s">
        <v>7255</v>
      </c>
      <c r="H108" t="s">
        <v>7256</v>
      </c>
      <c r="I108" t="s">
        <v>671</v>
      </c>
      <c r="N108" t="s">
        <v>33</v>
      </c>
    </row>
    <row r="109" spans="1:14" x14ac:dyDescent="0.35">
      <c r="A109" t="s">
        <v>20</v>
      </c>
      <c r="B109">
        <v>17646</v>
      </c>
      <c r="C109" t="s">
        <v>666</v>
      </c>
      <c r="D109" t="s">
        <v>667</v>
      </c>
      <c r="E109" t="s">
        <v>7088</v>
      </c>
      <c r="F109" t="s">
        <v>7257</v>
      </c>
      <c r="G109" t="s">
        <v>7258</v>
      </c>
      <c r="H109" t="s">
        <v>7259</v>
      </c>
      <c r="I109" t="s">
        <v>671</v>
      </c>
      <c r="N109" t="s">
        <v>33</v>
      </c>
    </row>
    <row r="110" spans="1:14" x14ac:dyDescent="0.35">
      <c r="A110" t="s">
        <v>20</v>
      </c>
      <c r="B110">
        <v>17646</v>
      </c>
      <c r="C110" t="s">
        <v>666</v>
      </c>
      <c r="D110" t="s">
        <v>667</v>
      </c>
      <c r="E110" t="s">
        <v>7092</v>
      </c>
      <c r="F110" t="s">
        <v>7260</v>
      </c>
      <c r="G110" t="s">
        <v>7261</v>
      </c>
      <c r="H110" t="s">
        <v>7262</v>
      </c>
      <c r="I110" t="s">
        <v>671</v>
      </c>
      <c r="N110" t="s">
        <v>33</v>
      </c>
    </row>
    <row r="111" spans="1:14" x14ac:dyDescent="0.35">
      <c r="A111" t="s">
        <v>20</v>
      </c>
      <c r="B111">
        <v>17646</v>
      </c>
      <c r="C111" t="s">
        <v>666</v>
      </c>
      <c r="D111" t="s">
        <v>667</v>
      </c>
      <c r="E111" t="s">
        <v>7096</v>
      </c>
      <c r="F111" t="s">
        <v>7263</v>
      </c>
      <c r="G111" t="s">
        <v>7264</v>
      </c>
      <c r="H111" t="s">
        <v>7265</v>
      </c>
      <c r="I111" t="s">
        <v>671</v>
      </c>
      <c r="N111" t="s">
        <v>33</v>
      </c>
    </row>
    <row r="112" spans="1:14" x14ac:dyDescent="0.35">
      <c r="A112" t="s">
        <v>20</v>
      </c>
      <c r="B112">
        <v>17646</v>
      </c>
      <c r="C112" t="s">
        <v>666</v>
      </c>
      <c r="D112" t="s">
        <v>667</v>
      </c>
      <c r="E112" t="s">
        <v>7100</v>
      </c>
      <c r="F112" t="s">
        <v>7266</v>
      </c>
      <c r="G112" t="s">
        <v>7267</v>
      </c>
      <c r="H112" t="s">
        <v>7268</v>
      </c>
      <c r="I112" t="s">
        <v>671</v>
      </c>
      <c r="N112" t="s">
        <v>33</v>
      </c>
    </row>
    <row r="113" spans="1:14" x14ac:dyDescent="0.35">
      <c r="A113" t="s">
        <v>20</v>
      </c>
      <c r="B113">
        <v>17646</v>
      </c>
      <c r="C113" t="s">
        <v>666</v>
      </c>
      <c r="D113" t="s">
        <v>667</v>
      </c>
      <c r="E113" t="s">
        <v>7104</v>
      </c>
      <c r="F113" t="s">
        <v>7269</v>
      </c>
      <c r="G113" t="s">
        <v>7270</v>
      </c>
      <c r="H113" t="s">
        <v>7271</v>
      </c>
      <c r="I113" t="s">
        <v>671</v>
      </c>
      <c r="N113" t="s">
        <v>33</v>
      </c>
    </row>
    <row r="114" spans="1:14" x14ac:dyDescent="0.35">
      <c r="A114" t="s">
        <v>20</v>
      </c>
      <c r="B114">
        <v>17646</v>
      </c>
      <c r="C114" t="s">
        <v>666</v>
      </c>
      <c r="D114" t="s">
        <v>667</v>
      </c>
      <c r="E114" t="s">
        <v>7108</v>
      </c>
      <c r="F114" t="s">
        <v>7272</v>
      </c>
      <c r="G114" t="s">
        <v>7273</v>
      </c>
      <c r="H114" t="s">
        <v>7274</v>
      </c>
      <c r="I114" t="s">
        <v>671</v>
      </c>
      <c r="N114" t="s">
        <v>33</v>
      </c>
    </row>
    <row r="115" spans="1:14" x14ac:dyDescent="0.35">
      <c r="A115" t="s">
        <v>20</v>
      </c>
      <c r="B115">
        <v>17646</v>
      </c>
      <c r="C115" t="s">
        <v>666</v>
      </c>
      <c r="D115" t="s">
        <v>667</v>
      </c>
      <c r="E115" t="s">
        <v>7112</v>
      </c>
      <c r="F115" t="s">
        <v>7275</v>
      </c>
      <c r="G115" t="s">
        <v>7276</v>
      </c>
      <c r="H115" t="s">
        <v>7277</v>
      </c>
      <c r="I115" t="s">
        <v>671</v>
      </c>
      <c r="N115" t="s">
        <v>33</v>
      </c>
    </row>
    <row r="116" spans="1:14" x14ac:dyDescent="0.35">
      <c r="A116" t="s">
        <v>20</v>
      </c>
      <c r="B116">
        <v>17646</v>
      </c>
      <c r="C116" t="s">
        <v>666</v>
      </c>
      <c r="D116" t="s">
        <v>667</v>
      </c>
      <c r="E116" t="s">
        <v>7116</v>
      </c>
      <c r="F116" t="s">
        <v>7278</v>
      </c>
      <c r="G116" t="s">
        <v>7279</v>
      </c>
      <c r="H116" t="s">
        <v>7280</v>
      </c>
      <c r="I116" t="s">
        <v>671</v>
      </c>
      <c r="N116" t="s">
        <v>33</v>
      </c>
    </row>
    <row r="117" spans="1:14" x14ac:dyDescent="0.35">
      <c r="A117" t="s">
        <v>20</v>
      </c>
      <c r="B117">
        <v>17646</v>
      </c>
      <c r="C117" t="s">
        <v>666</v>
      </c>
      <c r="D117" t="s">
        <v>667</v>
      </c>
      <c r="E117" t="s">
        <v>7120</v>
      </c>
      <c r="F117" t="s">
        <v>7281</v>
      </c>
      <c r="G117" t="s">
        <v>7282</v>
      </c>
      <c r="H117" t="s">
        <v>7283</v>
      </c>
      <c r="I117" t="s">
        <v>671</v>
      </c>
      <c r="N117" t="s">
        <v>33</v>
      </c>
    </row>
    <row r="118" spans="1:14" x14ac:dyDescent="0.35">
      <c r="A118" t="s">
        <v>20</v>
      </c>
      <c r="B118">
        <v>17646</v>
      </c>
      <c r="C118" t="s">
        <v>666</v>
      </c>
      <c r="D118" t="s">
        <v>667</v>
      </c>
      <c r="E118" t="s">
        <v>7177</v>
      </c>
      <c r="F118" t="s">
        <v>7284</v>
      </c>
      <c r="G118" t="s">
        <v>7285</v>
      </c>
      <c r="H118" t="s">
        <v>7286</v>
      </c>
      <c r="I118" t="s">
        <v>671</v>
      </c>
      <c r="N118" t="s">
        <v>33</v>
      </c>
    </row>
    <row r="119" spans="1:14" x14ac:dyDescent="0.35">
      <c r="A119" t="s">
        <v>20</v>
      </c>
      <c r="B119">
        <v>17646</v>
      </c>
      <c r="C119" t="s">
        <v>666</v>
      </c>
      <c r="D119" t="s">
        <v>667</v>
      </c>
      <c r="E119" t="s">
        <v>6935</v>
      </c>
      <c r="F119" t="s">
        <v>7287</v>
      </c>
      <c r="G119" t="s">
        <v>7288</v>
      </c>
      <c r="H119" t="s">
        <v>7289</v>
      </c>
      <c r="I119" t="s">
        <v>809</v>
      </c>
      <c r="N119" t="s">
        <v>33</v>
      </c>
    </row>
    <row r="120" spans="1:14" x14ac:dyDescent="0.35">
      <c r="A120" t="s">
        <v>20</v>
      </c>
      <c r="B120">
        <v>17646</v>
      </c>
      <c r="C120" t="s">
        <v>666</v>
      </c>
      <c r="D120" t="s">
        <v>667</v>
      </c>
      <c r="E120" t="s">
        <v>6936</v>
      </c>
      <c r="F120" t="s">
        <v>7290</v>
      </c>
      <c r="G120" t="s">
        <v>7291</v>
      </c>
      <c r="H120" t="s">
        <v>7292</v>
      </c>
      <c r="I120" t="s">
        <v>809</v>
      </c>
      <c r="N120" t="s">
        <v>33</v>
      </c>
    </row>
    <row r="121" spans="1:14" x14ac:dyDescent="0.35">
      <c r="A121" t="s">
        <v>20</v>
      </c>
      <c r="B121">
        <v>17646</v>
      </c>
      <c r="C121" t="s">
        <v>666</v>
      </c>
      <c r="D121" t="s">
        <v>667</v>
      </c>
      <c r="E121" t="s">
        <v>6940</v>
      </c>
      <c r="F121" t="s">
        <v>7293</v>
      </c>
      <c r="G121" t="s">
        <v>7294</v>
      </c>
      <c r="H121" t="s">
        <v>2604</v>
      </c>
      <c r="I121" t="s">
        <v>809</v>
      </c>
      <c r="N121" t="s">
        <v>33</v>
      </c>
    </row>
    <row r="122" spans="1:14" x14ac:dyDescent="0.35">
      <c r="A122" t="s">
        <v>20</v>
      </c>
      <c r="B122">
        <v>17646</v>
      </c>
      <c r="C122" t="s">
        <v>666</v>
      </c>
      <c r="D122" t="s">
        <v>667</v>
      </c>
      <c r="E122" t="s">
        <v>6944</v>
      </c>
      <c r="F122" t="s">
        <v>7295</v>
      </c>
      <c r="G122" t="s">
        <v>7296</v>
      </c>
      <c r="H122" t="s">
        <v>7297</v>
      </c>
      <c r="I122" t="s">
        <v>809</v>
      </c>
      <c r="N122" t="s">
        <v>33</v>
      </c>
    </row>
    <row r="123" spans="1:14" x14ac:dyDescent="0.35">
      <c r="A123" t="s">
        <v>20</v>
      </c>
      <c r="B123">
        <v>17646</v>
      </c>
      <c r="C123" t="s">
        <v>666</v>
      </c>
      <c r="D123" t="s">
        <v>667</v>
      </c>
      <c r="E123" t="s">
        <v>6948</v>
      </c>
      <c r="F123" t="s">
        <v>7298</v>
      </c>
      <c r="G123" t="s">
        <v>7299</v>
      </c>
      <c r="H123" t="s">
        <v>7300</v>
      </c>
      <c r="I123" t="s">
        <v>809</v>
      </c>
      <c r="N123" t="s">
        <v>33</v>
      </c>
    </row>
    <row r="124" spans="1:14" x14ac:dyDescent="0.35">
      <c r="A124" t="s">
        <v>20</v>
      </c>
      <c r="B124">
        <v>17646</v>
      </c>
      <c r="C124" t="s">
        <v>666</v>
      </c>
      <c r="D124" t="s">
        <v>667</v>
      </c>
      <c r="E124" t="s">
        <v>6952</v>
      </c>
      <c r="F124" t="s">
        <v>7301</v>
      </c>
      <c r="G124" t="s">
        <v>7302</v>
      </c>
      <c r="H124" t="s">
        <v>7303</v>
      </c>
      <c r="I124" t="s">
        <v>809</v>
      </c>
      <c r="N124" t="s">
        <v>33</v>
      </c>
    </row>
    <row r="125" spans="1:14" x14ac:dyDescent="0.35">
      <c r="A125" t="s">
        <v>20</v>
      </c>
      <c r="B125">
        <v>17646</v>
      </c>
      <c r="C125" t="s">
        <v>666</v>
      </c>
      <c r="D125" t="s">
        <v>667</v>
      </c>
      <c r="E125" t="s">
        <v>6953</v>
      </c>
      <c r="F125" t="s">
        <v>7304</v>
      </c>
      <c r="G125" t="s">
        <v>7305</v>
      </c>
      <c r="H125" t="s">
        <v>7306</v>
      </c>
      <c r="I125" t="s">
        <v>809</v>
      </c>
      <c r="N125" t="s">
        <v>33</v>
      </c>
    </row>
    <row r="126" spans="1:14" x14ac:dyDescent="0.35">
      <c r="A126" t="s">
        <v>20</v>
      </c>
      <c r="B126">
        <v>17646</v>
      </c>
      <c r="C126" t="s">
        <v>666</v>
      </c>
      <c r="D126" t="s">
        <v>667</v>
      </c>
      <c r="E126" t="s">
        <v>6957</v>
      </c>
      <c r="F126" t="s">
        <v>7307</v>
      </c>
      <c r="G126" t="s">
        <v>7308</v>
      </c>
      <c r="H126" t="s">
        <v>7309</v>
      </c>
      <c r="I126" t="s">
        <v>809</v>
      </c>
      <c r="N126" t="s">
        <v>33</v>
      </c>
    </row>
    <row r="127" spans="1:14" x14ac:dyDescent="0.35">
      <c r="A127" t="s">
        <v>20</v>
      </c>
      <c r="B127">
        <v>17646</v>
      </c>
      <c r="C127" t="s">
        <v>666</v>
      </c>
      <c r="D127" t="s">
        <v>667</v>
      </c>
      <c r="E127" t="s">
        <v>6961</v>
      </c>
      <c r="F127" t="s">
        <v>1580</v>
      </c>
      <c r="G127" t="s">
        <v>1581</v>
      </c>
      <c r="H127" t="s">
        <v>1582</v>
      </c>
      <c r="I127" t="s">
        <v>809</v>
      </c>
      <c r="N127" t="s">
        <v>33</v>
      </c>
    </row>
    <row r="128" spans="1:14" x14ac:dyDescent="0.35">
      <c r="A128" t="s">
        <v>20</v>
      </c>
      <c r="B128">
        <v>17646</v>
      </c>
      <c r="C128" t="s">
        <v>666</v>
      </c>
      <c r="D128" t="s">
        <v>667</v>
      </c>
      <c r="E128" t="s">
        <v>6965</v>
      </c>
      <c r="F128" t="s">
        <v>7310</v>
      </c>
      <c r="G128" t="s">
        <v>7311</v>
      </c>
      <c r="H128" t="s">
        <v>7312</v>
      </c>
      <c r="I128" t="s">
        <v>809</v>
      </c>
      <c r="N128" t="s">
        <v>33</v>
      </c>
    </row>
    <row r="129" spans="1:14" x14ac:dyDescent="0.35">
      <c r="A129" t="s">
        <v>20</v>
      </c>
      <c r="B129">
        <v>17646</v>
      </c>
      <c r="C129" t="s">
        <v>666</v>
      </c>
      <c r="D129" t="s">
        <v>667</v>
      </c>
      <c r="E129" t="s">
        <v>6969</v>
      </c>
      <c r="F129" t="s">
        <v>7313</v>
      </c>
      <c r="G129" t="s">
        <v>7314</v>
      </c>
      <c r="H129" t="s">
        <v>7315</v>
      </c>
      <c r="I129" t="s">
        <v>809</v>
      </c>
      <c r="N129" t="s">
        <v>33</v>
      </c>
    </row>
    <row r="130" spans="1:14" x14ac:dyDescent="0.35">
      <c r="A130" t="s">
        <v>20</v>
      </c>
      <c r="B130">
        <v>17646</v>
      </c>
      <c r="C130" t="s">
        <v>666</v>
      </c>
      <c r="D130" t="s">
        <v>667</v>
      </c>
      <c r="E130" t="s">
        <v>6973</v>
      </c>
      <c r="F130" t="s">
        <v>1583</v>
      </c>
      <c r="G130" t="s">
        <v>1584</v>
      </c>
      <c r="H130" t="s">
        <v>1585</v>
      </c>
      <c r="I130" t="s">
        <v>809</v>
      </c>
      <c r="N130" t="s">
        <v>33</v>
      </c>
    </row>
    <row r="131" spans="1:14" x14ac:dyDescent="0.35">
      <c r="A131" t="s">
        <v>20</v>
      </c>
      <c r="B131">
        <v>17646</v>
      </c>
      <c r="C131" t="s">
        <v>666</v>
      </c>
      <c r="D131" t="s">
        <v>667</v>
      </c>
      <c r="E131" t="s">
        <v>6977</v>
      </c>
      <c r="F131" t="s">
        <v>7316</v>
      </c>
      <c r="G131" t="s">
        <v>7317</v>
      </c>
      <c r="H131" t="s">
        <v>7318</v>
      </c>
      <c r="I131" t="s">
        <v>809</v>
      </c>
      <c r="N131" t="s">
        <v>33</v>
      </c>
    </row>
    <row r="132" spans="1:14" x14ac:dyDescent="0.35">
      <c r="A132" t="s">
        <v>20</v>
      </c>
      <c r="B132">
        <v>17646</v>
      </c>
      <c r="C132" t="s">
        <v>666</v>
      </c>
      <c r="D132" t="s">
        <v>667</v>
      </c>
      <c r="E132" t="s">
        <v>6981</v>
      </c>
      <c r="F132" t="s">
        <v>7319</v>
      </c>
      <c r="G132" t="s">
        <v>7320</v>
      </c>
      <c r="H132" t="s">
        <v>7321</v>
      </c>
      <c r="I132" t="s">
        <v>809</v>
      </c>
      <c r="N132" t="s">
        <v>33</v>
      </c>
    </row>
    <row r="133" spans="1:14" x14ac:dyDescent="0.35">
      <c r="A133" t="s">
        <v>20</v>
      </c>
      <c r="B133">
        <v>17646</v>
      </c>
      <c r="C133" t="s">
        <v>666</v>
      </c>
      <c r="D133" t="s">
        <v>667</v>
      </c>
      <c r="E133" t="s">
        <v>6985</v>
      </c>
      <c r="F133" t="s">
        <v>7322</v>
      </c>
      <c r="G133" t="s">
        <v>7323</v>
      </c>
      <c r="H133" t="s">
        <v>7324</v>
      </c>
      <c r="I133" t="s">
        <v>809</v>
      </c>
      <c r="N133" t="s">
        <v>33</v>
      </c>
    </row>
    <row r="134" spans="1:14" x14ac:dyDescent="0.35">
      <c r="A134" t="s">
        <v>20</v>
      </c>
      <c r="B134">
        <v>17646</v>
      </c>
      <c r="C134" t="s">
        <v>666</v>
      </c>
      <c r="D134" t="s">
        <v>667</v>
      </c>
      <c r="E134" t="s">
        <v>6986</v>
      </c>
      <c r="F134" t="s">
        <v>1623</v>
      </c>
      <c r="G134" t="s">
        <v>1624</v>
      </c>
      <c r="H134" t="s">
        <v>1625</v>
      </c>
      <c r="I134" t="s">
        <v>809</v>
      </c>
      <c r="N134" t="s">
        <v>33</v>
      </c>
    </row>
    <row r="135" spans="1:14" x14ac:dyDescent="0.35">
      <c r="A135" t="s">
        <v>20</v>
      </c>
      <c r="B135">
        <v>17646</v>
      </c>
      <c r="C135" t="s">
        <v>666</v>
      </c>
      <c r="D135" t="s">
        <v>667</v>
      </c>
      <c r="E135" t="s">
        <v>6990</v>
      </c>
      <c r="F135" t="s">
        <v>7325</v>
      </c>
      <c r="G135" t="s">
        <v>7326</v>
      </c>
      <c r="H135" t="s">
        <v>7327</v>
      </c>
      <c r="I135" t="s">
        <v>809</v>
      </c>
      <c r="N135" t="s">
        <v>33</v>
      </c>
    </row>
    <row r="136" spans="1:14" x14ac:dyDescent="0.35">
      <c r="A136" t="s">
        <v>20</v>
      </c>
      <c r="B136">
        <v>17646</v>
      </c>
      <c r="C136" t="s">
        <v>666</v>
      </c>
      <c r="D136" t="s">
        <v>667</v>
      </c>
      <c r="E136" t="s">
        <v>6994</v>
      </c>
      <c r="F136" t="s">
        <v>7328</v>
      </c>
      <c r="G136" t="s">
        <v>7329</v>
      </c>
      <c r="H136" t="s">
        <v>7330</v>
      </c>
      <c r="I136" t="s">
        <v>809</v>
      </c>
      <c r="N136" t="s">
        <v>33</v>
      </c>
    </row>
    <row r="137" spans="1:14" x14ac:dyDescent="0.35">
      <c r="A137" t="s">
        <v>20</v>
      </c>
      <c r="B137">
        <v>17646</v>
      </c>
      <c r="C137" t="s">
        <v>666</v>
      </c>
      <c r="D137" t="s">
        <v>667</v>
      </c>
      <c r="E137" t="s">
        <v>6998</v>
      </c>
      <c r="F137" t="s">
        <v>7331</v>
      </c>
      <c r="G137" t="s">
        <v>7332</v>
      </c>
      <c r="H137" t="s">
        <v>7333</v>
      </c>
      <c r="I137" t="s">
        <v>809</v>
      </c>
      <c r="N137" t="s">
        <v>33</v>
      </c>
    </row>
    <row r="138" spans="1:14" x14ac:dyDescent="0.35">
      <c r="A138" t="s">
        <v>20</v>
      </c>
      <c r="B138">
        <v>17646</v>
      </c>
      <c r="C138" t="s">
        <v>666</v>
      </c>
      <c r="D138" t="s">
        <v>667</v>
      </c>
      <c r="E138" t="s">
        <v>7002</v>
      </c>
      <c r="F138" t="s">
        <v>7334</v>
      </c>
      <c r="G138" t="s">
        <v>7335</v>
      </c>
      <c r="H138" t="s">
        <v>7336</v>
      </c>
      <c r="I138" t="s">
        <v>809</v>
      </c>
      <c r="N138" t="s">
        <v>33</v>
      </c>
    </row>
    <row r="139" spans="1:14" x14ac:dyDescent="0.35">
      <c r="A139" t="s">
        <v>20</v>
      </c>
      <c r="B139">
        <v>17646</v>
      </c>
      <c r="C139" t="s">
        <v>666</v>
      </c>
      <c r="D139" t="s">
        <v>667</v>
      </c>
      <c r="E139" t="s">
        <v>7006</v>
      </c>
      <c r="F139" t="s">
        <v>7337</v>
      </c>
      <c r="G139" t="s">
        <v>7338</v>
      </c>
      <c r="H139" t="s">
        <v>7339</v>
      </c>
      <c r="I139" t="s">
        <v>809</v>
      </c>
      <c r="N139" t="s">
        <v>33</v>
      </c>
    </row>
    <row r="140" spans="1:14" x14ac:dyDescent="0.35">
      <c r="A140" t="s">
        <v>20</v>
      </c>
      <c r="B140">
        <v>17646</v>
      </c>
      <c r="C140" t="s">
        <v>666</v>
      </c>
      <c r="D140" t="s">
        <v>667</v>
      </c>
      <c r="E140" t="s">
        <v>7010</v>
      </c>
      <c r="F140" t="s">
        <v>7340</v>
      </c>
      <c r="G140" t="s">
        <v>7341</v>
      </c>
      <c r="H140" t="s">
        <v>7342</v>
      </c>
      <c r="I140" t="s">
        <v>809</v>
      </c>
      <c r="N140" t="s">
        <v>33</v>
      </c>
    </row>
    <row r="141" spans="1:14" x14ac:dyDescent="0.35">
      <c r="A141" t="s">
        <v>20</v>
      </c>
      <c r="B141">
        <v>17646</v>
      </c>
      <c r="C141" t="s">
        <v>666</v>
      </c>
      <c r="D141" t="s">
        <v>667</v>
      </c>
      <c r="E141" t="s">
        <v>7014</v>
      </c>
      <c r="F141" t="s">
        <v>7343</v>
      </c>
      <c r="G141" t="s">
        <v>7344</v>
      </c>
      <c r="H141" t="s">
        <v>7345</v>
      </c>
      <c r="I141" t="s">
        <v>809</v>
      </c>
      <c r="N141" t="s">
        <v>33</v>
      </c>
    </row>
    <row r="142" spans="1:14" x14ac:dyDescent="0.35">
      <c r="A142" t="s">
        <v>20</v>
      </c>
      <c r="B142">
        <v>17646</v>
      </c>
      <c r="C142" t="s">
        <v>666</v>
      </c>
      <c r="D142" t="s">
        <v>667</v>
      </c>
      <c r="E142" t="s">
        <v>7018</v>
      </c>
      <c r="F142" t="s">
        <v>7346</v>
      </c>
      <c r="G142" t="s">
        <v>7347</v>
      </c>
      <c r="H142" t="s">
        <v>7348</v>
      </c>
      <c r="I142" t="s">
        <v>809</v>
      </c>
      <c r="N142" t="s">
        <v>33</v>
      </c>
    </row>
    <row r="143" spans="1:14" x14ac:dyDescent="0.35">
      <c r="A143" t="s">
        <v>20</v>
      </c>
      <c r="B143">
        <v>17646</v>
      </c>
      <c r="C143" t="s">
        <v>666</v>
      </c>
      <c r="D143" t="s">
        <v>667</v>
      </c>
      <c r="E143" t="s">
        <v>7019</v>
      </c>
      <c r="F143" t="s">
        <v>7349</v>
      </c>
      <c r="G143" t="s">
        <v>7350</v>
      </c>
      <c r="H143" t="s">
        <v>7351</v>
      </c>
      <c r="I143" t="s">
        <v>809</v>
      </c>
      <c r="N143" t="s">
        <v>33</v>
      </c>
    </row>
    <row r="144" spans="1:14" x14ac:dyDescent="0.35">
      <c r="A144" t="s">
        <v>20</v>
      </c>
      <c r="B144">
        <v>17646</v>
      </c>
      <c r="C144" t="s">
        <v>666</v>
      </c>
      <c r="D144" t="s">
        <v>667</v>
      </c>
      <c r="E144" t="s">
        <v>7023</v>
      </c>
      <c r="F144" t="s">
        <v>7352</v>
      </c>
      <c r="G144" t="s">
        <v>7353</v>
      </c>
      <c r="H144" t="s">
        <v>7354</v>
      </c>
      <c r="I144" t="s">
        <v>809</v>
      </c>
      <c r="N144" t="s">
        <v>33</v>
      </c>
    </row>
    <row r="145" spans="1:14" x14ac:dyDescent="0.35">
      <c r="A145" t="s">
        <v>20</v>
      </c>
      <c r="B145">
        <v>17646</v>
      </c>
      <c r="C145" t="s">
        <v>666</v>
      </c>
      <c r="D145" t="s">
        <v>667</v>
      </c>
      <c r="E145" t="s">
        <v>7027</v>
      </c>
      <c r="F145" t="s">
        <v>7355</v>
      </c>
      <c r="G145" t="s">
        <v>7356</v>
      </c>
      <c r="H145" t="s">
        <v>7357</v>
      </c>
      <c r="I145" t="s">
        <v>809</v>
      </c>
      <c r="N145" t="s">
        <v>33</v>
      </c>
    </row>
    <row r="146" spans="1:14" x14ac:dyDescent="0.35">
      <c r="A146" t="s">
        <v>20</v>
      </c>
      <c r="B146">
        <v>17646</v>
      </c>
      <c r="C146" t="s">
        <v>666</v>
      </c>
      <c r="D146" t="s">
        <v>667</v>
      </c>
      <c r="E146" t="s">
        <v>7031</v>
      </c>
      <c r="F146" t="s">
        <v>7358</v>
      </c>
      <c r="G146" t="s">
        <v>7359</v>
      </c>
      <c r="H146" t="s">
        <v>7360</v>
      </c>
      <c r="I146" t="s">
        <v>809</v>
      </c>
      <c r="N146" t="s">
        <v>33</v>
      </c>
    </row>
    <row r="147" spans="1:14" x14ac:dyDescent="0.35">
      <c r="A147" t="s">
        <v>20</v>
      </c>
      <c r="B147">
        <v>17646</v>
      </c>
      <c r="C147" t="s">
        <v>666</v>
      </c>
      <c r="D147" t="s">
        <v>667</v>
      </c>
      <c r="E147" t="s">
        <v>7035</v>
      </c>
      <c r="F147" t="s">
        <v>7361</v>
      </c>
      <c r="G147" t="s">
        <v>7362</v>
      </c>
      <c r="H147" t="s">
        <v>7363</v>
      </c>
      <c r="I147" t="s">
        <v>809</v>
      </c>
      <c r="N147" t="s">
        <v>33</v>
      </c>
    </row>
    <row r="148" spans="1:14" x14ac:dyDescent="0.35">
      <c r="A148" t="s">
        <v>20</v>
      </c>
      <c r="B148">
        <v>17646</v>
      </c>
      <c r="C148" t="s">
        <v>666</v>
      </c>
      <c r="D148" t="s">
        <v>667</v>
      </c>
      <c r="E148" t="s">
        <v>7364</v>
      </c>
      <c r="F148" t="s">
        <v>7365</v>
      </c>
      <c r="G148" t="s">
        <v>7366</v>
      </c>
      <c r="H148" t="s">
        <v>7367</v>
      </c>
      <c r="I148" t="s">
        <v>809</v>
      </c>
      <c r="N148" t="s">
        <v>33</v>
      </c>
    </row>
    <row r="149" spans="1:14" x14ac:dyDescent="0.35">
      <c r="A149" t="s">
        <v>20</v>
      </c>
      <c r="B149">
        <v>17646</v>
      </c>
      <c r="C149" t="s">
        <v>666</v>
      </c>
      <c r="D149" t="s">
        <v>667</v>
      </c>
      <c r="E149" t="s">
        <v>7368</v>
      </c>
      <c r="F149" t="s">
        <v>2911</v>
      </c>
      <c r="G149" t="s">
        <v>2912</v>
      </c>
      <c r="H149" t="s">
        <v>2913</v>
      </c>
      <c r="I149" t="s">
        <v>809</v>
      </c>
      <c r="N149" t="s">
        <v>33</v>
      </c>
    </row>
    <row r="150" spans="1:14" x14ac:dyDescent="0.35">
      <c r="A150" t="s">
        <v>20</v>
      </c>
      <c r="B150">
        <v>17646</v>
      </c>
      <c r="C150" t="s">
        <v>666</v>
      </c>
      <c r="D150" t="s">
        <v>667</v>
      </c>
      <c r="E150" t="s">
        <v>7369</v>
      </c>
      <c r="F150" t="s">
        <v>1627</v>
      </c>
      <c r="G150" t="s">
        <v>1628</v>
      </c>
      <c r="H150" t="s">
        <v>1629</v>
      </c>
      <c r="I150" t="s">
        <v>809</v>
      </c>
      <c r="N150" t="s">
        <v>33</v>
      </c>
    </row>
    <row r="151" spans="1:14" x14ac:dyDescent="0.35">
      <c r="A151" t="s">
        <v>20</v>
      </c>
      <c r="B151">
        <v>17645</v>
      </c>
      <c r="C151" t="s">
        <v>949</v>
      </c>
      <c r="D151" t="s">
        <v>950</v>
      </c>
      <c r="E151" t="s">
        <v>6935</v>
      </c>
      <c r="F151" t="s">
        <v>7370</v>
      </c>
      <c r="G151" t="s">
        <v>7371</v>
      </c>
      <c r="H151" t="s">
        <v>7372</v>
      </c>
      <c r="I151" t="s">
        <v>954</v>
      </c>
      <c r="J151" t="s">
        <v>1537</v>
      </c>
      <c r="N151" t="s">
        <v>33</v>
      </c>
    </row>
    <row r="152" spans="1:14" x14ac:dyDescent="0.35">
      <c r="A152" t="s">
        <v>20</v>
      </c>
      <c r="B152">
        <v>17645</v>
      </c>
      <c r="C152" t="s">
        <v>949</v>
      </c>
      <c r="D152" t="s">
        <v>950</v>
      </c>
      <c r="E152" t="s">
        <v>6936</v>
      </c>
      <c r="F152" t="s">
        <v>7373</v>
      </c>
      <c r="G152" t="s">
        <v>7374</v>
      </c>
      <c r="H152" t="s">
        <v>7375</v>
      </c>
      <c r="I152" t="s">
        <v>954</v>
      </c>
      <c r="N152" t="s">
        <v>33</v>
      </c>
    </row>
    <row r="153" spans="1:14" x14ac:dyDescent="0.35">
      <c r="A153" t="s">
        <v>20</v>
      </c>
      <c r="B153">
        <v>17645</v>
      </c>
      <c r="C153" t="s">
        <v>949</v>
      </c>
      <c r="D153" t="s">
        <v>950</v>
      </c>
      <c r="E153" t="s">
        <v>6940</v>
      </c>
      <c r="F153" t="s">
        <v>7376</v>
      </c>
      <c r="G153" t="s">
        <v>7377</v>
      </c>
      <c r="H153" t="s">
        <v>7378</v>
      </c>
      <c r="I153" t="s">
        <v>954</v>
      </c>
      <c r="N153" t="s">
        <v>33</v>
      </c>
    </row>
    <row r="154" spans="1:14" x14ac:dyDescent="0.35">
      <c r="A154" t="s">
        <v>20</v>
      </c>
      <c r="B154">
        <v>17645</v>
      </c>
      <c r="C154" t="s">
        <v>949</v>
      </c>
      <c r="D154" t="s">
        <v>950</v>
      </c>
      <c r="E154" t="s">
        <v>6944</v>
      </c>
      <c r="F154" t="s">
        <v>7379</v>
      </c>
      <c r="G154" t="s">
        <v>7380</v>
      </c>
      <c r="H154" t="s">
        <v>7381</v>
      </c>
      <c r="I154" t="s">
        <v>954</v>
      </c>
      <c r="N154" t="s">
        <v>33</v>
      </c>
    </row>
    <row r="155" spans="1:14" x14ac:dyDescent="0.35">
      <c r="A155" t="s">
        <v>20</v>
      </c>
      <c r="B155">
        <v>17645</v>
      </c>
      <c r="C155" t="s">
        <v>949</v>
      </c>
      <c r="D155" t="s">
        <v>950</v>
      </c>
      <c r="E155" t="s">
        <v>6948</v>
      </c>
      <c r="F155" t="s">
        <v>7382</v>
      </c>
      <c r="G155" t="s">
        <v>7383</v>
      </c>
      <c r="H155" t="s">
        <v>7384</v>
      </c>
      <c r="I155" t="s">
        <v>954</v>
      </c>
      <c r="N155" t="s">
        <v>33</v>
      </c>
    </row>
    <row r="156" spans="1:14" x14ac:dyDescent="0.35">
      <c r="A156" t="s">
        <v>20</v>
      </c>
      <c r="B156">
        <v>17645</v>
      </c>
      <c r="C156" t="s">
        <v>949</v>
      </c>
      <c r="D156" t="s">
        <v>950</v>
      </c>
      <c r="E156" t="s">
        <v>6952</v>
      </c>
      <c r="F156" t="s">
        <v>7385</v>
      </c>
      <c r="G156" t="s">
        <v>7386</v>
      </c>
      <c r="H156" t="s">
        <v>7387</v>
      </c>
      <c r="I156" t="s">
        <v>954</v>
      </c>
      <c r="N156" t="s">
        <v>33</v>
      </c>
    </row>
    <row r="157" spans="1:14" x14ac:dyDescent="0.35">
      <c r="A157" t="s">
        <v>20</v>
      </c>
      <c r="B157">
        <v>17645</v>
      </c>
      <c r="C157" t="s">
        <v>949</v>
      </c>
      <c r="D157" t="s">
        <v>950</v>
      </c>
      <c r="E157" t="s">
        <v>6953</v>
      </c>
      <c r="F157" t="s">
        <v>7388</v>
      </c>
      <c r="G157" t="s">
        <v>7389</v>
      </c>
      <c r="H157" t="s">
        <v>7390</v>
      </c>
      <c r="I157" t="s">
        <v>954</v>
      </c>
      <c r="N157" t="s">
        <v>33</v>
      </c>
    </row>
    <row r="158" spans="1:14" x14ac:dyDescent="0.35">
      <c r="A158" t="s">
        <v>20</v>
      </c>
      <c r="B158">
        <v>17645</v>
      </c>
      <c r="C158" t="s">
        <v>949</v>
      </c>
      <c r="D158" t="s">
        <v>950</v>
      </c>
      <c r="E158" t="s">
        <v>6957</v>
      </c>
      <c r="F158" t="s">
        <v>1589</v>
      </c>
      <c r="G158" t="s">
        <v>1590</v>
      </c>
      <c r="H158" t="s">
        <v>1591</v>
      </c>
      <c r="I158" t="s">
        <v>954</v>
      </c>
      <c r="J158" t="s">
        <v>1537</v>
      </c>
      <c r="N158" t="s">
        <v>33</v>
      </c>
    </row>
    <row r="159" spans="1:14" x14ac:dyDescent="0.35">
      <c r="A159" t="s">
        <v>20</v>
      </c>
      <c r="B159">
        <v>17645</v>
      </c>
      <c r="C159" t="s">
        <v>949</v>
      </c>
      <c r="D159" t="s">
        <v>950</v>
      </c>
      <c r="E159" t="s">
        <v>6961</v>
      </c>
      <c r="F159" t="s">
        <v>7391</v>
      </c>
      <c r="G159" t="s">
        <v>7392</v>
      </c>
      <c r="H159" t="s">
        <v>7393</v>
      </c>
      <c r="I159" t="s">
        <v>954</v>
      </c>
      <c r="N159" t="s">
        <v>33</v>
      </c>
    </row>
    <row r="160" spans="1:14" x14ac:dyDescent="0.35">
      <c r="A160" t="s">
        <v>20</v>
      </c>
      <c r="B160">
        <v>17645</v>
      </c>
      <c r="C160" t="s">
        <v>949</v>
      </c>
      <c r="D160" t="s">
        <v>950</v>
      </c>
      <c r="E160" t="s">
        <v>6965</v>
      </c>
      <c r="F160" t="s">
        <v>7394</v>
      </c>
      <c r="G160" t="s">
        <v>7395</v>
      </c>
      <c r="H160" t="s">
        <v>7396</v>
      </c>
      <c r="I160" t="s">
        <v>954</v>
      </c>
      <c r="N160" t="s">
        <v>33</v>
      </c>
    </row>
    <row r="161" spans="1:14" x14ac:dyDescent="0.35">
      <c r="A161" t="s">
        <v>20</v>
      </c>
      <c r="B161">
        <v>17645</v>
      </c>
      <c r="C161" t="s">
        <v>949</v>
      </c>
      <c r="D161" t="s">
        <v>950</v>
      </c>
      <c r="E161" t="s">
        <v>6973</v>
      </c>
      <c r="F161" t="s">
        <v>2970</v>
      </c>
      <c r="G161" t="s">
        <v>2971</v>
      </c>
      <c r="H161" t="s">
        <v>2972</v>
      </c>
      <c r="I161" t="s">
        <v>954</v>
      </c>
      <c r="N161" t="s">
        <v>33</v>
      </c>
    </row>
    <row r="162" spans="1:14" x14ac:dyDescent="0.35">
      <c r="A162" t="s">
        <v>20</v>
      </c>
      <c r="B162">
        <v>17645</v>
      </c>
      <c r="C162" t="s">
        <v>949</v>
      </c>
      <c r="D162" t="s">
        <v>950</v>
      </c>
      <c r="E162" t="s">
        <v>6969</v>
      </c>
      <c r="F162" t="s">
        <v>988</v>
      </c>
      <c r="G162" t="s">
        <v>989</v>
      </c>
      <c r="H162" t="s">
        <v>1631</v>
      </c>
      <c r="I162" t="s">
        <v>954</v>
      </c>
      <c r="J162" t="s">
        <v>1537</v>
      </c>
      <c r="N162" t="s">
        <v>33</v>
      </c>
    </row>
    <row r="163" spans="1:14" x14ac:dyDescent="0.35">
      <c r="A163" t="s">
        <v>20</v>
      </c>
      <c r="B163">
        <v>17645</v>
      </c>
      <c r="C163" t="s">
        <v>949</v>
      </c>
      <c r="D163" t="s">
        <v>950</v>
      </c>
      <c r="E163" t="s">
        <v>6977</v>
      </c>
      <c r="F163" t="s">
        <v>7397</v>
      </c>
      <c r="G163" t="s">
        <v>7398</v>
      </c>
      <c r="H163" t="s">
        <v>7399</v>
      </c>
      <c r="I163" t="s">
        <v>954</v>
      </c>
      <c r="N163" t="s">
        <v>33</v>
      </c>
    </row>
    <row r="164" spans="1:14" x14ac:dyDescent="0.35">
      <c r="A164" t="s">
        <v>20</v>
      </c>
      <c r="B164">
        <v>17645</v>
      </c>
      <c r="C164" t="s">
        <v>949</v>
      </c>
      <c r="D164" t="s">
        <v>950</v>
      </c>
      <c r="E164" t="s">
        <v>6981</v>
      </c>
      <c r="F164" t="s">
        <v>7400</v>
      </c>
      <c r="G164" t="s">
        <v>7401</v>
      </c>
      <c r="H164" t="s">
        <v>7402</v>
      </c>
      <c r="I164" t="s">
        <v>954</v>
      </c>
      <c r="N164" t="s">
        <v>33</v>
      </c>
    </row>
    <row r="165" spans="1:14" x14ac:dyDescent="0.35">
      <c r="A165" t="s">
        <v>20</v>
      </c>
      <c r="B165">
        <v>17645</v>
      </c>
      <c r="C165" t="s">
        <v>949</v>
      </c>
      <c r="D165" t="s">
        <v>950</v>
      </c>
      <c r="E165" t="s">
        <v>6985</v>
      </c>
      <c r="F165" t="s">
        <v>7403</v>
      </c>
      <c r="G165" t="s">
        <v>7404</v>
      </c>
      <c r="H165" t="s">
        <v>7405</v>
      </c>
      <c r="I165" t="s">
        <v>954</v>
      </c>
      <c r="N165" t="s">
        <v>33</v>
      </c>
    </row>
    <row r="166" spans="1:14" x14ac:dyDescent="0.35">
      <c r="A166" t="s">
        <v>20</v>
      </c>
      <c r="B166">
        <v>17645</v>
      </c>
      <c r="C166" t="s">
        <v>949</v>
      </c>
      <c r="D166" t="s">
        <v>950</v>
      </c>
      <c r="E166" t="s">
        <v>6986</v>
      </c>
      <c r="F166" t="s">
        <v>7406</v>
      </c>
      <c r="G166" t="s">
        <v>7407</v>
      </c>
      <c r="H166" t="s">
        <v>7408</v>
      </c>
      <c r="I166" t="s">
        <v>954</v>
      </c>
      <c r="J166" t="s">
        <v>1537</v>
      </c>
      <c r="N166" t="s">
        <v>33</v>
      </c>
    </row>
    <row r="167" spans="1:14" x14ac:dyDescent="0.35">
      <c r="A167" t="s">
        <v>20</v>
      </c>
      <c r="B167">
        <v>17645</v>
      </c>
      <c r="C167" t="s">
        <v>949</v>
      </c>
      <c r="D167" t="s">
        <v>950</v>
      </c>
      <c r="E167" t="s">
        <v>6990</v>
      </c>
      <c r="F167" t="s">
        <v>7409</v>
      </c>
      <c r="G167" t="s">
        <v>7410</v>
      </c>
      <c r="H167" t="s">
        <v>7411</v>
      </c>
      <c r="I167" t="s">
        <v>954</v>
      </c>
      <c r="J167" t="s">
        <v>1537</v>
      </c>
      <c r="N167" t="s">
        <v>33</v>
      </c>
    </row>
    <row r="168" spans="1:14" x14ac:dyDescent="0.35">
      <c r="A168" t="s">
        <v>20</v>
      </c>
      <c r="B168">
        <v>17645</v>
      </c>
      <c r="C168" t="s">
        <v>949</v>
      </c>
      <c r="D168" t="s">
        <v>950</v>
      </c>
      <c r="E168" t="s">
        <v>6994</v>
      </c>
      <c r="F168" t="s">
        <v>7412</v>
      </c>
      <c r="G168" t="s">
        <v>7413</v>
      </c>
      <c r="H168" t="s">
        <v>7414</v>
      </c>
      <c r="I168" t="s">
        <v>954</v>
      </c>
      <c r="N168" t="s">
        <v>33</v>
      </c>
    </row>
    <row r="169" spans="1:14" x14ac:dyDescent="0.35">
      <c r="A169" t="s">
        <v>20</v>
      </c>
      <c r="B169">
        <v>17645</v>
      </c>
      <c r="C169" t="s">
        <v>949</v>
      </c>
      <c r="D169" t="s">
        <v>950</v>
      </c>
      <c r="E169" t="s">
        <v>6998</v>
      </c>
      <c r="F169" t="s">
        <v>1632</v>
      </c>
      <c r="G169" t="s">
        <v>1633</v>
      </c>
      <c r="H169" t="s">
        <v>1634</v>
      </c>
      <c r="I169" t="s">
        <v>954</v>
      </c>
      <c r="J169" t="s">
        <v>1537</v>
      </c>
      <c r="N169" t="s">
        <v>33</v>
      </c>
    </row>
    <row r="170" spans="1:14" x14ac:dyDescent="0.35">
      <c r="A170" t="s">
        <v>20</v>
      </c>
      <c r="B170">
        <v>17645</v>
      </c>
      <c r="C170" t="s">
        <v>949</v>
      </c>
      <c r="D170" t="s">
        <v>950</v>
      </c>
      <c r="E170" t="s">
        <v>7002</v>
      </c>
      <c r="F170" t="s">
        <v>7415</v>
      </c>
      <c r="G170" t="s">
        <v>7416</v>
      </c>
      <c r="H170" t="s">
        <v>7417</v>
      </c>
      <c r="I170" t="s">
        <v>954</v>
      </c>
      <c r="N170" t="s">
        <v>33</v>
      </c>
    </row>
    <row r="171" spans="1:14" x14ac:dyDescent="0.35">
      <c r="A171" t="s">
        <v>20</v>
      </c>
      <c r="B171">
        <v>17645</v>
      </c>
      <c r="C171" t="s">
        <v>949</v>
      </c>
      <c r="D171" t="s">
        <v>950</v>
      </c>
      <c r="E171" t="s">
        <v>7006</v>
      </c>
      <c r="F171" t="s">
        <v>7418</v>
      </c>
      <c r="G171" t="s">
        <v>7419</v>
      </c>
      <c r="H171" t="s">
        <v>7420</v>
      </c>
      <c r="I171" t="s">
        <v>954</v>
      </c>
      <c r="N171" t="s">
        <v>33</v>
      </c>
    </row>
    <row r="172" spans="1:14" x14ac:dyDescent="0.35">
      <c r="A172" t="s">
        <v>20</v>
      </c>
      <c r="B172">
        <v>17645</v>
      </c>
      <c r="C172" t="s">
        <v>949</v>
      </c>
      <c r="D172" t="s">
        <v>950</v>
      </c>
      <c r="E172" t="s">
        <v>7010</v>
      </c>
      <c r="F172" t="s">
        <v>7421</v>
      </c>
      <c r="G172" t="s">
        <v>7422</v>
      </c>
      <c r="H172" t="s">
        <v>7423</v>
      </c>
      <c r="I172" t="s">
        <v>954</v>
      </c>
      <c r="N172" t="s">
        <v>33</v>
      </c>
    </row>
    <row r="173" spans="1:14" x14ac:dyDescent="0.35">
      <c r="A173" t="s">
        <v>20</v>
      </c>
      <c r="B173">
        <v>17645</v>
      </c>
      <c r="C173" t="s">
        <v>949</v>
      </c>
      <c r="D173" t="s">
        <v>950</v>
      </c>
      <c r="E173" t="s">
        <v>7014</v>
      </c>
      <c r="F173" t="s">
        <v>7424</v>
      </c>
      <c r="G173" t="s">
        <v>7425</v>
      </c>
      <c r="H173" t="s">
        <v>7426</v>
      </c>
      <c r="I173" t="s">
        <v>954</v>
      </c>
      <c r="N173" t="s">
        <v>33</v>
      </c>
    </row>
    <row r="174" spans="1:14" x14ac:dyDescent="0.35">
      <c r="A174" t="s">
        <v>20</v>
      </c>
      <c r="B174">
        <v>17645</v>
      </c>
      <c r="C174" t="s">
        <v>949</v>
      </c>
      <c r="D174" t="s">
        <v>950</v>
      </c>
      <c r="E174" t="s">
        <v>7018</v>
      </c>
      <c r="F174" t="s">
        <v>7427</v>
      </c>
      <c r="G174" t="s">
        <v>7428</v>
      </c>
      <c r="H174" t="s">
        <v>7429</v>
      </c>
      <c r="I174" t="s">
        <v>954</v>
      </c>
      <c r="N174" t="s">
        <v>33</v>
      </c>
    </row>
    <row r="175" spans="1:14" x14ac:dyDescent="0.35">
      <c r="A175" t="s">
        <v>20</v>
      </c>
      <c r="B175">
        <v>17645</v>
      </c>
      <c r="C175" t="s">
        <v>949</v>
      </c>
      <c r="D175" t="s">
        <v>950</v>
      </c>
      <c r="E175" t="s">
        <v>7019</v>
      </c>
      <c r="F175" t="s">
        <v>7430</v>
      </c>
      <c r="G175" t="s">
        <v>7431</v>
      </c>
      <c r="H175" t="s">
        <v>7432</v>
      </c>
      <c r="I175" t="s">
        <v>954</v>
      </c>
      <c r="N175" t="s">
        <v>33</v>
      </c>
    </row>
    <row r="176" spans="1:14" x14ac:dyDescent="0.35">
      <c r="A176" t="s">
        <v>20</v>
      </c>
      <c r="B176">
        <v>17645</v>
      </c>
      <c r="C176" t="s">
        <v>949</v>
      </c>
      <c r="D176" t="s">
        <v>950</v>
      </c>
      <c r="E176" t="s">
        <v>7023</v>
      </c>
      <c r="F176" t="s">
        <v>7433</v>
      </c>
      <c r="G176" t="s">
        <v>7434</v>
      </c>
      <c r="H176" t="s">
        <v>7435</v>
      </c>
      <c r="I176" t="s">
        <v>954</v>
      </c>
      <c r="N176" t="s">
        <v>33</v>
      </c>
    </row>
    <row r="177" spans="1:14" x14ac:dyDescent="0.35">
      <c r="A177" t="s">
        <v>20</v>
      </c>
      <c r="B177">
        <v>17645</v>
      </c>
      <c r="C177" t="s">
        <v>949</v>
      </c>
      <c r="D177" t="s">
        <v>950</v>
      </c>
      <c r="E177" t="s">
        <v>7027</v>
      </c>
      <c r="F177" t="s">
        <v>7436</v>
      </c>
      <c r="G177" t="s">
        <v>7437</v>
      </c>
      <c r="H177" t="s">
        <v>7438</v>
      </c>
      <c r="I177" t="s">
        <v>954</v>
      </c>
      <c r="N177" t="s">
        <v>33</v>
      </c>
    </row>
    <row r="178" spans="1:14" x14ac:dyDescent="0.35">
      <c r="A178" t="s">
        <v>20</v>
      </c>
      <c r="B178">
        <v>17645</v>
      </c>
      <c r="C178" t="s">
        <v>949</v>
      </c>
      <c r="D178" t="s">
        <v>950</v>
      </c>
      <c r="E178" t="s">
        <v>7031</v>
      </c>
      <c r="F178" t="s">
        <v>7439</v>
      </c>
      <c r="G178" t="s">
        <v>7440</v>
      </c>
      <c r="H178" t="s">
        <v>7441</v>
      </c>
      <c r="I178" t="s">
        <v>954</v>
      </c>
      <c r="N178" t="s">
        <v>33</v>
      </c>
    </row>
    <row r="179" spans="1:14" x14ac:dyDescent="0.35">
      <c r="A179" t="s">
        <v>20</v>
      </c>
      <c r="B179">
        <v>17645</v>
      </c>
      <c r="C179" t="s">
        <v>949</v>
      </c>
      <c r="D179" t="s">
        <v>950</v>
      </c>
      <c r="E179" t="s">
        <v>7035</v>
      </c>
      <c r="F179" t="s">
        <v>1592</v>
      </c>
      <c r="G179" t="s">
        <v>1593</v>
      </c>
      <c r="H179" t="s">
        <v>1594</v>
      </c>
      <c r="I179" t="s">
        <v>954</v>
      </c>
      <c r="J179" t="s">
        <v>1537</v>
      </c>
      <c r="N179" t="s">
        <v>33</v>
      </c>
    </row>
    <row r="180" spans="1:14" x14ac:dyDescent="0.35">
      <c r="A180" t="s">
        <v>20</v>
      </c>
      <c r="B180">
        <v>17645</v>
      </c>
      <c r="C180" t="s">
        <v>949</v>
      </c>
      <c r="D180" t="s">
        <v>950</v>
      </c>
      <c r="E180" t="s">
        <v>7364</v>
      </c>
      <c r="F180" t="s">
        <v>7442</v>
      </c>
      <c r="G180" t="s">
        <v>7443</v>
      </c>
      <c r="H180" t="s">
        <v>7444</v>
      </c>
      <c r="I180" t="s">
        <v>954</v>
      </c>
      <c r="N180" t="s">
        <v>33</v>
      </c>
    </row>
    <row r="181" spans="1:14" x14ac:dyDescent="0.35">
      <c r="A181" t="s">
        <v>20</v>
      </c>
      <c r="B181">
        <v>17645</v>
      </c>
      <c r="C181" t="s">
        <v>949</v>
      </c>
      <c r="D181" t="s">
        <v>950</v>
      </c>
      <c r="E181" t="s">
        <v>7369</v>
      </c>
      <c r="F181" t="s">
        <v>7445</v>
      </c>
      <c r="G181" t="s">
        <v>7446</v>
      </c>
      <c r="H181" t="s">
        <v>7447</v>
      </c>
      <c r="I181" t="s">
        <v>954</v>
      </c>
      <c r="N181" t="s">
        <v>33</v>
      </c>
    </row>
    <row r="182" spans="1:14" x14ac:dyDescent="0.35">
      <c r="A182" t="s">
        <v>20</v>
      </c>
      <c r="B182">
        <v>17645</v>
      </c>
      <c r="C182" t="s">
        <v>949</v>
      </c>
      <c r="D182" t="s">
        <v>950</v>
      </c>
      <c r="E182" t="s">
        <v>7368</v>
      </c>
      <c r="F182" t="s">
        <v>7448</v>
      </c>
      <c r="G182" t="s">
        <v>7449</v>
      </c>
      <c r="H182" t="s">
        <v>7450</v>
      </c>
      <c r="I182" t="s">
        <v>954</v>
      </c>
      <c r="N182" t="s">
        <v>33</v>
      </c>
    </row>
    <row r="183" spans="1:14" x14ac:dyDescent="0.35">
      <c r="A183" t="s">
        <v>20</v>
      </c>
      <c r="B183">
        <v>17645</v>
      </c>
      <c r="C183" t="s">
        <v>949</v>
      </c>
      <c r="D183" t="s">
        <v>950</v>
      </c>
      <c r="E183" t="s">
        <v>7451</v>
      </c>
      <c r="F183" t="s">
        <v>7452</v>
      </c>
      <c r="G183" t="s">
        <v>7453</v>
      </c>
      <c r="H183" t="s">
        <v>7454</v>
      </c>
      <c r="I183" t="s">
        <v>954</v>
      </c>
      <c r="N183" t="s">
        <v>33</v>
      </c>
    </row>
    <row r="184" spans="1:14" x14ac:dyDescent="0.35">
      <c r="A184" t="s">
        <v>20</v>
      </c>
      <c r="B184">
        <v>17645</v>
      </c>
      <c r="C184" t="s">
        <v>949</v>
      </c>
      <c r="D184" t="s">
        <v>950</v>
      </c>
      <c r="E184" t="s">
        <v>7039</v>
      </c>
      <c r="F184" t="s">
        <v>7455</v>
      </c>
      <c r="G184" t="s">
        <v>7456</v>
      </c>
      <c r="H184" t="s">
        <v>7457</v>
      </c>
      <c r="I184" t="s">
        <v>1090</v>
      </c>
      <c r="J184" t="s">
        <v>1537</v>
      </c>
      <c r="K184" t="s">
        <v>61</v>
      </c>
      <c r="L184" t="s">
        <v>90</v>
      </c>
      <c r="M184" t="s">
        <v>1686</v>
      </c>
      <c r="N184" t="s">
        <v>33</v>
      </c>
    </row>
    <row r="185" spans="1:14" x14ac:dyDescent="0.35">
      <c r="A185" t="s">
        <v>20</v>
      </c>
      <c r="B185">
        <v>17645</v>
      </c>
      <c r="C185" t="s">
        <v>949</v>
      </c>
      <c r="D185" t="s">
        <v>950</v>
      </c>
      <c r="E185" t="s">
        <v>7043</v>
      </c>
      <c r="F185" t="s">
        <v>7458</v>
      </c>
      <c r="G185" t="s">
        <v>7459</v>
      </c>
      <c r="H185" t="s">
        <v>7460</v>
      </c>
      <c r="I185" t="s">
        <v>1090</v>
      </c>
      <c r="J185" t="s">
        <v>1537</v>
      </c>
      <c r="L185" t="s">
        <v>90</v>
      </c>
      <c r="N185" t="s">
        <v>33</v>
      </c>
    </row>
    <row r="186" spans="1:14" x14ac:dyDescent="0.35">
      <c r="A186" t="s">
        <v>20</v>
      </c>
      <c r="B186">
        <v>17645</v>
      </c>
      <c r="C186" t="s">
        <v>949</v>
      </c>
      <c r="D186" t="s">
        <v>950</v>
      </c>
      <c r="E186" t="s">
        <v>7047</v>
      </c>
      <c r="F186" t="s">
        <v>1595</v>
      </c>
      <c r="G186" t="s">
        <v>1596</v>
      </c>
      <c r="H186" t="s">
        <v>1597</v>
      </c>
      <c r="I186" t="s">
        <v>1090</v>
      </c>
      <c r="J186" t="s">
        <v>1537</v>
      </c>
      <c r="K186" t="s">
        <v>61</v>
      </c>
      <c r="L186" t="s">
        <v>7202</v>
      </c>
      <c r="N186" t="s">
        <v>33</v>
      </c>
    </row>
    <row r="187" spans="1:14" x14ac:dyDescent="0.35">
      <c r="A187" t="s">
        <v>20</v>
      </c>
      <c r="B187">
        <v>17645</v>
      </c>
      <c r="C187" t="s">
        <v>949</v>
      </c>
      <c r="D187" t="s">
        <v>950</v>
      </c>
      <c r="E187" t="s">
        <v>7048</v>
      </c>
      <c r="F187" t="s">
        <v>7461</v>
      </c>
      <c r="G187" t="s">
        <v>7462</v>
      </c>
      <c r="H187" t="s">
        <v>7463</v>
      </c>
      <c r="I187" t="s">
        <v>1090</v>
      </c>
      <c r="J187" t="s">
        <v>1607</v>
      </c>
      <c r="K187" t="s">
        <v>46</v>
      </c>
      <c r="L187" t="s">
        <v>41</v>
      </c>
      <c r="N187" t="s">
        <v>33</v>
      </c>
    </row>
    <row r="188" spans="1:14" x14ac:dyDescent="0.35">
      <c r="A188" t="s">
        <v>20</v>
      </c>
      <c r="B188">
        <v>17645</v>
      </c>
      <c r="C188" t="s">
        <v>949</v>
      </c>
      <c r="D188" t="s">
        <v>950</v>
      </c>
      <c r="E188" t="s">
        <v>7052</v>
      </c>
      <c r="F188" t="s">
        <v>7464</v>
      </c>
      <c r="G188" t="s">
        <v>7465</v>
      </c>
      <c r="H188" t="s">
        <v>7466</v>
      </c>
      <c r="I188" t="s">
        <v>1090</v>
      </c>
      <c r="N188" t="s">
        <v>33</v>
      </c>
    </row>
    <row r="189" spans="1:14" x14ac:dyDescent="0.35">
      <c r="A189" t="s">
        <v>20</v>
      </c>
      <c r="B189">
        <v>17645</v>
      </c>
      <c r="C189" t="s">
        <v>949</v>
      </c>
      <c r="D189" t="s">
        <v>950</v>
      </c>
      <c r="E189" t="s">
        <v>7056</v>
      </c>
      <c r="F189" t="s">
        <v>7467</v>
      </c>
      <c r="G189" t="s">
        <v>7468</v>
      </c>
      <c r="H189" t="s">
        <v>7469</v>
      </c>
      <c r="I189" t="s">
        <v>1090</v>
      </c>
      <c r="N189" t="s">
        <v>33</v>
      </c>
    </row>
    <row r="190" spans="1:14" x14ac:dyDescent="0.35">
      <c r="A190" t="s">
        <v>20</v>
      </c>
      <c r="B190">
        <v>17645</v>
      </c>
      <c r="C190" t="s">
        <v>949</v>
      </c>
      <c r="D190" t="s">
        <v>950</v>
      </c>
      <c r="E190" t="s">
        <v>7064</v>
      </c>
      <c r="F190" t="s">
        <v>2925</v>
      </c>
      <c r="G190" t="s">
        <v>2926</v>
      </c>
      <c r="H190" t="s">
        <v>2927</v>
      </c>
      <c r="I190" t="s">
        <v>1090</v>
      </c>
      <c r="N190" t="s">
        <v>33</v>
      </c>
    </row>
    <row r="191" spans="1:14" x14ac:dyDescent="0.35">
      <c r="A191" t="s">
        <v>20</v>
      </c>
      <c r="B191">
        <v>17645</v>
      </c>
      <c r="C191" t="s">
        <v>949</v>
      </c>
      <c r="D191" t="s">
        <v>950</v>
      </c>
      <c r="E191" t="s">
        <v>7060</v>
      </c>
      <c r="F191" t="s">
        <v>1635</v>
      </c>
      <c r="G191" t="s">
        <v>1636</v>
      </c>
      <c r="H191" t="s">
        <v>1637</v>
      </c>
      <c r="I191" t="s">
        <v>1090</v>
      </c>
      <c r="J191" t="s">
        <v>1537</v>
      </c>
      <c r="N191" t="s">
        <v>33</v>
      </c>
    </row>
    <row r="192" spans="1:14" x14ac:dyDescent="0.35">
      <c r="A192" t="s">
        <v>20</v>
      </c>
      <c r="B192">
        <v>17645</v>
      </c>
      <c r="C192" t="s">
        <v>949</v>
      </c>
      <c r="D192" t="s">
        <v>950</v>
      </c>
      <c r="E192" t="s">
        <v>7068</v>
      </c>
      <c r="F192" t="s">
        <v>7470</v>
      </c>
      <c r="G192" t="s">
        <v>7471</v>
      </c>
      <c r="H192" t="s">
        <v>7472</v>
      </c>
      <c r="I192" t="s">
        <v>1090</v>
      </c>
      <c r="J192" t="s">
        <v>1537</v>
      </c>
      <c r="N192" t="s">
        <v>33</v>
      </c>
    </row>
    <row r="193" spans="1:14" x14ac:dyDescent="0.35">
      <c r="A193" t="s">
        <v>20</v>
      </c>
      <c r="B193">
        <v>17645</v>
      </c>
      <c r="C193" t="s">
        <v>949</v>
      </c>
      <c r="D193" t="s">
        <v>950</v>
      </c>
      <c r="E193" t="s">
        <v>7072</v>
      </c>
      <c r="F193" t="s">
        <v>1639</v>
      </c>
      <c r="G193" t="s">
        <v>1640</v>
      </c>
      <c r="H193" t="s">
        <v>1641</v>
      </c>
      <c r="I193" t="s">
        <v>1090</v>
      </c>
      <c r="J193" t="s">
        <v>1537</v>
      </c>
      <c r="N193" t="s">
        <v>33</v>
      </c>
    </row>
    <row r="194" spans="1:14" x14ac:dyDescent="0.35">
      <c r="A194" t="s">
        <v>20</v>
      </c>
      <c r="B194">
        <v>17645</v>
      </c>
      <c r="C194" t="s">
        <v>949</v>
      </c>
      <c r="D194" t="s">
        <v>950</v>
      </c>
      <c r="E194" t="s">
        <v>7076</v>
      </c>
      <c r="F194" t="s">
        <v>7473</v>
      </c>
      <c r="G194" t="s">
        <v>7474</v>
      </c>
      <c r="H194" t="s">
        <v>7475</v>
      </c>
      <c r="I194" t="s">
        <v>1090</v>
      </c>
      <c r="N194" t="s">
        <v>33</v>
      </c>
    </row>
    <row r="195" spans="1:14" x14ac:dyDescent="0.35">
      <c r="A195" t="s">
        <v>20</v>
      </c>
      <c r="B195">
        <v>17645</v>
      </c>
      <c r="C195" t="s">
        <v>949</v>
      </c>
      <c r="D195" t="s">
        <v>950</v>
      </c>
      <c r="E195" t="s">
        <v>7080</v>
      </c>
      <c r="F195" t="s">
        <v>7476</v>
      </c>
      <c r="G195" t="s">
        <v>7477</v>
      </c>
      <c r="H195" t="s">
        <v>7478</v>
      </c>
      <c r="I195" t="s">
        <v>1090</v>
      </c>
      <c r="N195" t="s">
        <v>33</v>
      </c>
    </row>
    <row r="196" spans="1:14" x14ac:dyDescent="0.35">
      <c r="A196" t="s">
        <v>20</v>
      </c>
      <c r="B196">
        <v>17645</v>
      </c>
      <c r="C196" t="s">
        <v>949</v>
      </c>
      <c r="D196" t="s">
        <v>950</v>
      </c>
      <c r="E196" t="s">
        <v>7084</v>
      </c>
      <c r="F196" t="s">
        <v>1598</v>
      </c>
      <c r="G196" t="s">
        <v>1599</v>
      </c>
      <c r="H196" t="s">
        <v>1600</v>
      </c>
      <c r="I196" t="s">
        <v>1090</v>
      </c>
      <c r="J196" t="s">
        <v>1537</v>
      </c>
      <c r="N196" t="s">
        <v>33</v>
      </c>
    </row>
    <row r="197" spans="1:14" x14ac:dyDescent="0.35">
      <c r="A197" t="s">
        <v>20</v>
      </c>
      <c r="B197">
        <v>17645</v>
      </c>
      <c r="C197" t="s">
        <v>949</v>
      </c>
      <c r="D197" t="s">
        <v>950</v>
      </c>
      <c r="E197" t="s">
        <v>7088</v>
      </c>
      <c r="F197" t="s">
        <v>7479</v>
      </c>
      <c r="G197" t="s">
        <v>7480</v>
      </c>
      <c r="H197" t="s">
        <v>7481</v>
      </c>
      <c r="I197" t="s">
        <v>1090</v>
      </c>
      <c r="N197" t="s">
        <v>33</v>
      </c>
    </row>
    <row r="198" spans="1:14" x14ac:dyDescent="0.35">
      <c r="A198" t="s">
        <v>20</v>
      </c>
      <c r="B198">
        <v>17645</v>
      </c>
      <c r="C198" t="s">
        <v>949</v>
      </c>
      <c r="D198" t="s">
        <v>950</v>
      </c>
      <c r="E198" t="s">
        <v>7092</v>
      </c>
      <c r="F198" t="s">
        <v>7482</v>
      </c>
      <c r="G198" t="s">
        <v>7483</v>
      </c>
      <c r="H198" t="s">
        <v>7484</v>
      </c>
      <c r="I198" t="s">
        <v>1090</v>
      </c>
      <c r="N198" t="s">
        <v>33</v>
      </c>
    </row>
    <row r="199" spans="1:14" x14ac:dyDescent="0.35">
      <c r="A199" t="s">
        <v>20</v>
      </c>
      <c r="B199">
        <v>17645</v>
      </c>
      <c r="C199" t="s">
        <v>949</v>
      </c>
      <c r="D199" t="s">
        <v>950</v>
      </c>
      <c r="E199" t="s">
        <v>7096</v>
      </c>
      <c r="F199" t="s">
        <v>7485</v>
      </c>
      <c r="G199" t="s">
        <v>7486</v>
      </c>
      <c r="H199" t="s">
        <v>7487</v>
      </c>
      <c r="I199" t="s">
        <v>1090</v>
      </c>
      <c r="N199" t="s">
        <v>33</v>
      </c>
    </row>
    <row r="200" spans="1:14" x14ac:dyDescent="0.35">
      <c r="A200" t="s">
        <v>20</v>
      </c>
      <c r="B200">
        <v>17645</v>
      </c>
      <c r="C200" t="s">
        <v>949</v>
      </c>
      <c r="D200" t="s">
        <v>950</v>
      </c>
      <c r="E200" t="s">
        <v>7100</v>
      </c>
      <c r="F200" t="s">
        <v>7488</v>
      </c>
      <c r="G200" t="s">
        <v>7489</v>
      </c>
      <c r="H200" t="s">
        <v>7490</v>
      </c>
      <c r="I200" t="s">
        <v>1090</v>
      </c>
      <c r="N200" t="s">
        <v>33</v>
      </c>
    </row>
    <row r="201" spans="1:14" x14ac:dyDescent="0.35">
      <c r="A201" t="s">
        <v>20</v>
      </c>
      <c r="B201">
        <v>17645</v>
      </c>
      <c r="C201" t="s">
        <v>949</v>
      </c>
      <c r="D201" t="s">
        <v>950</v>
      </c>
      <c r="E201" t="s">
        <v>7104</v>
      </c>
      <c r="F201" t="s">
        <v>7491</v>
      </c>
      <c r="G201" t="s">
        <v>7492</v>
      </c>
      <c r="H201" t="s">
        <v>7493</v>
      </c>
      <c r="I201" t="s">
        <v>1090</v>
      </c>
      <c r="J201" t="s">
        <v>1537</v>
      </c>
      <c r="N201" t="s">
        <v>33</v>
      </c>
    </row>
    <row r="202" spans="1:14" x14ac:dyDescent="0.35">
      <c r="A202" t="s">
        <v>20</v>
      </c>
      <c r="B202">
        <v>17645</v>
      </c>
      <c r="C202" t="s">
        <v>949</v>
      </c>
      <c r="D202" t="s">
        <v>950</v>
      </c>
      <c r="E202" t="s">
        <v>7108</v>
      </c>
      <c r="F202" t="s">
        <v>1643</v>
      </c>
      <c r="G202" t="s">
        <v>1644</v>
      </c>
      <c r="H202" t="s">
        <v>1645</v>
      </c>
      <c r="I202" t="s">
        <v>1090</v>
      </c>
      <c r="J202" t="s">
        <v>1537</v>
      </c>
      <c r="N202" t="s">
        <v>33</v>
      </c>
    </row>
    <row r="203" spans="1:14" x14ac:dyDescent="0.35">
      <c r="A203" t="s">
        <v>20</v>
      </c>
      <c r="B203">
        <v>17645</v>
      </c>
      <c r="C203" t="s">
        <v>949</v>
      </c>
      <c r="D203" t="s">
        <v>950</v>
      </c>
      <c r="E203" t="s">
        <v>7112</v>
      </c>
      <c r="F203" t="s">
        <v>7494</v>
      </c>
      <c r="G203" t="s">
        <v>7495</v>
      </c>
      <c r="H203" t="s">
        <v>7496</v>
      </c>
      <c r="I203" t="s">
        <v>1090</v>
      </c>
      <c r="N203" t="s">
        <v>33</v>
      </c>
    </row>
    <row r="204" spans="1:14" x14ac:dyDescent="0.35">
      <c r="A204" t="s">
        <v>20</v>
      </c>
      <c r="B204">
        <v>17645</v>
      </c>
      <c r="C204" t="s">
        <v>949</v>
      </c>
      <c r="D204" t="s">
        <v>950</v>
      </c>
      <c r="E204" t="s">
        <v>7116</v>
      </c>
      <c r="F204" t="s">
        <v>7497</v>
      </c>
      <c r="G204" t="s">
        <v>7498</v>
      </c>
      <c r="H204" t="s">
        <v>7499</v>
      </c>
      <c r="I204" t="s">
        <v>1090</v>
      </c>
      <c r="N204" t="s">
        <v>33</v>
      </c>
    </row>
    <row r="205" spans="1:14" x14ac:dyDescent="0.35">
      <c r="A205" t="s">
        <v>20</v>
      </c>
      <c r="B205">
        <v>17645</v>
      </c>
      <c r="C205" t="s">
        <v>949</v>
      </c>
      <c r="D205" t="s">
        <v>950</v>
      </c>
      <c r="E205" t="s">
        <v>7120</v>
      </c>
      <c r="F205" t="s">
        <v>7500</v>
      </c>
      <c r="G205" t="s">
        <v>7501</v>
      </c>
      <c r="H205" t="s">
        <v>7502</v>
      </c>
      <c r="I205" t="s">
        <v>1090</v>
      </c>
      <c r="N205" t="s">
        <v>33</v>
      </c>
    </row>
    <row r="206" spans="1:14" x14ac:dyDescent="0.35">
      <c r="A206" t="s">
        <v>20</v>
      </c>
      <c r="B206">
        <v>17645</v>
      </c>
      <c r="C206" t="s">
        <v>949</v>
      </c>
      <c r="D206" t="s">
        <v>950</v>
      </c>
      <c r="E206" t="s">
        <v>7177</v>
      </c>
      <c r="F206" t="s">
        <v>1647</v>
      </c>
      <c r="G206" t="s">
        <v>1648</v>
      </c>
      <c r="H206" t="s">
        <v>1649</v>
      </c>
      <c r="I206" t="s">
        <v>1090</v>
      </c>
      <c r="J206" t="s">
        <v>1537</v>
      </c>
      <c r="N206" t="s">
        <v>33</v>
      </c>
    </row>
    <row r="207" spans="1:14" x14ac:dyDescent="0.35">
      <c r="A207" t="s">
        <v>20</v>
      </c>
      <c r="B207">
        <v>17645</v>
      </c>
      <c r="C207" t="s">
        <v>949</v>
      </c>
      <c r="D207" t="s">
        <v>950</v>
      </c>
      <c r="E207" t="s">
        <v>7503</v>
      </c>
      <c r="F207" t="s">
        <v>7504</v>
      </c>
      <c r="G207" t="s">
        <v>7505</v>
      </c>
      <c r="H207" t="s">
        <v>7506</v>
      </c>
      <c r="I207" t="s">
        <v>1090</v>
      </c>
      <c r="N207" t="s">
        <v>33</v>
      </c>
    </row>
    <row r="208" spans="1:14" x14ac:dyDescent="0.35">
      <c r="A208" t="s">
        <v>20</v>
      </c>
      <c r="B208">
        <v>17645</v>
      </c>
      <c r="C208" t="s">
        <v>949</v>
      </c>
      <c r="D208" t="s">
        <v>950</v>
      </c>
      <c r="E208" t="s">
        <v>7507</v>
      </c>
      <c r="F208" t="s">
        <v>7508</v>
      </c>
      <c r="G208" t="s">
        <v>7509</v>
      </c>
      <c r="H208" t="s">
        <v>7510</v>
      </c>
      <c r="I208" t="s">
        <v>1090</v>
      </c>
      <c r="N208" t="s">
        <v>33</v>
      </c>
    </row>
    <row r="209" spans="1:14" x14ac:dyDescent="0.35">
      <c r="A209" t="s">
        <v>20</v>
      </c>
      <c r="B209">
        <v>17645</v>
      </c>
      <c r="C209" t="s">
        <v>949</v>
      </c>
      <c r="D209" t="s">
        <v>950</v>
      </c>
      <c r="E209" t="s">
        <v>7511</v>
      </c>
      <c r="F209" t="s">
        <v>1651</v>
      </c>
      <c r="G209" t="s">
        <v>1652</v>
      </c>
      <c r="H209" t="s">
        <v>1653</v>
      </c>
      <c r="I209" t="s">
        <v>1090</v>
      </c>
      <c r="J209" t="s">
        <v>1537</v>
      </c>
      <c r="N209" t="s">
        <v>33</v>
      </c>
    </row>
    <row r="210" spans="1:14" x14ac:dyDescent="0.35">
      <c r="A210" t="s">
        <v>20</v>
      </c>
      <c r="B210">
        <v>17645</v>
      </c>
      <c r="C210" t="s">
        <v>949</v>
      </c>
      <c r="D210" t="s">
        <v>950</v>
      </c>
      <c r="E210" t="s">
        <v>7512</v>
      </c>
      <c r="F210" t="s">
        <v>7513</v>
      </c>
      <c r="G210" t="s">
        <v>7514</v>
      </c>
      <c r="H210" t="s">
        <v>7515</v>
      </c>
      <c r="I210" t="s">
        <v>1090</v>
      </c>
      <c r="N210" t="s">
        <v>33</v>
      </c>
    </row>
    <row r="211" spans="1:14" x14ac:dyDescent="0.35">
      <c r="A211" t="s">
        <v>20</v>
      </c>
      <c r="B211">
        <v>17645</v>
      </c>
      <c r="C211" t="s">
        <v>949</v>
      </c>
      <c r="D211" t="s">
        <v>950</v>
      </c>
      <c r="E211" t="s">
        <v>7516</v>
      </c>
      <c r="F211" t="s">
        <v>7517</v>
      </c>
      <c r="G211" t="s">
        <v>7518</v>
      </c>
      <c r="H211" t="s">
        <v>7519</v>
      </c>
      <c r="I211" t="s">
        <v>1090</v>
      </c>
      <c r="N211" t="s">
        <v>33</v>
      </c>
    </row>
    <row r="212" spans="1:14" x14ac:dyDescent="0.35">
      <c r="A212" t="s">
        <v>20</v>
      </c>
      <c r="B212">
        <v>17645</v>
      </c>
      <c r="C212" t="s">
        <v>949</v>
      </c>
      <c r="D212" t="s">
        <v>950</v>
      </c>
      <c r="E212" t="s">
        <v>7520</v>
      </c>
      <c r="F212" t="s">
        <v>1655</v>
      </c>
      <c r="G212" t="s">
        <v>1656</v>
      </c>
      <c r="H212" t="s">
        <v>1657</v>
      </c>
      <c r="I212" t="s">
        <v>1090</v>
      </c>
      <c r="J212" t="s">
        <v>1537</v>
      </c>
      <c r="N212" t="s">
        <v>33</v>
      </c>
    </row>
    <row r="213" spans="1:14" x14ac:dyDescent="0.35">
      <c r="A213" t="s">
        <v>20</v>
      </c>
      <c r="B213">
        <v>17645</v>
      </c>
      <c r="C213" t="s">
        <v>949</v>
      </c>
      <c r="D213" t="s">
        <v>950</v>
      </c>
      <c r="E213" t="s">
        <v>7521</v>
      </c>
      <c r="F213" t="s">
        <v>7522</v>
      </c>
      <c r="G213" t="s">
        <v>7523</v>
      </c>
      <c r="H213" t="s">
        <v>7524</v>
      </c>
      <c r="I213" t="s">
        <v>1090</v>
      </c>
      <c r="N213" t="s">
        <v>33</v>
      </c>
    </row>
    <row r="214" spans="1:14" x14ac:dyDescent="0.35">
      <c r="A214" t="s">
        <v>20</v>
      </c>
      <c r="B214">
        <v>17645</v>
      </c>
      <c r="C214" t="s">
        <v>949</v>
      </c>
      <c r="D214" t="s">
        <v>950</v>
      </c>
      <c r="E214" t="s">
        <v>7525</v>
      </c>
      <c r="F214" t="s">
        <v>1601</v>
      </c>
      <c r="G214" t="s">
        <v>1602</v>
      </c>
      <c r="H214" t="s">
        <v>1603</v>
      </c>
      <c r="I214" t="s">
        <v>1090</v>
      </c>
      <c r="J214" t="s">
        <v>1537</v>
      </c>
      <c r="N214" t="s">
        <v>33</v>
      </c>
    </row>
    <row r="215" spans="1:14" x14ac:dyDescent="0.35">
      <c r="A215" t="s">
        <v>20</v>
      </c>
      <c r="B215">
        <v>17645</v>
      </c>
      <c r="C215" t="s">
        <v>949</v>
      </c>
      <c r="D215" t="s">
        <v>950</v>
      </c>
      <c r="E215" t="s">
        <v>7526</v>
      </c>
      <c r="F215" t="s">
        <v>7527</v>
      </c>
      <c r="G215" t="s">
        <v>7528</v>
      </c>
      <c r="H215" t="s">
        <v>7529</v>
      </c>
      <c r="I215" t="s">
        <v>1090</v>
      </c>
      <c r="N215" t="s">
        <v>33</v>
      </c>
    </row>
    <row r="216" spans="1:14" x14ac:dyDescent="0.35">
      <c r="A216" t="s">
        <v>20</v>
      </c>
      <c r="B216">
        <v>17645</v>
      </c>
      <c r="C216" t="s">
        <v>949</v>
      </c>
      <c r="D216" t="s">
        <v>950</v>
      </c>
      <c r="E216" t="s">
        <v>7530</v>
      </c>
      <c r="F216" t="s">
        <v>7531</v>
      </c>
      <c r="G216" t="s">
        <v>7532</v>
      </c>
      <c r="H216" t="s">
        <v>7533</v>
      </c>
      <c r="I216" t="s">
        <v>1090</v>
      </c>
      <c r="N216" t="s">
        <v>33</v>
      </c>
    </row>
    <row r="217" spans="1:14" x14ac:dyDescent="0.35">
      <c r="A217" t="s">
        <v>20</v>
      </c>
      <c r="B217">
        <v>17645</v>
      </c>
      <c r="C217" t="s">
        <v>949</v>
      </c>
      <c r="D217" t="s">
        <v>950</v>
      </c>
      <c r="E217" t="s">
        <v>7534</v>
      </c>
      <c r="F217" t="s">
        <v>7535</v>
      </c>
      <c r="G217" t="s">
        <v>7536</v>
      </c>
      <c r="H217" t="s">
        <v>7537</v>
      </c>
      <c r="I217" t="s">
        <v>1090</v>
      </c>
      <c r="N217" t="s">
        <v>33</v>
      </c>
    </row>
    <row r="218" spans="1:14" x14ac:dyDescent="0.35">
      <c r="A218" t="s">
        <v>20</v>
      </c>
      <c r="B218">
        <v>17645</v>
      </c>
      <c r="C218" t="s">
        <v>949</v>
      </c>
      <c r="D218" t="s">
        <v>950</v>
      </c>
      <c r="E218" t="s">
        <v>7538</v>
      </c>
      <c r="F218" t="s">
        <v>7539</v>
      </c>
      <c r="G218" t="s">
        <v>7540</v>
      </c>
      <c r="H218" t="s">
        <v>7541</v>
      </c>
      <c r="I218" t="s">
        <v>1090</v>
      </c>
      <c r="N218" t="s">
        <v>33</v>
      </c>
    </row>
    <row r="219" spans="1:14" x14ac:dyDescent="0.35">
      <c r="A219" t="s">
        <v>20</v>
      </c>
      <c r="B219">
        <v>17647</v>
      </c>
      <c r="C219" t="s">
        <v>1252</v>
      </c>
      <c r="D219" t="s">
        <v>1253</v>
      </c>
      <c r="E219" t="s">
        <v>6935</v>
      </c>
      <c r="F219" t="s">
        <v>7542</v>
      </c>
      <c r="G219" t="s">
        <v>7543</v>
      </c>
      <c r="H219" t="s">
        <v>7544</v>
      </c>
      <c r="I219" t="s">
        <v>1257</v>
      </c>
      <c r="N219" t="s">
        <v>33</v>
      </c>
    </row>
    <row r="220" spans="1:14" x14ac:dyDescent="0.35">
      <c r="A220" t="s">
        <v>20</v>
      </c>
      <c r="B220">
        <v>17647</v>
      </c>
      <c r="C220" t="s">
        <v>1252</v>
      </c>
      <c r="D220" t="s">
        <v>1253</v>
      </c>
      <c r="E220" t="s">
        <v>6936</v>
      </c>
      <c r="F220" t="s">
        <v>1658</v>
      </c>
      <c r="G220" t="s">
        <v>1659</v>
      </c>
      <c r="H220" t="s">
        <v>1660</v>
      </c>
      <c r="I220" t="s">
        <v>1257</v>
      </c>
      <c r="J220" t="s">
        <v>1607</v>
      </c>
      <c r="N220" t="s">
        <v>33</v>
      </c>
    </row>
    <row r="221" spans="1:14" x14ac:dyDescent="0.35">
      <c r="A221" t="s">
        <v>20</v>
      </c>
      <c r="B221">
        <v>17647</v>
      </c>
      <c r="C221" t="s">
        <v>1252</v>
      </c>
      <c r="D221" t="s">
        <v>1253</v>
      </c>
      <c r="E221" t="s">
        <v>6940</v>
      </c>
      <c r="F221" t="s">
        <v>7545</v>
      </c>
      <c r="G221" t="s">
        <v>7546</v>
      </c>
      <c r="H221" t="s">
        <v>7547</v>
      </c>
      <c r="I221" t="s">
        <v>1257</v>
      </c>
      <c r="N221" t="s">
        <v>33</v>
      </c>
    </row>
    <row r="222" spans="1:14" x14ac:dyDescent="0.35">
      <c r="A222" t="s">
        <v>20</v>
      </c>
      <c r="B222">
        <v>17647</v>
      </c>
      <c r="C222" t="s">
        <v>1252</v>
      </c>
      <c r="D222" t="s">
        <v>1253</v>
      </c>
      <c r="E222" t="s">
        <v>6944</v>
      </c>
      <c r="F222" t="s">
        <v>1604</v>
      </c>
      <c r="G222" t="s">
        <v>1605</v>
      </c>
      <c r="H222" t="s">
        <v>1606</v>
      </c>
      <c r="I222" t="s">
        <v>1257</v>
      </c>
      <c r="J222" t="s">
        <v>1607</v>
      </c>
      <c r="N222" t="s">
        <v>33</v>
      </c>
    </row>
    <row r="223" spans="1:14" x14ac:dyDescent="0.35">
      <c r="A223" t="s">
        <v>20</v>
      </c>
      <c r="B223">
        <v>17647</v>
      </c>
      <c r="C223" t="s">
        <v>1252</v>
      </c>
      <c r="D223" t="s">
        <v>1253</v>
      </c>
      <c r="E223" t="s">
        <v>6948</v>
      </c>
      <c r="F223" t="s">
        <v>7548</v>
      </c>
      <c r="G223" t="s">
        <v>7549</v>
      </c>
      <c r="H223" t="s">
        <v>7550</v>
      </c>
      <c r="I223" t="s">
        <v>1257</v>
      </c>
      <c r="N223" t="s">
        <v>33</v>
      </c>
    </row>
    <row r="224" spans="1:14" x14ac:dyDescent="0.35">
      <c r="A224" t="s">
        <v>20</v>
      </c>
      <c r="B224">
        <v>17647</v>
      </c>
      <c r="C224" t="s">
        <v>1252</v>
      </c>
      <c r="D224" t="s">
        <v>1253</v>
      </c>
      <c r="E224" t="s">
        <v>6952</v>
      </c>
      <c r="F224" t="s">
        <v>7551</v>
      </c>
      <c r="G224" t="s">
        <v>7552</v>
      </c>
      <c r="H224" t="s">
        <v>7553</v>
      </c>
      <c r="I224" t="s">
        <v>1257</v>
      </c>
      <c r="N224" t="s">
        <v>33</v>
      </c>
    </row>
    <row r="225" spans="1:14" x14ac:dyDescent="0.35">
      <c r="A225" t="s">
        <v>20</v>
      </c>
      <c r="B225">
        <v>17647</v>
      </c>
      <c r="C225" t="s">
        <v>1252</v>
      </c>
      <c r="D225" t="s">
        <v>1253</v>
      </c>
      <c r="E225" t="s">
        <v>6953</v>
      </c>
      <c r="F225" t="s">
        <v>7554</v>
      </c>
      <c r="G225" t="s">
        <v>7555</v>
      </c>
      <c r="H225" t="s">
        <v>7556</v>
      </c>
      <c r="I225" t="s">
        <v>1257</v>
      </c>
      <c r="N225" t="s">
        <v>33</v>
      </c>
    </row>
    <row r="226" spans="1:14" x14ac:dyDescent="0.35">
      <c r="A226" t="s">
        <v>20</v>
      </c>
      <c r="B226">
        <v>17647</v>
      </c>
      <c r="C226" t="s">
        <v>1252</v>
      </c>
      <c r="D226" t="s">
        <v>1253</v>
      </c>
      <c r="E226" t="s">
        <v>6957</v>
      </c>
      <c r="F226" t="s">
        <v>7557</v>
      </c>
      <c r="G226" t="s">
        <v>7558</v>
      </c>
      <c r="H226" t="s">
        <v>7559</v>
      </c>
      <c r="I226" t="s">
        <v>1257</v>
      </c>
      <c r="N226" t="s">
        <v>33</v>
      </c>
    </row>
    <row r="227" spans="1:14" x14ac:dyDescent="0.35">
      <c r="A227" t="s">
        <v>20</v>
      </c>
      <c r="B227">
        <v>17647</v>
      </c>
      <c r="C227" t="s">
        <v>1252</v>
      </c>
      <c r="D227" t="s">
        <v>1253</v>
      </c>
      <c r="E227" t="s">
        <v>6961</v>
      </c>
      <c r="F227" t="s">
        <v>7560</v>
      </c>
      <c r="G227" t="s">
        <v>7561</v>
      </c>
      <c r="H227" t="s">
        <v>7562</v>
      </c>
      <c r="I227" t="s">
        <v>1257</v>
      </c>
      <c r="N227" t="s">
        <v>33</v>
      </c>
    </row>
    <row r="228" spans="1:14" x14ac:dyDescent="0.35">
      <c r="A228" t="s">
        <v>20</v>
      </c>
      <c r="B228">
        <v>17647</v>
      </c>
      <c r="C228" t="s">
        <v>1252</v>
      </c>
      <c r="D228" t="s">
        <v>1253</v>
      </c>
      <c r="E228" t="s">
        <v>6965</v>
      </c>
      <c r="F228" t="s">
        <v>7563</v>
      </c>
      <c r="G228" t="s">
        <v>7564</v>
      </c>
      <c r="H228" t="s">
        <v>7565</v>
      </c>
      <c r="I228" t="s">
        <v>1257</v>
      </c>
      <c r="N228" t="s">
        <v>33</v>
      </c>
    </row>
    <row r="229" spans="1:14" x14ac:dyDescent="0.35">
      <c r="A229" t="s">
        <v>20</v>
      </c>
      <c r="B229">
        <v>17647</v>
      </c>
      <c r="C229" t="s">
        <v>1252</v>
      </c>
      <c r="D229" t="s">
        <v>1253</v>
      </c>
      <c r="E229" t="s">
        <v>6969</v>
      </c>
      <c r="F229" t="s">
        <v>7566</v>
      </c>
      <c r="G229" t="s">
        <v>7567</v>
      </c>
      <c r="H229" t="s">
        <v>7568</v>
      </c>
      <c r="I229" t="s">
        <v>1257</v>
      </c>
      <c r="N229" t="s">
        <v>33</v>
      </c>
    </row>
    <row r="230" spans="1:14" x14ac:dyDescent="0.35">
      <c r="A230" t="s">
        <v>20</v>
      </c>
      <c r="B230">
        <v>17647</v>
      </c>
      <c r="C230" t="s">
        <v>1252</v>
      </c>
      <c r="D230" t="s">
        <v>1253</v>
      </c>
      <c r="E230" t="s">
        <v>6973</v>
      </c>
      <c r="F230" t="s">
        <v>7569</v>
      </c>
      <c r="G230" t="s">
        <v>7570</v>
      </c>
      <c r="H230" t="s">
        <v>7571</v>
      </c>
      <c r="I230" t="s">
        <v>1257</v>
      </c>
      <c r="N230" t="s">
        <v>33</v>
      </c>
    </row>
    <row r="231" spans="1:14" x14ac:dyDescent="0.35">
      <c r="A231" t="s">
        <v>20</v>
      </c>
      <c r="B231">
        <v>17647</v>
      </c>
      <c r="C231" t="s">
        <v>1252</v>
      </c>
      <c r="D231" t="s">
        <v>1253</v>
      </c>
      <c r="E231" t="s">
        <v>6977</v>
      </c>
      <c r="F231" t="s">
        <v>7572</v>
      </c>
      <c r="G231" t="s">
        <v>7573</v>
      </c>
      <c r="H231" t="s">
        <v>7574</v>
      </c>
      <c r="I231" t="s">
        <v>1257</v>
      </c>
      <c r="N231" t="s">
        <v>33</v>
      </c>
    </row>
    <row r="232" spans="1:14" x14ac:dyDescent="0.35">
      <c r="A232" t="s">
        <v>20</v>
      </c>
      <c r="B232">
        <v>17647</v>
      </c>
      <c r="C232" t="s">
        <v>1252</v>
      </c>
      <c r="D232" t="s">
        <v>1253</v>
      </c>
      <c r="E232" t="s">
        <v>6981</v>
      </c>
      <c r="F232" t="s">
        <v>7575</v>
      </c>
      <c r="G232" t="s">
        <v>7576</v>
      </c>
      <c r="H232" t="s">
        <v>7577</v>
      </c>
      <c r="I232" t="s">
        <v>1257</v>
      </c>
      <c r="N232" t="s">
        <v>33</v>
      </c>
    </row>
    <row r="233" spans="1:14" x14ac:dyDescent="0.35">
      <c r="A233" t="s">
        <v>20</v>
      </c>
      <c r="B233">
        <v>17647</v>
      </c>
      <c r="C233" t="s">
        <v>1252</v>
      </c>
      <c r="D233" t="s">
        <v>1253</v>
      </c>
      <c r="E233" t="s">
        <v>6985</v>
      </c>
      <c r="F233" t="s">
        <v>7578</v>
      </c>
      <c r="G233" t="s">
        <v>7579</v>
      </c>
      <c r="H233" t="s">
        <v>7580</v>
      </c>
      <c r="I233" t="s">
        <v>1257</v>
      </c>
      <c r="N233" t="s">
        <v>33</v>
      </c>
    </row>
    <row r="234" spans="1:14" x14ac:dyDescent="0.35">
      <c r="A234" t="s">
        <v>20</v>
      </c>
      <c r="B234">
        <v>17647</v>
      </c>
      <c r="C234" t="s">
        <v>1252</v>
      </c>
      <c r="D234" t="s">
        <v>1253</v>
      </c>
      <c r="E234" t="s">
        <v>6986</v>
      </c>
      <c r="F234" t="s">
        <v>7581</v>
      </c>
      <c r="G234" t="s">
        <v>7582</v>
      </c>
      <c r="H234" t="s">
        <v>7583</v>
      </c>
      <c r="I234" t="s">
        <v>1257</v>
      </c>
      <c r="N234" t="s">
        <v>33</v>
      </c>
    </row>
    <row r="235" spans="1:14" x14ac:dyDescent="0.35">
      <c r="A235" t="s">
        <v>20</v>
      </c>
      <c r="B235">
        <v>17647</v>
      </c>
      <c r="C235" t="s">
        <v>1252</v>
      </c>
      <c r="D235" t="s">
        <v>1253</v>
      </c>
      <c r="E235" t="s">
        <v>6990</v>
      </c>
      <c r="F235" t="s">
        <v>7584</v>
      </c>
      <c r="G235" t="s">
        <v>7585</v>
      </c>
      <c r="H235" t="s">
        <v>7586</v>
      </c>
      <c r="I235" t="s">
        <v>1257</v>
      </c>
      <c r="N235" t="s">
        <v>33</v>
      </c>
    </row>
    <row r="236" spans="1:14" x14ac:dyDescent="0.35">
      <c r="A236" t="s">
        <v>20</v>
      </c>
      <c r="B236">
        <v>17647</v>
      </c>
      <c r="C236" t="s">
        <v>1252</v>
      </c>
      <c r="D236" t="s">
        <v>1253</v>
      </c>
      <c r="E236" t="s">
        <v>6994</v>
      </c>
      <c r="F236" t="s">
        <v>7587</v>
      </c>
      <c r="G236" t="s">
        <v>7588</v>
      </c>
      <c r="H236" t="s">
        <v>7589</v>
      </c>
      <c r="I236" t="s">
        <v>1257</v>
      </c>
      <c r="N236" t="s">
        <v>33</v>
      </c>
    </row>
    <row r="237" spans="1:14" x14ac:dyDescent="0.35">
      <c r="A237" t="s">
        <v>20</v>
      </c>
      <c r="B237">
        <v>17647</v>
      </c>
      <c r="C237" t="s">
        <v>1252</v>
      </c>
      <c r="D237" t="s">
        <v>1253</v>
      </c>
      <c r="E237" t="s">
        <v>6998</v>
      </c>
      <c r="F237" t="s">
        <v>7590</v>
      </c>
      <c r="G237" t="s">
        <v>7591</v>
      </c>
      <c r="H237" t="s">
        <v>7592</v>
      </c>
      <c r="I237" t="s">
        <v>1257</v>
      </c>
      <c r="N237" t="s">
        <v>33</v>
      </c>
    </row>
    <row r="238" spans="1:14" x14ac:dyDescent="0.35">
      <c r="A238" t="s">
        <v>20</v>
      </c>
      <c r="B238">
        <v>17647</v>
      </c>
      <c r="C238" t="s">
        <v>1252</v>
      </c>
      <c r="D238" t="s">
        <v>1253</v>
      </c>
      <c r="E238" t="s">
        <v>7002</v>
      </c>
      <c r="F238" t="s">
        <v>7593</v>
      </c>
      <c r="G238" t="s">
        <v>7594</v>
      </c>
      <c r="H238" t="s">
        <v>7595</v>
      </c>
      <c r="I238" t="s">
        <v>1257</v>
      </c>
      <c r="N238" t="s">
        <v>33</v>
      </c>
    </row>
    <row r="239" spans="1:14" x14ac:dyDescent="0.35">
      <c r="A239" t="s">
        <v>20</v>
      </c>
      <c r="B239">
        <v>17647</v>
      </c>
      <c r="C239" t="s">
        <v>1252</v>
      </c>
      <c r="D239" t="s">
        <v>1253</v>
      </c>
      <c r="E239" t="s">
        <v>7006</v>
      </c>
      <c r="F239" t="s">
        <v>7596</v>
      </c>
      <c r="G239" t="s">
        <v>7597</v>
      </c>
      <c r="H239" t="s">
        <v>7598</v>
      </c>
      <c r="I239" t="s">
        <v>1257</v>
      </c>
      <c r="N239" t="s">
        <v>33</v>
      </c>
    </row>
    <row r="240" spans="1:14" x14ac:dyDescent="0.35">
      <c r="A240" t="s">
        <v>20</v>
      </c>
      <c r="B240">
        <v>17647</v>
      </c>
      <c r="C240" t="s">
        <v>1252</v>
      </c>
      <c r="D240" t="s">
        <v>1253</v>
      </c>
      <c r="E240" t="s">
        <v>7010</v>
      </c>
      <c r="F240" t="s">
        <v>7599</v>
      </c>
      <c r="G240" t="s">
        <v>7600</v>
      </c>
      <c r="H240" t="s">
        <v>7601</v>
      </c>
      <c r="I240" t="s">
        <v>1257</v>
      </c>
      <c r="N240" t="s">
        <v>33</v>
      </c>
    </row>
    <row r="241" spans="1:14" x14ac:dyDescent="0.35">
      <c r="A241" t="s">
        <v>20</v>
      </c>
      <c r="B241">
        <v>17647</v>
      </c>
      <c r="C241" t="s">
        <v>1252</v>
      </c>
      <c r="D241" t="s">
        <v>1253</v>
      </c>
      <c r="E241" t="s">
        <v>7014</v>
      </c>
      <c r="F241" t="s">
        <v>1608</v>
      </c>
      <c r="G241" t="s">
        <v>1609</v>
      </c>
      <c r="H241" t="s">
        <v>1610</v>
      </c>
      <c r="I241" t="s">
        <v>1257</v>
      </c>
      <c r="N241" t="s">
        <v>33</v>
      </c>
    </row>
    <row r="242" spans="1:14" x14ac:dyDescent="0.35">
      <c r="A242" t="s">
        <v>20</v>
      </c>
      <c r="B242">
        <v>17647</v>
      </c>
      <c r="C242" t="s">
        <v>1252</v>
      </c>
      <c r="D242" t="s">
        <v>1253</v>
      </c>
      <c r="E242" t="s">
        <v>7018</v>
      </c>
      <c r="F242" t="s">
        <v>7602</v>
      </c>
      <c r="G242" t="s">
        <v>7603</v>
      </c>
      <c r="H242" t="s">
        <v>7604</v>
      </c>
      <c r="I242" t="s">
        <v>1257</v>
      </c>
      <c r="N242" t="s">
        <v>33</v>
      </c>
    </row>
    <row r="243" spans="1:14" x14ac:dyDescent="0.35">
      <c r="A243" t="s">
        <v>20</v>
      </c>
      <c r="B243">
        <v>17647</v>
      </c>
      <c r="C243" t="s">
        <v>1252</v>
      </c>
      <c r="D243" t="s">
        <v>1253</v>
      </c>
      <c r="E243" t="s">
        <v>7019</v>
      </c>
      <c r="F243" t="s">
        <v>7605</v>
      </c>
      <c r="G243" t="s">
        <v>7606</v>
      </c>
      <c r="H243" t="s">
        <v>7607</v>
      </c>
      <c r="I243" t="s">
        <v>1257</v>
      </c>
      <c r="N243" t="s">
        <v>33</v>
      </c>
    </row>
    <row r="244" spans="1:14" x14ac:dyDescent="0.35">
      <c r="A244" t="s">
        <v>20</v>
      </c>
      <c r="B244">
        <v>17647</v>
      </c>
      <c r="C244" t="s">
        <v>1252</v>
      </c>
      <c r="D244" t="s">
        <v>1253</v>
      </c>
      <c r="E244" t="s">
        <v>7027</v>
      </c>
      <c r="F244" t="s">
        <v>3025</v>
      </c>
      <c r="G244" t="s">
        <v>3026</v>
      </c>
      <c r="H244" t="s">
        <v>3027</v>
      </c>
      <c r="I244" t="s">
        <v>1257</v>
      </c>
      <c r="N244" t="s">
        <v>33</v>
      </c>
    </row>
    <row r="245" spans="1:14" x14ac:dyDescent="0.35">
      <c r="A245" t="s">
        <v>20</v>
      </c>
      <c r="B245">
        <v>17647</v>
      </c>
      <c r="C245" t="s">
        <v>1252</v>
      </c>
      <c r="D245" t="s">
        <v>1253</v>
      </c>
      <c r="E245" t="s">
        <v>7023</v>
      </c>
      <c r="F245" t="s">
        <v>1661</v>
      </c>
      <c r="G245" t="s">
        <v>1662</v>
      </c>
      <c r="H245" t="s">
        <v>1663</v>
      </c>
      <c r="I245" t="s">
        <v>1257</v>
      </c>
      <c r="N245" t="s">
        <v>33</v>
      </c>
    </row>
    <row r="246" spans="1:14" x14ac:dyDescent="0.35">
      <c r="A246" t="s">
        <v>20</v>
      </c>
      <c r="B246">
        <v>17647</v>
      </c>
      <c r="C246" t="s">
        <v>1252</v>
      </c>
      <c r="D246" t="s">
        <v>1253</v>
      </c>
      <c r="E246" t="s">
        <v>7031</v>
      </c>
      <c r="F246" t="s">
        <v>7608</v>
      </c>
      <c r="G246" t="s">
        <v>7609</v>
      </c>
      <c r="H246" t="s">
        <v>7610</v>
      </c>
      <c r="I246" t="s">
        <v>1257</v>
      </c>
      <c r="N246" t="s">
        <v>33</v>
      </c>
    </row>
    <row r="247" spans="1:14" x14ac:dyDescent="0.35">
      <c r="A247" t="s">
        <v>20</v>
      </c>
      <c r="B247">
        <v>17647</v>
      </c>
      <c r="C247" t="s">
        <v>1252</v>
      </c>
      <c r="D247" t="s">
        <v>1253</v>
      </c>
      <c r="E247" t="s">
        <v>7035</v>
      </c>
      <c r="F247" t="s">
        <v>7611</v>
      </c>
      <c r="G247" t="s">
        <v>7612</v>
      </c>
      <c r="H247" t="s">
        <v>7613</v>
      </c>
      <c r="I247" t="s">
        <v>1257</v>
      </c>
      <c r="N247" t="s">
        <v>33</v>
      </c>
    </row>
    <row r="248" spans="1:14" x14ac:dyDescent="0.35">
      <c r="A248" t="s">
        <v>20</v>
      </c>
      <c r="B248">
        <v>17647</v>
      </c>
      <c r="C248" t="s">
        <v>1252</v>
      </c>
      <c r="D248" t="s">
        <v>1253</v>
      </c>
      <c r="E248" t="s">
        <v>7364</v>
      </c>
      <c r="F248" t="s">
        <v>7614</v>
      </c>
      <c r="G248" t="s">
        <v>7615</v>
      </c>
      <c r="H248" t="s">
        <v>7616</v>
      </c>
      <c r="I248" t="s">
        <v>1257</v>
      </c>
      <c r="N248" t="s">
        <v>33</v>
      </c>
    </row>
    <row r="249" spans="1:14" x14ac:dyDescent="0.35">
      <c r="A249" t="s">
        <v>20</v>
      </c>
      <c r="B249">
        <v>17647</v>
      </c>
      <c r="C249" t="s">
        <v>1252</v>
      </c>
      <c r="D249" t="s">
        <v>1253</v>
      </c>
      <c r="E249" t="s">
        <v>7369</v>
      </c>
      <c r="F249" t="s">
        <v>7617</v>
      </c>
      <c r="G249" t="s">
        <v>7618</v>
      </c>
      <c r="H249" t="s">
        <v>7619</v>
      </c>
      <c r="I249" t="s">
        <v>1257</v>
      </c>
      <c r="N249" t="s">
        <v>33</v>
      </c>
    </row>
    <row r="250" spans="1:14" x14ac:dyDescent="0.35">
      <c r="A250" t="s">
        <v>20</v>
      </c>
      <c r="B250">
        <v>17647</v>
      </c>
      <c r="C250" t="s">
        <v>1252</v>
      </c>
      <c r="D250" t="s">
        <v>1253</v>
      </c>
      <c r="E250" t="s">
        <v>7368</v>
      </c>
      <c r="F250" t="s">
        <v>7620</v>
      </c>
      <c r="G250" t="s">
        <v>7621</v>
      </c>
      <c r="H250" t="s">
        <v>7622</v>
      </c>
      <c r="I250" t="s">
        <v>1257</v>
      </c>
      <c r="N250" t="s">
        <v>33</v>
      </c>
    </row>
    <row r="251" spans="1:14" x14ac:dyDescent="0.35">
      <c r="A251" t="s">
        <v>20</v>
      </c>
      <c r="B251">
        <v>17647</v>
      </c>
      <c r="C251" t="s">
        <v>1252</v>
      </c>
      <c r="D251" t="s">
        <v>1253</v>
      </c>
      <c r="E251" t="s">
        <v>7451</v>
      </c>
      <c r="F251" t="s">
        <v>7623</v>
      </c>
      <c r="G251" t="s">
        <v>7624</v>
      </c>
      <c r="H251" t="s">
        <v>7625</v>
      </c>
      <c r="I251" t="s">
        <v>1257</v>
      </c>
      <c r="N251" t="s">
        <v>33</v>
      </c>
    </row>
    <row r="252" spans="1:14" x14ac:dyDescent="0.35">
      <c r="A252" t="s">
        <v>20</v>
      </c>
      <c r="B252">
        <v>17647</v>
      </c>
      <c r="C252" t="s">
        <v>1252</v>
      </c>
      <c r="D252" t="s">
        <v>1253</v>
      </c>
      <c r="E252" t="s">
        <v>7626</v>
      </c>
      <c r="F252" t="s">
        <v>7627</v>
      </c>
      <c r="G252" t="s">
        <v>7628</v>
      </c>
      <c r="H252" t="s">
        <v>7629</v>
      </c>
      <c r="I252" t="s">
        <v>1257</v>
      </c>
      <c r="N252" t="s">
        <v>33</v>
      </c>
    </row>
    <row r="253" spans="1:14" x14ac:dyDescent="0.35">
      <c r="A253" t="s">
        <v>20</v>
      </c>
      <c r="B253">
        <v>17647</v>
      </c>
      <c r="C253" t="s">
        <v>1252</v>
      </c>
      <c r="D253" t="s">
        <v>1253</v>
      </c>
      <c r="E253" t="s">
        <v>7630</v>
      </c>
      <c r="F253" t="s">
        <v>7631</v>
      </c>
      <c r="G253" t="s">
        <v>7632</v>
      </c>
      <c r="H253" t="s">
        <v>7633</v>
      </c>
      <c r="I253" t="s">
        <v>1257</v>
      </c>
      <c r="N253" t="s">
        <v>33</v>
      </c>
    </row>
    <row r="254" spans="1:14" x14ac:dyDescent="0.35">
      <c r="A254" t="s">
        <v>20</v>
      </c>
      <c r="B254">
        <v>17647</v>
      </c>
      <c r="C254" t="s">
        <v>1252</v>
      </c>
      <c r="D254" t="s">
        <v>1253</v>
      </c>
      <c r="E254" t="s">
        <v>7634</v>
      </c>
      <c r="F254" t="s">
        <v>7635</v>
      </c>
      <c r="G254" t="s">
        <v>7636</v>
      </c>
      <c r="H254" t="s">
        <v>7637</v>
      </c>
      <c r="I254" t="s">
        <v>1257</v>
      </c>
      <c r="N254" t="s">
        <v>33</v>
      </c>
    </row>
    <row r="255" spans="1:14" x14ac:dyDescent="0.35">
      <c r="A255" t="s">
        <v>20</v>
      </c>
      <c r="B255">
        <v>17647</v>
      </c>
      <c r="C255" t="s">
        <v>1252</v>
      </c>
      <c r="D255" t="s">
        <v>1253</v>
      </c>
      <c r="E255" t="s">
        <v>7039</v>
      </c>
      <c r="F255" t="s">
        <v>7638</v>
      </c>
      <c r="G255" t="s">
        <v>7639</v>
      </c>
      <c r="H255" t="s">
        <v>7640</v>
      </c>
      <c r="I255" t="s">
        <v>1395</v>
      </c>
      <c r="N255" t="s">
        <v>33</v>
      </c>
    </row>
    <row r="256" spans="1:14" x14ac:dyDescent="0.35">
      <c r="A256" t="s">
        <v>20</v>
      </c>
      <c r="B256">
        <v>17647</v>
      </c>
      <c r="C256" t="s">
        <v>1252</v>
      </c>
      <c r="D256" t="s">
        <v>1253</v>
      </c>
      <c r="E256" t="s">
        <v>7047</v>
      </c>
      <c r="F256" t="s">
        <v>3031</v>
      </c>
      <c r="G256" t="s">
        <v>3032</v>
      </c>
      <c r="H256" t="s">
        <v>3033</v>
      </c>
      <c r="I256" t="s">
        <v>1395</v>
      </c>
      <c r="N256" t="s">
        <v>33</v>
      </c>
    </row>
    <row r="257" spans="1:14" x14ac:dyDescent="0.35">
      <c r="A257" t="s">
        <v>20</v>
      </c>
      <c r="B257">
        <v>17647</v>
      </c>
      <c r="C257" t="s">
        <v>1252</v>
      </c>
      <c r="D257" t="s">
        <v>1253</v>
      </c>
      <c r="E257" t="s">
        <v>7043</v>
      </c>
      <c r="F257" t="s">
        <v>1664</v>
      </c>
      <c r="G257" t="s">
        <v>1665</v>
      </c>
      <c r="H257" t="s">
        <v>1666</v>
      </c>
      <c r="I257" t="s">
        <v>1395</v>
      </c>
      <c r="N257" t="s">
        <v>33</v>
      </c>
    </row>
    <row r="258" spans="1:14" x14ac:dyDescent="0.35">
      <c r="A258" t="s">
        <v>20</v>
      </c>
      <c r="B258">
        <v>17647</v>
      </c>
      <c r="C258" t="s">
        <v>1252</v>
      </c>
      <c r="D258" t="s">
        <v>1253</v>
      </c>
      <c r="E258" t="s">
        <v>7048</v>
      </c>
      <c r="F258" t="s">
        <v>7641</v>
      </c>
      <c r="G258" t="s">
        <v>7642</v>
      </c>
      <c r="H258" t="s">
        <v>7643</v>
      </c>
      <c r="I258" t="s">
        <v>1395</v>
      </c>
      <c r="N258" t="s">
        <v>33</v>
      </c>
    </row>
    <row r="259" spans="1:14" x14ac:dyDescent="0.35">
      <c r="A259" t="s">
        <v>20</v>
      </c>
      <c r="B259">
        <v>17647</v>
      </c>
      <c r="C259" t="s">
        <v>1252</v>
      </c>
      <c r="D259" t="s">
        <v>1253</v>
      </c>
      <c r="E259" t="s">
        <v>7052</v>
      </c>
      <c r="F259" t="s">
        <v>1667</v>
      </c>
      <c r="G259" t="s">
        <v>1668</v>
      </c>
      <c r="H259" t="s">
        <v>1669</v>
      </c>
      <c r="I259" t="s">
        <v>1395</v>
      </c>
      <c r="J259" t="s">
        <v>1670</v>
      </c>
      <c r="N259" t="s">
        <v>33</v>
      </c>
    </row>
    <row r="260" spans="1:14" x14ac:dyDescent="0.35">
      <c r="A260" t="s">
        <v>20</v>
      </c>
      <c r="B260">
        <v>17647</v>
      </c>
      <c r="C260" t="s">
        <v>1252</v>
      </c>
      <c r="D260" t="s">
        <v>1253</v>
      </c>
      <c r="E260" t="s">
        <v>7056</v>
      </c>
      <c r="F260" t="s">
        <v>7644</v>
      </c>
      <c r="G260" t="s">
        <v>7645</v>
      </c>
      <c r="H260" t="s">
        <v>7646</v>
      </c>
      <c r="I260" t="s">
        <v>1395</v>
      </c>
      <c r="N260" t="s">
        <v>33</v>
      </c>
    </row>
    <row r="261" spans="1:14" x14ac:dyDescent="0.35">
      <c r="A261" t="s">
        <v>20</v>
      </c>
      <c r="B261">
        <v>17647</v>
      </c>
      <c r="C261" t="s">
        <v>1252</v>
      </c>
      <c r="D261" t="s">
        <v>1253</v>
      </c>
      <c r="E261" t="s">
        <v>7060</v>
      </c>
      <c r="F261" t="s">
        <v>7647</v>
      </c>
      <c r="G261" t="s">
        <v>7648</v>
      </c>
      <c r="H261" t="s">
        <v>7649</v>
      </c>
      <c r="I261" t="s">
        <v>1395</v>
      </c>
      <c r="N261" t="s">
        <v>33</v>
      </c>
    </row>
    <row r="262" spans="1:14" x14ac:dyDescent="0.35">
      <c r="A262" t="s">
        <v>20</v>
      </c>
      <c r="B262">
        <v>17647</v>
      </c>
      <c r="C262" t="s">
        <v>1252</v>
      </c>
      <c r="D262" t="s">
        <v>1253</v>
      </c>
      <c r="E262" t="s">
        <v>7064</v>
      </c>
      <c r="F262" t="s">
        <v>7650</v>
      </c>
      <c r="G262" t="s">
        <v>7651</v>
      </c>
      <c r="H262" t="s">
        <v>7652</v>
      </c>
      <c r="I262" t="s">
        <v>1395</v>
      </c>
      <c r="N262" t="s">
        <v>33</v>
      </c>
    </row>
    <row r="263" spans="1:14" x14ac:dyDescent="0.35">
      <c r="A263" t="s">
        <v>20</v>
      </c>
      <c r="B263">
        <v>17647</v>
      </c>
      <c r="C263" t="s">
        <v>1252</v>
      </c>
      <c r="D263" t="s">
        <v>1253</v>
      </c>
      <c r="E263" t="s">
        <v>7068</v>
      </c>
      <c r="F263" t="s">
        <v>7653</v>
      </c>
      <c r="G263" t="s">
        <v>7654</v>
      </c>
      <c r="H263" t="s">
        <v>7655</v>
      </c>
      <c r="I263" t="s">
        <v>1395</v>
      </c>
      <c r="N263" t="s">
        <v>33</v>
      </c>
    </row>
    <row r="264" spans="1:14" x14ac:dyDescent="0.35">
      <c r="A264" t="s">
        <v>20</v>
      </c>
      <c r="B264">
        <v>17647</v>
      </c>
      <c r="C264" t="s">
        <v>1252</v>
      </c>
      <c r="D264" t="s">
        <v>1253</v>
      </c>
      <c r="E264" t="s">
        <v>7072</v>
      </c>
      <c r="F264" t="s">
        <v>7656</v>
      </c>
      <c r="G264" t="s">
        <v>7657</v>
      </c>
      <c r="H264" t="s">
        <v>7658</v>
      </c>
      <c r="I264" t="s">
        <v>1395</v>
      </c>
      <c r="N264" t="s">
        <v>33</v>
      </c>
    </row>
    <row r="265" spans="1:14" x14ac:dyDescent="0.35">
      <c r="A265" t="s">
        <v>20</v>
      </c>
      <c r="B265">
        <v>17647</v>
      </c>
      <c r="C265" t="s">
        <v>1252</v>
      </c>
      <c r="D265" t="s">
        <v>1253</v>
      </c>
      <c r="E265" t="s">
        <v>7076</v>
      </c>
      <c r="F265" t="s">
        <v>1671</v>
      </c>
      <c r="G265" t="s">
        <v>1672</v>
      </c>
      <c r="H265" t="s">
        <v>1673</v>
      </c>
      <c r="I265" t="s">
        <v>1395</v>
      </c>
      <c r="N265" t="s">
        <v>33</v>
      </c>
    </row>
    <row r="266" spans="1:14" x14ac:dyDescent="0.35">
      <c r="A266" t="s">
        <v>20</v>
      </c>
      <c r="B266">
        <v>17647</v>
      </c>
      <c r="C266" t="s">
        <v>1252</v>
      </c>
      <c r="D266" t="s">
        <v>1253</v>
      </c>
      <c r="E266" t="s">
        <v>7080</v>
      </c>
      <c r="F266" t="s">
        <v>7659</v>
      </c>
      <c r="G266" t="s">
        <v>7660</v>
      </c>
      <c r="H266" t="s">
        <v>7661</v>
      </c>
      <c r="I266" t="s">
        <v>1395</v>
      </c>
      <c r="N266" t="s">
        <v>33</v>
      </c>
    </row>
    <row r="267" spans="1:14" x14ac:dyDescent="0.35">
      <c r="A267" t="s">
        <v>20</v>
      </c>
      <c r="B267">
        <v>17647</v>
      </c>
      <c r="C267" t="s">
        <v>1252</v>
      </c>
      <c r="D267" t="s">
        <v>1253</v>
      </c>
      <c r="E267" t="s">
        <v>7084</v>
      </c>
      <c r="F267" t="s">
        <v>1674</v>
      </c>
      <c r="G267" t="s">
        <v>1675</v>
      </c>
      <c r="H267" t="s">
        <v>1676</v>
      </c>
      <c r="I267" t="s">
        <v>1395</v>
      </c>
      <c r="J267" t="s">
        <v>1670</v>
      </c>
      <c r="N267" t="s">
        <v>33</v>
      </c>
    </row>
    <row r="268" spans="1:14" x14ac:dyDescent="0.35">
      <c r="A268" t="s">
        <v>20</v>
      </c>
      <c r="B268">
        <v>17647</v>
      </c>
      <c r="C268" t="s">
        <v>1252</v>
      </c>
      <c r="D268" t="s">
        <v>1253</v>
      </c>
      <c r="E268" t="s">
        <v>7088</v>
      </c>
      <c r="F268" t="s">
        <v>7662</v>
      </c>
      <c r="G268" t="s">
        <v>7663</v>
      </c>
      <c r="H268" t="s">
        <v>7664</v>
      </c>
      <c r="I268" t="s">
        <v>1395</v>
      </c>
      <c r="N268" t="s">
        <v>33</v>
      </c>
    </row>
    <row r="269" spans="1:14" x14ac:dyDescent="0.35">
      <c r="A269" t="s">
        <v>20</v>
      </c>
      <c r="B269">
        <v>17647</v>
      </c>
      <c r="C269" t="s">
        <v>1252</v>
      </c>
      <c r="D269" t="s">
        <v>1253</v>
      </c>
      <c r="E269" t="s">
        <v>7092</v>
      </c>
      <c r="F269" t="s">
        <v>7665</v>
      </c>
      <c r="G269" t="s">
        <v>7666</v>
      </c>
      <c r="H269" t="s">
        <v>7667</v>
      </c>
      <c r="I269" t="s">
        <v>1395</v>
      </c>
      <c r="N269" t="s">
        <v>33</v>
      </c>
    </row>
    <row r="270" spans="1:14" x14ac:dyDescent="0.35">
      <c r="A270" t="s">
        <v>20</v>
      </c>
      <c r="B270">
        <v>17647</v>
      </c>
      <c r="C270" t="s">
        <v>1252</v>
      </c>
      <c r="D270" t="s">
        <v>1253</v>
      </c>
      <c r="E270" t="s">
        <v>7096</v>
      </c>
      <c r="F270" t="s">
        <v>7668</v>
      </c>
      <c r="G270" t="s">
        <v>7669</v>
      </c>
      <c r="H270" t="s">
        <v>7670</v>
      </c>
      <c r="I270" t="s">
        <v>1395</v>
      </c>
      <c r="N270" t="s">
        <v>33</v>
      </c>
    </row>
    <row r="271" spans="1:14" x14ac:dyDescent="0.35">
      <c r="A271" t="s">
        <v>20</v>
      </c>
      <c r="B271">
        <v>17647</v>
      </c>
      <c r="C271" t="s">
        <v>1252</v>
      </c>
      <c r="D271" t="s">
        <v>1253</v>
      </c>
      <c r="E271" t="s">
        <v>7100</v>
      </c>
      <c r="F271" t="s">
        <v>7671</v>
      </c>
      <c r="G271" t="s">
        <v>7672</v>
      </c>
      <c r="H271" t="s">
        <v>7673</v>
      </c>
      <c r="I271" t="s">
        <v>1395</v>
      </c>
      <c r="N271" t="s">
        <v>33</v>
      </c>
    </row>
    <row r="272" spans="1:14" x14ac:dyDescent="0.35">
      <c r="A272" t="s">
        <v>20</v>
      </c>
      <c r="B272">
        <v>17647</v>
      </c>
      <c r="C272" t="s">
        <v>1252</v>
      </c>
      <c r="D272" t="s">
        <v>1253</v>
      </c>
      <c r="E272" t="s">
        <v>7104</v>
      </c>
      <c r="F272" t="s">
        <v>7674</v>
      </c>
      <c r="G272" t="s">
        <v>7675</v>
      </c>
      <c r="H272" t="s">
        <v>7676</v>
      </c>
      <c r="I272" t="s">
        <v>1395</v>
      </c>
      <c r="N272" t="s">
        <v>33</v>
      </c>
    </row>
    <row r="273" spans="1:14" x14ac:dyDescent="0.35">
      <c r="A273" t="s">
        <v>20</v>
      </c>
      <c r="B273">
        <v>17647</v>
      </c>
      <c r="C273" t="s">
        <v>1252</v>
      </c>
      <c r="D273" t="s">
        <v>1253</v>
      </c>
      <c r="E273" t="s">
        <v>7108</v>
      </c>
      <c r="F273" t="s">
        <v>7677</v>
      </c>
      <c r="G273" t="s">
        <v>7678</v>
      </c>
      <c r="H273" t="s">
        <v>7679</v>
      </c>
      <c r="I273" t="s">
        <v>1395</v>
      </c>
      <c r="N273" t="s">
        <v>33</v>
      </c>
    </row>
    <row r="274" spans="1:14" x14ac:dyDescent="0.35">
      <c r="A274" t="s">
        <v>20</v>
      </c>
      <c r="B274">
        <v>17647</v>
      </c>
      <c r="C274" t="s">
        <v>1252</v>
      </c>
      <c r="D274" t="s">
        <v>1253</v>
      </c>
      <c r="E274" t="s">
        <v>7112</v>
      </c>
      <c r="F274" t="s">
        <v>7680</v>
      </c>
      <c r="G274" t="s">
        <v>7681</v>
      </c>
      <c r="H274" t="s">
        <v>7682</v>
      </c>
      <c r="I274" t="s">
        <v>1395</v>
      </c>
      <c r="N274" t="s">
        <v>33</v>
      </c>
    </row>
    <row r="275" spans="1:14" x14ac:dyDescent="0.35">
      <c r="A275" t="s">
        <v>20</v>
      </c>
      <c r="B275">
        <v>17647</v>
      </c>
      <c r="C275" t="s">
        <v>1252</v>
      </c>
      <c r="D275" t="s">
        <v>1253</v>
      </c>
      <c r="E275" t="s">
        <v>7116</v>
      </c>
      <c r="F275" t="s">
        <v>7683</v>
      </c>
      <c r="G275" t="s">
        <v>7684</v>
      </c>
      <c r="H275" t="s">
        <v>7685</v>
      </c>
      <c r="I275" t="s">
        <v>1395</v>
      </c>
      <c r="N275" t="s">
        <v>33</v>
      </c>
    </row>
    <row r="276" spans="1:14" x14ac:dyDescent="0.35">
      <c r="A276" t="s">
        <v>20</v>
      </c>
      <c r="B276">
        <v>17647</v>
      </c>
      <c r="C276" t="s">
        <v>1252</v>
      </c>
      <c r="D276" t="s">
        <v>1253</v>
      </c>
      <c r="E276" t="s">
        <v>7120</v>
      </c>
      <c r="F276" t="s">
        <v>7686</v>
      </c>
      <c r="G276" t="s">
        <v>7687</v>
      </c>
      <c r="H276" t="s">
        <v>7688</v>
      </c>
      <c r="I276" t="s">
        <v>1395</v>
      </c>
      <c r="N276" t="s">
        <v>33</v>
      </c>
    </row>
    <row r="277" spans="1:14" x14ac:dyDescent="0.35">
      <c r="A277" t="s">
        <v>20</v>
      </c>
      <c r="B277">
        <v>17647</v>
      </c>
      <c r="C277" t="s">
        <v>1252</v>
      </c>
      <c r="D277" t="s">
        <v>1253</v>
      </c>
      <c r="E277" t="s">
        <v>7177</v>
      </c>
      <c r="F277" t="s">
        <v>7689</v>
      </c>
      <c r="G277" t="s">
        <v>7690</v>
      </c>
      <c r="H277" t="s">
        <v>7691</v>
      </c>
      <c r="I277" t="s">
        <v>1395</v>
      </c>
      <c r="N277" t="s">
        <v>33</v>
      </c>
    </row>
    <row r="278" spans="1:14" x14ac:dyDescent="0.35">
      <c r="A278" t="s">
        <v>20</v>
      </c>
      <c r="B278">
        <v>17647</v>
      </c>
      <c r="C278" t="s">
        <v>1252</v>
      </c>
      <c r="D278" t="s">
        <v>1253</v>
      </c>
      <c r="E278" t="s">
        <v>7503</v>
      </c>
      <c r="F278" t="s">
        <v>7692</v>
      </c>
      <c r="G278" t="s">
        <v>7693</v>
      </c>
      <c r="H278" t="s">
        <v>7694</v>
      </c>
      <c r="I278" t="s">
        <v>1395</v>
      </c>
      <c r="N278" t="s">
        <v>33</v>
      </c>
    </row>
    <row r="279" spans="1:14" x14ac:dyDescent="0.35">
      <c r="A279" t="s">
        <v>20</v>
      </c>
      <c r="B279">
        <v>17647</v>
      </c>
      <c r="C279" t="s">
        <v>1252</v>
      </c>
      <c r="D279" t="s">
        <v>1253</v>
      </c>
      <c r="E279" t="s">
        <v>7511</v>
      </c>
      <c r="F279" t="s">
        <v>7695</v>
      </c>
      <c r="G279" t="s">
        <v>7696</v>
      </c>
      <c r="H279" t="s">
        <v>7697</v>
      </c>
      <c r="I279" t="s">
        <v>1395</v>
      </c>
      <c r="N279" t="s">
        <v>33</v>
      </c>
    </row>
    <row r="280" spans="1:14" x14ac:dyDescent="0.35">
      <c r="A280" t="s">
        <v>20</v>
      </c>
      <c r="B280">
        <v>17643</v>
      </c>
      <c r="C280" t="s">
        <v>426</v>
      </c>
      <c r="D280" t="s">
        <v>427</v>
      </c>
      <c r="E280" t="s">
        <v>7039</v>
      </c>
      <c r="F280" t="s">
        <v>7124</v>
      </c>
      <c r="G280" t="s">
        <v>7125</v>
      </c>
      <c r="H280" t="s">
        <v>7126</v>
      </c>
      <c r="I280" t="s">
        <v>431</v>
      </c>
      <c r="N280" t="s">
        <v>33</v>
      </c>
    </row>
    <row r="281" spans="1:14" x14ac:dyDescent="0.35">
      <c r="A281" t="s">
        <v>20</v>
      </c>
      <c r="B281">
        <v>17643</v>
      </c>
      <c r="C281" t="s">
        <v>426</v>
      </c>
      <c r="D281" t="s">
        <v>427</v>
      </c>
      <c r="E281" t="s">
        <v>7043</v>
      </c>
      <c r="F281" t="s">
        <v>7127</v>
      </c>
      <c r="G281" t="s">
        <v>7128</v>
      </c>
      <c r="H281" t="s">
        <v>7129</v>
      </c>
      <c r="I281" t="s">
        <v>431</v>
      </c>
      <c r="N281" t="s">
        <v>33</v>
      </c>
    </row>
    <row r="282" spans="1:14" x14ac:dyDescent="0.35">
      <c r="A282" t="s">
        <v>20</v>
      </c>
      <c r="B282">
        <v>17643</v>
      </c>
      <c r="C282" t="s">
        <v>426</v>
      </c>
      <c r="D282" t="s">
        <v>427</v>
      </c>
      <c r="E282" t="s">
        <v>7047</v>
      </c>
      <c r="F282" t="s">
        <v>7130</v>
      </c>
      <c r="G282" t="s">
        <v>7131</v>
      </c>
      <c r="H282" t="s">
        <v>7132</v>
      </c>
      <c r="I282" t="s">
        <v>431</v>
      </c>
      <c r="N282" t="s">
        <v>33</v>
      </c>
    </row>
    <row r="283" spans="1:14" x14ac:dyDescent="0.35">
      <c r="A283" t="s">
        <v>20</v>
      </c>
      <c r="B283">
        <v>17643</v>
      </c>
      <c r="C283" t="s">
        <v>426</v>
      </c>
      <c r="D283" t="s">
        <v>427</v>
      </c>
      <c r="E283" t="s">
        <v>7048</v>
      </c>
      <c r="F283" t="s">
        <v>1569</v>
      </c>
      <c r="G283" t="s">
        <v>1570</v>
      </c>
      <c r="H283" t="s">
        <v>1571</v>
      </c>
      <c r="I283" t="s">
        <v>431</v>
      </c>
      <c r="N283" t="s">
        <v>33</v>
      </c>
    </row>
    <row r="284" spans="1:14" x14ac:dyDescent="0.35">
      <c r="A284" t="s">
        <v>20</v>
      </c>
      <c r="B284">
        <v>17643</v>
      </c>
      <c r="C284" t="s">
        <v>426</v>
      </c>
      <c r="D284" t="s">
        <v>427</v>
      </c>
      <c r="E284" t="s">
        <v>7052</v>
      </c>
      <c r="F284" t="s">
        <v>7133</v>
      </c>
      <c r="G284" t="s">
        <v>7134</v>
      </c>
      <c r="H284" t="s">
        <v>7135</v>
      </c>
      <c r="I284" t="s">
        <v>431</v>
      </c>
      <c r="N284" t="s">
        <v>33</v>
      </c>
    </row>
    <row r="285" spans="1:14" x14ac:dyDescent="0.35">
      <c r="A285" t="s">
        <v>20</v>
      </c>
      <c r="B285">
        <v>17643</v>
      </c>
      <c r="C285" t="s">
        <v>426</v>
      </c>
      <c r="D285" t="s">
        <v>427</v>
      </c>
      <c r="E285" t="s">
        <v>7056</v>
      </c>
      <c r="F285" t="s">
        <v>7136</v>
      </c>
      <c r="G285" t="s">
        <v>7137</v>
      </c>
      <c r="H285" t="s">
        <v>7138</v>
      </c>
      <c r="I285" t="s">
        <v>431</v>
      </c>
      <c r="N285" t="s">
        <v>33</v>
      </c>
    </row>
    <row r="286" spans="1:14" x14ac:dyDescent="0.35">
      <c r="A286" t="s">
        <v>20</v>
      </c>
      <c r="B286">
        <v>17643</v>
      </c>
      <c r="C286" t="s">
        <v>426</v>
      </c>
      <c r="D286" t="s">
        <v>427</v>
      </c>
      <c r="E286" t="s">
        <v>7060</v>
      </c>
      <c r="F286" t="s">
        <v>1573</v>
      </c>
      <c r="G286" t="s">
        <v>1574</v>
      </c>
      <c r="H286" t="s">
        <v>1575</v>
      </c>
      <c r="I286" t="s">
        <v>431</v>
      </c>
      <c r="N286" t="s">
        <v>33</v>
      </c>
    </row>
    <row r="287" spans="1:14" x14ac:dyDescent="0.35">
      <c r="A287" t="s">
        <v>20</v>
      </c>
      <c r="B287">
        <v>17643</v>
      </c>
      <c r="C287" t="s">
        <v>426</v>
      </c>
      <c r="D287" t="s">
        <v>427</v>
      </c>
      <c r="E287" t="s">
        <v>7064</v>
      </c>
      <c r="F287" t="s">
        <v>7139</v>
      </c>
      <c r="G287" t="s">
        <v>1416</v>
      </c>
      <c r="H287" t="s">
        <v>7140</v>
      </c>
      <c r="I287" t="s">
        <v>431</v>
      </c>
      <c r="N287" t="s">
        <v>33</v>
      </c>
    </row>
    <row r="288" spans="1:14" x14ac:dyDescent="0.35">
      <c r="A288" t="s">
        <v>20</v>
      </c>
      <c r="B288">
        <v>17643</v>
      </c>
      <c r="C288" t="s">
        <v>426</v>
      </c>
      <c r="D288" t="s">
        <v>427</v>
      </c>
      <c r="E288" t="s">
        <v>7068</v>
      </c>
      <c r="F288" t="s">
        <v>7141</v>
      </c>
      <c r="G288" t="s">
        <v>7142</v>
      </c>
      <c r="H288" t="s">
        <v>7143</v>
      </c>
      <c r="I288" t="s">
        <v>431</v>
      </c>
      <c r="N288" t="s">
        <v>33</v>
      </c>
    </row>
    <row r="289" spans="1:14" x14ac:dyDescent="0.35">
      <c r="A289" t="s">
        <v>20</v>
      </c>
      <c r="B289">
        <v>17643</v>
      </c>
      <c r="C289" t="s">
        <v>426</v>
      </c>
      <c r="D289" t="s">
        <v>427</v>
      </c>
      <c r="E289" t="s">
        <v>7072</v>
      </c>
      <c r="F289" t="s">
        <v>7144</v>
      </c>
      <c r="G289" t="s">
        <v>7145</v>
      </c>
      <c r="H289" t="s">
        <v>7146</v>
      </c>
      <c r="I289" t="s">
        <v>431</v>
      </c>
      <c r="N289" t="s">
        <v>33</v>
      </c>
    </row>
    <row r="290" spans="1:14" x14ac:dyDescent="0.35">
      <c r="A290" t="s">
        <v>20</v>
      </c>
      <c r="B290">
        <v>17643</v>
      </c>
      <c r="C290" t="s">
        <v>426</v>
      </c>
      <c r="D290" t="s">
        <v>427</v>
      </c>
      <c r="E290" t="s">
        <v>7076</v>
      </c>
      <c r="F290" t="s">
        <v>1620</v>
      </c>
      <c r="G290" t="s">
        <v>1621</v>
      </c>
      <c r="H290" t="s">
        <v>1622</v>
      </c>
      <c r="I290" t="s">
        <v>431</v>
      </c>
      <c r="J290" t="s">
        <v>1537</v>
      </c>
      <c r="N290" t="s">
        <v>33</v>
      </c>
    </row>
    <row r="291" spans="1:14" x14ac:dyDescent="0.35">
      <c r="A291" t="s">
        <v>20</v>
      </c>
      <c r="B291">
        <v>17643</v>
      </c>
      <c r="C291" t="s">
        <v>426</v>
      </c>
      <c r="D291" t="s">
        <v>427</v>
      </c>
      <c r="E291" t="s">
        <v>7080</v>
      </c>
      <c r="F291" t="s">
        <v>7147</v>
      </c>
      <c r="G291" t="s">
        <v>7148</v>
      </c>
      <c r="H291" t="s">
        <v>7149</v>
      </c>
      <c r="I291" t="s">
        <v>431</v>
      </c>
      <c r="N291" t="s">
        <v>33</v>
      </c>
    </row>
    <row r="292" spans="1:14" x14ac:dyDescent="0.35">
      <c r="A292" t="s">
        <v>20</v>
      </c>
      <c r="B292">
        <v>17643</v>
      </c>
      <c r="C292" t="s">
        <v>426</v>
      </c>
      <c r="D292" t="s">
        <v>427</v>
      </c>
      <c r="E292" t="s">
        <v>7084</v>
      </c>
      <c r="F292" t="s">
        <v>7150</v>
      </c>
      <c r="G292" t="s">
        <v>7151</v>
      </c>
      <c r="H292" t="s">
        <v>7152</v>
      </c>
      <c r="I292" t="s">
        <v>431</v>
      </c>
      <c r="N292" t="s">
        <v>33</v>
      </c>
    </row>
    <row r="293" spans="1:14" x14ac:dyDescent="0.35">
      <c r="A293" t="s">
        <v>20</v>
      </c>
      <c r="B293">
        <v>17643</v>
      </c>
      <c r="C293" t="s">
        <v>426</v>
      </c>
      <c r="D293" t="s">
        <v>427</v>
      </c>
      <c r="E293" t="s">
        <v>7088</v>
      </c>
      <c r="F293" t="s">
        <v>7153</v>
      </c>
      <c r="G293" t="s">
        <v>7154</v>
      </c>
      <c r="H293" t="s">
        <v>7155</v>
      </c>
      <c r="I293" t="s">
        <v>431</v>
      </c>
      <c r="N293" t="s">
        <v>33</v>
      </c>
    </row>
    <row r="294" spans="1:14" x14ac:dyDescent="0.35">
      <c r="A294" t="s">
        <v>20</v>
      </c>
      <c r="B294">
        <v>17643</v>
      </c>
      <c r="C294" t="s">
        <v>426</v>
      </c>
      <c r="D294" t="s">
        <v>427</v>
      </c>
      <c r="E294" t="s">
        <v>7092</v>
      </c>
      <c r="F294" t="s">
        <v>7156</v>
      </c>
      <c r="G294" t="s">
        <v>7157</v>
      </c>
      <c r="H294" t="s">
        <v>7158</v>
      </c>
      <c r="I294" t="s">
        <v>431</v>
      </c>
      <c r="N294" t="s">
        <v>33</v>
      </c>
    </row>
    <row r="295" spans="1:14" x14ac:dyDescent="0.35">
      <c r="A295" t="s">
        <v>20</v>
      </c>
      <c r="B295">
        <v>17643</v>
      </c>
      <c r="C295" t="s">
        <v>426</v>
      </c>
      <c r="D295" t="s">
        <v>427</v>
      </c>
      <c r="E295" t="s">
        <v>7096</v>
      </c>
      <c r="F295" t="s">
        <v>7159</v>
      </c>
      <c r="G295" t="s">
        <v>7160</v>
      </c>
      <c r="H295" t="s">
        <v>7161</v>
      </c>
      <c r="I295" t="s">
        <v>431</v>
      </c>
      <c r="N295" t="s">
        <v>33</v>
      </c>
    </row>
    <row r="296" spans="1:14" x14ac:dyDescent="0.35">
      <c r="A296" t="s">
        <v>20</v>
      </c>
      <c r="B296">
        <v>17643</v>
      </c>
      <c r="C296" t="s">
        <v>426</v>
      </c>
      <c r="D296" t="s">
        <v>427</v>
      </c>
      <c r="E296" t="s">
        <v>7100</v>
      </c>
      <c r="F296" t="s">
        <v>7162</v>
      </c>
      <c r="G296" t="s">
        <v>7163</v>
      </c>
      <c r="H296" t="s">
        <v>7164</v>
      </c>
      <c r="I296" t="s">
        <v>431</v>
      </c>
      <c r="N296" t="s">
        <v>33</v>
      </c>
    </row>
    <row r="297" spans="1:14" x14ac:dyDescent="0.35">
      <c r="A297" t="s">
        <v>20</v>
      </c>
      <c r="B297">
        <v>17643</v>
      </c>
      <c r="C297" t="s">
        <v>426</v>
      </c>
      <c r="D297" t="s">
        <v>427</v>
      </c>
      <c r="E297" t="s">
        <v>7104</v>
      </c>
      <c r="F297" t="s">
        <v>7165</v>
      </c>
      <c r="G297" t="s">
        <v>7166</v>
      </c>
      <c r="H297" t="s">
        <v>7167</v>
      </c>
      <c r="I297" t="s">
        <v>431</v>
      </c>
      <c r="N297" t="s">
        <v>33</v>
      </c>
    </row>
    <row r="298" spans="1:14" x14ac:dyDescent="0.35">
      <c r="A298" t="s">
        <v>20</v>
      </c>
      <c r="B298">
        <v>17643</v>
      </c>
      <c r="C298" t="s">
        <v>426</v>
      </c>
      <c r="D298" t="s">
        <v>427</v>
      </c>
      <c r="E298" t="s">
        <v>7108</v>
      </c>
      <c r="F298" t="s">
        <v>7168</v>
      </c>
      <c r="G298" t="s">
        <v>7169</v>
      </c>
      <c r="H298" t="s">
        <v>7170</v>
      </c>
      <c r="I298" t="s">
        <v>431</v>
      </c>
      <c r="N298" t="s">
        <v>33</v>
      </c>
    </row>
    <row r="299" spans="1:14" x14ac:dyDescent="0.35">
      <c r="A299" t="s">
        <v>20</v>
      </c>
      <c r="B299">
        <v>17643</v>
      </c>
      <c r="C299" t="s">
        <v>426</v>
      </c>
      <c r="D299" t="s">
        <v>427</v>
      </c>
      <c r="E299" t="s">
        <v>7112</v>
      </c>
      <c r="F299" t="s">
        <v>7171</v>
      </c>
      <c r="G299" t="s">
        <v>7172</v>
      </c>
      <c r="H299" t="s">
        <v>7173</v>
      </c>
      <c r="I299" t="s">
        <v>431</v>
      </c>
      <c r="N299" t="s">
        <v>33</v>
      </c>
    </row>
    <row r="300" spans="1:14" x14ac:dyDescent="0.35">
      <c r="A300" t="s">
        <v>20</v>
      </c>
      <c r="B300">
        <v>17643</v>
      </c>
      <c r="C300" t="s">
        <v>426</v>
      </c>
      <c r="D300" t="s">
        <v>427</v>
      </c>
      <c r="E300" t="s">
        <v>7116</v>
      </c>
      <c r="F300" t="s">
        <v>7174</v>
      </c>
      <c r="G300" t="s">
        <v>7175</v>
      </c>
      <c r="H300" t="s">
        <v>7176</v>
      </c>
      <c r="I300" t="s">
        <v>431</v>
      </c>
      <c r="N300" t="s">
        <v>33</v>
      </c>
    </row>
    <row r="301" spans="1:14" x14ac:dyDescent="0.35">
      <c r="A301" t="s">
        <v>20</v>
      </c>
      <c r="B301">
        <v>17643</v>
      </c>
      <c r="C301" t="s">
        <v>426</v>
      </c>
      <c r="D301" t="s">
        <v>427</v>
      </c>
      <c r="E301" t="s">
        <v>7120</v>
      </c>
      <c r="F301" t="s">
        <v>1577</v>
      </c>
      <c r="G301" t="s">
        <v>1578</v>
      </c>
      <c r="H301" t="s">
        <v>1579</v>
      </c>
      <c r="I301" t="s">
        <v>431</v>
      </c>
      <c r="N301" t="s">
        <v>33</v>
      </c>
    </row>
    <row r="302" spans="1:14" x14ac:dyDescent="0.35">
      <c r="A302" t="s">
        <v>20</v>
      </c>
      <c r="B302">
        <v>17643</v>
      </c>
      <c r="C302" t="s">
        <v>426</v>
      </c>
      <c r="D302" t="s">
        <v>427</v>
      </c>
      <c r="E302" t="s">
        <v>7177</v>
      </c>
      <c r="F302" t="s">
        <v>7178</v>
      </c>
      <c r="G302" t="s">
        <v>7179</v>
      </c>
      <c r="H302" t="s">
        <v>7180</v>
      </c>
      <c r="I302" t="s">
        <v>431</v>
      </c>
      <c r="N302" t="s">
        <v>33</v>
      </c>
    </row>
    <row r="303" spans="1:14" x14ac:dyDescent="0.35">
      <c r="A303" t="s">
        <v>20</v>
      </c>
      <c r="B303">
        <v>17643</v>
      </c>
      <c r="C303" t="s">
        <v>426</v>
      </c>
      <c r="D303" t="s">
        <v>427</v>
      </c>
      <c r="E303" t="s">
        <v>6935</v>
      </c>
      <c r="F303" t="s">
        <v>7181</v>
      </c>
      <c r="G303" t="s">
        <v>7182</v>
      </c>
      <c r="H303" t="s">
        <v>7183</v>
      </c>
      <c r="I303" t="s">
        <v>557</v>
      </c>
      <c r="N303" t="s">
        <v>33</v>
      </c>
    </row>
    <row r="304" spans="1:14" x14ac:dyDescent="0.35">
      <c r="A304" t="s">
        <v>20</v>
      </c>
      <c r="B304">
        <v>17643</v>
      </c>
      <c r="C304" t="s">
        <v>426</v>
      </c>
      <c r="D304" t="s">
        <v>427</v>
      </c>
      <c r="E304" t="s">
        <v>6936</v>
      </c>
      <c r="F304" t="s">
        <v>7184</v>
      </c>
      <c r="G304" t="s">
        <v>7185</v>
      </c>
      <c r="H304" t="s">
        <v>7186</v>
      </c>
      <c r="I304" t="s">
        <v>557</v>
      </c>
      <c r="N304" t="s">
        <v>33</v>
      </c>
    </row>
    <row r="305" spans="1:14" x14ac:dyDescent="0.35">
      <c r="A305" t="s">
        <v>20</v>
      </c>
      <c r="B305">
        <v>17643</v>
      </c>
      <c r="C305" t="s">
        <v>426</v>
      </c>
      <c r="D305" t="s">
        <v>427</v>
      </c>
      <c r="E305" t="s">
        <v>6940</v>
      </c>
      <c r="F305" t="s">
        <v>7187</v>
      </c>
      <c r="G305" t="s">
        <v>7188</v>
      </c>
      <c r="H305" t="s">
        <v>7189</v>
      </c>
      <c r="I305" t="s">
        <v>557</v>
      </c>
      <c r="N305" t="s">
        <v>33</v>
      </c>
    </row>
    <row r="306" spans="1:14" x14ac:dyDescent="0.35">
      <c r="A306" t="s">
        <v>20</v>
      </c>
      <c r="B306">
        <v>17643</v>
      </c>
      <c r="C306" t="s">
        <v>426</v>
      </c>
      <c r="D306" t="s">
        <v>427</v>
      </c>
      <c r="E306" t="s">
        <v>6944</v>
      </c>
      <c r="F306" t="s">
        <v>7190</v>
      </c>
      <c r="G306" t="s">
        <v>7191</v>
      </c>
      <c r="H306" t="s">
        <v>7192</v>
      </c>
      <c r="I306" t="s">
        <v>557</v>
      </c>
      <c r="N306" t="s">
        <v>33</v>
      </c>
    </row>
    <row r="307" spans="1:14" x14ac:dyDescent="0.35">
      <c r="A307" t="s">
        <v>20</v>
      </c>
      <c r="B307">
        <v>17643</v>
      </c>
      <c r="C307" t="s">
        <v>426</v>
      </c>
      <c r="D307" t="s">
        <v>427</v>
      </c>
      <c r="E307" t="s">
        <v>6948</v>
      </c>
      <c r="F307" t="s">
        <v>7193</v>
      </c>
      <c r="G307" t="s">
        <v>7194</v>
      </c>
      <c r="H307" t="s">
        <v>7195</v>
      </c>
      <c r="I307" t="s">
        <v>557</v>
      </c>
      <c r="N307" t="s">
        <v>33</v>
      </c>
    </row>
    <row r="308" spans="1:14" x14ac:dyDescent="0.35">
      <c r="A308" t="s">
        <v>20</v>
      </c>
      <c r="B308">
        <v>17643</v>
      </c>
      <c r="C308" t="s">
        <v>426</v>
      </c>
      <c r="D308" t="s">
        <v>427</v>
      </c>
      <c r="E308" t="s">
        <v>6952</v>
      </c>
      <c r="F308" t="s">
        <v>1551</v>
      </c>
      <c r="G308" t="s">
        <v>1552</v>
      </c>
      <c r="H308" t="s">
        <v>1553</v>
      </c>
      <c r="I308" t="s">
        <v>557</v>
      </c>
      <c r="N308" t="s">
        <v>33</v>
      </c>
    </row>
    <row r="309" spans="1:14" x14ac:dyDescent="0.35">
      <c r="A309" t="s">
        <v>20</v>
      </c>
      <c r="B309">
        <v>17643</v>
      </c>
      <c r="C309" t="s">
        <v>426</v>
      </c>
      <c r="D309" t="s">
        <v>427</v>
      </c>
      <c r="E309" t="s">
        <v>6953</v>
      </c>
      <c r="F309" t="s">
        <v>7196</v>
      </c>
      <c r="G309" t="s">
        <v>7197</v>
      </c>
      <c r="H309" t="s">
        <v>7198</v>
      </c>
      <c r="I309" t="s">
        <v>557</v>
      </c>
      <c r="N309" t="s">
        <v>33</v>
      </c>
    </row>
    <row r="310" spans="1:14" x14ac:dyDescent="0.35">
      <c r="A310" t="s">
        <v>20</v>
      </c>
      <c r="B310">
        <v>17643</v>
      </c>
      <c r="C310" t="s">
        <v>426</v>
      </c>
      <c r="D310" t="s">
        <v>427</v>
      </c>
      <c r="E310" t="s">
        <v>6957</v>
      </c>
      <c r="F310" t="s">
        <v>7199</v>
      </c>
      <c r="G310" t="s">
        <v>7200</v>
      </c>
      <c r="H310" t="s">
        <v>7201</v>
      </c>
      <c r="I310" t="s">
        <v>557</v>
      </c>
      <c r="J310" t="s">
        <v>1537</v>
      </c>
      <c r="K310" t="s">
        <v>61</v>
      </c>
      <c r="L310" t="s">
        <v>7202</v>
      </c>
      <c r="N310" t="s">
        <v>33</v>
      </c>
    </row>
    <row r="311" spans="1:14" x14ac:dyDescent="0.35">
      <c r="A311" t="s">
        <v>20</v>
      </c>
      <c r="B311">
        <v>17643</v>
      </c>
      <c r="C311" t="s">
        <v>426</v>
      </c>
      <c r="D311" t="s">
        <v>427</v>
      </c>
      <c r="E311" t="s">
        <v>6961</v>
      </c>
      <c r="F311" t="s">
        <v>1554</v>
      </c>
      <c r="G311" t="s">
        <v>1555</v>
      </c>
      <c r="H311" t="s">
        <v>1556</v>
      </c>
      <c r="I311" t="s">
        <v>557</v>
      </c>
      <c r="J311" t="s">
        <v>1537</v>
      </c>
      <c r="N311" t="s">
        <v>33</v>
      </c>
    </row>
    <row r="312" spans="1:14" x14ac:dyDescent="0.35">
      <c r="A312" t="s">
        <v>20</v>
      </c>
      <c r="B312">
        <v>17643</v>
      </c>
      <c r="C312" t="s">
        <v>426</v>
      </c>
      <c r="D312" t="s">
        <v>427</v>
      </c>
      <c r="E312" t="s">
        <v>6965</v>
      </c>
      <c r="F312" t="s">
        <v>7203</v>
      </c>
      <c r="G312" t="s">
        <v>7204</v>
      </c>
      <c r="H312" t="s">
        <v>7205</v>
      </c>
      <c r="I312" t="s">
        <v>557</v>
      </c>
      <c r="N312" t="s">
        <v>33</v>
      </c>
    </row>
    <row r="313" spans="1:14" x14ac:dyDescent="0.35">
      <c r="A313" t="s">
        <v>20</v>
      </c>
      <c r="B313">
        <v>17643</v>
      </c>
      <c r="C313" t="s">
        <v>426</v>
      </c>
      <c r="D313" t="s">
        <v>427</v>
      </c>
      <c r="E313" t="s">
        <v>6969</v>
      </c>
      <c r="F313" t="s">
        <v>1557</v>
      </c>
      <c r="G313" t="s">
        <v>1558</v>
      </c>
      <c r="H313" t="s">
        <v>1559</v>
      </c>
      <c r="I313" t="s">
        <v>557</v>
      </c>
      <c r="N313" t="s">
        <v>33</v>
      </c>
    </row>
    <row r="314" spans="1:14" x14ac:dyDescent="0.35">
      <c r="A314" t="s">
        <v>20</v>
      </c>
      <c r="B314">
        <v>17643</v>
      </c>
      <c r="C314" t="s">
        <v>426</v>
      </c>
      <c r="D314" t="s">
        <v>427</v>
      </c>
      <c r="E314" t="s">
        <v>6973</v>
      </c>
      <c r="F314" t="s">
        <v>7206</v>
      </c>
      <c r="G314" t="s">
        <v>7207</v>
      </c>
      <c r="H314" t="s">
        <v>7208</v>
      </c>
      <c r="I314" t="s">
        <v>557</v>
      </c>
      <c r="N314" t="s">
        <v>33</v>
      </c>
    </row>
    <row r="315" spans="1:14" x14ac:dyDescent="0.35">
      <c r="A315" t="s">
        <v>20</v>
      </c>
      <c r="B315">
        <v>17643</v>
      </c>
      <c r="C315" t="s">
        <v>426</v>
      </c>
      <c r="D315" t="s">
        <v>427</v>
      </c>
      <c r="E315" t="s">
        <v>6977</v>
      </c>
      <c r="F315" t="s">
        <v>7209</v>
      </c>
      <c r="G315" t="s">
        <v>7210</v>
      </c>
      <c r="H315" t="s">
        <v>7211</v>
      </c>
      <c r="I315" t="s">
        <v>557</v>
      </c>
      <c r="N315" t="s">
        <v>33</v>
      </c>
    </row>
    <row r="316" spans="1:14" x14ac:dyDescent="0.35">
      <c r="A316" t="s">
        <v>20</v>
      </c>
      <c r="B316">
        <v>17643</v>
      </c>
      <c r="C316" t="s">
        <v>426</v>
      </c>
      <c r="D316" t="s">
        <v>427</v>
      </c>
      <c r="E316" t="s">
        <v>6981</v>
      </c>
      <c r="F316" t="s">
        <v>1561</v>
      </c>
      <c r="G316" t="s">
        <v>1562</v>
      </c>
      <c r="H316" t="s">
        <v>1563</v>
      </c>
      <c r="I316" t="s">
        <v>557</v>
      </c>
      <c r="J316" t="s">
        <v>1537</v>
      </c>
      <c r="N316" t="s">
        <v>33</v>
      </c>
    </row>
    <row r="317" spans="1:14" x14ac:dyDescent="0.35">
      <c r="A317" t="s">
        <v>20</v>
      </c>
      <c r="B317">
        <v>17643</v>
      </c>
      <c r="C317" t="s">
        <v>426</v>
      </c>
      <c r="D317" t="s">
        <v>427</v>
      </c>
      <c r="E317" t="s">
        <v>6985</v>
      </c>
      <c r="F317" t="s">
        <v>7212</v>
      </c>
      <c r="G317" t="s">
        <v>7213</v>
      </c>
      <c r="H317" t="s">
        <v>7214</v>
      </c>
      <c r="I317" t="s">
        <v>557</v>
      </c>
      <c r="N317" t="s">
        <v>33</v>
      </c>
    </row>
    <row r="318" spans="1:14" x14ac:dyDescent="0.35">
      <c r="A318" t="s">
        <v>20</v>
      </c>
      <c r="B318">
        <v>17643</v>
      </c>
      <c r="C318" t="s">
        <v>426</v>
      </c>
      <c r="D318" t="s">
        <v>427</v>
      </c>
      <c r="E318" t="s">
        <v>6986</v>
      </c>
      <c r="F318" t="s">
        <v>7215</v>
      </c>
      <c r="G318" t="s">
        <v>7216</v>
      </c>
      <c r="H318" t="s">
        <v>7217</v>
      </c>
      <c r="I318" t="s">
        <v>557</v>
      </c>
      <c r="N318" t="s">
        <v>33</v>
      </c>
    </row>
    <row r="319" spans="1:14" x14ac:dyDescent="0.35">
      <c r="A319" t="s">
        <v>20</v>
      </c>
      <c r="B319">
        <v>17643</v>
      </c>
      <c r="C319" t="s">
        <v>426</v>
      </c>
      <c r="D319" t="s">
        <v>427</v>
      </c>
      <c r="E319" t="s">
        <v>6990</v>
      </c>
      <c r="F319" t="s">
        <v>7218</v>
      </c>
      <c r="G319" t="s">
        <v>7219</v>
      </c>
      <c r="H319" t="s">
        <v>7220</v>
      </c>
      <c r="I319" t="s">
        <v>557</v>
      </c>
      <c r="N319" t="s">
        <v>33</v>
      </c>
    </row>
    <row r="320" spans="1:14" x14ac:dyDescent="0.35">
      <c r="A320" t="s">
        <v>20</v>
      </c>
      <c r="B320">
        <v>17643</v>
      </c>
      <c r="C320" t="s">
        <v>426</v>
      </c>
      <c r="D320" t="s">
        <v>427</v>
      </c>
      <c r="E320" t="s">
        <v>6994</v>
      </c>
      <c r="F320" t="s">
        <v>1565</v>
      </c>
      <c r="G320" t="s">
        <v>1566</v>
      </c>
      <c r="H320" t="s">
        <v>1567</v>
      </c>
      <c r="I320" t="s">
        <v>557</v>
      </c>
      <c r="J320" t="s">
        <v>1568</v>
      </c>
      <c r="N320" t="s">
        <v>33</v>
      </c>
    </row>
    <row r="321" spans="1:14" x14ac:dyDescent="0.35">
      <c r="A321" t="s">
        <v>20</v>
      </c>
      <c r="B321">
        <v>17643</v>
      </c>
      <c r="C321" t="s">
        <v>426</v>
      </c>
      <c r="D321" t="s">
        <v>427</v>
      </c>
      <c r="E321" t="s">
        <v>6998</v>
      </c>
      <c r="F321" t="s">
        <v>7221</v>
      </c>
      <c r="G321" t="s">
        <v>7222</v>
      </c>
      <c r="H321" t="s">
        <v>7223</v>
      </c>
      <c r="I321" t="s">
        <v>557</v>
      </c>
      <c r="N321" t="s">
        <v>33</v>
      </c>
    </row>
    <row r="322" spans="1:14" x14ac:dyDescent="0.35">
      <c r="A322" t="s">
        <v>20</v>
      </c>
      <c r="B322">
        <v>17643</v>
      </c>
      <c r="C322" t="s">
        <v>426</v>
      </c>
      <c r="D322" t="s">
        <v>427</v>
      </c>
      <c r="E322" t="s">
        <v>7002</v>
      </c>
      <c r="F322" t="s">
        <v>7224</v>
      </c>
      <c r="G322" t="s">
        <v>7225</v>
      </c>
      <c r="H322" t="s">
        <v>7226</v>
      </c>
      <c r="I322" t="s">
        <v>557</v>
      </c>
      <c r="N322" t="s">
        <v>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6"/>
  <sheetViews>
    <sheetView workbookViewId="0">
      <selection activeCell="I2" sqref="I2:I5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15</v>
      </c>
    </row>
    <row r="2" spans="1:12" x14ac:dyDescent="0.35">
      <c r="A2" t="s">
        <v>20</v>
      </c>
      <c r="B2">
        <v>17644</v>
      </c>
      <c r="C2" t="s">
        <v>21</v>
      </c>
      <c r="D2" t="s">
        <v>22</v>
      </c>
      <c r="E2" t="s">
        <v>7698</v>
      </c>
      <c r="F2" t="s">
        <v>7699</v>
      </c>
      <c r="G2" t="s">
        <v>7700</v>
      </c>
      <c r="H2" t="s">
        <v>7701</v>
      </c>
      <c r="I2" t="s">
        <v>27</v>
      </c>
      <c r="L2" t="s">
        <v>33</v>
      </c>
    </row>
    <row r="3" spans="1:12" x14ac:dyDescent="0.35">
      <c r="A3" t="s">
        <v>20</v>
      </c>
      <c r="B3">
        <v>17644</v>
      </c>
      <c r="C3" t="s">
        <v>21</v>
      </c>
      <c r="D3" t="s">
        <v>22</v>
      </c>
      <c r="E3" t="s">
        <v>7702</v>
      </c>
      <c r="F3" t="s">
        <v>7703</v>
      </c>
      <c r="G3" t="s">
        <v>7704</v>
      </c>
      <c r="H3" t="s">
        <v>7705</v>
      </c>
      <c r="I3" t="s">
        <v>27</v>
      </c>
      <c r="L3" t="s">
        <v>33</v>
      </c>
    </row>
    <row r="4" spans="1:12" x14ac:dyDescent="0.35">
      <c r="A4" t="s">
        <v>20</v>
      </c>
      <c r="B4">
        <v>17644</v>
      </c>
      <c r="C4" t="s">
        <v>21</v>
      </c>
      <c r="D4" t="s">
        <v>22</v>
      </c>
      <c r="E4" t="s">
        <v>7706</v>
      </c>
      <c r="F4" t="s">
        <v>7705</v>
      </c>
      <c r="G4" t="s">
        <v>7705</v>
      </c>
      <c r="H4" t="s">
        <v>7707</v>
      </c>
      <c r="I4" t="s">
        <v>27</v>
      </c>
      <c r="L4" t="s">
        <v>33</v>
      </c>
    </row>
    <row r="5" spans="1:12" x14ac:dyDescent="0.35">
      <c r="A5" t="s">
        <v>20</v>
      </c>
      <c r="B5">
        <v>17644</v>
      </c>
      <c r="C5" t="s">
        <v>21</v>
      </c>
      <c r="D5" t="s">
        <v>22</v>
      </c>
      <c r="E5" t="s">
        <v>7708</v>
      </c>
      <c r="F5" t="s">
        <v>7709</v>
      </c>
      <c r="G5" t="s">
        <v>7709</v>
      </c>
      <c r="H5" t="s">
        <v>7710</v>
      </c>
      <c r="I5" t="s">
        <v>27</v>
      </c>
      <c r="L5" t="s">
        <v>33</v>
      </c>
    </row>
    <row r="6" spans="1:12" x14ac:dyDescent="0.35">
      <c r="A6" t="s">
        <v>20</v>
      </c>
      <c r="B6">
        <v>17644</v>
      </c>
      <c r="C6" t="s">
        <v>21</v>
      </c>
      <c r="D6" t="s">
        <v>22</v>
      </c>
      <c r="E6" t="s">
        <v>7711</v>
      </c>
      <c r="F6" t="s">
        <v>7712</v>
      </c>
      <c r="G6" t="s">
        <v>7712</v>
      </c>
      <c r="H6" t="s">
        <v>7713</v>
      </c>
      <c r="I6" t="s">
        <v>27</v>
      </c>
      <c r="L6" t="s">
        <v>33</v>
      </c>
    </row>
    <row r="7" spans="1:12" x14ac:dyDescent="0.35">
      <c r="A7" t="s">
        <v>20</v>
      </c>
      <c r="B7">
        <v>17644</v>
      </c>
      <c r="C7" t="s">
        <v>21</v>
      </c>
      <c r="D7" t="s">
        <v>22</v>
      </c>
      <c r="E7" t="s">
        <v>7714</v>
      </c>
      <c r="F7" t="s">
        <v>7715</v>
      </c>
      <c r="G7" t="s">
        <v>7716</v>
      </c>
      <c r="H7" t="s">
        <v>7717</v>
      </c>
      <c r="I7" t="s">
        <v>27</v>
      </c>
      <c r="L7" t="s">
        <v>33</v>
      </c>
    </row>
    <row r="8" spans="1:12" x14ac:dyDescent="0.35">
      <c r="A8" t="s">
        <v>20</v>
      </c>
      <c r="B8">
        <v>17644</v>
      </c>
      <c r="C8" t="s">
        <v>21</v>
      </c>
      <c r="D8" t="s">
        <v>22</v>
      </c>
      <c r="E8" t="s">
        <v>7718</v>
      </c>
      <c r="F8" t="s">
        <v>7719</v>
      </c>
      <c r="G8" t="s">
        <v>7719</v>
      </c>
      <c r="H8" t="s">
        <v>7720</v>
      </c>
      <c r="I8" t="s">
        <v>27</v>
      </c>
      <c r="L8" t="s">
        <v>33</v>
      </c>
    </row>
    <row r="9" spans="1:12" x14ac:dyDescent="0.35">
      <c r="A9" t="s">
        <v>20</v>
      </c>
      <c r="B9">
        <v>17644</v>
      </c>
      <c r="C9" t="s">
        <v>21</v>
      </c>
      <c r="D9" t="s">
        <v>22</v>
      </c>
      <c r="E9" t="s">
        <v>7721</v>
      </c>
      <c r="F9" t="s">
        <v>7722</v>
      </c>
      <c r="G9" t="s">
        <v>7722</v>
      </c>
      <c r="H9" t="s">
        <v>7723</v>
      </c>
      <c r="I9" t="s">
        <v>27</v>
      </c>
      <c r="L9" t="s">
        <v>33</v>
      </c>
    </row>
    <row r="10" spans="1:12" x14ac:dyDescent="0.35">
      <c r="A10" t="s">
        <v>20</v>
      </c>
      <c r="B10">
        <v>17644</v>
      </c>
      <c r="C10" t="s">
        <v>21</v>
      </c>
      <c r="D10" t="s">
        <v>22</v>
      </c>
      <c r="E10" t="s">
        <v>7724</v>
      </c>
      <c r="F10" t="s">
        <v>7725</v>
      </c>
      <c r="G10" t="s">
        <v>7725</v>
      </c>
      <c r="H10" t="s">
        <v>7726</v>
      </c>
      <c r="I10" t="s">
        <v>27</v>
      </c>
      <c r="L10" t="s">
        <v>33</v>
      </c>
    </row>
    <row r="11" spans="1:12" x14ac:dyDescent="0.35">
      <c r="A11" t="s">
        <v>20</v>
      </c>
      <c r="B11">
        <v>17644</v>
      </c>
      <c r="C11" t="s">
        <v>21</v>
      </c>
      <c r="D11" t="s">
        <v>22</v>
      </c>
      <c r="E11" t="s">
        <v>7727</v>
      </c>
      <c r="F11" t="s">
        <v>7728</v>
      </c>
      <c r="G11" t="s">
        <v>7728</v>
      </c>
      <c r="H11" t="s">
        <v>7729</v>
      </c>
      <c r="I11" t="s">
        <v>27</v>
      </c>
      <c r="L11" t="s">
        <v>33</v>
      </c>
    </row>
    <row r="12" spans="1:12" x14ac:dyDescent="0.35">
      <c r="A12" t="s">
        <v>20</v>
      </c>
      <c r="B12">
        <v>17644</v>
      </c>
      <c r="C12" t="s">
        <v>21</v>
      </c>
      <c r="D12" t="s">
        <v>22</v>
      </c>
      <c r="E12" t="s">
        <v>7730</v>
      </c>
      <c r="F12" t="s">
        <v>7731</v>
      </c>
      <c r="G12" t="s">
        <v>7731</v>
      </c>
      <c r="H12" t="s">
        <v>7732</v>
      </c>
      <c r="I12" t="s">
        <v>27</v>
      </c>
      <c r="L12" t="s">
        <v>33</v>
      </c>
    </row>
    <row r="13" spans="1:12" x14ac:dyDescent="0.35">
      <c r="A13" t="s">
        <v>20</v>
      </c>
      <c r="B13">
        <v>17644</v>
      </c>
      <c r="C13" t="s">
        <v>21</v>
      </c>
      <c r="D13" t="s">
        <v>22</v>
      </c>
      <c r="E13" t="s">
        <v>7733</v>
      </c>
      <c r="F13" t="s">
        <v>7734</v>
      </c>
      <c r="G13" t="s">
        <v>7734</v>
      </c>
      <c r="H13" t="s">
        <v>7735</v>
      </c>
      <c r="I13" t="s">
        <v>27</v>
      </c>
      <c r="L13" t="s">
        <v>33</v>
      </c>
    </row>
    <row r="14" spans="1:12" x14ac:dyDescent="0.35">
      <c r="A14" t="s">
        <v>20</v>
      </c>
      <c r="B14">
        <v>17644</v>
      </c>
      <c r="C14" t="s">
        <v>21</v>
      </c>
      <c r="D14" t="s">
        <v>22</v>
      </c>
      <c r="E14" t="s">
        <v>7736</v>
      </c>
      <c r="F14" t="s">
        <v>7737</v>
      </c>
      <c r="G14" t="s">
        <v>7737</v>
      </c>
      <c r="H14" t="s">
        <v>7738</v>
      </c>
      <c r="I14" t="s">
        <v>27</v>
      </c>
      <c r="L14" t="s">
        <v>33</v>
      </c>
    </row>
    <row r="15" spans="1:12" x14ac:dyDescent="0.35">
      <c r="A15" t="s">
        <v>20</v>
      </c>
      <c r="B15">
        <v>17644</v>
      </c>
      <c r="C15" t="s">
        <v>21</v>
      </c>
      <c r="D15" t="s">
        <v>22</v>
      </c>
      <c r="E15" t="s">
        <v>7739</v>
      </c>
      <c r="F15" t="s">
        <v>7740</v>
      </c>
      <c r="G15" t="s">
        <v>7740</v>
      </c>
      <c r="H15" t="s">
        <v>7741</v>
      </c>
      <c r="I15" t="s">
        <v>27</v>
      </c>
      <c r="L15" t="s">
        <v>33</v>
      </c>
    </row>
    <row r="16" spans="1:12" x14ac:dyDescent="0.35">
      <c r="A16" t="s">
        <v>20</v>
      </c>
      <c r="B16">
        <v>17644</v>
      </c>
      <c r="C16" t="s">
        <v>21</v>
      </c>
      <c r="D16" t="s">
        <v>22</v>
      </c>
      <c r="E16" t="s">
        <v>7742</v>
      </c>
      <c r="F16" t="s">
        <v>7743</v>
      </c>
      <c r="G16" t="s">
        <v>7743</v>
      </c>
      <c r="H16" t="s">
        <v>7744</v>
      </c>
      <c r="I16" t="s">
        <v>27</v>
      </c>
      <c r="L16" t="s">
        <v>33</v>
      </c>
    </row>
    <row r="17" spans="1:12" x14ac:dyDescent="0.35">
      <c r="A17" t="s">
        <v>20</v>
      </c>
      <c r="B17">
        <v>17644</v>
      </c>
      <c r="C17" t="s">
        <v>21</v>
      </c>
      <c r="D17" t="s">
        <v>22</v>
      </c>
      <c r="E17" t="s">
        <v>7745</v>
      </c>
      <c r="F17" t="s">
        <v>7746</v>
      </c>
      <c r="G17" t="s">
        <v>7747</v>
      </c>
      <c r="H17" t="s">
        <v>7748</v>
      </c>
      <c r="I17" t="s">
        <v>27</v>
      </c>
      <c r="L17" t="s">
        <v>33</v>
      </c>
    </row>
    <row r="18" spans="1:12" x14ac:dyDescent="0.35">
      <c r="A18" t="s">
        <v>20</v>
      </c>
      <c r="B18">
        <v>17644</v>
      </c>
      <c r="C18" t="s">
        <v>21</v>
      </c>
      <c r="D18" t="s">
        <v>22</v>
      </c>
      <c r="E18" t="s">
        <v>7749</v>
      </c>
      <c r="F18" t="s">
        <v>7750</v>
      </c>
      <c r="G18" t="s">
        <v>7751</v>
      </c>
      <c r="H18" t="s">
        <v>7752</v>
      </c>
      <c r="I18" t="s">
        <v>27</v>
      </c>
      <c r="L18" t="s">
        <v>33</v>
      </c>
    </row>
    <row r="19" spans="1:12" x14ac:dyDescent="0.35">
      <c r="A19" t="s">
        <v>20</v>
      </c>
      <c r="B19">
        <v>17644</v>
      </c>
      <c r="C19" t="s">
        <v>21</v>
      </c>
      <c r="D19" t="s">
        <v>22</v>
      </c>
      <c r="E19" t="s">
        <v>7753</v>
      </c>
      <c r="F19" t="s">
        <v>7754</v>
      </c>
      <c r="G19" t="s">
        <v>7754</v>
      </c>
      <c r="H19" t="s">
        <v>7755</v>
      </c>
      <c r="I19" t="s">
        <v>27</v>
      </c>
      <c r="L19" t="s">
        <v>33</v>
      </c>
    </row>
    <row r="20" spans="1:12" x14ac:dyDescent="0.35">
      <c r="A20" t="s">
        <v>20</v>
      </c>
      <c r="B20">
        <v>17644</v>
      </c>
      <c r="C20" t="s">
        <v>21</v>
      </c>
      <c r="D20" t="s">
        <v>22</v>
      </c>
      <c r="E20" t="s">
        <v>7756</v>
      </c>
      <c r="F20" t="s">
        <v>7757</v>
      </c>
      <c r="G20" t="s">
        <v>7757</v>
      </c>
      <c r="H20" t="s">
        <v>7758</v>
      </c>
      <c r="I20" t="s">
        <v>27</v>
      </c>
      <c r="L20" t="s">
        <v>33</v>
      </c>
    </row>
    <row r="21" spans="1:12" x14ac:dyDescent="0.35">
      <c r="A21" t="s">
        <v>20</v>
      </c>
      <c r="B21">
        <v>17644</v>
      </c>
      <c r="C21" t="s">
        <v>21</v>
      </c>
      <c r="D21" t="s">
        <v>22</v>
      </c>
      <c r="E21" t="s">
        <v>7759</v>
      </c>
      <c r="F21" t="s">
        <v>7760</v>
      </c>
      <c r="G21" t="s">
        <v>7761</v>
      </c>
      <c r="H21" t="s">
        <v>7762</v>
      </c>
      <c r="I21" t="s">
        <v>27</v>
      </c>
      <c r="L21" t="s">
        <v>33</v>
      </c>
    </row>
    <row r="22" spans="1:12" x14ac:dyDescent="0.35">
      <c r="A22" t="s">
        <v>20</v>
      </c>
      <c r="B22">
        <v>17644</v>
      </c>
      <c r="C22" t="s">
        <v>21</v>
      </c>
      <c r="D22" t="s">
        <v>22</v>
      </c>
      <c r="E22" t="s">
        <v>7763</v>
      </c>
      <c r="F22" t="s">
        <v>7764</v>
      </c>
      <c r="G22" t="s">
        <v>7764</v>
      </c>
      <c r="H22" t="s">
        <v>7765</v>
      </c>
      <c r="I22" t="s">
        <v>27</v>
      </c>
      <c r="L22" t="s">
        <v>33</v>
      </c>
    </row>
    <row r="23" spans="1:12" x14ac:dyDescent="0.35">
      <c r="A23" t="s">
        <v>20</v>
      </c>
      <c r="B23">
        <v>17644</v>
      </c>
      <c r="C23" t="s">
        <v>21</v>
      </c>
      <c r="D23" t="s">
        <v>22</v>
      </c>
      <c r="E23" t="s">
        <v>7766</v>
      </c>
      <c r="F23" t="s">
        <v>7765</v>
      </c>
      <c r="G23" t="s">
        <v>7767</v>
      </c>
      <c r="H23" t="s">
        <v>7768</v>
      </c>
      <c r="I23" t="s">
        <v>27</v>
      </c>
      <c r="L23" t="s">
        <v>33</v>
      </c>
    </row>
    <row r="24" spans="1:12" x14ac:dyDescent="0.35">
      <c r="A24" t="s">
        <v>20</v>
      </c>
      <c r="B24">
        <v>17644</v>
      </c>
      <c r="C24" t="s">
        <v>21</v>
      </c>
      <c r="D24" t="s">
        <v>22</v>
      </c>
      <c r="E24" t="s">
        <v>7769</v>
      </c>
      <c r="F24" t="s">
        <v>7770</v>
      </c>
      <c r="G24" t="s">
        <v>7770</v>
      </c>
      <c r="H24" t="s">
        <v>7771</v>
      </c>
      <c r="I24" t="s">
        <v>27</v>
      </c>
      <c r="L24" t="s">
        <v>33</v>
      </c>
    </row>
    <row r="25" spans="1:12" x14ac:dyDescent="0.35">
      <c r="A25" t="s">
        <v>20</v>
      </c>
      <c r="B25">
        <v>17644</v>
      </c>
      <c r="C25" t="s">
        <v>21</v>
      </c>
      <c r="D25" t="s">
        <v>22</v>
      </c>
      <c r="E25" t="s">
        <v>7772</v>
      </c>
      <c r="F25" t="s">
        <v>7773</v>
      </c>
      <c r="G25" t="s">
        <v>7773</v>
      </c>
      <c r="H25" t="s">
        <v>7774</v>
      </c>
      <c r="I25" t="s">
        <v>27</v>
      </c>
      <c r="L25" t="s">
        <v>33</v>
      </c>
    </row>
    <row r="26" spans="1:12" x14ac:dyDescent="0.35">
      <c r="A26" t="s">
        <v>20</v>
      </c>
      <c r="B26">
        <v>17644</v>
      </c>
      <c r="C26" t="s">
        <v>21</v>
      </c>
      <c r="D26" t="s">
        <v>22</v>
      </c>
      <c r="E26" t="s">
        <v>7775</v>
      </c>
      <c r="F26" t="s">
        <v>7776</v>
      </c>
      <c r="G26" t="s">
        <v>7777</v>
      </c>
      <c r="H26" t="s">
        <v>7778</v>
      </c>
      <c r="I26" t="s">
        <v>27</v>
      </c>
      <c r="L26" t="s">
        <v>33</v>
      </c>
    </row>
    <row r="27" spans="1:12" x14ac:dyDescent="0.35">
      <c r="A27" t="s">
        <v>20</v>
      </c>
      <c r="B27">
        <v>17644</v>
      </c>
      <c r="C27" t="s">
        <v>21</v>
      </c>
      <c r="D27" t="s">
        <v>22</v>
      </c>
      <c r="E27" t="s">
        <v>7779</v>
      </c>
      <c r="F27" t="s">
        <v>7780</v>
      </c>
      <c r="G27" t="s">
        <v>7780</v>
      </c>
      <c r="H27" t="s">
        <v>7781</v>
      </c>
      <c r="I27" t="s">
        <v>27</v>
      </c>
      <c r="L27" t="s">
        <v>33</v>
      </c>
    </row>
    <row r="28" spans="1:12" x14ac:dyDescent="0.35">
      <c r="A28" t="s">
        <v>20</v>
      </c>
      <c r="B28">
        <v>17644</v>
      </c>
      <c r="C28" t="s">
        <v>21</v>
      </c>
      <c r="D28" t="s">
        <v>22</v>
      </c>
      <c r="E28" t="s">
        <v>7782</v>
      </c>
      <c r="F28" t="s">
        <v>7783</v>
      </c>
      <c r="G28" t="s">
        <v>7784</v>
      </c>
      <c r="H28" t="s">
        <v>7785</v>
      </c>
      <c r="I28" t="s">
        <v>27</v>
      </c>
      <c r="L28" t="s">
        <v>33</v>
      </c>
    </row>
    <row r="29" spans="1:12" x14ac:dyDescent="0.35">
      <c r="A29" t="s">
        <v>20</v>
      </c>
      <c r="B29">
        <v>17644</v>
      </c>
      <c r="C29" t="s">
        <v>21</v>
      </c>
      <c r="D29" t="s">
        <v>22</v>
      </c>
      <c r="E29" t="s">
        <v>7786</v>
      </c>
      <c r="F29" t="s">
        <v>7787</v>
      </c>
      <c r="G29" t="s">
        <v>7788</v>
      </c>
      <c r="H29" t="s">
        <v>7789</v>
      </c>
      <c r="I29" t="s">
        <v>27</v>
      </c>
      <c r="L29" t="s">
        <v>33</v>
      </c>
    </row>
    <row r="30" spans="1:12" x14ac:dyDescent="0.35">
      <c r="A30" t="s">
        <v>20</v>
      </c>
      <c r="B30">
        <v>17644</v>
      </c>
      <c r="C30" t="s">
        <v>21</v>
      </c>
      <c r="D30" t="s">
        <v>22</v>
      </c>
      <c r="E30" t="s">
        <v>7790</v>
      </c>
      <c r="F30" t="s">
        <v>7791</v>
      </c>
      <c r="G30" t="s">
        <v>7791</v>
      </c>
      <c r="H30" t="s">
        <v>7792</v>
      </c>
      <c r="I30" t="s">
        <v>27</v>
      </c>
      <c r="L30" t="s">
        <v>33</v>
      </c>
    </row>
    <row r="31" spans="1:12" x14ac:dyDescent="0.35">
      <c r="A31" t="s">
        <v>20</v>
      </c>
      <c r="B31">
        <v>17644</v>
      </c>
      <c r="C31" t="s">
        <v>21</v>
      </c>
      <c r="D31" t="s">
        <v>22</v>
      </c>
      <c r="E31" t="s">
        <v>7793</v>
      </c>
      <c r="F31" t="s">
        <v>7794</v>
      </c>
      <c r="G31" t="s">
        <v>7794</v>
      </c>
      <c r="H31" t="s">
        <v>7795</v>
      </c>
      <c r="I31" t="s">
        <v>27</v>
      </c>
      <c r="L31" t="s">
        <v>33</v>
      </c>
    </row>
    <row r="32" spans="1:12" x14ac:dyDescent="0.35">
      <c r="A32" t="s">
        <v>20</v>
      </c>
      <c r="B32">
        <v>17644</v>
      </c>
      <c r="C32" t="s">
        <v>21</v>
      </c>
      <c r="D32" t="s">
        <v>22</v>
      </c>
      <c r="E32" t="s">
        <v>7796</v>
      </c>
      <c r="F32" t="s">
        <v>7797</v>
      </c>
      <c r="G32" t="s">
        <v>7797</v>
      </c>
      <c r="H32" t="s">
        <v>7798</v>
      </c>
      <c r="I32" t="s">
        <v>27</v>
      </c>
      <c r="L32" t="s">
        <v>33</v>
      </c>
    </row>
    <row r="33" spans="1:12" x14ac:dyDescent="0.35">
      <c r="A33" t="s">
        <v>20</v>
      </c>
      <c r="B33">
        <v>17644</v>
      </c>
      <c r="C33" t="s">
        <v>21</v>
      </c>
      <c r="D33" t="s">
        <v>22</v>
      </c>
      <c r="E33" t="s">
        <v>7799</v>
      </c>
      <c r="F33" t="s">
        <v>7800</v>
      </c>
      <c r="G33" t="s">
        <v>7801</v>
      </c>
      <c r="H33" t="s">
        <v>7802</v>
      </c>
      <c r="I33" t="s">
        <v>27</v>
      </c>
      <c r="L33" t="s">
        <v>33</v>
      </c>
    </row>
    <row r="34" spans="1:12" x14ac:dyDescent="0.35">
      <c r="A34" t="s">
        <v>20</v>
      </c>
      <c r="B34">
        <v>17644</v>
      </c>
      <c r="C34" t="s">
        <v>21</v>
      </c>
      <c r="D34" t="s">
        <v>22</v>
      </c>
      <c r="E34" t="s">
        <v>7803</v>
      </c>
      <c r="F34" t="s">
        <v>7804</v>
      </c>
      <c r="G34" t="s">
        <v>7805</v>
      </c>
      <c r="H34" t="s">
        <v>7806</v>
      </c>
      <c r="I34" t="s">
        <v>27</v>
      </c>
      <c r="L34" t="s">
        <v>33</v>
      </c>
    </row>
    <row r="35" spans="1:12" x14ac:dyDescent="0.35">
      <c r="A35" t="s">
        <v>20</v>
      </c>
      <c r="B35">
        <v>17644</v>
      </c>
      <c r="C35" t="s">
        <v>21</v>
      </c>
      <c r="D35" t="s">
        <v>22</v>
      </c>
      <c r="E35" t="s">
        <v>7807</v>
      </c>
      <c r="F35" t="s">
        <v>7804</v>
      </c>
      <c r="G35" t="s">
        <v>7804</v>
      </c>
      <c r="H35" t="s">
        <v>7808</v>
      </c>
      <c r="I35" t="s">
        <v>27</v>
      </c>
      <c r="L35" t="s">
        <v>33</v>
      </c>
    </row>
    <row r="36" spans="1:12" x14ac:dyDescent="0.35">
      <c r="A36" t="s">
        <v>20</v>
      </c>
      <c r="B36">
        <v>17644</v>
      </c>
      <c r="C36" t="s">
        <v>21</v>
      </c>
      <c r="D36" t="s">
        <v>22</v>
      </c>
      <c r="E36" t="s">
        <v>7809</v>
      </c>
      <c r="F36" t="s">
        <v>7810</v>
      </c>
      <c r="G36" t="s">
        <v>7810</v>
      </c>
      <c r="H36" t="s">
        <v>7811</v>
      </c>
      <c r="I36" t="s">
        <v>27</v>
      </c>
      <c r="L36" t="s">
        <v>33</v>
      </c>
    </row>
    <row r="37" spans="1:12" x14ac:dyDescent="0.35">
      <c r="A37" t="s">
        <v>20</v>
      </c>
      <c r="B37">
        <v>17644</v>
      </c>
      <c r="C37" t="s">
        <v>21</v>
      </c>
      <c r="D37" t="s">
        <v>22</v>
      </c>
      <c r="E37" t="s">
        <v>7812</v>
      </c>
      <c r="F37" t="s">
        <v>7810</v>
      </c>
      <c r="G37" t="s">
        <v>7810</v>
      </c>
      <c r="H37" t="s">
        <v>7813</v>
      </c>
      <c r="I37" t="s">
        <v>27</v>
      </c>
      <c r="L37" t="s">
        <v>33</v>
      </c>
    </row>
    <row r="38" spans="1:12" x14ac:dyDescent="0.35">
      <c r="A38" t="s">
        <v>20</v>
      </c>
      <c r="B38">
        <v>17644</v>
      </c>
      <c r="C38" t="s">
        <v>21</v>
      </c>
      <c r="D38" t="s">
        <v>22</v>
      </c>
      <c r="E38" t="s">
        <v>7814</v>
      </c>
      <c r="F38" t="s">
        <v>7815</v>
      </c>
      <c r="G38" t="s">
        <v>7815</v>
      </c>
      <c r="H38" t="s">
        <v>7816</v>
      </c>
      <c r="I38" t="s">
        <v>27</v>
      </c>
      <c r="L38" t="s">
        <v>33</v>
      </c>
    </row>
    <row r="39" spans="1:12" x14ac:dyDescent="0.35">
      <c r="A39" t="s">
        <v>20</v>
      </c>
      <c r="B39">
        <v>17644</v>
      </c>
      <c r="C39" t="s">
        <v>21</v>
      </c>
      <c r="D39" t="s">
        <v>22</v>
      </c>
      <c r="E39" t="s">
        <v>7817</v>
      </c>
      <c r="F39" t="s">
        <v>7818</v>
      </c>
      <c r="G39" t="s">
        <v>7818</v>
      </c>
      <c r="H39" t="s">
        <v>7819</v>
      </c>
      <c r="I39" t="s">
        <v>27</v>
      </c>
      <c r="L39" t="s">
        <v>33</v>
      </c>
    </row>
    <row r="40" spans="1:12" x14ac:dyDescent="0.35">
      <c r="A40" t="s">
        <v>20</v>
      </c>
      <c r="B40">
        <v>17644</v>
      </c>
      <c r="C40" t="s">
        <v>21</v>
      </c>
      <c r="D40" t="s">
        <v>22</v>
      </c>
      <c r="E40" t="s">
        <v>7820</v>
      </c>
      <c r="F40" t="s">
        <v>7821</v>
      </c>
      <c r="G40" t="s">
        <v>7821</v>
      </c>
      <c r="H40" t="s">
        <v>7822</v>
      </c>
      <c r="I40" t="s">
        <v>27</v>
      </c>
      <c r="L40" t="s">
        <v>33</v>
      </c>
    </row>
    <row r="41" spans="1:12" x14ac:dyDescent="0.35">
      <c r="A41" t="s">
        <v>20</v>
      </c>
      <c r="B41">
        <v>17644</v>
      </c>
      <c r="C41" t="s">
        <v>21</v>
      </c>
      <c r="D41" t="s">
        <v>22</v>
      </c>
      <c r="E41" t="s">
        <v>7823</v>
      </c>
      <c r="F41" t="s">
        <v>7824</v>
      </c>
      <c r="G41" t="s">
        <v>7825</v>
      </c>
      <c r="H41" t="s">
        <v>7826</v>
      </c>
      <c r="I41" t="s">
        <v>27</v>
      </c>
      <c r="L41" t="s">
        <v>33</v>
      </c>
    </row>
    <row r="42" spans="1:12" x14ac:dyDescent="0.35">
      <c r="A42" t="s">
        <v>20</v>
      </c>
      <c r="B42">
        <v>17644</v>
      </c>
      <c r="C42" t="s">
        <v>21</v>
      </c>
      <c r="D42" t="s">
        <v>22</v>
      </c>
      <c r="E42" t="s">
        <v>7827</v>
      </c>
      <c r="F42" t="s">
        <v>7828</v>
      </c>
      <c r="G42" t="s">
        <v>7829</v>
      </c>
      <c r="H42" t="s">
        <v>7830</v>
      </c>
      <c r="I42" t="s">
        <v>27</v>
      </c>
      <c r="L42" t="s">
        <v>33</v>
      </c>
    </row>
    <row r="43" spans="1:12" x14ac:dyDescent="0.35">
      <c r="A43" t="s">
        <v>20</v>
      </c>
      <c r="B43">
        <v>17644</v>
      </c>
      <c r="C43" t="s">
        <v>21</v>
      </c>
      <c r="D43" t="s">
        <v>22</v>
      </c>
      <c r="E43" t="s">
        <v>7831</v>
      </c>
      <c r="F43" t="s">
        <v>7832</v>
      </c>
      <c r="G43" t="s">
        <v>7833</v>
      </c>
      <c r="H43" t="s">
        <v>7834</v>
      </c>
      <c r="I43" t="s">
        <v>27</v>
      </c>
      <c r="L43" t="s">
        <v>33</v>
      </c>
    </row>
    <row r="44" spans="1:12" x14ac:dyDescent="0.35">
      <c r="A44" t="s">
        <v>20</v>
      </c>
      <c r="B44">
        <v>17644</v>
      </c>
      <c r="C44" t="s">
        <v>21</v>
      </c>
      <c r="D44" t="s">
        <v>22</v>
      </c>
      <c r="E44" t="s">
        <v>7835</v>
      </c>
      <c r="F44" t="s">
        <v>7836</v>
      </c>
      <c r="G44" t="s">
        <v>7837</v>
      </c>
      <c r="H44" t="s">
        <v>7838</v>
      </c>
      <c r="I44" t="s">
        <v>27</v>
      </c>
      <c r="L44" t="s">
        <v>33</v>
      </c>
    </row>
    <row r="45" spans="1:12" x14ac:dyDescent="0.35">
      <c r="A45" t="s">
        <v>20</v>
      </c>
      <c r="B45">
        <v>17644</v>
      </c>
      <c r="C45" t="s">
        <v>21</v>
      </c>
      <c r="D45" t="s">
        <v>22</v>
      </c>
      <c r="E45" t="s">
        <v>7839</v>
      </c>
      <c r="F45" t="s">
        <v>7840</v>
      </c>
      <c r="G45" t="s">
        <v>7841</v>
      </c>
      <c r="H45" t="s">
        <v>7842</v>
      </c>
      <c r="I45" t="s">
        <v>27</v>
      </c>
      <c r="L45" t="s">
        <v>33</v>
      </c>
    </row>
    <row r="46" spans="1:12" x14ac:dyDescent="0.35">
      <c r="A46" t="s">
        <v>20</v>
      </c>
      <c r="B46">
        <v>17644</v>
      </c>
      <c r="C46" t="s">
        <v>21</v>
      </c>
      <c r="D46" t="s">
        <v>22</v>
      </c>
      <c r="E46" t="s">
        <v>7843</v>
      </c>
      <c r="F46" t="s">
        <v>7844</v>
      </c>
      <c r="G46" t="s">
        <v>7845</v>
      </c>
      <c r="H46" t="s">
        <v>7846</v>
      </c>
      <c r="I46" t="s">
        <v>27</v>
      </c>
      <c r="L46" t="s">
        <v>33</v>
      </c>
    </row>
    <row r="47" spans="1:12" x14ac:dyDescent="0.35">
      <c r="A47" t="s">
        <v>20</v>
      </c>
      <c r="B47">
        <v>17644</v>
      </c>
      <c r="C47" t="s">
        <v>21</v>
      </c>
      <c r="D47" t="s">
        <v>22</v>
      </c>
      <c r="E47" t="s">
        <v>7847</v>
      </c>
      <c r="F47" t="s">
        <v>7848</v>
      </c>
      <c r="G47" t="s">
        <v>7849</v>
      </c>
      <c r="H47" t="s">
        <v>7850</v>
      </c>
      <c r="I47" t="s">
        <v>27</v>
      </c>
      <c r="L47" t="s">
        <v>33</v>
      </c>
    </row>
    <row r="48" spans="1:12" x14ac:dyDescent="0.35">
      <c r="A48" t="s">
        <v>20</v>
      </c>
      <c r="B48">
        <v>17644</v>
      </c>
      <c r="C48" t="s">
        <v>21</v>
      </c>
      <c r="D48" t="s">
        <v>22</v>
      </c>
      <c r="E48" t="s">
        <v>7851</v>
      </c>
      <c r="F48" t="s">
        <v>7852</v>
      </c>
      <c r="G48" t="s">
        <v>7852</v>
      </c>
      <c r="H48" t="s">
        <v>7853</v>
      </c>
      <c r="I48" t="s">
        <v>27</v>
      </c>
      <c r="L48" t="s">
        <v>33</v>
      </c>
    </row>
    <row r="49" spans="1:12" x14ac:dyDescent="0.35">
      <c r="A49" t="s">
        <v>20</v>
      </c>
      <c r="B49">
        <v>17644</v>
      </c>
      <c r="C49" t="s">
        <v>21</v>
      </c>
      <c r="D49" t="s">
        <v>22</v>
      </c>
      <c r="E49" t="s">
        <v>7854</v>
      </c>
      <c r="F49" t="s">
        <v>7855</v>
      </c>
      <c r="G49" t="s">
        <v>7855</v>
      </c>
      <c r="H49" t="s">
        <v>7856</v>
      </c>
      <c r="I49" t="s">
        <v>27</v>
      </c>
      <c r="L49" t="s">
        <v>33</v>
      </c>
    </row>
    <row r="50" spans="1:12" x14ac:dyDescent="0.35">
      <c r="A50" t="s">
        <v>20</v>
      </c>
      <c r="B50">
        <v>17644</v>
      </c>
      <c r="C50" t="s">
        <v>21</v>
      </c>
      <c r="D50" t="s">
        <v>22</v>
      </c>
      <c r="E50" t="s">
        <v>7857</v>
      </c>
      <c r="F50" t="s">
        <v>7858</v>
      </c>
      <c r="G50" t="s">
        <v>7859</v>
      </c>
      <c r="H50" t="s">
        <v>7860</v>
      </c>
      <c r="I50" t="s">
        <v>27</v>
      </c>
      <c r="L50" t="s">
        <v>33</v>
      </c>
    </row>
    <row r="51" spans="1:12" x14ac:dyDescent="0.35">
      <c r="A51" t="s">
        <v>20</v>
      </c>
      <c r="B51">
        <v>17644</v>
      </c>
      <c r="C51" t="s">
        <v>21</v>
      </c>
      <c r="D51" t="s">
        <v>22</v>
      </c>
      <c r="E51" t="s">
        <v>7861</v>
      </c>
      <c r="F51" t="s">
        <v>7862</v>
      </c>
      <c r="G51" t="s">
        <v>7862</v>
      </c>
      <c r="H51" t="s">
        <v>7863</v>
      </c>
      <c r="I51" t="s">
        <v>27</v>
      </c>
      <c r="L51" t="s">
        <v>33</v>
      </c>
    </row>
    <row r="52" spans="1:12" x14ac:dyDescent="0.35">
      <c r="A52" t="s">
        <v>20</v>
      </c>
      <c r="B52">
        <v>17644</v>
      </c>
      <c r="C52" t="s">
        <v>21</v>
      </c>
      <c r="D52" t="s">
        <v>22</v>
      </c>
      <c r="E52" t="s">
        <v>7864</v>
      </c>
      <c r="F52" t="s">
        <v>7865</v>
      </c>
      <c r="G52" t="s">
        <v>7865</v>
      </c>
      <c r="H52" t="s">
        <v>7866</v>
      </c>
      <c r="I52" t="s">
        <v>27</v>
      </c>
      <c r="L52" t="s">
        <v>33</v>
      </c>
    </row>
    <row r="53" spans="1:12" x14ac:dyDescent="0.35">
      <c r="A53" t="s">
        <v>20</v>
      </c>
      <c r="B53">
        <v>17644</v>
      </c>
      <c r="C53" t="s">
        <v>21</v>
      </c>
      <c r="D53" t="s">
        <v>22</v>
      </c>
      <c r="E53" t="s">
        <v>7867</v>
      </c>
      <c r="F53" t="s">
        <v>7868</v>
      </c>
      <c r="G53" t="s">
        <v>7868</v>
      </c>
      <c r="H53" t="s">
        <v>7869</v>
      </c>
      <c r="I53" t="s">
        <v>27</v>
      </c>
      <c r="L53" t="s">
        <v>33</v>
      </c>
    </row>
    <row r="54" spans="1:12" x14ac:dyDescent="0.35">
      <c r="A54" t="s">
        <v>20</v>
      </c>
      <c r="B54">
        <v>17644</v>
      </c>
      <c r="C54" t="s">
        <v>21</v>
      </c>
      <c r="D54" t="s">
        <v>22</v>
      </c>
      <c r="E54" t="s">
        <v>7870</v>
      </c>
      <c r="F54" t="s">
        <v>7871</v>
      </c>
      <c r="G54" t="s">
        <v>7872</v>
      </c>
      <c r="H54" t="s">
        <v>7873</v>
      </c>
      <c r="I54" t="s">
        <v>27</v>
      </c>
      <c r="L54" t="s">
        <v>33</v>
      </c>
    </row>
    <row r="55" spans="1:12" x14ac:dyDescent="0.35">
      <c r="A55" t="s">
        <v>20</v>
      </c>
      <c r="B55">
        <v>17644</v>
      </c>
      <c r="C55" t="s">
        <v>21</v>
      </c>
      <c r="D55" t="s">
        <v>22</v>
      </c>
      <c r="E55" t="s">
        <v>7874</v>
      </c>
      <c r="F55" t="s">
        <v>7875</v>
      </c>
      <c r="G55" t="s">
        <v>7875</v>
      </c>
      <c r="H55" t="s">
        <v>7876</v>
      </c>
      <c r="I55" t="s">
        <v>27</v>
      </c>
      <c r="L55" t="s">
        <v>33</v>
      </c>
    </row>
    <row r="56" spans="1:12" x14ac:dyDescent="0.35">
      <c r="A56" t="s">
        <v>20</v>
      </c>
      <c r="B56">
        <v>17644</v>
      </c>
      <c r="C56" t="s">
        <v>21</v>
      </c>
      <c r="D56" t="s">
        <v>22</v>
      </c>
      <c r="E56" t="s">
        <v>7877</v>
      </c>
      <c r="F56" t="s">
        <v>7878</v>
      </c>
      <c r="G56" t="s">
        <v>7878</v>
      </c>
      <c r="H56" t="s">
        <v>7879</v>
      </c>
      <c r="I56" t="s">
        <v>27</v>
      </c>
      <c r="L56" t="s">
        <v>33</v>
      </c>
    </row>
    <row r="57" spans="1:12" x14ac:dyDescent="0.35">
      <c r="A57" t="s">
        <v>20</v>
      </c>
      <c r="B57">
        <v>17644</v>
      </c>
      <c r="C57" t="s">
        <v>21</v>
      </c>
      <c r="D57" t="s">
        <v>22</v>
      </c>
      <c r="E57" t="s">
        <v>7880</v>
      </c>
      <c r="F57" t="s">
        <v>7881</v>
      </c>
      <c r="G57" t="s">
        <v>7881</v>
      </c>
      <c r="H57" t="s">
        <v>7882</v>
      </c>
      <c r="I57" t="s">
        <v>238</v>
      </c>
      <c r="L57" t="s">
        <v>33</v>
      </c>
    </row>
    <row r="58" spans="1:12" x14ac:dyDescent="0.35">
      <c r="A58" t="s">
        <v>20</v>
      </c>
      <c r="B58">
        <v>17644</v>
      </c>
      <c r="C58" t="s">
        <v>21</v>
      </c>
      <c r="D58" t="s">
        <v>22</v>
      </c>
      <c r="E58" t="s">
        <v>7883</v>
      </c>
      <c r="F58" t="s">
        <v>7884</v>
      </c>
      <c r="G58" t="s">
        <v>7884</v>
      </c>
      <c r="H58" t="s">
        <v>7885</v>
      </c>
      <c r="I58" t="s">
        <v>238</v>
      </c>
      <c r="L58" t="s">
        <v>33</v>
      </c>
    </row>
    <row r="59" spans="1:12" x14ac:dyDescent="0.35">
      <c r="A59" t="s">
        <v>20</v>
      </c>
      <c r="B59">
        <v>17644</v>
      </c>
      <c r="C59" t="s">
        <v>21</v>
      </c>
      <c r="D59" t="s">
        <v>22</v>
      </c>
      <c r="E59" t="s">
        <v>7886</v>
      </c>
      <c r="F59" t="s">
        <v>7701</v>
      </c>
      <c r="G59" t="s">
        <v>7701</v>
      </c>
      <c r="H59" t="s">
        <v>7887</v>
      </c>
      <c r="I59" t="s">
        <v>238</v>
      </c>
      <c r="L59" t="s">
        <v>33</v>
      </c>
    </row>
    <row r="60" spans="1:12" x14ac:dyDescent="0.35">
      <c r="A60" t="s">
        <v>20</v>
      </c>
      <c r="B60">
        <v>17644</v>
      </c>
      <c r="C60" t="s">
        <v>21</v>
      </c>
      <c r="D60" t="s">
        <v>22</v>
      </c>
      <c r="E60" t="s">
        <v>7888</v>
      </c>
      <c r="F60" t="s">
        <v>7701</v>
      </c>
      <c r="G60" t="s">
        <v>7701</v>
      </c>
      <c r="H60" t="s">
        <v>7889</v>
      </c>
      <c r="I60" t="s">
        <v>238</v>
      </c>
      <c r="L60" t="s">
        <v>33</v>
      </c>
    </row>
    <row r="61" spans="1:12" x14ac:dyDescent="0.35">
      <c r="A61" t="s">
        <v>20</v>
      </c>
      <c r="B61">
        <v>17644</v>
      </c>
      <c r="C61" t="s">
        <v>21</v>
      </c>
      <c r="D61" t="s">
        <v>22</v>
      </c>
      <c r="E61" t="s">
        <v>7890</v>
      </c>
      <c r="F61" t="s">
        <v>7887</v>
      </c>
      <c r="G61" t="s">
        <v>7887</v>
      </c>
      <c r="H61" t="s">
        <v>7891</v>
      </c>
      <c r="I61" t="s">
        <v>238</v>
      </c>
      <c r="L61" t="s">
        <v>33</v>
      </c>
    </row>
    <row r="62" spans="1:12" x14ac:dyDescent="0.35">
      <c r="A62" t="s">
        <v>20</v>
      </c>
      <c r="B62">
        <v>17644</v>
      </c>
      <c r="C62" t="s">
        <v>21</v>
      </c>
      <c r="D62" t="s">
        <v>22</v>
      </c>
      <c r="E62" t="s">
        <v>7892</v>
      </c>
      <c r="F62" t="s">
        <v>7893</v>
      </c>
      <c r="G62" t="s">
        <v>7893</v>
      </c>
      <c r="H62" t="s">
        <v>7894</v>
      </c>
      <c r="I62" t="s">
        <v>238</v>
      </c>
      <c r="L62" t="s">
        <v>33</v>
      </c>
    </row>
    <row r="63" spans="1:12" x14ac:dyDescent="0.35">
      <c r="A63" t="s">
        <v>20</v>
      </c>
      <c r="B63">
        <v>17644</v>
      </c>
      <c r="C63" t="s">
        <v>21</v>
      </c>
      <c r="D63" t="s">
        <v>22</v>
      </c>
      <c r="E63" t="s">
        <v>7895</v>
      </c>
      <c r="F63" t="s">
        <v>7896</v>
      </c>
      <c r="G63" t="s">
        <v>7896</v>
      </c>
      <c r="H63" t="s">
        <v>7897</v>
      </c>
      <c r="I63" t="s">
        <v>238</v>
      </c>
      <c r="L63" t="s">
        <v>33</v>
      </c>
    </row>
    <row r="64" spans="1:12" x14ac:dyDescent="0.35">
      <c r="A64" t="s">
        <v>20</v>
      </c>
      <c r="B64">
        <v>17644</v>
      </c>
      <c r="C64" t="s">
        <v>21</v>
      </c>
      <c r="D64" t="s">
        <v>22</v>
      </c>
      <c r="E64" t="s">
        <v>7898</v>
      </c>
      <c r="F64" t="s">
        <v>7899</v>
      </c>
      <c r="G64" t="s">
        <v>7899</v>
      </c>
      <c r="H64" t="s">
        <v>7900</v>
      </c>
      <c r="I64" t="s">
        <v>238</v>
      </c>
      <c r="L64" t="s">
        <v>33</v>
      </c>
    </row>
    <row r="65" spans="1:12" x14ac:dyDescent="0.35">
      <c r="A65" t="s">
        <v>20</v>
      </c>
      <c r="B65">
        <v>17644</v>
      </c>
      <c r="C65" t="s">
        <v>21</v>
      </c>
      <c r="D65" t="s">
        <v>22</v>
      </c>
      <c r="E65" t="s">
        <v>7901</v>
      </c>
      <c r="F65" t="s">
        <v>7902</v>
      </c>
      <c r="G65" t="s">
        <v>7902</v>
      </c>
      <c r="H65" t="s">
        <v>7903</v>
      </c>
      <c r="I65" t="s">
        <v>238</v>
      </c>
      <c r="L65" t="s">
        <v>33</v>
      </c>
    </row>
    <row r="66" spans="1:12" x14ac:dyDescent="0.35">
      <c r="A66" t="s">
        <v>20</v>
      </c>
      <c r="B66">
        <v>17644</v>
      </c>
      <c r="C66" t="s">
        <v>21</v>
      </c>
      <c r="D66" t="s">
        <v>22</v>
      </c>
      <c r="E66" t="s">
        <v>7904</v>
      </c>
      <c r="F66" t="s">
        <v>7905</v>
      </c>
      <c r="G66" t="s">
        <v>7905</v>
      </c>
      <c r="H66" t="s">
        <v>7906</v>
      </c>
      <c r="I66" t="s">
        <v>238</v>
      </c>
      <c r="L66" t="s">
        <v>33</v>
      </c>
    </row>
    <row r="67" spans="1:12" x14ac:dyDescent="0.35">
      <c r="A67" t="s">
        <v>20</v>
      </c>
      <c r="B67">
        <v>17644</v>
      </c>
      <c r="C67" t="s">
        <v>21</v>
      </c>
      <c r="D67" t="s">
        <v>22</v>
      </c>
      <c r="E67" t="s">
        <v>7907</v>
      </c>
      <c r="F67" t="s">
        <v>7908</v>
      </c>
      <c r="G67" t="s">
        <v>7908</v>
      </c>
      <c r="H67" t="s">
        <v>7909</v>
      </c>
      <c r="I67" t="s">
        <v>238</v>
      </c>
      <c r="L67" t="s">
        <v>33</v>
      </c>
    </row>
    <row r="68" spans="1:12" x14ac:dyDescent="0.35">
      <c r="A68" t="s">
        <v>20</v>
      </c>
      <c r="B68">
        <v>17644</v>
      </c>
      <c r="C68" t="s">
        <v>21</v>
      </c>
      <c r="D68" t="s">
        <v>22</v>
      </c>
      <c r="E68" t="s">
        <v>7910</v>
      </c>
      <c r="F68" t="s">
        <v>7911</v>
      </c>
      <c r="G68" t="s">
        <v>7911</v>
      </c>
      <c r="H68" t="s">
        <v>7912</v>
      </c>
      <c r="I68" t="s">
        <v>238</v>
      </c>
      <c r="L68" t="s">
        <v>33</v>
      </c>
    </row>
    <row r="69" spans="1:12" x14ac:dyDescent="0.35">
      <c r="A69" t="s">
        <v>20</v>
      </c>
      <c r="B69">
        <v>17644</v>
      </c>
      <c r="C69" t="s">
        <v>21</v>
      </c>
      <c r="D69" t="s">
        <v>22</v>
      </c>
      <c r="E69" t="s">
        <v>7913</v>
      </c>
      <c r="F69" t="s">
        <v>7914</v>
      </c>
      <c r="G69" t="s">
        <v>7914</v>
      </c>
      <c r="H69" t="s">
        <v>7728</v>
      </c>
      <c r="I69" t="s">
        <v>238</v>
      </c>
      <c r="L69" t="s">
        <v>33</v>
      </c>
    </row>
    <row r="70" spans="1:12" x14ac:dyDescent="0.35">
      <c r="A70" t="s">
        <v>20</v>
      </c>
      <c r="B70">
        <v>17644</v>
      </c>
      <c r="C70" t="s">
        <v>21</v>
      </c>
      <c r="D70" t="s">
        <v>22</v>
      </c>
      <c r="E70" t="s">
        <v>7915</v>
      </c>
      <c r="F70" t="s">
        <v>7916</v>
      </c>
      <c r="G70" t="s">
        <v>7916</v>
      </c>
      <c r="H70" t="s">
        <v>7917</v>
      </c>
      <c r="I70" t="s">
        <v>238</v>
      </c>
      <c r="L70" t="s">
        <v>33</v>
      </c>
    </row>
    <row r="71" spans="1:12" x14ac:dyDescent="0.35">
      <c r="A71" t="s">
        <v>20</v>
      </c>
      <c r="B71">
        <v>17644</v>
      </c>
      <c r="C71" t="s">
        <v>21</v>
      </c>
      <c r="D71" t="s">
        <v>22</v>
      </c>
      <c r="E71" t="s">
        <v>7918</v>
      </c>
      <c r="F71" t="s">
        <v>7919</v>
      </c>
      <c r="G71" t="s">
        <v>7919</v>
      </c>
      <c r="H71" t="s">
        <v>7920</v>
      </c>
      <c r="I71" t="s">
        <v>238</v>
      </c>
      <c r="L71" t="s">
        <v>33</v>
      </c>
    </row>
    <row r="72" spans="1:12" x14ac:dyDescent="0.35">
      <c r="A72" t="s">
        <v>20</v>
      </c>
      <c r="B72">
        <v>17644</v>
      </c>
      <c r="C72" t="s">
        <v>21</v>
      </c>
      <c r="D72" t="s">
        <v>22</v>
      </c>
      <c r="E72" t="s">
        <v>7921</v>
      </c>
      <c r="F72" t="s">
        <v>7922</v>
      </c>
      <c r="G72" t="s">
        <v>7922</v>
      </c>
      <c r="H72" t="s">
        <v>7923</v>
      </c>
      <c r="I72" t="s">
        <v>238</v>
      </c>
      <c r="L72" t="s">
        <v>33</v>
      </c>
    </row>
    <row r="73" spans="1:12" x14ac:dyDescent="0.35">
      <c r="A73" t="s">
        <v>20</v>
      </c>
      <c r="B73">
        <v>17644</v>
      </c>
      <c r="C73" t="s">
        <v>21</v>
      </c>
      <c r="D73" t="s">
        <v>22</v>
      </c>
      <c r="E73" t="s">
        <v>7924</v>
      </c>
      <c r="F73" t="s">
        <v>7925</v>
      </c>
      <c r="G73" t="s">
        <v>7925</v>
      </c>
      <c r="H73" t="s">
        <v>7926</v>
      </c>
      <c r="I73" t="s">
        <v>238</v>
      </c>
      <c r="L73" t="s">
        <v>33</v>
      </c>
    </row>
    <row r="74" spans="1:12" x14ac:dyDescent="0.35">
      <c r="A74" t="s">
        <v>20</v>
      </c>
      <c r="B74">
        <v>17644</v>
      </c>
      <c r="C74" t="s">
        <v>21</v>
      </c>
      <c r="D74" t="s">
        <v>22</v>
      </c>
      <c r="E74" t="s">
        <v>7927</v>
      </c>
      <c r="F74" t="s">
        <v>7928</v>
      </c>
      <c r="G74" t="s">
        <v>7928</v>
      </c>
      <c r="H74" t="s">
        <v>7929</v>
      </c>
      <c r="I74" t="s">
        <v>238</v>
      </c>
      <c r="L74" t="s">
        <v>33</v>
      </c>
    </row>
    <row r="75" spans="1:12" x14ac:dyDescent="0.35">
      <c r="A75" t="s">
        <v>20</v>
      </c>
      <c r="B75">
        <v>17644</v>
      </c>
      <c r="C75" t="s">
        <v>21</v>
      </c>
      <c r="D75" t="s">
        <v>22</v>
      </c>
      <c r="E75" t="s">
        <v>7930</v>
      </c>
      <c r="F75" t="s">
        <v>7752</v>
      </c>
      <c r="G75" t="s">
        <v>7752</v>
      </c>
      <c r="H75" t="s">
        <v>7754</v>
      </c>
      <c r="I75" t="s">
        <v>238</v>
      </c>
      <c r="L75" t="s">
        <v>33</v>
      </c>
    </row>
    <row r="76" spans="1:12" x14ac:dyDescent="0.35">
      <c r="A76" t="s">
        <v>20</v>
      </c>
      <c r="B76">
        <v>17644</v>
      </c>
      <c r="C76" t="s">
        <v>21</v>
      </c>
      <c r="D76" t="s">
        <v>22</v>
      </c>
      <c r="E76" t="s">
        <v>7931</v>
      </c>
      <c r="F76" t="s">
        <v>7755</v>
      </c>
      <c r="G76" t="s">
        <v>7755</v>
      </c>
      <c r="H76" t="s">
        <v>7932</v>
      </c>
      <c r="I76" t="s">
        <v>238</v>
      </c>
      <c r="L76" t="s">
        <v>33</v>
      </c>
    </row>
    <row r="77" spans="1:12" x14ac:dyDescent="0.35">
      <c r="A77" t="s">
        <v>20</v>
      </c>
      <c r="B77">
        <v>17644</v>
      </c>
      <c r="C77" t="s">
        <v>21</v>
      </c>
      <c r="D77" t="s">
        <v>22</v>
      </c>
      <c r="E77" t="s">
        <v>7933</v>
      </c>
      <c r="F77" t="s">
        <v>7934</v>
      </c>
      <c r="G77" t="s">
        <v>7934</v>
      </c>
      <c r="H77" t="s">
        <v>7935</v>
      </c>
      <c r="I77" t="s">
        <v>238</v>
      </c>
      <c r="L77" t="s">
        <v>33</v>
      </c>
    </row>
    <row r="78" spans="1:12" x14ac:dyDescent="0.35">
      <c r="A78" t="s">
        <v>20</v>
      </c>
      <c r="B78">
        <v>17644</v>
      </c>
      <c r="C78" t="s">
        <v>21</v>
      </c>
      <c r="D78" t="s">
        <v>22</v>
      </c>
      <c r="E78" t="s">
        <v>7936</v>
      </c>
      <c r="F78" t="s">
        <v>7937</v>
      </c>
      <c r="G78" t="s">
        <v>7937</v>
      </c>
      <c r="H78" t="s">
        <v>7938</v>
      </c>
      <c r="I78" t="s">
        <v>238</v>
      </c>
      <c r="L78" t="s">
        <v>33</v>
      </c>
    </row>
    <row r="79" spans="1:12" x14ac:dyDescent="0.35">
      <c r="A79" t="s">
        <v>20</v>
      </c>
      <c r="B79">
        <v>17644</v>
      </c>
      <c r="C79" t="s">
        <v>21</v>
      </c>
      <c r="D79" t="s">
        <v>22</v>
      </c>
      <c r="E79" t="s">
        <v>7939</v>
      </c>
      <c r="F79" t="s">
        <v>7940</v>
      </c>
      <c r="G79" t="s">
        <v>7940</v>
      </c>
      <c r="H79" t="s">
        <v>7941</v>
      </c>
      <c r="I79" t="s">
        <v>238</v>
      </c>
      <c r="L79" t="s">
        <v>33</v>
      </c>
    </row>
    <row r="80" spans="1:12" x14ac:dyDescent="0.35">
      <c r="A80" t="s">
        <v>20</v>
      </c>
      <c r="B80">
        <v>17644</v>
      </c>
      <c r="C80" t="s">
        <v>21</v>
      </c>
      <c r="D80" t="s">
        <v>22</v>
      </c>
      <c r="E80" t="s">
        <v>7942</v>
      </c>
      <c r="F80" t="s">
        <v>7943</v>
      </c>
      <c r="G80" t="s">
        <v>7943</v>
      </c>
      <c r="H80" t="s">
        <v>7770</v>
      </c>
      <c r="I80" t="s">
        <v>238</v>
      </c>
      <c r="L80" t="s">
        <v>33</v>
      </c>
    </row>
    <row r="81" spans="1:12" x14ac:dyDescent="0.35">
      <c r="A81" t="s">
        <v>20</v>
      </c>
      <c r="B81">
        <v>17644</v>
      </c>
      <c r="C81" t="s">
        <v>21</v>
      </c>
      <c r="D81" t="s">
        <v>22</v>
      </c>
      <c r="E81" t="s">
        <v>7944</v>
      </c>
      <c r="F81" t="s">
        <v>7945</v>
      </c>
      <c r="G81" t="s">
        <v>7945</v>
      </c>
      <c r="H81" t="s">
        <v>7946</v>
      </c>
      <c r="I81" t="s">
        <v>238</v>
      </c>
      <c r="L81" t="s">
        <v>33</v>
      </c>
    </row>
    <row r="82" spans="1:12" x14ac:dyDescent="0.35">
      <c r="A82" t="s">
        <v>20</v>
      </c>
      <c r="B82">
        <v>17644</v>
      </c>
      <c r="C82" t="s">
        <v>21</v>
      </c>
      <c r="D82" t="s">
        <v>22</v>
      </c>
      <c r="E82" t="s">
        <v>7947</v>
      </c>
      <c r="F82" t="s">
        <v>7945</v>
      </c>
      <c r="G82" t="s">
        <v>7945</v>
      </c>
      <c r="H82" t="s">
        <v>7948</v>
      </c>
      <c r="I82" t="s">
        <v>238</v>
      </c>
      <c r="L82" t="s">
        <v>33</v>
      </c>
    </row>
    <row r="83" spans="1:12" x14ac:dyDescent="0.35">
      <c r="A83" t="s">
        <v>20</v>
      </c>
      <c r="B83">
        <v>17644</v>
      </c>
      <c r="C83" t="s">
        <v>21</v>
      </c>
      <c r="D83" t="s">
        <v>22</v>
      </c>
      <c r="E83" t="s">
        <v>7949</v>
      </c>
      <c r="F83" t="s">
        <v>7946</v>
      </c>
      <c r="G83" t="s">
        <v>7946</v>
      </c>
      <c r="H83" t="s">
        <v>7773</v>
      </c>
      <c r="I83" t="s">
        <v>238</v>
      </c>
      <c r="L83" t="s">
        <v>33</v>
      </c>
    </row>
    <row r="84" spans="1:12" x14ac:dyDescent="0.35">
      <c r="A84" t="s">
        <v>20</v>
      </c>
      <c r="B84">
        <v>17644</v>
      </c>
      <c r="C84" t="s">
        <v>21</v>
      </c>
      <c r="D84" t="s">
        <v>22</v>
      </c>
      <c r="E84" t="s">
        <v>7950</v>
      </c>
      <c r="F84" t="s">
        <v>7951</v>
      </c>
      <c r="G84" t="s">
        <v>7951</v>
      </c>
      <c r="H84" t="s">
        <v>7952</v>
      </c>
      <c r="I84" t="s">
        <v>238</v>
      </c>
      <c r="L84" t="s">
        <v>33</v>
      </c>
    </row>
    <row r="85" spans="1:12" x14ac:dyDescent="0.35">
      <c r="A85" t="s">
        <v>20</v>
      </c>
      <c r="B85">
        <v>17644</v>
      </c>
      <c r="C85" t="s">
        <v>21</v>
      </c>
      <c r="D85" t="s">
        <v>22</v>
      </c>
      <c r="E85" t="s">
        <v>7953</v>
      </c>
      <c r="F85" t="s">
        <v>7954</v>
      </c>
      <c r="G85" t="s">
        <v>7954</v>
      </c>
      <c r="H85" t="s">
        <v>7955</v>
      </c>
      <c r="I85" t="s">
        <v>238</v>
      </c>
      <c r="L85" t="s">
        <v>33</v>
      </c>
    </row>
    <row r="86" spans="1:12" x14ac:dyDescent="0.35">
      <c r="A86" t="s">
        <v>20</v>
      </c>
      <c r="B86">
        <v>17644</v>
      </c>
      <c r="C86" t="s">
        <v>21</v>
      </c>
      <c r="D86" t="s">
        <v>22</v>
      </c>
      <c r="E86" t="s">
        <v>7956</v>
      </c>
      <c r="F86" t="s">
        <v>7957</v>
      </c>
      <c r="G86" t="s">
        <v>7957</v>
      </c>
      <c r="H86" t="s">
        <v>7776</v>
      </c>
      <c r="I86" t="s">
        <v>238</v>
      </c>
      <c r="L86" t="s">
        <v>33</v>
      </c>
    </row>
    <row r="87" spans="1:12" x14ac:dyDescent="0.35">
      <c r="A87" t="s">
        <v>20</v>
      </c>
      <c r="B87">
        <v>17644</v>
      </c>
      <c r="C87" t="s">
        <v>21</v>
      </c>
      <c r="D87" t="s">
        <v>22</v>
      </c>
      <c r="E87" t="s">
        <v>7958</v>
      </c>
      <c r="F87" t="s">
        <v>7778</v>
      </c>
      <c r="G87" t="s">
        <v>7778</v>
      </c>
      <c r="H87" t="s">
        <v>7959</v>
      </c>
      <c r="I87" t="s">
        <v>238</v>
      </c>
      <c r="L87" t="s">
        <v>33</v>
      </c>
    </row>
    <row r="88" spans="1:12" x14ac:dyDescent="0.35">
      <c r="A88" t="s">
        <v>20</v>
      </c>
      <c r="B88">
        <v>17644</v>
      </c>
      <c r="C88" t="s">
        <v>21</v>
      </c>
      <c r="D88" t="s">
        <v>22</v>
      </c>
      <c r="E88" t="s">
        <v>7960</v>
      </c>
      <c r="F88" t="s">
        <v>7785</v>
      </c>
      <c r="G88" t="s">
        <v>7785</v>
      </c>
      <c r="H88" t="s">
        <v>7961</v>
      </c>
      <c r="I88" t="s">
        <v>238</v>
      </c>
      <c r="L88" t="s">
        <v>33</v>
      </c>
    </row>
    <row r="89" spans="1:12" x14ac:dyDescent="0.35">
      <c r="A89" t="s">
        <v>20</v>
      </c>
      <c r="B89">
        <v>17644</v>
      </c>
      <c r="C89" t="s">
        <v>21</v>
      </c>
      <c r="D89" t="s">
        <v>22</v>
      </c>
      <c r="E89" t="s">
        <v>7962</v>
      </c>
      <c r="F89" t="s">
        <v>7963</v>
      </c>
      <c r="G89" t="s">
        <v>7963</v>
      </c>
      <c r="H89" t="s">
        <v>7794</v>
      </c>
      <c r="I89" t="s">
        <v>238</v>
      </c>
      <c r="L89" t="s">
        <v>33</v>
      </c>
    </row>
    <row r="90" spans="1:12" x14ac:dyDescent="0.35">
      <c r="A90" t="s">
        <v>20</v>
      </c>
      <c r="B90">
        <v>17644</v>
      </c>
      <c r="C90" t="s">
        <v>21</v>
      </c>
      <c r="D90" t="s">
        <v>22</v>
      </c>
      <c r="E90" t="s">
        <v>7964</v>
      </c>
      <c r="F90" t="s">
        <v>7965</v>
      </c>
      <c r="G90" t="s">
        <v>7965</v>
      </c>
      <c r="H90" t="s">
        <v>7966</v>
      </c>
      <c r="I90" t="s">
        <v>238</v>
      </c>
      <c r="L90" t="s">
        <v>33</v>
      </c>
    </row>
    <row r="91" spans="1:12" x14ac:dyDescent="0.35">
      <c r="A91" t="s">
        <v>20</v>
      </c>
      <c r="B91">
        <v>17644</v>
      </c>
      <c r="C91" t="s">
        <v>21</v>
      </c>
      <c r="D91" t="s">
        <v>22</v>
      </c>
      <c r="E91" t="s">
        <v>7967</v>
      </c>
      <c r="F91" t="s">
        <v>7968</v>
      </c>
      <c r="G91" t="s">
        <v>7968</v>
      </c>
      <c r="H91" t="s">
        <v>7797</v>
      </c>
      <c r="I91" t="s">
        <v>238</v>
      </c>
      <c r="L91" t="s">
        <v>33</v>
      </c>
    </row>
    <row r="92" spans="1:12" x14ac:dyDescent="0.35">
      <c r="A92" t="s">
        <v>20</v>
      </c>
      <c r="B92">
        <v>17644</v>
      </c>
      <c r="C92" t="s">
        <v>21</v>
      </c>
      <c r="D92" t="s">
        <v>22</v>
      </c>
      <c r="E92" t="s">
        <v>7969</v>
      </c>
      <c r="F92" t="s">
        <v>7970</v>
      </c>
      <c r="G92" t="s">
        <v>7970</v>
      </c>
      <c r="H92" t="s">
        <v>7970</v>
      </c>
      <c r="I92" t="s">
        <v>238</v>
      </c>
      <c r="L92" t="s">
        <v>33</v>
      </c>
    </row>
    <row r="93" spans="1:12" x14ac:dyDescent="0.35">
      <c r="A93" t="s">
        <v>20</v>
      </c>
      <c r="B93">
        <v>17644</v>
      </c>
      <c r="C93" t="s">
        <v>21</v>
      </c>
      <c r="D93" t="s">
        <v>22</v>
      </c>
      <c r="E93" t="s">
        <v>7971</v>
      </c>
      <c r="F93" t="s">
        <v>7972</v>
      </c>
      <c r="G93" t="s">
        <v>7972</v>
      </c>
      <c r="H93" t="s">
        <v>7973</v>
      </c>
      <c r="I93" t="s">
        <v>238</v>
      </c>
      <c r="L93" t="s">
        <v>33</v>
      </c>
    </row>
    <row r="94" spans="1:12" x14ac:dyDescent="0.35">
      <c r="A94" t="s">
        <v>20</v>
      </c>
      <c r="B94">
        <v>17644</v>
      </c>
      <c r="C94" t="s">
        <v>21</v>
      </c>
      <c r="D94" t="s">
        <v>22</v>
      </c>
      <c r="E94" t="s">
        <v>7974</v>
      </c>
      <c r="F94" t="s">
        <v>7822</v>
      </c>
      <c r="G94" t="s">
        <v>7822</v>
      </c>
      <c r="H94" t="s">
        <v>7975</v>
      </c>
      <c r="I94" t="s">
        <v>238</v>
      </c>
      <c r="L94" t="s">
        <v>33</v>
      </c>
    </row>
    <row r="95" spans="1:12" x14ac:dyDescent="0.35">
      <c r="A95" t="s">
        <v>20</v>
      </c>
      <c r="B95">
        <v>17644</v>
      </c>
      <c r="C95" t="s">
        <v>21</v>
      </c>
      <c r="D95" t="s">
        <v>22</v>
      </c>
      <c r="E95" t="s">
        <v>7976</v>
      </c>
      <c r="F95" t="s">
        <v>7977</v>
      </c>
      <c r="G95" t="s">
        <v>7977</v>
      </c>
      <c r="H95" t="s">
        <v>7978</v>
      </c>
      <c r="I95" t="s">
        <v>238</v>
      </c>
      <c r="L95" t="s">
        <v>33</v>
      </c>
    </row>
    <row r="96" spans="1:12" x14ac:dyDescent="0.35">
      <c r="A96" t="s">
        <v>20</v>
      </c>
      <c r="B96">
        <v>17644</v>
      </c>
      <c r="C96" t="s">
        <v>21</v>
      </c>
      <c r="D96" t="s">
        <v>22</v>
      </c>
      <c r="E96" t="s">
        <v>7979</v>
      </c>
      <c r="F96" t="s">
        <v>7826</v>
      </c>
      <c r="G96" t="s">
        <v>7826</v>
      </c>
      <c r="H96" t="s">
        <v>7980</v>
      </c>
      <c r="I96" t="s">
        <v>238</v>
      </c>
      <c r="L96" t="s">
        <v>33</v>
      </c>
    </row>
    <row r="97" spans="1:12" x14ac:dyDescent="0.35">
      <c r="A97" t="s">
        <v>20</v>
      </c>
      <c r="B97">
        <v>17644</v>
      </c>
      <c r="C97" t="s">
        <v>21</v>
      </c>
      <c r="D97" t="s">
        <v>22</v>
      </c>
      <c r="E97" t="s">
        <v>7981</v>
      </c>
      <c r="F97" t="s">
        <v>7980</v>
      </c>
      <c r="G97" t="s">
        <v>7980</v>
      </c>
      <c r="H97" t="s">
        <v>7982</v>
      </c>
      <c r="I97" t="s">
        <v>238</v>
      </c>
      <c r="L97" t="s">
        <v>33</v>
      </c>
    </row>
    <row r="98" spans="1:12" x14ac:dyDescent="0.35">
      <c r="A98" t="s">
        <v>20</v>
      </c>
      <c r="B98">
        <v>17644</v>
      </c>
      <c r="C98" t="s">
        <v>21</v>
      </c>
      <c r="D98" t="s">
        <v>22</v>
      </c>
      <c r="E98" t="s">
        <v>7983</v>
      </c>
      <c r="F98" t="s">
        <v>7830</v>
      </c>
      <c r="G98" t="s">
        <v>7830</v>
      </c>
      <c r="H98" t="s">
        <v>7984</v>
      </c>
      <c r="I98" t="s">
        <v>238</v>
      </c>
      <c r="L98" t="s">
        <v>33</v>
      </c>
    </row>
    <row r="99" spans="1:12" x14ac:dyDescent="0.35">
      <c r="A99" t="s">
        <v>20</v>
      </c>
      <c r="B99">
        <v>17644</v>
      </c>
      <c r="C99" t="s">
        <v>21</v>
      </c>
      <c r="D99" t="s">
        <v>22</v>
      </c>
      <c r="E99" t="s">
        <v>7985</v>
      </c>
      <c r="F99" t="s">
        <v>7830</v>
      </c>
      <c r="G99" t="s">
        <v>7830</v>
      </c>
      <c r="H99" t="s">
        <v>7986</v>
      </c>
      <c r="I99" t="s">
        <v>238</v>
      </c>
      <c r="L99" t="s">
        <v>33</v>
      </c>
    </row>
    <row r="100" spans="1:12" x14ac:dyDescent="0.35">
      <c r="A100" t="s">
        <v>20</v>
      </c>
      <c r="B100">
        <v>17644</v>
      </c>
      <c r="C100" t="s">
        <v>21</v>
      </c>
      <c r="D100" t="s">
        <v>22</v>
      </c>
      <c r="E100" t="s">
        <v>7987</v>
      </c>
      <c r="F100" t="s">
        <v>7984</v>
      </c>
      <c r="G100" t="s">
        <v>7984</v>
      </c>
      <c r="H100" t="s">
        <v>7988</v>
      </c>
      <c r="I100" t="s">
        <v>238</v>
      </c>
      <c r="L100" t="s">
        <v>33</v>
      </c>
    </row>
    <row r="101" spans="1:12" x14ac:dyDescent="0.35">
      <c r="A101" t="s">
        <v>20</v>
      </c>
      <c r="B101">
        <v>17644</v>
      </c>
      <c r="C101" t="s">
        <v>21</v>
      </c>
      <c r="D101" t="s">
        <v>22</v>
      </c>
      <c r="E101" t="s">
        <v>7989</v>
      </c>
      <c r="F101" t="s">
        <v>7990</v>
      </c>
      <c r="G101" t="s">
        <v>7990</v>
      </c>
      <c r="H101" t="s">
        <v>7832</v>
      </c>
      <c r="I101" t="s">
        <v>238</v>
      </c>
      <c r="L101" t="s">
        <v>33</v>
      </c>
    </row>
    <row r="102" spans="1:12" x14ac:dyDescent="0.35">
      <c r="A102" t="s">
        <v>20</v>
      </c>
      <c r="B102">
        <v>17644</v>
      </c>
      <c r="C102" t="s">
        <v>21</v>
      </c>
      <c r="D102" t="s">
        <v>22</v>
      </c>
      <c r="E102" t="s">
        <v>7991</v>
      </c>
      <c r="F102" t="s">
        <v>7834</v>
      </c>
      <c r="G102" t="s">
        <v>7834</v>
      </c>
      <c r="H102" t="s">
        <v>7992</v>
      </c>
      <c r="I102" t="s">
        <v>238</v>
      </c>
      <c r="L102" t="s">
        <v>33</v>
      </c>
    </row>
    <row r="103" spans="1:12" x14ac:dyDescent="0.35">
      <c r="A103" t="s">
        <v>20</v>
      </c>
      <c r="B103">
        <v>17644</v>
      </c>
      <c r="C103" t="s">
        <v>21</v>
      </c>
      <c r="D103" t="s">
        <v>22</v>
      </c>
      <c r="E103" t="s">
        <v>7993</v>
      </c>
      <c r="F103" t="s">
        <v>7994</v>
      </c>
      <c r="G103" t="s">
        <v>7994</v>
      </c>
      <c r="H103" t="s">
        <v>7995</v>
      </c>
      <c r="I103" t="s">
        <v>238</v>
      </c>
      <c r="L103" t="s">
        <v>33</v>
      </c>
    </row>
    <row r="104" spans="1:12" x14ac:dyDescent="0.35">
      <c r="A104" t="s">
        <v>20</v>
      </c>
      <c r="B104">
        <v>17644</v>
      </c>
      <c r="C104" t="s">
        <v>21</v>
      </c>
      <c r="D104" t="s">
        <v>22</v>
      </c>
      <c r="E104" t="s">
        <v>7996</v>
      </c>
      <c r="F104" t="s">
        <v>7995</v>
      </c>
      <c r="G104" t="s">
        <v>7995</v>
      </c>
      <c r="H104" t="s">
        <v>7997</v>
      </c>
      <c r="I104" t="s">
        <v>238</v>
      </c>
      <c r="L104" t="s">
        <v>33</v>
      </c>
    </row>
    <row r="105" spans="1:12" x14ac:dyDescent="0.35">
      <c r="A105" t="s">
        <v>20</v>
      </c>
      <c r="B105">
        <v>17644</v>
      </c>
      <c r="C105" t="s">
        <v>21</v>
      </c>
      <c r="D105" t="s">
        <v>22</v>
      </c>
      <c r="E105" t="s">
        <v>7998</v>
      </c>
      <c r="F105" t="s">
        <v>7999</v>
      </c>
      <c r="G105" t="s">
        <v>7999</v>
      </c>
      <c r="H105" t="s">
        <v>8000</v>
      </c>
      <c r="I105" t="s">
        <v>238</v>
      </c>
      <c r="L105" t="s">
        <v>33</v>
      </c>
    </row>
    <row r="106" spans="1:12" x14ac:dyDescent="0.35">
      <c r="A106" t="s">
        <v>20</v>
      </c>
      <c r="B106">
        <v>17644</v>
      </c>
      <c r="C106" t="s">
        <v>21</v>
      </c>
      <c r="D106" t="s">
        <v>22</v>
      </c>
      <c r="E106" t="s">
        <v>8001</v>
      </c>
      <c r="F106" t="s">
        <v>7842</v>
      </c>
      <c r="G106" t="s">
        <v>7842</v>
      </c>
      <c r="H106" t="s">
        <v>8002</v>
      </c>
      <c r="I106" t="s">
        <v>238</v>
      </c>
      <c r="L106" t="s">
        <v>33</v>
      </c>
    </row>
    <row r="107" spans="1:12" x14ac:dyDescent="0.35">
      <c r="A107" t="s">
        <v>20</v>
      </c>
      <c r="B107">
        <v>17644</v>
      </c>
      <c r="C107" t="s">
        <v>21</v>
      </c>
      <c r="D107" t="s">
        <v>22</v>
      </c>
      <c r="E107" t="s">
        <v>8003</v>
      </c>
      <c r="F107" t="s">
        <v>8004</v>
      </c>
      <c r="G107" t="s">
        <v>8004</v>
      </c>
      <c r="H107" t="s">
        <v>8005</v>
      </c>
      <c r="I107" t="s">
        <v>238</v>
      </c>
      <c r="L107" t="s">
        <v>33</v>
      </c>
    </row>
    <row r="108" spans="1:12" x14ac:dyDescent="0.35">
      <c r="A108" t="s">
        <v>20</v>
      </c>
      <c r="B108">
        <v>17644</v>
      </c>
      <c r="C108" t="s">
        <v>21</v>
      </c>
      <c r="D108" t="s">
        <v>22</v>
      </c>
      <c r="E108" t="s">
        <v>8006</v>
      </c>
      <c r="F108" t="s">
        <v>7850</v>
      </c>
      <c r="G108" t="s">
        <v>7850</v>
      </c>
      <c r="H108" t="s">
        <v>7852</v>
      </c>
      <c r="I108" t="s">
        <v>238</v>
      </c>
      <c r="L108" t="s">
        <v>33</v>
      </c>
    </row>
    <row r="109" spans="1:12" x14ac:dyDescent="0.35">
      <c r="A109" t="s">
        <v>20</v>
      </c>
      <c r="B109">
        <v>17644</v>
      </c>
      <c r="C109" t="s">
        <v>21</v>
      </c>
      <c r="D109" t="s">
        <v>22</v>
      </c>
      <c r="E109" t="s">
        <v>8007</v>
      </c>
      <c r="F109" t="s">
        <v>8008</v>
      </c>
      <c r="G109" t="s">
        <v>8008</v>
      </c>
      <c r="H109" t="s">
        <v>8009</v>
      </c>
      <c r="I109" t="s">
        <v>238</v>
      </c>
      <c r="L109" t="s">
        <v>33</v>
      </c>
    </row>
    <row r="110" spans="1:12" x14ac:dyDescent="0.35">
      <c r="A110" t="s">
        <v>20</v>
      </c>
      <c r="B110">
        <v>17644</v>
      </c>
      <c r="C110" t="s">
        <v>21</v>
      </c>
      <c r="D110" t="s">
        <v>22</v>
      </c>
      <c r="E110" t="s">
        <v>8010</v>
      </c>
      <c r="F110" t="s">
        <v>7873</v>
      </c>
      <c r="G110" t="s">
        <v>7873</v>
      </c>
      <c r="H110" t="s">
        <v>7875</v>
      </c>
      <c r="I110" t="s">
        <v>238</v>
      </c>
      <c r="L110" t="s">
        <v>33</v>
      </c>
    </row>
    <row r="111" spans="1:12" x14ac:dyDescent="0.35">
      <c r="A111" t="s">
        <v>20</v>
      </c>
      <c r="B111">
        <v>17645</v>
      </c>
      <c r="C111" t="s">
        <v>949</v>
      </c>
      <c r="D111" t="s">
        <v>950</v>
      </c>
      <c r="E111" t="s">
        <v>8011</v>
      </c>
      <c r="F111" t="s">
        <v>8012</v>
      </c>
      <c r="G111" t="s">
        <v>8012</v>
      </c>
      <c r="H111" t="s">
        <v>8013</v>
      </c>
      <c r="I111" t="s">
        <v>1090</v>
      </c>
      <c r="L111" t="s">
        <v>33</v>
      </c>
    </row>
    <row r="112" spans="1:12" x14ac:dyDescent="0.35">
      <c r="A112" t="s">
        <v>20</v>
      </c>
      <c r="B112">
        <v>17645</v>
      </c>
      <c r="C112" t="s">
        <v>949</v>
      </c>
      <c r="D112" t="s">
        <v>950</v>
      </c>
      <c r="E112" t="s">
        <v>7880</v>
      </c>
      <c r="F112" t="s">
        <v>8014</v>
      </c>
      <c r="G112" t="s">
        <v>8014</v>
      </c>
      <c r="H112" t="s">
        <v>8015</v>
      </c>
      <c r="I112" t="s">
        <v>1090</v>
      </c>
      <c r="L112" t="s">
        <v>33</v>
      </c>
    </row>
    <row r="113" spans="1:12" x14ac:dyDescent="0.35">
      <c r="A113" t="s">
        <v>20</v>
      </c>
      <c r="B113">
        <v>17645</v>
      </c>
      <c r="C113" t="s">
        <v>949</v>
      </c>
      <c r="D113" t="s">
        <v>950</v>
      </c>
      <c r="E113" t="s">
        <v>7883</v>
      </c>
      <c r="F113" t="s">
        <v>8016</v>
      </c>
      <c r="G113" t="s">
        <v>8016</v>
      </c>
      <c r="H113" t="s">
        <v>8017</v>
      </c>
      <c r="I113" t="s">
        <v>1090</v>
      </c>
      <c r="L113" t="s">
        <v>33</v>
      </c>
    </row>
    <row r="114" spans="1:12" x14ac:dyDescent="0.35">
      <c r="A114" t="s">
        <v>20</v>
      </c>
      <c r="B114">
        <v>17645</v>
      </c>
      <c r="C114" t="s">
        <v>949</v>
      </c>
      <c r="D114" t="s">
        <v>950</v>
      </c>
      <c r="E114" t="s">
        <v>7886</v>
      </c>
      <c r="F114" t="s">
        <v>8018</v>
      </c>
      <c r="G114" t="s">
        <v>8018</v>
      </c>
      <c r="H114" t="s">
        <v>8019</v>
      </c>
      <c r="I114" t="s">
        <v>1090</v>
      </c>
      <c r="L114" t="s">
        <v>33</v>
      </c>
    </row>
    <row r="115" spans="1:12" x14ac:dyDescent="0.35">
      <c r="A115" t="s">
        <v>20</v>
      </c>
      <c r="B115">
        <v>17645</v>
      </c>
      <c r="C115" t="s">
        <v>949</v>
      </c>
      <c r="D115" t="s">
        <v>950</v>
      </c>
      <c r="E115" t="s">
        <v>7890</v>
      </c>
      <c r="F115" t="s">
        <v>8020</v>
      </c>
      <c r="G115" t="s">
        <v>8020</v>
      </c>
      <c r="H115" t="s">
        <v>8021</v>
      </c>
      <c r="I115" t="s">
        <v>1090</v>
      </c>
      <c r="L115" t="s">
        <v>33</v>
      </c>
    </row>
    <row r="116" spans="1:12" x14ac:dyDescent="0.35">
      <c r="A116" t="s">
        <v>20</v>
      </c>
      <c r="B116">
        <v>17645</v>
      </c>
      <c r="C116" t="s">
        <v>949</v>
      </c>
      <c r="D116" t="s">
        <v>950</v>
      </c>
      <c r="E116" t="s">
        <v>7888</v>
      </c>
      <c r="F116" t="s">
        <v>8022</v>
      </c>
      <c r="G116" t="s">
        <v>8022</v>
      </c>
      <c r="H116" t="s">
        <v>8023</v>
      </c>
      <c r="I116" t="s">
        <v>1090</v>
      </c>
      <c r="L116" t="s">
        <v>33</v>
      </c>
    </row>
    <row r="117" spans="1:12" x14ac:dyDescent="0.35">
      <c r="A117" t="s">
        <v>20</v>
      </c>
      <c r="B117">
        <v>17645</v>
      </c>
      <c r="C117" t="s">
        <v>949</v>
      </c>
      <c r="D117" t="s">
        <v>950</v>
      </c>
      <c r="E117" t="s">
        <v>7892</v>
      </c>
      <c r="F117" t="s">
        <v>8024</v>
      </c>
      <c r="G117" t="s">
        <v>8024</v>
      </c>
      <c r="H117" t="s">
        <v>8025</v>
      </c>
      <c r="I117" t="s">
        <v>1090</v>
      </c>
      <c r="L117" t="s">
        <v>33</v>
      </c>
    </row>
    <row r="118" spans="1:12" x14ac:dyDescent="0.35">
      <c r="A118" t="s">
        <v>20</v>
      </c>
      <c r="B118">
        <v>17645</v>
      </c>
      <c r="C118" t="s">
        <v>949</v>
      </c>
      <c r="D118" t="s">
        <v>950</v>
      </c>
      <c r="E118" t="s">
        <v>8026</v>
      </c>
      <c r="F118" t="s">
        <v>8027</v>
      </c>
      <c r="G118" t="s">
        <v>8027</v>
      </c>
      <c r="H118" t="s">
        <v>8028</v>
      </c>
      <c r="I118" t="s">
        <v>1090</v>
      </c>
      <c r="L118" t="s">
        <v>33</v>
      </c>
    </row>
    <row r="119" spans="1:12" x14ac:dyDescent="0.35">
      <c r="A119" t="s">
        <v>20</v>
      </c>
      <c r="B119">
        <v>17645</v>
      </c>
      <c r="C119" t="s">
        <v>949</v>
      </c>
      <c r="D119" t="s">
        <v>950</v>
      </c>
      <c r="E119" t="s">
        <v>7895</v>
      </c>
      <c r="F119" t="s">
        <v>8029</v>
      </c>
      <c r="G119" t="s">
        <v>8029</v>
      </c>
      <c r="H119" t="s">
        <v>8030</v>
      </c>
      <c r="I119" t="s">
        <v>1090</v>
      </c>
      <c r="L119" t="s">
        <v>33</v>
      </c>
    </row>
    <row r="120" spans="1:12" x14ac:dyDescent="0.35">
      <c r="A120" t="s">
        <v>20</v>
      </c>
      <c r="B120">
        <v>17645</v>
      </c>
      <c r="C120" t="s">
        <v>949</v>
      </c>
      <c r="D120" t="s">
        <v>950</v>
      </c>
      <c r="E120" t="s">
        <v>8031</v>
      </c>
      <c r="F120" t="s">
        <v>8032</v>
      </c>
      <c r="G120" t="s">
        <v>8032</v>
      </c>
      <c r="H120" t="s">
        <v>8033</v>
      </c>
      <c r="I120" t="s">
        <v>1090</v>
      </c>
      <c r="L120" t="s">
        <v>33</v>
      </c>
    </row>
    <row r="121" spans="1:12" x14ac:dyDescent="0.35">
      <c r="A121" t="s">
        <v>20</v>
      </c>
      <c r="B121">
        <v>17645</v>
      </c>
      <c r="C121" t="s">
        <v>949</v>
      </c>
      <c r="D121" t="s">
        <v>950</v>
      </c>
      <c r="E121" t="s">
        <v>7898</v>
      </c>
      <c r="F121" t="s">
        <v>8034</v>
      </c>
      <c r="G121" t="s">
        <v>8034</v>
      </c>
      <c r="H121" t="s">
        <v>8035</v>
      </c>
      <c r="I121" t="s">
        <v>1090</v>
      </c>
      <c r="L121" t="s">
        <v>33</v>
      </c>
    </row>
    <row r="122" spans="1:12" x14ac:dyDescent="0.35">
      <c r="A122" t="s">
        <v>20</v>
      </c>
      <c r="B122">
        <v>17645</v>
      </c>
      <c r="C122" t="s">
        <v>949</v>
      </c>
      <c r="D122" t="s">
        <v>950</v>
      </c>
      <c r="E122" t="s">
        <v>8036</v>
      </c>
      <c r="F122" t="s">
        <v>8037</v>
      </c>
      <c r="G122" t="s">
        <v>8037</v>
      </c>
      <c r="H122" t="s">
        <v>8038</v>
      </c>
      <c r="I122" t="s">
        <v>1090</v>
      </c>
      <c r="L122" t="s">
        <v>33</v>
      </c>
    </row>
    <row r="123" spans="1:12" x14ac:dyDescent="0.35">
      <c r="A123" t="s">
        <v>20</v>
      </c>
      <c r="B123">
        <v>17645</v>
      </c>
      <c r="C123" t="s">
        <v>949</v>
      </c>
      <c r="D123" t="s">
        <v>950</v>
      </c>
      <c r="E123" t="s">
        <v>7901</v>
      </c>
      <c r="F123" t="s">
        <v>8039</v>
      </c>
      <c r="G123" t="s">
        <v>8039</v>
      </c>
      <c r="H123" t="s">
        <v>8040</v>
      </c>
      <c r="I123" t="s">
        <v>1090</v>
      </c>
      <c r="L123" t="s">
        <v>33</v>
      </c>
    </row>
    <row r="124" spans="1:12" x14ac:dyDescent="0.35">
      <c r="A124" t="s">
        <v>20</v>
      </c>
      <c r="B124">
        <v>17645</v>
      </c>
      <c r="C124" t="s">
        <v>949</v>
      </c>
      <c r="D124" t="s">
        <v>950</v>
      </c>
      <c r="E124" t="s">
        <v>8041</v>
      </c>
      <c r="F124" t="s">
        <v>8042</v>
      </c>
      <c r="G124" t="s">
        <v>8042</v>
      </c>
      <c r="H124" t="s">
        <v>8043</v>
      </c>
      <c r="I124" t="s">
        <v>1090</v>
      </c>
      <c r="L124" t="s">
        <v>33</v>
      </c>
    </row>
    <row r="125" spans="1:12" x14ac:dyDescent="0.35">
      <c r="A125" t="s">
        <v>20</v>
      </c>
      <c r="B125">
        <v>17645</v>
      </c>
      <c r="C125" t="s">
        <v>949</v>
      </c>
      <c r="D125" t="s">
        <v>950</v>
      </c>
      <c r="E125" t="s">
        <v>7904</v>
      </c>
      <c r="F125" t="s">
        <v>8044</v>
      </c>
      <c r="G125" t="s">
        <v>8044</v>
      </c>
      <c r="H125" t="s">
        <v>8045</v>
      </c>
      <c r="I125" t="s">
        <v>1090</v>
      </c>
      <c r="L125" t="s">
        <v>33</v>
      </c>
    </row>
    <row r="126" spans="1:12" x14ac:dyDescent="0.35">
      <c r="A126" t="s">
        <v>20</v>
      </c>
      <c r="B126">
        <v>17645</v>
      </c>
      <c r="C126" t="s">
        <v>949</v>
      </c>
      <c r="D126" t="s">
        <v>950</v>
      </c>
      <c r="E126" t="s">
        <v>8046</v>
      </c>
      <c r="F126" t="s">
        <v>8047</v>
      </c>
      <c r="G126" t="s">
        <v>8047</v>
      </c>
      <c r="H126" t="s">
        <v>8048</v>
      </c>
      <c r="I126" t="s">
        <v>1090</v>
      </c>
      <c r="L126" t="s">
        <v>33</v>
      </c>
    </row>
    <row r="127" spans="1:12" x14ac:dyDescent="0.35">
      <c r="A127" t="s">
        <v>20</v>
      </c>
      <c r="B127">
        <v>17645</v>
      </c>
      <c r="C127" t="s">
        <v>949</v>
      </c>
      <c r="D127" t="s">
        <v>950</v>
      </c>
      <c r="E127" t="s">
        <v>7910</v>
      </c>
      <c r="F127" t="s">
        <v>8049</v>
      </c>
      <c r="G127" t="s">
        <v>8049</v>
      </c>
      <c r="H127" t="s">
        <v>8050</v>
      </c>
      <c r="I127" t="s">
        <v>1090</v>
      </c>
      <c r="L127" t="s">
        <v>33</v>
      </c>
    </row>
    <row r="128" spans="1:12" x14ac:dyDescent="0.35">
      <c r="A128" t="s">
        <v>20</v>
      </c>
      <c r="B128">
        <v>17645</v>
      </c>
      <c r="C128" t="s">
        <v>949</v>
      </c>
      <c r="D128" t="s">
        <v>950</v>
      </c>
      <c r="E128" t="s">
        <v>8051</v>
      </c>
      <c r="F128" t="s">
        <v>8052</v>
      </c>
      <c r="G128" t="s">
        <v>8052</v>
      </c>
      <c r="H128" t="s">
        <v>8053</v>
      </c>
      <c r="I128" t="s">
        <v>1090</v>
      </c>
      <c r="L128" t="s">
        <v>33</v>
      </c>
    </row>
    <row r="129" spans="1:12" x14ac:dyDescent="0.35">
      <c r="A129" t="s">
        <v>20</v>
      </c>
      <c r="B129">
        <v>17645</v>
      </c>
      <c r="C129" t="s">
        <v>949</v>
      </c>
      <c r="D129" t="s">
        <v>950</v>
      </c>
      <c r="E129" t="s">
        <v>7907</v>
      </c>
      <c r="F129" t="s">
        <v>8054</v>
      </c>
      <c r="G129" t="s">
        <v>8054</v>
      </c>
      <c r="H129" t="s">
        <v>8055</v>
      </c>
      <c r="I129" t="s">
        <v>1090</v>
      </c>
      <c r="L129" t="s">
        <v>33</v>
      </c>
    </row>
    <row r="130" spans="1:12" x14ac:dyDescent="0.35">
      <c r="A130" t="s">
        <v>20</v>
      </c>
      <c r="B130">
        <v>17645</v>
      </c>
      <c r="C130" t="s">
        <v>949</v>
      </c>
      <c r="D130" t="s">
        <v>950</v>
      </c>
      <c r="E130" t="s">
        <v>8056</v>
      </c>
      <c r="F130" t="s">
        <v>8057</v>
      </c>
      <c r="G130" t="s">
        <v>8057</v>
      </c>
      <c r="H130" t="s">
        <v>8058</v>
      </c>
      <c r="I130" t="s">
        <v>1090</v>
      </c>
      <c r="L130" t="s">
        <v>33</v>
      </c>
    </row>
    <row r="131" spans="1:12" x14ac:dyDescent="0.35">
      <c r="A131" t="s">
        <v>20</v>
      </c>
      <c r="B131">
        <v>17645</v>
      </c>
      <c r="C131" t="s">
        <v>949</v>
      </c>
      <c r="D131" t="s">
        <v>950</v>
      </c>
      <c r="E131" t="s">
        <v>7913</v>
      </c>
      <c r="F131" t="s">
        <v>8059</v>
      </c>
      <c r="G131" t="s">
        <v>8059</v>
      </c>
      <c r="H131" t="s">
        <v>8060</v>
      </c>
      <c r="I131" t="s">
        <v>1090</v>
      </c>
      <c r="L131" t="s">
        <v>33</v>
      </c>
    </row>
    <row r="132" spans="1:12" x14ac:dyDescent="0.35">
      <c r="A132" t="s">
        <v>20</v>
      </c>
      <c r="B132">
        <v>17645</v>
      </c>
      <c r="C132" t="s">
        <v>949</v>
      </c>
      <c r="D132" t="s">
        <v>950</v>
      </c>
      <c r="E132" t="s">
        <v>8061</v>
      </c>
      <c r="F132" t="s">
        <v>8062</v>
      </c>
      <c r="G132" t="s">
        <v>8062</v>
      </c>
      <c r="H132" t="s">
        <v>8063</v>
      </c>
      <c r="I132" t="s">
        <v>1090</v>
      </c>
      <c r="L132" t="s">
        <v>33</v>
      </c>
    </row>
    <row r="133" spans="1:12" x14ac:dyDescent="0.35">
      <c r="A133" t="s">
        <v>20</v>
      </c>
      <c r="B133">
        <v>17645</v>
      </c>
      <c r="C133" t="s">
        <v>949</v>
      </c>
      <c r="D133" t="s">
        <v>950</v>
      </c>
      <c r="E133" t="s">
        <v>7915</v>
      </c>
      <c r="F133" t="s">
        <v>8064</v>
      </c>
      <c r="G133" t="s">
        <v>8064</v>
      </c>
      <c r="H133" t="s">
        <v>8065</v>
      </c>
      <c r="I133" t="s">
        <v>1090</v>
      </c>
      <c r="L133" t="s">
        <v>33</v>
      </c>
    </row>
    <row r="134" spans="1:12" x14ac:dyDescent="0.35">
      <c r="A134" t="s">
        <v>20</v>
      </c>
      <c r="B134">
        <v>17645</v>
      </c>
      <c r="C134" t="s">
        <v>949</v>
      </c>
      <c r="D134" t="s">
        <v>950</v>
      </c>
      <c r="E134" t="s">
        <v>8066</v>
      </c>
      <c r="F134" t="s">
        <v>8067</v>
      </c>
      <c r="G134" t="s">
        <v>8067</v>
      </c>
      <c r="H134" t="s">
        <v>8068</v>
      </c>
      <c r="I134" t="s">
        <v>1090</v>
      </c>
      <c r="L134" t="s">
        <v>33</v>
      </c>
    </row>
    <row r="135" spans="1:12" x14ac:dyDescent="0.35">
      <c r="A135" t="s">
        <v>20</v>
      </c>
      <c r="B135">
        <v>17645</v>
      </c>
      <c r="C135" t="s">
        <v>949</v>
      </c>
      <c r="D135" t="s">
        <v>950</v>
      </c>
      <c r="E135" t="s">
        <v>7918</v>
      </c>
      <c r="F135" t="s">
        <v>8069</v>
      </c>
      <c r="G135" t="s">
        <v>8069</v>
      </c>
      <c r="H135" t="s">
        <v>8070</v>
      </c>
      <c r="I135" t="s">
        <v>1090</v>
      </c>
      <c r="L135" t="s">
        <v>33</v>
      </c>
    </row>
    <row r="136" spans="1:12" x14ac:dyDescent="0.35">
      <c r="A136" t="s">
        <v>20</v>
      </c>
      <c r="B136">
        <v>17645</v>
      </c>
      <c r="C136" t="s">
        <v>949</v>
      </c>
      <c r="D136" t="s">
        <v>950</v>
      </c>
      <c r="E136" t="s">
        <v>8071</v>
      </c>
      <c r="F136" t="s">
        <v>8072</v>
      </c>
      <c r="G136" t="s">
        <v>8072</v>
      </c>
      <c r="H136" t="s">
        <v>8073</v>
      </c>
      <c r="I136" t="s">
        <v>1090</v>
      </c>
      <c r="L136" t="s">
        <v>33</v>
      </c>
    </row>
    <row r="137" spans="1:12" x14ac:dyDescent="0.35">
      <c r="A137" t="s">
        <v>20</v>
      </c>
      <c r="B137">
        <v>17645</v>
      </c>
      <c r="C137" t="s">
        <v>949</v>
      </c>
      <c r="D137" t="s">
        <v>950</v>
      </c>
      <c r="E137" t="s">
        <v>7921</v>
      </c>
      <c r="F137" t="s">
        <v>8074</v>
      </c>
      <c r="G137" t="s">
        <v>8074</v>
      </c>
      <c r="H137" t="s">
        <v>8075</v>
      </c>
      <c r="I137" t="s">
        <v>1090</v>
      </c>
      <c r="L137" t="s">
        <v>33</v>
      </c>
    </row>
    <row r="138" spans="1:12" x14ac:dyDescent="0.35">
      <c r="A138" t="s">
        <v>20</v>
      </c>
      <c r="B138">
        <v>17645</v>
      </c>
      <c r="C138" t="s">
        <v>949</v>
      </c>
      <c r="D138" t="s">
        <v>950</v>
      </c>
      <c r="E138" t="s">
        <v>8076</v>
      </c>
      <c r="F138" t="s">
        <v>8077</v>
      </c>
      <c r="G138" t="s">
        <v>8077</v>
      </c>
      <c r="H138" t="s">
        <v>8078</v>
      </c>
      <c r="I138" t="s">
        <v>1090</v>
      </c>
      <c r="L138" t="s">
        <v>33</v>
      </c>
    </row>
    <row r="139" spans="1:12" x14ac:dyDescent="0.35">
      <c r="A139" t="s">
        <v>20</v>
      </c>
      <c r="B139">
        <v>17645</v>
      </c>
      <c r="C139" t="s">
        <v>949</v>
      </c>
      <c r="D139" t="s">
        <v>950</v>
      </c>
      <c r="E139" t="s">
        <v>7924</v>
      </c>
      <c r="F139" t="s">
        <v>8079</v>
      </c>
      <c r="G139" t="s">
        <v>8079</v>
      </c>
      <c r="H139" t="s">
        <v>8080</v>
      </c>
      <c r="I139" t="s">
        <v>1090</v>
      </c>
      <c r="L139" t="s">
        <v>33</v>
      </c>
    </row>
    <row r="140" spans="1:12" x14ac:dyDescent="0.35">
      <c r="A140" t="s">
        <v>20</v>
      </c>
      <c r="B140">
        <v>17645</v>
      </c>
      <c r="C140" t="s">
        <v>949</v>
      </c>
      <c r="D140" t="s">
        <v>950</v>
      </c>
      <c r="E140" t="s">
        <v>8081</v>
      </c>
      <c r="F140" t="s">
        <v>8082</v>
      </c>
      <c r="G140" t="s">
        <v>8082</v>
      </c>
      <c r="H140" t="s">
        <v>8083</v>
      </c>
      <c r="I140" t="s">
        <v>1090</v>
      </c>
      <c r="L140" t="s">
        <v>33</v>
      </c>
    </row>
    <row r="141" spans="1:12" x14ac:dyDescent="0.35">
      <c r="A141" t="s">
        <v>20</v>
      </c>
      <c r="B141">
        <v>17645</v>
      </c>
      <c r="C141" t="s">
        <v>949</v>
      </c>
      <c r="D141" t="s">
        <v>950</v>
      </c>
      <c r="E141" t="s">
        <v>7927</v>
      </c>
      <c r="F141" t="s">
        <v>8084</v>
      </c>
      <c r="G141" t="s">
        <v>8084</v>
      </c>
      <c r="H141" t="s">
        <v>8085</v>
      </c>
      <c r="I141" t="s">
        <v>1090</v>
      </c>
      <c r="L141" t="s">
        <v>33</v>
      </c>
    </row>
    <row r="142" spans="1:12" x14ac:dyDescent="0.35">
      <c r="A142" t="s">
        <v>20</v>
      </c>
      <c r="B142">
        <v>17645</v>
      </c>
      <c r="C142" t="s">
        <v>949</v>
      </c>
      <c r="D142" t="s">
        <v>950</v>
      </c>
      <c r="E142" t="s">
        <v>8086</v>
      </c>
      <c r="F142" t="s">
        <v>8087</v>
      </c>
      <c r="G142" t="s">
        <v>8087</v>
      </c>
      <c r="H142" t="s">
        <v>8088</v>
      </c>
      <c r="I142" t="s">
        <v>1090</v>
      </c>
      <c r="L142" t="s">
        <v>33</v>
      </c>
    </row>
    <row r="143" spans="1:12" x14ac:dyDescent="0.35">
      <c r="A143" t="s">
        <v>20</v>
      </c>
      <c r="B143">
        <v>17645</v>
      </c>
      <c r="C143" t="s">
        <v>949</v>
      </c>
      <c r="D143" t="s">
        <v>950</v>
      </c>
      <c r="E143" t="s">
        <v>7930</v>
      </c>
      <c r="F143" t="s">
        <v>8089</v>
      </c>
      <c r="G143" t="s">
        <v>8089</v>
      </c>
      <c r="H143" t="s">
        <v>8090</v>
      </c>
      <c r="I143" t="s">
        <v>1090</v>
      </c>
      <c r="L143" t="s">
        <v>33</v>
      </c>
    </row>
    <row r="144" spans="1:12" x14ac:dyDescent="0.35">
      <c r="A144" t="s">
        <v>20</v>
      </c>
      <c r="B144">
        <v>17645</v>
      </c>
      <c r="C144" t="s">
        <v>949</v>
      </c>
      <c r="D144" t="s">
        <v>950</v>
      </c>
      <c r="E144" t="s">
        <v>8091</v>
      </c>
      <c r="F144" t="s">
        <v>8092</v>
      </c>
      <c r="G144" t="s">
        <v>8092</v>
      </c>
      <c r="H144" t="s">
        <v>8093</v>
      </c>
      <c r="I144" t="s">
        <v>1090</v>
      </c>
      <c r="L144" t="s">
        <v>33</v>
      </c>
    </row>
    <row r="145" spans="1:12" x14ac:dyDescent="0.35">
      <c r="A145" t="s">
        <v>20</v>
      </c>
      <c r="B145">
        <v>17645</v>
      </c>
      <c r="C145" t="s">
        <v>949</v>
      </c>
      <c r="D145" t="s">
        <v>950</v>
      </c>
      <c r="E145" t="s">
        <v>7931</v>
      </c>
      <c r="F145" t="s">
        <v>8094</v>
      </c>
      <c r="G145" t="s">
        <v>8094</v>
      </c>
      <c r="H145" t="s">
        <v>8095</v>
      </c>
      <c r="I145" t="s">
        <v>1090</v>
      </c>
      <c r="L145" t="s">
        <v>33</v>
      </c>
    </row>
    <row r="146" spans="1:12" x14ac:dyDescent="0.35">
      <c r="A146" t="s">
        <v>20</v>
      </c>
      <c r="B146">
        <v>17645</v>
      </c>
      <c r="C146" t="s">
        <v>949</v>
      </c>
      <c r="D146" t="s">
        <v>950</v>
      </c>
      <c r="E146" t="s">
        <v>8096</v>
      </c>
      <c r="F146" t="s">
        <v>8097</v>
      </c>
      <c r="G146" t="s">
        <v>8097</v>
      </c>
      <c r="H146" t="s">
        <v>8098</v>
      </c>
      <c r="I146" t="s">
        <v>1090</v>
      </c>
      <c r="L146" t="s">
        <v>33</v>
      </c>
    </row>
    <row r="147" spans="1:12" x14ac:dyDescent="0.35">
      <c r="A147" t="s">
        <v>20</v>
      </c>
      <c r="B147">
        <v>17645</v>
      </c>
      <c r="C147" t="s">
        <v>949</v>
      </c>
      <c r="D147" t="s">
        <v>950</v>
      </c>
      <c r="E147" t="s">
        <v>7933</v>
      </c>
      <c r="F147" t="s">
        <v>8099</v>
      </c>
      <c r="G147" t="s">
        <v>8099</v>
      </c>
      <c r="H147" t="s">
        <v>8100</v>
      </c>
      <c r="I147" t="s">
        <v>1090</v>
      </c>
      <c r="L147" t="s">
        <v>33</v>
      </c>
    </row>
    <row r="148" spans="1:12" x14ac:dyDescent="0.35">
      <c r="A148" t="s">
        <v>20</v>
      </c>
      <c r="B148">
        <v>17645</v>
      </c>
      <c r="C148" t="s">
        <v>949</v>
      </c>
      <c r="D148" t="s">
        <v>950</v>
      </c>
      <c r="E148" t="s">
        <v>8101</v>
      </c>
      <c r="F148" t="s">
        <v>8102</v>
      </c>
      <c r="G148" t="s">
        <v>8102</v>
      </c>
      <c r="H148" t="s">
        <v>8103</v>
      </c>
      <c r="I148" t="s">
        <v>1090</v>
      </c>
      <c r="L148" t="s">
        <v>33</v>
      </c>
    </row>
    <row r="149" spans="1:12" x14ac:dyDescent="0.35">
      <c r="A149" t="s">
        <v>20</v>
      </c>
      <c r="B149">
        <v>17645</v>
      </c>
      <c r="C149" t="s">
        <v>949</v>
      </c>
      <c r="D149" t="s">
        <v>950</v>
      </c>
      <c r="E149" t="s">
        <v>7936</v>
      </c>
      <c r="F149" t="s">
        <v>8104</v>
      </c>
      <c r="G149" t="s">
        <v>8104</v>
      </c>
      <c r="H149" t="s">
        <v>8105</v>
      </c>
      <c r="I149" t="s">
        <v>1090</v>
      </c>
      <c r="L149" t="s">
        <v>33</v>
      </c>
    </row>
    <row r="150" spans="1:12" x14ac:dyDescent="0.35">
      <c r="A150" t="s">
        <v>20</v>
      </c>
      <c r="B150">
        <v>17645</v>
      </c>
      <c r="C150" t="s">
        <v>949</v>
      </c>
      <c r="D150" t="s">
        <v>950</v>
      </c>
      <c r="E150" t="s">
        <v>8106</v>
      </c>
      <c r="F150" t="s">
        <v>8107</v>
      </c>
      <c r="G150" t="s">
        <v>8107</v>
      </c>
      <c r="H150" t="s">
        <v>8108</v>
      </c>
      <c r="I150" t="s">
        <v>1090</v>
      </c>
      <c r="L150" t="s">
        <v>33</v>
      </c>
    </row>
    <row r="151" spans="1:12" x14ac:dyDescent="0.35">
      <c r="A151" t="s">
        <v>20</v>
      </c>
      <c r="B151">
        <v>17645</v>
      </c>
      <c r="C151" t="s">
        <v>949</v>
      </c>
      <c r="D151" t="s">
        <v>950</v>
      </c>
      <c r="E151" t="s">
        <v>7939</v>
      </c>
      <c r="F151" t="s">
        <v>8109</v>
      </c>
      <c r="G151" t="s">
        <v>8109</v>
      </c>
      <c r="H151" t="s">
        <v>8110</v>
      </c>
      <c r="I151" t="s">
        <v>1090</v>
      </c>
      <c r="L151" t="s">
        <v>33</v>
      </c>
    </row>
    <row r="152" spans="1:12" x14ac:dyDescent="0.35">
      <c r="A152" t="s">
        <v>20</v>
      </c>
      <c r="B152">
        <v>17645</v>
      </c>
      <c r="C152" t="s">
        <v>949</v>
      </c>
      <c r="D152" t="s">
        <v>950</v>
      </c>
      <c r="E152" t="s">
        <v>8111</v>
      </c>
      <c r="F152" t="s">
        <v>8112</v>
      </c>
      <c r="G152" t="s">
        <v>8112</v>
      </c>
      <c r="H152" t="s">
        <v>8113</v>
      </c>
      <c r="I152" t="s">
        <v>1090</v>
      </c>
      <c r="L152" t="s">
        <v>33</v>
      </c>
    </row>
    <row r="153" spans="1:12" x14ac:dyDescent="0.35">
      <c r="A153" t="s">
        <v>20</v>
      </c>
      <c r="B153">
        <v>17645</v>
      </c>
      <c r="C153" t="s">
        <v>949</v>
      </c>
      <c r="D153" t="s">
        <v>950</v>
      </c>
      <c r="E153" t="s">
        <v>7942</v>
      </c>
      <c r="F153" t="s">
        <v>8114</v>
      </c>
      <c r="G153" t="s">
        <v>8114</v>
      </c>
      <c r="H153" t="s">
        <v>8115</v>
      </c>
      <c r="I153" t="s">
        <v>1090</v>
      </c>
      <c r="L153" t="s">
        <v>33</v>
      </c>
    </row>
    <row r="154" spans="1:12" x14ac:dyDescent="0.35">
      <c r="A154" t="s">
        <v>20</v>
      </c>
      <c r="B154">
        <v>17645</v>
      </c>
      <c r="C154" t="s">
        <v>949</v>
      </c>
      <c r="D154" t="s">
        <v>950</v>
      </c>
      <c r="E154" t="s">
        <v>8116</v>
      </c>
      <c r="F154" t="s">
        <v>8117</v>
      </c>
      <c r="G154" t="s">
        <v>8117</v>
      </c>
      <c r="H154" t="s">
        <v>8118</v>
      </c>
      <c r="I154" t="s">
        <v>1090</v>
      </c>
      <c r="L154" t="s">
        <v>33</v>
      </c>
    </row>
    <row r="155" spans="1:12" x14ac:dyDescent="0.35">
      <c r="A155" t="s">
        <v>20</v>
      </c>
      <c r="B155">
        <v>17645</v>
      </c>
      <c r="C155" t="s">
        <v>949</v>
      </c>
      <c r="D155" t="s">
        <v>950</v>
      </c>
      <c r="E155" t="s">
        <v>7944</v>
      </c>
      <c r="F155" t="s">
        <v>8119</v>
      </c>
      <c r="G155" t="s">
        <v>8119</v>
      </c>
      <c r="H155" t="s">
        <v>8120</v>
      </c>
      <c r="I155" t="s">
        <v>1090</v>
      </c>
      <c r="L155" t="s">
        <v>33</v>
      </c>
    </row>
    <row r="156" spans="1:12" x14ac:dyDescent="0.35">
      <c r="A156" t="s">
        <v>20</v>
      </c>
      <c r="B156">
        <v>17645</v>
      </c>
      <c r="C156" t="s">
        <v>949</v>
      </c>
      <c r="D156" t="s">
        <v>950</v>
      </c>
      <c r="E156" t="s">
        <v>7949</v>
      </c>
      <c r="F156" t="s">
        <v>8121</v>
      </c>
      <c r="G156" t="s">
        <v>8121</v>
      </c>
      <c r="H156" t="s">
        <v>8122</v>
      </c>
      <c r="I156" t="s">
        <v>1090</v>
      </c>
      <c r="L156" t="s">
        <v>33</v>
      </c>
    </row>
    <row r="157" spans="1:12" x14ac:dyDescent="0.35">
      <c r="A157" t="s">
        <v>20</v>
      </c>
      <c r="B157">
        <v>17645</v>
      </c>
      <c r="C157" t="s">
        <v>949</v>
      </c>
      <c r="D157" t="s">
        <v>950</v>
      </c>
      <c r="E157" t="s">
        <v>7947</v>
      </c>
      <c r="F157" t="s">
        <v>8123</v>
      </c>
      <c r="G157" t="s">
        <v>8123</v>
      </c>
      <c r="H157" t="s">
        <v>8124</v>
      </c>
      <c r="I157" t="s">
        <v>1090</v>
      </c>
      <c r="L157" t="s">
        <v>33</v>
      </c>
    </row>
    <row r="158" spans="1:12" x14ac:dyDescent="0.35">
      <c r="A158" t="s">
        <v>20</v>
      </c>
      <c r="B158">
        <v>17645</v>
      </c>
      <c r="C158" t="s">
        <v>949</v>
      </c>
      <c r="D158" t="s">
        <v>950</v>
      </c>
      <c r="E158" t="s">
        <v>7950</v>
      </c>
      <c r="F158" t="s">
        <v>8125</v>
      </c>
      <c r="G158" t="s">
        <v>8125</v>
      </c>
      <c r="H158" t="s">
        <v>8126</v>
      </c>
      <c r="I158" t="s">
        <v>1090</v>
      </c>
      <c r="L158" t="s">
        <v>33</v>
      </c>
    </row>
    <row r="159" spans="1:12" x14ac:dyDescent="0.35">
      <c r="A159" t="s">
        <v>20</v>
      </c>
      <c r="B159">
        <v>17645</v>
      </c>
      <c r="C159" t="s">
        <v>949</v>
      </c>
      <c r="D159" t="s">
        <v>950</v>
      </c>
      <c r="E159" t="s">
        <v>8127</v>
      </c>
      <c r="F159" t="s">
        <v>8128</v>
      </c>
      <c r="G159" t="s">
        <v>8128</v>
      </c>
      <c r="H159" t="s">
        <v>8129</v>
      </c>
      <c r="I159" t="s">
        <v>1090</v>
      </c>
      <c r="L159" t="s">
        <v>33</v>
      </c>
    </row>
    <row r="160" spans="1:12" x14ac:dyDescent="0.35">
      <c r="A160" t="s">
        <v>20</v>
      </c>
      <c r="B160">
        <v>17645</v>
      </c>
      <c r="C160" t="s">
        <v>949</v>
      </c>
      <c r="D160" t="s">
        <v>950</v>
      </c>
      <c r="E160" t="s">
        <v>7953</v>
      </c>
      <c r="F160" t="s">
        <v>8130</v>
      </c>
      <c r="G160" t="s">
        <v>8130</v>
      </c>
      <c r="H160" t="s">
        <v>8131</v>
      </c>
      <c r="I160" t="s">
        <v>1090</v>
      </c>
      <c r="L160" t="s">
        <v>33</v>
      </c>
    </row>
    <row r="161" spans="1:12" x14ac:dyDescent="0.35">
      <c r="A161" t="s">
        <v>20</v>
      </c>
      <c r="B161">
        <v>17645</v>
      </c>
      <c r="C161" t="s">
        <v>949</v>
      </c>
      <c r="D161" t="s">
        <v>950</v>
      </c>
      <c r="E161" t="s">
        <v>7698</v>
      </c>
      <c r="F161" t="s">
        <v>8132</v>
      </c>
      <c r="G161" t="s">
        <v>8132</v>
      </c>
      <c r="H161" t="s">
        <v>8133</v>
      </c>
      <c r="I161" t="s">
        <v>954</v>
      </c>
      <c r="L161" t="s">
        <v>33</v>
      </c>
    </row>
    <row r="162" spans="1:12" x14ac:dyDescent="0.35">
      <c r="A162" t="s">
        <v>20</v>
      </c>
      <c r="B162">
        <v>17645</v>
      </c>
      <c r="C162" t="s">
        <v>949</v>
      </c>
      <c r="D162" t="s">
        <v>950</v>
      </c>
      <c r="E162" t="s">
        <v>8134</v>
      </c>
      <c r="F162" t="s">
        <v>8135</v>
      </c>
      <c r="G162" t="s">
        <v>8135</v>
      </c>
      <c r="H162" t="s">
        <v>8136</v>
      </c>
      <c r="I162" t="s">
        <v>954</v>
      </c>
      <c r="L162" t="s">
        <v>33</v>
      </c>
    </row>
    <row r="163" spans="1:12" x14ac:dyDescent="0.35">
      <c r="A163" t="s">
        <v>20</v>
      </c>
      <c r="B163">
        <v>17645</v>
      </c>
      <c r="C163" t="s">
        <v>949</v>
      </c>
      <c r="D163" t="s">
        <v>950</v>
      </c>
      <c r="E163" t="s">
        <v>7702</v>
      </c>
      <c r="F163" t="s">
        <v>8137</v>
      </c>
      <c r="G163" t="s">
        <v>8137</v>
      </c>
      <c r="H163" t="s">
        <v>8138</v>
      </c>
      <c r="I163" t="s">
        <v>954</v>
      </c>
      <c r="L163" t="s">
        <v>33</v>
      </c>
    </row>
    <row r="164" spans="1:12" x14ac:dyDescent="0.35">
      <c r="A164" t="s">
        <v>20</v>
      </c>
      <c r="B164">
        <v>17645</v>
      </c>
      <c r="C164" t="s">
        <v>949</v>
      </c>
      <c r="D164" t="s">
        <v>950</v>
      </c>
      <c r="E164" t="s">
        <v>8139</v>
      </c>
      <c r="F164" t="s">
        <v>8140</v>
      </c>
      <c r="G164" t="s">
        <v>8140</v>
      </c>
      <c r="H164" t="s">
        <v>8141</v>
      </c>
      <c r="I164" t="s">
        <v>954</v>
      </c>
      <c r="L164" t="s">
        <v>33</v>
      </c>
    </row>
    <row r="165" spans="1:12" x14ac:dyDescent="0.35">
      <c r="A165" t="s">
        <v>20</v>
      </c>
      <c r="B165">
        <v>17645</v>
      </c>
      <c r="C165" t="s">
        <v>949</v>
      </c>
      <c r="D165" t="s">
        <v>950</v>
      </c>
      <c r="E165" t="s">
        <v>7706</v>
      </c>
      <c r="F165" t="s">
        <v>8142</v>
      </c>
      <c r="G165" t="s">
        <v>8142</v>
      </c>
      <c r="H165" t="s">
        <v>8143</v>
      </c>
      <c r="I165" t="s">
        <v>954</v>
      </c>
      <c r="L165" t="s">
        <v>33</v>
      </c>
    </row>
    <row r="166" spans="1:12" x14ac:dyDescent="0.35">
      <c r="A166" t="s">
        <v>20</v>
      </c>
      <c r="B166">
        <v>17645</v>
      </c>
      <c r="C166" t="s">
        <v>949</v>
      </c>
      <c r="D166" t="s">
        <v>950</v>
      </c>
      <c r="E166" t="s">
        <v>7708</v>
      </c>
      <c r="F166" t="s">
        <v>8144</v>
      </c>
      <c r="G166" t="s">
        <v>8144</v>
      </c>
      <c r="H166" t="s">
        <v>8145</v>
      </c>
      <c r="I166" t="s">
        <v>954</v>
      </c>
      <c r="L166" t="s">
        <v>33</v>
      </c>
    </row>
    <row r="167" spans="1:12" x14ac:dyDescent="0.35">
      <c r="A167" t="s">
        <v>20</v>
      </c>
      <c r="B167">
        <v>17645</v>
      </c>
      <c r="C167" t="s">
        <v>949</v>
      </c>
      <c r="D167" t="s">
        <v>950</v>
      </c>
      <c r="E167" t="s">
        <v>8146</v>
      </c>
      <c r="F167" t="s">
        <v>8147</v>
      </c>
      <c r="G167" t="s">
        <v>8147</v>
      </c>
      <c r="H167" t="s">
        <v>8148</v>
      </c>
      <c r="I167" t="s">
        <v>954</v>
      </c>
      <c r="L167" t="s">
        <v>33</v>
      </c>
    </row>
    <row r="168" spans="1:12" x14ac:dyDescent="0.35">
      <c r="A168" t="s">
        <v>20</v>
      </c>
      <c r="B168">
        <v>17645</v>
      </c>
      <c r="C168" t="s">
        <v>949</v>
      </c>
      <c r="D168" t="s">
        <v>950</v>
      </c>
      <c r="E168" t="s">
        <v>7711</v>
      </c>
      <c r="F168" t="s">
        <v>8149</v>
      </c>
      <c r="G168" t="s">
        <v>8149</v>
      </c>
      <c r="H168" t="s">
        <v>8150</v>
      </c>
      <c r="I168" t="s">
        <v>954</v>
      </c>
      <c r="L168" t="s">
        <v>33</v>
      </c>
    </row>
    <row r="169" spans="1:12" x14ac:dyDescent="0.35">
      <c r="A169" t="s">
        <v>20</v>
      </c>
      <c r="B169">
        <v>17645</v>
      </c>
      <c r="C169" t="s">
        <v>949</v>
      </c>
      <c r="D169" t="s">
        <v>950</v>
      </c>
      <c r="E169" t="s">
        <v>8151</v>
      </c>
      <c r="F169" t="s">
        <v>8152</v>
      </c>
      <c r="G169" t="s">
        <v>8152</v>
      </c>
      <c r="H169" t="s">
        <v>8153</v>
      </c>
      <c r="I169" t="s">
        <v>954</v>
      </c>
      <c r="L169" t="s">
        <v>33</v>
      </c>
    </row>
    <row r="170" spans="1:12" x14ac:dyDescent="0.35">
      <c r="A170" t="s">
        <v>20</v>
      </c>
      <c r="B170">
        <v>17645</v>
      </c>
      <c r="C170" t="s">
        <v>949</v>
      </c>
      <c r="D170" t="s">
        <v>950</v>
      </c>
      <c r="E170" t="s">
        <v>7714</v>
      </c>
      <c r="F170" t="s">
        <v>8154</v>
      </c>
      <c r="G170" t="s">
        <v>8154</v>
      </c>
      <c r="H170" t="s">
        <v>8155</v>
      </c>
      <c r="I170" t="s">
        <v>954</v>
      </c>
      <c r="L170" t="s">
        <v>33</v>
      </c>
    </row>
    <row r="171" spans="1:12" x14ac:dyDescent="0.35">
      <c r="A171" t="s">
        <v>20</v>
      </c>
      <c r="B171">
        <v>17645</v>
      </c>
      <c r="C171" t="s">
        <v>949</v>
      </c>
      <c r="D171" t="s">
        <v>950</v>
      </c>
      <c r="E171" t="s">
        <v>8156</v>
      </c>
      <c r="F171" t="s">
        <v>8157</v>
      </c>
      <c r="G171" t="s">
        <v>8157</v>
      </c>
      <c r="H171" t="s">
        <v>8158</v>
      </c>
      <c r="I171" t="s">
        <v>954</v>
      </c>
      <c r="L171" t="s">
        <v>33</v>
      </c>
    </row>
    <row r="172" spans="1:12" x14ac:dyDescent="0.35">
      <c r="A172" t="s">
        <v>20</v>
      </c>
      <c r="B172">
        <v>17645</v>
      </c>
      <c r="C172" t="s">
        <v>949</v>
      </c>
      <c r="D172" t="s">
        <v>950</v>
      </c>
      <c r="E172" t="s">
        <v>7718</v>
      </c>
      <c r="F172" t="s">
        <v>8159</v>
      </c>
      <c r="G172" t="s">
        <v>8159</v>
      </c>
      <c r="H172" t="s">
        <v>8160</v>
      </c>
      <c r="I172" t="s">
        <v>954</v>
      </c>
      <c r="L172" t="s">
        <v>33</v>
      </c>
    </row>
    <row r="173" spans="1:12" x14ac:dyDescent="0.35">
      <c r="A173" t="s">
        <v>20</v>
      </c>
      <c r="B173">
        <v>17645</v>
      </c>
      <c r="C173" t="s">
        <v>949</v>
      </c>
      <c r="D173" t="s">
        <v>950</v>
      </c>
      <c r="E173" t="s">
        <v>8161</v>
      </c>
      <c r="F173" t="s">
        <v>8162</v>
      </c>
      <c r="G173" t="s">
        <v>8162</v>
      </c>
      <c r="H173" t="s">
        <v>8163</v>
      </c>
      <c r="I173" t="s">
        <v>954</v>
      </c>
      <c r="L173" t="s">
        <v>33</v>
      </c>
    </row>
    <row r="174" spans="1:12" x14ac:dyDescent="0.35">
      <c r="A174" t="s">
        <v>20</v>
      </c>
      <c r="B174">
        <v>17645</v>
      </c>
      <c r="C174" t="s">
        <v>949</v>
      </c>
      <c r="D174" t="s">
        <v>950</v>
      </c>
      <c r="E174" t="s">
        <v>7721</v>
      </c>
      <c r="F174" t="s">
        <v>8164</v>
      </c>
      <c r="G174" t="s">
        <v>8164</v>
      </c>
      <c r="H174" t="s">
        <v>8165</v>
      </c>
      <c r="I174" t="s">
        <v>954</v>
      </c>
      <c r="L174" t="s">
        <v>33</v>
      </c>
    </row>
    <row r="175" spans="1:12" x14ac:dyDescent="0.35">
      <c r="A175" t="s">
        <v>20</v>
      </c>
      <c r="B175">
        <v>17645</v>
      </c>
      <c r="C175" t="s">
        <v>949</v>
      </c>
      <c r="D175" t="s">
        <v>950</v>
      </c>
      <c r="E175" t="s">
        <v>8166</v>
      </c>
      <c r="F175" t="s">
        <v>8167</v>
      </c>
      <c r="G175" t="s">
        <v>8167</v>
      </c>
      <c r="H175" t="s">
        <v>8057</v>
      </c>
      <c r="I175" t="s">
        <v>954</v>
      </c>
      <c r="L175" t="s">
        <v>33</v>
      </c>
    </row>
    <row r="176" spans="1:12" x14ac:dyDescent="0.35">
      <c r="A176" t="s">
        <v>20</v>
      </c>
      <c r="B176">
        <v>17645</v>
      </c>
      <c r="C176" t="s">
        <v>949</v>
      </c>
      <c r="D176" t="s">
        <v>950</v>
      </c>
      <c r="E176" t="s">
        <v>7724</v>
      </c>
      <c r="F176" t="s">
        <v>8168</v>
      </c>
      <c r="G176" t="s">
        <v>8168</v>
      </c>
      <c r="H176" t="s">
        <v>8169</v>
      </c>
      <c r="I176" t="s">
        <v>954</v>
      </c>
      <c r="L176" t="s">
        <v>33</v>
      </c>
    </row>
    <row r="177" spans="1:12" x14ac:dyDescent="0.35">
      <c r="A177" t="s">
        <v>20</v>
      </c>
      <c r="B177">
        <v>17645</v>
      </c>
      <c r="C177" t="s">
        <v>949</v>
      </c>
      <c r="D177" t="s">
        <v>950</v>
      </c>
      <c r="E177" t="s">
        <v>8170</v>
      </c>
      <c r="F177" t="s">
        <v>8171</v>
      </c>
      <c r="G177" t="s">
        <v>8171</v>
      </c>
      <c r="H177" t="s">
        <v>8172</v>
      </c>
      <c r="I177" t="s">
        <v>954</v>
      </c>
      <c r="L177" t="s">
        <v>33</v>
      </c>
    </row>
    <row r="178" spans="1:12" x14ac:dyDescent="0.35">
      <c r="A178" t="s">
        <v>20</v>
      </c>
      <c r="B178">
        <v>17645</v>
      </c>
      <c r="C178" t="s">
        <v>949</v>
      </c>
      <c r="D178" t="s">
        <v>950</v>
      </c>
      <c r="E178" t="s">
        <v>7727</v>
      </c>
      <c r="F178" t="s">
        <v>8173</v>
      </c>
      <c r="G178" t="s">
        <v>8173</v>
      </c>
      <c r="H178" t="s">
        <v>8174</v>
      </c>
      <c r="I178" t="s">
        <v>954</v>
      </c>
      <c r="L178" t="s">
        <v>33</v>
      </c>
    </row>
    <row r="179" spans="1:12" x14ac:dyDescent="0.35">
      <c r="A179" t="s">
        <v>20</v>
      </c>
      <c r="B179">
        <v>17645</v>
      </c>
      <c r="C179" t="s">
        <v>949</v>
      </c>
      <c r="D179" t="s">
        <v>950</v>
      </c>
      <c r="E179" t="s">
        <v>8175</v>
      </c>
      <c r="F179" t="s">
        <v>8176</v>
      </c>
      <c r="G179" t="s">
        <v>8176</v>
      </c>
      <c r="H179" t="s">
        <v>8064</v>
      </c>
      <c r="I179" t="s">
        <v>954</v>
      </c>
      <c r="L179" t="s">
        <v>33</v>
      </c>
    </row>
    <row r="180" spans="1:12" x14ac:dyDescent="0.35">
      <c r="A180" t="s">
        <v>20</v>
      </c>
      <c r="B180">
        <v>17645</v>
      </c>
      <c r="C180" t="s">
        <v>949</v>
      </c>
      <c r="D180" t="s">
        <v>950</v>
      </c>
      <c r="E180" t="s">
        <v>7730</v>
      </c>
      <c r="F180" t="s">
        <v>8177</v>
      </c>
      <c r="G180" t="s">
        <v>8177</v>
      </c>
      <c r="H180" t="s">
        <v>8178</v>
      </c>
      <c r="I180" t="s">
        <v>954</v>
      </c>
      <c r="L180" t="s">
        <v>33</v>
      </c>
    </row>
    <row r="181" spans="1:12" x14ac:dyDescent="0.35">
      <c r="A181" t="s">
        <v>20</v>
      </c>
      <c r="B181">
        <v>17645</v>
      </c>
      <c r="C181" t="s">
        <v>949</v>
      </c>
      <c r="D181" t="s">
        <v>950</v>
      </c>
      <c r="E181" t="s">
        <v>8179</v>
      </c>
      <c r="F181" t="s">
        <v>8180</v>
      </c>
      <c r="G181" t="s">
        <v>8180</v>
      </c>
      <c r="H181" t="s">
        <v>8181</v>
      </c>
      <c r="I181" t="s">
        <v>954</v>
      </c>
      <c r="L181" t="s">
        <v>33</v>
      </c>
    </row>
    <row r="182" spans="1:12" x14ac:dyDescent="0.35">
      <c r="A182" t="s">
        <v>20</v>
      </c>
      <c r="B182">
        <v>17645</v>
      </c>
      <c r="C182" t="s">
        <v>949</v>
      </c>
      <c r="D182" t="s">
        <v>950</v>
      </c>
      <c r="E182" t="s">
        <v>7733</v>
      </c>
      <c r="F182" t="s">
        <v>8182</v>
      </c>
      <c r="G182" t="s">
        <v>8182</v>
      </c>
      <c r="H182" t="s">
        <v>8183</v>
      </c>
      <c r="I182" t="s">
        <v>954</v>
      </c>
      <c r="L182" t="s">
        <v>33</v>
      </c>
    </row>
    <row r="183" spans="1:12" x14ac:dyDescent="0.35">
      <c r="A183" t="s">
        <v>20</v>
      </c>
      <c r="B183">
        <v>17645</v>
      </c>
      <c r="C183" t="s">
        <v>949</v>
      </c>
      <c r="D183" t="s">
        <v>950</v>
      </c>
      <c r="E183" t="s">
        <v>8184</v>
      </c>
      <c r="F183" t="s">
        <v>8185</v>
      </c>
      <c r="G183" t="s">
        <v>8185</v>
      </c>
      <c r="H183" t="s">
        <v>8186</v>
      </c>
      <c r="I183" t="s">
        <v>954</v>
      </c>
      <c r="L183" t="s">
        <v>33</v>
      </c>
    </row>
    <row r="184" spans="1:12" x14ac:dyDescent="0.35">
      <c r="A184" t="s">
        <v>20</v>
      </c>
      <c r="B184">
        <v>17645</v>
      </c>
      <c r="C184" t="s">
        <v>949</v>
      </c>
      <c r="D184" t="s">
        <v>950</v>
      </c>
      <c r="E184" t="s">
        <v>7736</v>
      </c>
      <c r="F184" t="s">
        <v>8187</v>
      </c>
      <c r="G184" t="s">
        <v>8187</v>
      </c>
      <c r="H184" t="s">
        <v>8188</v>
      </c>
      <c r="I184" t="s">
        <v>954</v>
      </c>
      <c r="L184" t="s">
        <v>33</v>
      </c>
    </row>
    <row r="185" spans="1:12" x14ac:dyDescent="0.35">
      <c r="A185" t="s">
        <v>20</v>
      </c>
      <c r="B185">
        <v>17645</v>
      </c>
      <c r="C185" t="s">
        <v>949</v>
      </c>
      <c r="D185" t="s">
        <v>950</v>
      </c>
      <c r="E185" t="s">
        <v>8189</v>
      </c>
      <c r="F185" t="s">
        <v>8190</v>
      </c>
      <c r="G185" t="s">
        <v>8190</v>
      </c>
      <c r="H185" t="s">
        <v>8191</v>
      </c>
      <c r="I185" t="s">
        <v>954</v>
      </c>
      <c r="L185" t="s">
        <v>33</v>
      </c>
    </row>
    <row r="186" spans="1:12" x14ac:dyDescent="0.35">
      <c r="A186" t="s">
        <v>20</v>
      </c>
      <c r="B186">
        <v>17645</v>
      </c>
      <c r="C186" t="s">
        <v>949</v>
      </c>
      <c r="D186" t="s">
        <v>950</v>
      </c>
      <c r="E186" t="s">
        <v>7739</v>
      </c>
      <c r="F186" t="s">
        <v>8192</v>
      </c>
      <c r="G186" t="s">
        <v>8192</v>
      </c>
      <c r="H186" t="s">
        <v>8193</v>
      </c>
      <c r="I186" t="s">
        <v>954</v>
      </c>
      <c r="L186" t="s">
        <v>33</v>
      </c>
    </row>
    <row r="187" spans="1:12" x14ac:dyDescent="0.35">
      <c r="A187" t="s">
        <v>20</v>
      </c>
      <c r="B187">
        <v>17645</v>
      </c>
      <c r="C187" t="s">
        <v>949</v>
      </c>
      <c r="D187" t="s">
        <v>950</v>
      </c>
      <c r="E187" t="s">
        <v>8194</v>
      </c>
      <c r="F187" t="s">
        <v>8195</v>
      </c>
      <c r="G187" t="s">
        <v>8195</v>
      </c>
      <c r="H187" t="s">
        <v>8196</v>
      </c>
      <c r="I187" t="s">
        <v>954</v>
      </c>
      <c r="L187" t="s">
        <v>33</v>
      </c>
    </row>
    <row r="188" spans="1:12" x14ac:dyDescent="0.35">
      <c r="A188" t="s">
        <v>20</v>
      </c>
      <c r="B188">
        <v>17645</v>
      </c>
      <c r="C188" t="s">
        <v>949</v>
      </c>
      <c r="D188" t="s">
        <v>950</v>
      </c>
      <c r="E188" t="s">
        <v>7742</v>
      </c>
      <c r="F188" t="s">
        <v>8197</v>
      </c>
      <c r="G188" t="s">
        <v>8197</v>
      </c>
      <c r="H188" t="s">
        <v>8198</v>
      </c>
      <c r="I188" t="s">
        <v>954</v>
      </c>
      <c r="L188" t="s">
        <v>33</v>
      </c>
    </row>
    <row r="189" spans="1:12" x14ac:dyDescent="0.35">
      <c r="A189" t="s">
        <v>20</v>
      </c>
      <c r="B189">
        <v>17645</v>
      </c>
      <c r="C189" t="s">
        <v>949</v>
      </c>
      <c r="D189" t="s">
        <v>950</v>
      </c>
      <c r="E189" t="s">
        <v>8199</v>
      </c>
      <c r="F189" t="s">
        <v>8200</v>
      </c>
      <c r="G189" t="s">
        <v>8200</v>
      </c>
      <c r="H189" t="s">
        <v>8201</v>
      </c>
      <c r="I189" t="s">
        <v>954</v>
      </c>
      <c r="L189" t="s">
        <v>33</v>
      </c>
    </row>
    <row r="190" spans="1:12" x14ac:dyDescent="0.35">
      <c r="A190" t="s">
        <v>20</v>
      </c>
      <c r="B190">
        <v>17645</v>
      </c>
      <c r="C190" t="s">
        <v>949</v>
      </c>
      <c r="D190" t="s">
        <v>950</v>
      </c>
      <c r="E190" t="s">
        <v>7745</v>
      </c>
      <c r="F190" t="s">
        <v>8202</v>
      </c>
      <c r="G190" t="s">
        <v>8202</v>
      </c>
      <c r="H190" t="s">
        <v>8203</v>
      </c>
      <c r="I190" t="s">
        <v>954</v>
      </c>
      <c r="L190" t="s">
        <v>33</v>
      </c>
    </row>
    <row r="191" spans="1:12" x14ac:dyDescent="0.35">
      <c r="A191" t="s">
        <v>20</v>
      </c>
      <c r="B191">
        <v>17645</v>
      </c>
      <c r="C191" t="s">
        <v>949</v>
      </c>
      <c r="D191" t="s">
        <v>950</v>
      </c>
      <c r="E191" t="s">
        <v>8204</v>
      </c>
      <c r="F191" t="s">
        <v>8205</v>
      </c>
      <c r="G191" t="s">
        <v>8205</v>
      </c>
      <c r="H191" t="s">
        <v>8206</v>
      </c>
      <c r="I191" t="s">
        <v>954</v>
      </c>
      <c r="L191" t="s">
        <v>33</v>
      </c>
    </row>
    <row r="192" spans="1:12" x14ac:dyDescent="0.35">
      <c r="A192" t="s">
        <v>20</v>
      </c>
      <c r="B192">
        <v>17645</v>
      </c>
      <c r="C192" t="s">
        <v>949</v>
      </c>
      <c r="D192" t="s">
        <v>950</v>
      </c>
      <c r="E192" t="s">
        <v>7749</v>
      </c>
      <c r="F192" t="s">
        <v>8207</v>
      </c>
      <c r="G192" t="s">
        <v>8207</v>
      </c>
      <c r="H192" t="s">
        <v>8208</v>
      </c>
      <c r="I192" t="s">
        <v>954</v>
      </c>
      <c r="L192" t="s">
        <v>33</v>
      </c>
    </row>
    <row r="193" spans="1:12" x14ac:dyDescent="0.35">
      <c r="A193" t="s">
        <v>20</v>
      </c>
      <c r="B193">
        <v>17645</v>
      </c>
      <c r="C193" t="s">
        <v>949</v>
      </c>
      <c r="D193" t="s">
        <v>950</v>
      </c>
      <c r="E193" t="s">
        <v>8209</v>
      </c>
      <c r="F193" t="s">
        <v>8210</v>
      </c>
      <c r="G193" t="s">
        <v>8210</v>
      </c>
      <c r="H193" t="s">
        <v>8211</v>
      </c>
      <c r="I193" t="s">
        <v>954</v>
      </c>
      <c r="L193" t="s">
        <v>33</v>
      </c>
    </row>
    <row r="194" spans="1:12" x14ac:dyDescent="0.35">
      <c r="A194" t="s">
        <v>20</v>
      </c>
      <c r="B194">
        <v>17645</v>
      </c>
      <c r="C194" t="s">
        <v>949</v>
      </c>
      <c r="D194" t="s">
        <v>950</v>
      </c>
      <c r="E194" t="s">
        <v>7753</v>
      </c>
      <c r="F194" t="s">
        <v>8212</v>
      </c>
      <c r="G194" t="s">
        <v>8212</v>
      </c>
      <c r="H194" t="s">
        <v>8213</v>
      </c>
      <c r="I194" t="s">
        <v>954</v>
      </c>
      <c r="L194" t="s">
        <v>33</v>
      </c>
    </row>
    <row r="195" spans="1:12" x14ac:dyDescent="0.35">
      <c r="A195" t="s">
        <v>20</v>
      </c>
      <c r="B195">
        <v>17645</v>
      </c>
      <c r="C195" t="s">
        <v>949</v>
      </c>
      <c r="D195" t="s">
        <v>950</v>
      </c>
      <c r="E195" t="s">
        <v>8214</v>
      </c>
      <c r="F195" t="s">
        <v>8215</v>
      </c>
      <c r="G195" t="s">
        <v>8215</v>
      </c>
      <c r="H195" t="s">
        <v>8216</v>
      </c>
      <c r="I195" t="s">
        <v>954</v>
      </c>
      <c r="L195" t="s">
        <v>33</v>
      </c>
    </row>
    <row r="196" spans="1:12" x14ac:dyDescent="0.35">
      <c r="A196" t="s">
        <v>20</v>
      </c>
      <c r="B196">
        <v>17645</v>
      </c>
      <c r="C196" t="s">
        <v>949</v>
      </c>
      <c r="D196" t="s">
        <v>950</v>
      </c>
      <c r="E196" t="s">
        <v>7756</v>
      </c>
      <c r="F196" t="s">
        <v>5376</v>
      </c>
      <c r="G196" t="s">
        <v>5376</v>
      </c>
      <c r="H196" t="s">
        <v>8217</v>
      </c>
      <c r="I196" t="s">
        <v>954</v>
      </c>
      <c r="L196" t="s">
        <v>33</v>
      </c>
    </row>
    <row r="197" spans="1:12" x14ac:dyDescent="0.35">
      <c r="A197" t="s">
        <v>20</v>
      </c>
      <c r="B197">
        <v>17645</v>
      </c>
      <c r="C197" t="s">
        <v>949</v>
      </c>
      <c r="D197" t="s">
        <v>950</v>
      </c>
      <c r="E197" t="s">
        <v>8218</v>
      </c>
      <c r="F197" t="s">
        <v>8219</v>
      </c>
      <c r="G197" t="s">
        <v>8219</v>
      </c>
      <c r="H197" t="s">
        <v>8220</v>
      </c>
      <c r="I197" t="s">
        <v>954</v>
      </c>
      <c r="L197" t="s">
        <v>33</v>
      </c>
    </row>
    <row r="198" spans="1:12" x14ac:dyDescent="0.35">
      <c r="A198" t="s">
        <v>20</v>
      </c>
      <c r="B198">
        <v>17645</v>
      </c>
      <c r="C198" t="s">
        <v>949</v>
      </c>
      <c r="D198" t="s">
        <v>950</v>
      </c>
      <c r="E198" t="s">
        <v>7759</v>
      </c>
      <c r="F198" t="s">
        <v>8221</v>
      </c>
      <c r="G198" t="s">
        <v>8221</v>
      </c>
      <c r="H198" t="s">
        <v>8222</v>
      </c>
      <c r="I198" t="s">
        <v>954</v>
      </c>
      <c r="L198" t="s">
        <v>33</v>
      </c>
    </row>
    <row r="199" spans="1:12" x14ac:dyDescent="0.35">
      <c r="A199" t="s">
        <v>20</v>
      </c>
      <c r="B199">
        <v>17645</v>
      </c>
      <c r="C199" t="s">
        <v>949</v>
      </c>
      <c r="D199" t="s">
        <v>950</v>
      </c>
      <c r="E199" t="s">
        <v>8223</v>
      </c>
      <c r="F199" t="s">
        <v>8224</v>
      </c>
      <c r="G199" t="s">
        <v>8224</v>
      </c>
      <c r="H199" t="s">
        <v>8225</v>
      </c>
      <c r="I199" t="s">
        <v>954</v>
      </c>
      <c r="L199" t="s">
        <v>33</v>
      </c>
    </row>
    <row r="200" spans="1:12" x14ac:dyDescent="0.35">
      <c r="A200" t="s">
        <v>20</v>
      </c>
      <c r="B200">
        <v>17645</v>
      </c>
      <c r="C200" t="s">
        <v>949</v>
      </c>
      <c r="D200" t="s">
        <v>950</v>
      </c>
      <c r="E200" t="s">
        <v>7763</v>
      </c>
      <c r="F200" t="s">
        <v>8226</v>
      </c>
      <c r="G200" t="s">
        <v>8226</v>
      </c>
      <c r="H200" t="s">
        <v>8227</v>
      </c>
      <c r="I200" t="s">
        <v>954</v>
      </c>
      <c r="L200" t="s">
        <v>33</v>
      </c>
    </row>
    <row r="201" spans="1:12" x14ac:dyDescent="0.35">
      <c r="A201" t="s">
        <v>20</v>
      </c>
      <c r="B201">
        <v>17645</v>
      </c>
      <c r="C201" t="s">
        <v>949</v>
      </c>
      <c r="D201" t="s">
        <v>950</v>
      </c>
      <c r="E201" t="s">
        <v>8228</v>
      </c>
      <c r="F201" t="s">
        <v>8229</v>
      </c>
      <c r="G201" t="s">
        <v>8229</v>
      </c>
      <c r="H201" t="s">
        <v>8230</v>
      </c>
      <c r="I201" t="s">
        <v>954</v>
      </c>
      <c r="L201" t="s">
        <v>33</v>
      </c>
    </row>
    <row r="202" spans="1:12" x14ac:dyDescent="0.35">
      <c r="A202" t="s">
        <v>20</v>
      </c>
      <c r="B202">
        <v>17645</v>
      </c>
      <c r="C202" t="s">
        <v>949</v>
      </c>
      <c r="D202" t="s">
        <v>950</v>
      </c>
      <c r="E202" t="s">
        <v>7766</v>
      </c>
      <c r="F202" t="s">
        <v>8231</v>
      </c>
      <c r="G202" t="s">
        <v>8231</v>
      </c>
      <c r="H202" t="s">
        <v>8232</v>
      </c>
      <c r="I202" t="s">
        <v>954</v>
      </c>
      <c r="L202" t="s">
        <v>33</v>
      </c>
    </row>
    <row r="203" spans="1:12" x14ac:dyDescent="0.35">
      <c r="A203" t="s">
        <v>20</v>
      </c>
      <c r="B203">
        <v>17645</v>
      </c>
      <c r="C203" t="s">
        <v>949</v>
      </c>
      <c r="D203" t="s">
        <v>950</v>
      </c>
      <c r="E203" t="s">
        <v>8233</v>
      </c>
      <c r="F203" t="s">
        <v>8234</v>
      </c>
      <c r="G203" t="s">
        <v>8234</v>
      </c>
      <c r="H203" t="s">
        <v>8235</v>
      </c>
      <c r="I203" t="s">
        <v>954</v>
      </c>
      <c r="L203" t="s">
        <v>33</v>
      </c>
    </row>
    <row r="204" spans="1:12" x14ac:dyDescent="0.35">
      <c r="A204" t="s">
        <v>20</v>
      </c>
      <c r="B204">
        <v>17645</v>
      </c>
      <c r="C204" t="s">
        <v>949</v>
      </c>
      <c r="D204" t="s">
        <v>950</v>
      </c>
      <c r="E204" t="s">
        <v>7769</v>
      </c>
      <c r="F204" t="s">
        <v>8236</v>
      </c>
      <c r="G204" t="s">
        <v>8236</v>
      </c>
      <c r="H204" t="s">
        <v>8237</v>
      </c>
      <c r="I204" t="s">
        <v>954</v>
      </c>
      <c r="L204" t="s">
        <v>33</v>
      </c>
    </row>
    <row r="205" spans="1:12" x14ac:dyDescent="0.35">
      <c r="A205" t="s">
        <v>20</v>
      </c>
      <c r="B205">
        <v>17645</v>
      </c>
      <c r="C205" t="s">
        <v>949</v>
      </c>
      <c r="D205" t="s">
        <v>950</v>
      </c>
      <c r="E205" t="s">
        <v>8238</v>
      </c>
      <c r="F205" t="s">
        <v>8239</v>
      </c>
      <c r="G205" t="s">
        <v>8239</v>
      </c>
      <c r="H205" t="s">
        <v>8240</v>
      </c>
      <c r="I205" t="s">
        <v>954</v>
      </c>
      <c r="L205" t="s">
        <v>33</v>
      </c>
    </row>
    <row r="206" spans="1:12" x14ac:dyDescent="0.35">
      <c r="A206" t="s">
        <v>20</v>
      </c>
      <c r="B206">
        <v>17645</v>
      </c>
      <c r="C206" t="s">
        <v>949</v>
      </c>
      <c r="D206" t="s">
        <v>950</v>
      </c>
      <c r="E206" t="s">
        <v>7772</v>
      </c>
      <c r="F206" t="s">
        <v>8241</v>
      </c>
      <c r="G206" t="s">
        <v>8241</v>
      </c>
      <c r="H206" t="s">
        <v>8242</v>
      </c>
      <c r="I206" t="s">
        <v>954</v>
      </c>
      <c r="L206" t="s">
        <v>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>
      <selection activeCell="I2" sqref="I2:I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15</v>
      </c>
      <c r="M1" t="s">
        <v>19</v>
      </c>
    </row>
    <row r="2" spans="1:13" x14ac:dyDescent="0.35">
      <c r="A2" t="s">
        <v>20</v>
      </c>
      <c r="B2">
        <v>17644</v>
      </c>
      <c r="C2" t="s">
        <v>21</v>
      </c>
      <c r="D2" t="s">
        <v>22</v>
      </c>
      <c r="E2" t="s">
        <v>8243</v>
      </c>
      <c r="F2" t="s">
        <v>2016</v>
      </c>
      <c r="G2" t="s">
        <v>2017</v>
      </c>
      <c r="H2" t="s">
        <v>2018</v>
      </c>
      <c r="I2" t="s">
        <v>27</v>
      </c>
      <c r="K2" t="s">
        <v>8244</v>
      </c>
      <c r="L2" t="s">
        <v>33</v>
      </c>
    </row>
    <row r="3" spans="1:13" x14ac:dyDescent="0.35">
      <c r="A3" t="s">
        <v>20</v>
      </c>
      <c r="B3">
        <v>17644</v>
      </c>
      <c r="C3" t="s">
        <v>21</v>
      </c>
      <c r="D3" t="s">
        <v>22</v>
      </c>
      <c r="E3" t="s">
        <v>8245</v>
      </c>
      <c r="F3" t="s">
        <v>2020</v>
      </c>
      <c r="G3" t="s">
        <v>2021</v>
      </c>
      <c r="H3" t="s">
        <v>2022</v>
      </c>
      <c r="I3" t="s">
        <v>27</v>
      </c>
      <c r="K3" t="s">
        <v>8246</v>
      </c>
      <c r="L3" t="s">
        <v>33</v>
      </c>
    </row>
    <row r="4" spans="1:13" x14ac:dyDescent="0.35">
      <c r="A4" t="s">
        <v>20</v>
      </c>
      <c r="B4">
        <v>17644</v>
      </c>
      <c r="C4" t="s">
        <v>21</v>
      </c>
      <c r="D4" t="s">
        <v>22</v>
      </c>
      <c r="E4" t="s">
        <v>8247</v>
      </c>
      <c r="F4" t="s">
        <v>2024</v>
      </c>
      <c r="G4" t="s">
        <v>2025</v>
      </c>
      <c r="H4" t="s">
        <v>2026</v>
      </c>
      <c r="I4" t="s">
        <v>27</v>
      </c>
      <c r="K4" t="s">
        <v>8246</v>
      </c>
      <c r="L4" t="s">
        <v>33</v>
      </c>
    </row>
    <row r="5" spans="1:13" x14ac:dyDescent="0.35">
      <c r="A5" t="s">
        <v>20</v>
      </c>
      <c r="B5">
        <v>17644</v>
      </c>
      <c r="C5" t="s">
        <v>21</v>
      </c>
      <c r="D5" t="s">
        <v>22</v>
      </c>
      <c r="E5" t="s">
        <v>8248</v>
      </c>
      <c r="F5" t="s">
        <v>2012</v>
      </c>
      <c r="G5" t="s">
        <v>2013</v>
      </c>
      <c r="H5" t="s">
        <v>2014</v>
      </c>
      <c r="I5" t="s">
        <v>238</v>
      </c>
      <c r="K5" t="s">
        <v>8249</v>
      </c>
      <c r="L5" t="s">
        <v>33</v>
      </c>
    </row>
    <row r="6" spans="1:13" x14ac:dyDescent="0.35">
      <c r="A6" t="s">
        <v>20</v>
      </c>
      <c r="B6">
        <v>17644</v>
      </c>
      <c r="C6" t="s">
        <v>21</v>
      </c>
      <c r="D6" t="s">
        <v>22</v>
      </c>
      <c r="E6" t="s">
        <v>8250</v>
      </c>
      <c r="F6" t="s">
        <v>2032</v>
      </c>
      <c r="G6" t="s">
        <v>2033</v>
      </c>
      <c r="H6" t="s">
        <v>2034</v>
      </c>
      <c r="I6" t="s">
        <v>238</v>
      </c>
      <c r="K6" t="s">
        <v>8246</v>
      </c>
      <c r="L6" t="s">
        <v>33</v>
      </c>
    </row>
    <row r="7" spans="1:13" x14ac:dyDescent="0.35">
      <c r="A7" t="s">
        <v>20</v>
      </c>
      <c r="B7">
        <v>17644</v>
      </c>
      <c r="C7" t="s">
        <v>21</v>
      </c>
      <c r="D7" t="s">
        <v>22</v>
      </c>
      <c r="E7" t="s">
        <v>8251</v>
      </c>
      <c r="F7" t="s">
        <v>2028</v>
      </c>
      <c r="G7" t="s">
        <v>2029</v>
      </c>
      <c r="H7" t="s">
        <v>2030</v>
      </c>
      <c r="I7" t="s">
        <v>238</v>
      </c>
      <c r="K7" t="s">
        <v>8252</v>
      </c>
      <c r="L7" t="s">
        <v>33</v>
      </c>
    </row>
    <row r="8" spans="1:13" x14ac:dyDescent="0.35">
      <c r="A8" t="s">
        <v>20</v>
      </c>
      <c r="B8">
        <v>17644</v>
      </c>
      <c r="C8" t="s">
        <v>21</v>
      </c>
      <c r="D8" t="s">
        <v>22</v>
      </c>
      <c r="E8" t="s">
        <v>8253</v>
      </c>
      <c r="F8" t="s">
        <v>2035</v>
      </c>
      <c r="G8" t="s">
        <v>2036</v>
      </c>
      <c r="H8" t="s">
        <v>2037</v>
      </c>
      <c r="I8" t="s">
        <v>238</v>
      </c>
      <c r="K8" t="s">
        <v>8246</v>
      </c>
      <c r="L8" t="s">
        <v>33</v>
      </c>
    </row>
    <row r="9" spans="1:13" x14ac:dyDescent="0.35">
      <c r="A9" t="s">
        <v>20</v>
      </c>
      <c r="B9">
        <v>17643</v>
      </c>
      <c r="C9" t="s">
        <v>426</v>
      </c>
      <c r="D9" t="s">
        <v>427</v>
      </c>
      <c r="E9" t="s">
        <v>8243</v>
      </c>
      <c r="F9" t="s">
        <v>2038</v>
      </c>
      <c r="G9" t="s">
        <v>2039</v>
      </c>
      <c r="H9" t="s">
        <v>2040</v>
      </c>
      <c r="I9" t="s">
        <v>557</v>
      </c>
      <c r="K9" t="s">
        <v>8249</v>
      </c>
      <c r="L9" t="s">
        <v>33</v>
      </c>
      <c r="M9" t="s">
        <v>432</v>
      </c>
    </row>
    <row r="10" spans="1:13" x14ac:dyDescent="0.35">
      <c r="A10" t="s">
        <v>20</v>
      </c>
      <c r="B10">
        <v>17643</v>
      </c>
      <c r="C10" t="s">
        <v>426</v>
      </c>
      <c r="D10" t="s">
        <v>427</v>
      </c>
      <c r="E10" t="s">
        <v>8245</v>
      </c>
      <c r="F10" t="s">
        <v>2041</v>
      </c>
      <c r="G10" t="s">
        <v>2042</v>
      </c>
      <c r="H10" t="s">
        <v>2043</v>
      </c>
      <c r="I10" t="s">
        <v>557</v>
      </c>
      <c r="K10" t="s">
        <v>8244</v>
      </c>
      <c r="L10" t="s">
        <v>33</v>
      </c>
      <c r="M10" t="s">
        <v>432</v>
      </c>
    </row>
    <row r="11" spans="1:13" x14ac:dyDescent="0.35">
      <c r="A11" t="s">
        <v>20</v>
      </c>
      <c r="B11">
        <v>17643</v>
      </c>
      <c r="C11" t="s">
        <v>426</v>
      </c>
      <c r="D11" t="s">
        <v>427</v>
      </c>
      <c r="E11" t="s">
        <v>8247</v>
      </c>
      <c r="F11" t="s">
        <v>2044</v>
      </c>
      <c r="G11" t="s">
        <v>2045</v>
      </c>
      <c r="H11" t="s">
        <v>2046</v>
      </c>
      <c r="I11" t="s">
        <v>557</v>
      </c>
      <c r="K11" t="s">
        <v>8249</v>
      </c>
      <c r="L11" t="s">
        <v>33</v>
      </c>
      <c r="M11" t="s">
        <v>432</v>
      </c>
    </row>
    <row r="12" spans="1:13" x14ac:dyDescent="0.35">
      <c r="A12" t="s">
        <v>20</v>
      </c>
      <c r="B12">
        <v>17643</v>
      </c>
      <c r="C12" t="s">
        <v>426</v>
      </c>
      <c r="D12" t="s">
        <v>427</v>
      </c>
      <c r="E12" t="s">
        <v>8254</v>
      </c>
      <c r="F12" t="s">
        <v>2047</v>
      </c>
      <c r="G12" t="s">
        <v>2048</v>
      </c>
      <c r="H12" t="s">
        <v>2049</v>
      </c>
      <c r="I12" t="s">
        <v>557</v>
      </c>
      <c r="K12" t="s">
        <v>8249</v>
      </c>
      <c r="L12" t="s">
        <v>33</v>
      </c>
      <c r="M12" t="s">
        <v>432</v>
      </c>
    </row>
    <row r="13" spans="1:13" x14ac:dyDescent="0.35">
      <c r="A13" t="s">
        <v>20</v>
      </c>
      <c r="B13">
        <v>17643</v>
      </c>
      <c r="C13" t="s">
        <v>426</v>
      </c>
      <c r="D13" t="s">
        <v>427</v>
      </c>
      <c r="E13" t="s">
        <v>8255</v>
      </c>
      <c r="F13" t="s">
        <v>2051</v>
      </c>
      <c r="G13" t="s">
        <v>2052</v>
      </c>
      <c r="H13" t="s">
        <v>2053</v>
      </c>
      <c r="I13" t="s">
        <v>557</v>
      </c>
      <c r="K13" t="s">
        <v>8256</v>
      </c>
      <c r="L13" t="s">
        <v>33</v>
      </c>
      <c r="M13" t="s">
        <v>432</v>
      </c>
    </row>
    <row r="14" spans="1:13" x14ac:dyDescent="0.35">
      <c r="A14" t="s">
        <v>20</v>
      </c>
      <c r="B14">
        <v>17643</v>
      </c>
      <c r="C14" t="s">
        <v>426</v>
      </c>
      <c r="D14" t="s">
        <v>427</v>
      </c>
      <c r="E14" t="s">
        <v>8257</v>
      </c>
      <c r="F14" t="s">
        <v>2055</v>
      </c>
      <c r="G14" t="s">
        <v>2056</v>
      </c>
      <c r="H14" t="s">
        <v>2057</v>
      </c>
      <c r="I14" t="s">
        <v>557</v>
      </c>
      <c r="K14" t="s">
        <v>8244</v>
      </c>
      <c r="L14" t="s">
        <v>33</v>
      </c>
      <c r="M14" t="s">
        <v>432</v>
      </c>
    </row>
    <row r="15" spans="1:13" x14ac:dyDescent="0.35">
      <c r="A15" t="s">
        <v>20</v>
      </c>
      <c r="B15">
        <v>17643</v>
      </c>
      <c r="C15" t="s">
        <v>426</v>
      </c>
      <c r="D15" t="s">
        <v>427</v>
      </c>
      <c r="E15" t="s">
        <v>8248</v>
      </c>
      <c r="F15" t="s">
        <v>2059</v>
      </c>
      <c r="G15" t="s">
        <v>2060</v>
      </c>
      <c r="H15" t="s">
        <v>2061</v>
      </c>
      <c r="I15" t="s">
        <v>431</v>
      </c>
      <c r="K15" t="s">
        <v>8244</v>
      </c>
      <c r="L15" t="s">
        <v>33</v>
      </c>
      <c r="M15" t="s">
        <v>432</v>
      </c>
    </row>
    <row r="16" spans="1:13" x14ac:dyDescent="0.35">
      <c r="A16" t="s">
        <v>20</v>
      </c>
      <c r="B16">
        <v>17643</v>
      </c>
      <c r="C16" t="s">
        <v>426</v>
      </c>
      <c r="D16" t="s">
        <v>427</v>
      </c>
      <c r="E16" t="s">
        <v>8250</v>
      </c>
      <c r="F16" t="s">
        <v>2062</v>
      </c>
      <c r="G16" t="s">
        <v>2063</v>
      </c>
      <c r="H16" t="s">
        <v>2064</v>
      </c>
      <c r="I16" t="s">
        <v>431</v>
      </c>
      <c r="K16" t="s">
        <v>8249</v>
      </c>
      <c r="L16" t="s">
        <v>33</v>
      </c>
      <c r="M16" t="s">
        <v>432</v>
      </c>
    </row>
    <row r="17" spans="1:13" x14ac:dyDescent="0.35">
      <c r="A17" t="s">
        <v>20</v>
      </c>
      <c r="B17">
        <v>17643</v>
      </c>
      <c r="C17" t="s">
        <v>426</v>
      </c>
      <c r="D17" t="s">
        <v>427</v>
      </c>
      <c r="E17" t="s">
        <v>8251</v>
      </c>
      <c r="F17" t="s">
        <v>2066</v>
      </c>
      <c r="G17" t="s">
        <v>2067</v>
      </c>
      <c r="H17" t="s">
        <v>2068</v>
      </c>
      <c r="I17" t="s">
        <v>431</v>
      </c>
      <c r="K17" t="s">
        <v>8246</v>
      </c>
      <c r="L17" t="s">
        <v>33</v>
      </c>
      <c r="M17" t="s">
        <v>432</v>
      </c>
    </row>
    <row r="18" spans="1:13" x14ac:dyDescent="0.35">
      <c r="A18" t="s">
        <v>20</v>
      </c>
      <c r="B18">
        <v>17646</v>
      </c>
      <c r="C18" t="s">
        <v>666</v>
      </c>
      <c r="D18" t="s">
        <v>667</v>
      </c>
      <c r="E18" t="s">
        <v>8243</v>
      </c>
      <c r="F18" t="s">
        <v>2069</v>
      </c>
      <c r="G18" t="s">
        <v>2070</v>
      </c>
      <c r="H18" t="s">
        <v>2071</v>
      </c>
      <c r="I18" t="s">
        <v>809</v>
      </c>
      <c r="K18" t="s">
        <v>8249</v>
      </c>
      <c r="L18" t="s">
        <v>33</v>
      </c>
    </row>
    <row r="19" spans="1:13" x14ac:dyDescent="0.35">
      <c r="A19" t="s">
        <v>20</v>
      </c>
      <c r="B19">
        <v>17646</v>
      </c>
      <c r="C19" t="s">
        <v>666</v>
      </c>
      <c r="D19" t="s">
        <v>667</v>
      </c>
      <c r="E19" t="s">
        <v>8245</v>
      </c>
      <c r="F19" t="s">
        <v>2072</v>
      </c>
      <c r="G19" t="s">
        <v>2073</v>
      </c>
      <c r="H19" t="s">
        <v>2074</v>
      </c>
      <c r="I19" t="s">
        <v>809</v>
      </c>
      <c r="K19" t="s">
        <v>8249</v>
      </c>
      <c r="L19" t="s">
        <v>33</v>
      </c>
    </row>
    <row r="20" spans="1:13" x14ac:dyDescent="0.35">
      <c r="A20" t="s">
        <v>20</v>
      </c>
      <c r="B20">
        <v>17646</v>
      </c>
      <c r="C20" t="s">
        <v>666</v>
      </c>
      <c r="D20" t="s">
        <v>667</v>
      </c>
      <c r="E20" t="s">
        <v>8247</v>
      </c>
      <c r="F20" t="s">
        <v>2075</v>
      </c>
      <c r="G20" t="s">
        <v>2076</v>
      </c>
      <c r="H20" t="s">
        <v>2077</v>
      </c>
      <c r="I20" t="s">
        <v>809</v>
      </c>
      <c r="J20" t="s">
        <v>2078</v>
      </c>
      <c r="K20" t="s">
        <v>8249</v>
      </c>
      <c r="L20" t="s">
        <v>33</v>
      </c>
    </row>
    <row r="21" spans="1:13" x14ac:dyDescent="0.35">
      <c r="A21" t="s">
        <v>20</v>
      </c>
      <c r="B21">
        <v>17646</v>
      </c>
      <c r="C21" t="s">
        <v>666</v>
      </c>
      <c r="D21" t="s">
        <v>667</v>
      </c>
      <c r="E21" t="s">
        <v>8248</v>
      </c>
      <c r="F21" t="s">
        <v>2079</v>
      </c>
      <c r="G21" t="s">
        <v>2080</v>
      </c>
      <c r="H21" t="s">
        <v>2081</v>
      </c>
      <c r="I21" t="s">
        <v>671</v>
      </c>
      <c r="K21" t="s">
        <v>8249</v>
      </c>
      <c r="L21" t="s">
        <v>33</v>
      </c>
    </row>
    <row r="22" spans="1:13" x14ac:dyDescent="0.35">
      <c r="A22" t="s">
        <v>20</v>
      </c>
      <c r="B22">
        <v>17646</v>
      </c>
      <c r="C22" t="s">
        <v>666</v>
      </c>
      <c r="D22" t="s">
        <v>667</v>
      </c>
      <c r="E22" t="s">
        <v>8250</v>
      </c>
      <c r="F22" t="s">
        <v>2082</v>
      </c>
      <c r="G22" t="s">
        <v>2083</v>
      </c>
      <c r="H22" t="s">
        <v>2084</v>
      </c>
      <c r="I22" t="s">
        <v>671</v>
      </c>
      <c r="K22" t="s">
        <v>8246</v>
      </c>
      <c r="L22" t="s">
        <v>33</v>
      </c>
    </row>
    <row r="23" spans="1:13" x14ac:dyDescent="0.35">
      <c r="A23" t="s">
        <v>20</v>
      </c>
      <c r="B23">
        <v>17645</v>
      </c>
      <c r="C23" t="s">
        <v>949</v>
      </c>
      <c r="D23" t="s">
        <v>950</v>
      </c>
      <c r="E23" t="s">
        <v>8243</v>
      </c>
      <c r="F23" t="s">
        <v>2085</v>
      </c>
      <c r="G23" t="s">
        <v>2086</v>
      </c>
      <c r="H23" t="s">
        <v>2087</v>
      </c>
      <c r="I23" t="s">
        <v>954</v>
      </c>
      <c r="K23" t="s">
        <v>8246</v>
      </c>
      <c r="L23" t="s">
        <v>33</v>
      </c>
    </row>
    <row r="24" spans="1:13" x14ac:dyDescent="0.35">
      <c r="A24" t="s">
        <v>20</v>
      </c>
      <c r="B24">
        <v>17645</v>
      </c>
      <c r="C24" t="s">
        <v>949</v>
      </c>
      <c r="D24" t="s">
        <v>950</v>
      </c>
      <c r="E24" t="s">
        <v>8245</v>
      </c>
      <c r="F24" t="s">
        <v>2088</v>
      </c>
      <c r="G24" t="s">
        <v>2089</v>
      </c>
      <c r="H24" t="s">
        <v>2090</v>
      </c>
      <c r="I24" t="s">
        <v>954</v>
      </c>
      <c r="K24" t="s">
        <v>8246</v>
      </c>
      <c r="L24" t="s">
        <v>33</v>
      </c>
    </row>
    <row r="25" spans="1:13" x14ac:dyDescent="0.35">
      <c r="A25" t="s">
        <v>20</v>
      </c>
      <c r="B25">
        <v>17645</v>
      </c>
      <c r="C25" t="s">
        <v>949</v>
      </c>
      <c r="D25" t="s">
        <v>950</v>
      </c>
      <c r="E25" t="s">
        <v>8248</v>
      </c>
      <c r="F25" t="s">
        <v>2091</v>
      </c>
      <c r="G25" t="s">
        <v>2092</v>
      </c>
      <c r="H25" t="s">
        <v>2093</v>
      </c>
      <c r="I25" t="s">
        <v>1090</v>
      </c>
      <c r="K25" t="s">
        <v>8256</v>
      </c>
      <c r="L25" t="s">
        <v>33</v>
      </c>
    </row>
    <row r="26" spans="1:13" x14ac:dyDescent="0.35">
      <c r="A26" t="s">
        <v>20</v>
      </c>
      <c r="B26">
        <v>17645</v>
      </c>
      <c r="C26" t="s">
        <v>949</v>
      </c>
      <c r="D26" t="s">
        <v>950</v>
      </c>
      <c r="E26" t="s">
        <v>8250</v>
      </c>
      <c r="F26" t="s">
        <v>2094</v>
      </c>
      <c r="G26" t="s">
        <v>2095</v>
      </c>
      <c r="H26" t="s">
        <v>2096</v>
      </c>
      <c r="I26" t="s">
        <v>1090</v>
      </c>
      <c r="K26" t="s">
        <v>8256</v>
      </c>
      <c r="L26" t="s">
        <v>33</v>
      </c>
    </row>
    <row r="27" spans="1:13" x14ac:dyDescent="0.35">
      <c r="A27" t="s">
        <v>20</v>
      </c>
      <c r="B27">
        <v>17645</v>
      </c>
      <c r="C27" t="s">
        <v>949</v>
      </c>
      <c r="D27" t="s">
        <v>950</v>
      </c>
      <c r="E27" t="s">
        <v>8251</v>
      </c>
      <c r="F27" t="s">
        <v>2097</v>
      </c>
      <c r="G27" t="s">
        <v>2098</v>
      </c>
      <c r="H27" t="s">
        <v>2099</v>
      </c>
      <c r="I27" t="s">
        <v>1090</v>
      </c>
      <c r="J27" t="s">
        <v>2100</v>
      </c>
      <c r="K27" t="s">
        <v>8244</v>
      </c>
      <c r="L27" t="s">
        <v>33</v>
      </c>
    </row>
    <row r="28" spans="1:13" x14ac:dyDescent="0.35">
      <c r="A28" t="s">
        <v>20</v>
      </c>
      <c r="B28">
        <v>17647</v>
      </c>
      <c r="C28" t="s">
        <v>1252</v>
      </c>
      <c r="D28" t="s">
        <v>1253</v>
      </c>
      <c r="E28" t="s">
        <v>8243</v>
      </c>
      <c r="F28" t="s">
        <v>2101</v>
      </c>
      <c r="G28" t="s">
        <v>2102</v>
      </c>
      <c r="H28" t="s">
        <v>2103</v>
      </c>
      <c r="I28" t="s">
        <v>1257</v>
      </c>
      <c r="K28" t="s">
        <v>8246</v>
      </c>
      <c r="L28" t="s">
        <v>33</v>
      </c>
    </row>
    <row r="29" spans="1:13" x14ac:dyDescent="0.35">
      <c r="A29" t="s">
        <v>20</v>
      </c>
      <c r="B29">
        <v>17647</v>
      </c>
      <c r="C29" t="s">
        <v>1252</v>
      </c>
      <c r="D29" t="s">
        <v>1253</v>
      </c>
      <c r="E29" t="s">
        <v>8245</v>
      </c>
      <c r="F29" t="s">
        <v>2104</v>
      </c>
      <c r="G29" t="s">
        <v>2105</v>
      </c>
      <c r="H29" t="s">
        <v>2106</v>
      </c>
      <c r="I29" t="s">
        <v>1257</v>
      </c>
      <c r="K29" t="s">
        <v>8256</v>
      </c>
      <c r="L29" t="s">
        <v>33</v>
      </c>
    </row>
    <row r="30" spans="1:13" x14ac:dyDescent="0.35">
      <c r="A30" t="s">
        <v>20</v>
      </c>
      <c r="B30">
        <v>17647</v>
      </c>
      <c r="C30" t="s">
        <v>1252</v>
      </c>
      <c r="D30" t="s">
        <v>1253</v>
      </c>
      <c r="E30" t="s">
        <v>8247</v>
      </c>
      <c r="F30" t="s">
        <v>2107</v>
      </c>
      <c r="G30" t="s">
        <v>2108</v>
      </c>
      <c r="H30" t="s">
        <v>2109</v>
      </c>
      <c r="I30" t="s">
        <v>1257</v>
      </c>
      <c r="K30" t="s">
        <v>8249</v>
      </c>
      <c r="L30" t="s">
        <v>33</v>
      </c>
    </row>
    <row r="31" spans="1:13" x14ac:dyDescent="0.35">
      <c r="A31" t="s">
        <v>20</v>
      </c>
      <c r="B31">
        <v>17647</v>
      </c>
      <c r="C31" t="s">
        <v>1252</v>
      </c>
      <c r="D31" t="s">
        <v>1253</v>
      </c>
      <c r="E31" t="s">
        <v>8254</v>
      </c>
      <c r="F31" t="s">
        <v>2110</v>
      </c>
      <c r="G31" t="s">
        <v>2111</v>
      </c>
      <c r="H31" t="s">
        <v>2112</v>
      </c>
      <c r="I31" t="s">
        <v>1257</v>
      </c>
      <c r="K31" t="s">
        <v>8249</v>
      </c>
      <c r="L31" t="s">
        <v>33</v>
      </c>
    </row>
    <row r="32" spans="1:13" x14ac:dyDescent="0.35">
      <c r="A32" t="s">
        <v>20</v>
      </c>
      <c r="B32">
        <v>17647</v>
      </c>
      <c r="C32" t="s">
        <v>1252</v>
      </c>
      <c r="D32" t="s">
        <v>1253</v>
      </c>
      <c r="E32" t="s">
        <v>8248</v>
      </c>
      <c r="F32" t="s">
        <v>2113</v>
      </c>
      <c r="G32" t="s">
        <v>2114</v>
      </c>
      <c r="H32" t="s">
        <v>2115</v>
      </c>
      <c r="I32" t="s">
        <v>1395</v>
      </c>
      <c r="K32" t="s">
        <v>54</v>
      </c>
      <c r="L32" t="s">
        <v>33</v>
      </c>
    </row>
    <row r="33" spans="1:12" x14ac:dyDescent="0.35">
      <c r="A33" t="s">
        <v>20</v>
      </c>
      <c r="B33">
        <v>17647</v>
      </c>
      <c r="C33" t="s">
        <v>1252</v>
      </c>
      <c r="D33" t="s">
        <v>1253</v>
      </c>
      <c r="E33" t="s">
        <v>8250</v>
      </c>
      <c r="F33" t="s">
        <v>2116</v>
      </c>
      <c r="G33" t="s">
        <v>2117</v>
      </c>
      <c r="H33" t="s">
        <v>2118</v>
      </c>
      <c r="I33" t="s">
        <v>1395</v>
      </c>
      <c r="K33" t="s">
        <v>8244</v>
      </c>
      <c r="L33" t="s">
        <v>33</v>
      </c>
    </row>
    <row r="34" spans="1:12" x14ac:dyDescent="0.35">
      <c r="A34" t="s">
        <v>20</v>
      </c>
      <c r="B34">
        <v>17643</v>
      </c>
      <c r="C34" t="s">
        <v>426</v>
      </c>
      <c r="D34" t="s">
        <v>427</v>
      </c>
      <c r="E34" t="s">
        <v>8243</v>
      </c>
      <c r="F34" t="s">
        <v>2038</v>
      </c>
      <c r="G34" t="s">
        <v>2039</v>
      </c>
      <c r="H34" t="s">
        <v>2040</v>
      </c>
      <c r="I34" t="s">
        <v>557</v>
      </c>
      <c r="K34" t="s">
        <v>8249</v>
      </c>
      <c r="L34" t="s">
        <v>33</v>
      </c>
    </row>
    <row r="35" spans="1:12" x14ac:dyDescent="0.35">
      <c r="A35" t="s">
        <v>20</v>
      </c>
      <c r="B35">
        <v>17643</v>
      </c>
      <c r="C35" t="s">
        <v>426</v>
      </c>
      <c r="D35" t="s">
        <v>427</v>
      </c>
      <c r="E35" t="s">
        <v>8245</v>
      </c>
      <c r="F35" t="s">
        <v>2041</v>
      </c>
      <c r="G35" t="s">
        <v>2042</v>
      </c>
      <c r="H35" t="s">
        <v>2043</v>
      </c>
      <c r="I35" t="s">
        <v>557</v>
      </c>
      <c r="K35" t="s">
        <v>8244</v>
      </c>
      <c r="L35" t="s">
        <v>33</v>
      </c>
    </row>
    <row r="36" spans="1:12" x14ac:dyDescent="0.35">
      <c r="A36" t="s">
        <v>20</v>
      </c>
      <c r="B36">
        <v>17643</v>
      </c>
      <c r="C36" t="s">
        <v>426</v>
      </c>
      <c r="D36" t="s">
        <v>427</v>
      </c>
      <c r="E36" t="s">
        <v>8247</v>
      </c>
      <c r="F36" t="s">
        <v>2044</v>
      </c>
      <c r="G36" t="s">
        <v>2045</v>
      </c>
      <c r="H36" t="s">
        <v>2046</v>
      </c>
      <c r="I36" t="s">
        <v>557</v>
      </c>
      <c r="K36" t="s">
        <v>8249</v>
      </c>
      <c r="L36" t="s">
        <v>33</v>
      </c>
    </row>
    <row r="37" spans="1:12" x14ac:dyDescent="0.35">
      <c r="A37" t="s">
        <v>20</v>
      </c>
      <c r="B37">
        <v>17643</v>
      </c>
      <c r="C37" t="s">
        <v>426</v>
      </c>
      <c r="D37" t="s">
        <v>427</v>
      </c>
      <c r="E37" t="s">
        <v>8254</v>
      </c>
      <c r="F37" t="s">
        <v>2047</v>
      </c>
      <c r="G37" t="s">
        <v>2048</v>
      </c>
      <c r="H37" t="s">
        <v>2049</v>
      </c>
      <c r="I37" t="s">
        <v>557</v>
      </c>
      <c r="K37" t="s">
        <v>8249</v>
      </c>
      <c r="L37" t="s">
        <v>33</v>
      </c>
    </row>
    <row r="38" spans="1:12" x14ac:dyDescent="0.35">
      <c r="A38" t="s">
        <v>20</v>
      </c>
      <c r="B38">
        <v>17643</v>
      </c>
      <c r="C38" t="s">
        <v>426</v>
      </c>
      <c r="D38" t="s">
        <v>427</v>
      </c>
      <c r="E38" t="s">
        <v>8255</v>
      </c>
      <c r="F38" t="s">
        <v>2051</v>
      </c>
      <c r="G38" t="s">
        <v>2052</v>
      </c>
      <c r="H38" t="s">
        <v>2053</v>
      </c>
      <c r="I38" t="s">
        <v>557</v>
      </c>
      <c r="K38" t="s">
        <v>8256</v>
      </c>
      <c r="L38" t="s">
        <v>33</v>
      </c>
    </row>
    <row r="39" spans="1:12" x14ac:dyDescent="0.35">
      <c r="A39" t="s">
        <v>20</v>
      </c>
      <c r="B39">
        <v>17643</v>
      </c>
      <c r="C39" t="s">
        <v>426</v>
      </c>
      <c r="D39" t="s">
        <v>427</v>
      </c>
      <c r="E39" t="s">
        <v>8257</v>
      </c>
      <c r="F39" t="s">
        <v>2055</v>
      </c>
      <c r="G39" t="s">
        <v>2056</v>
      </c>
      <c r="H39" t="s">
        <v>2057</v>
      </c>
      <c r="I39" t="s">
        <v>557</v>
      </c>
      <c r="K39" t="s">
        <v>8244</v>
      </c>
      <c r="L39" t="s">
        <v>33</v>
      </c>
    </row>
    <row r="40" spans="1:12" x14ac:dyDescent="0.35">
      <c r="A40" t="s">
        <v>20</v>
      </c>
      <c r="B40">
        <v>17643</v>
      </c>
      <c r="C40" t="s">
        <v>426</v>
      </c>
      <c r="D40" t="s">
        <v>427</v>
      </c>
      <c r="E40" t="s">
        <v>8248</v>
      </c>
      <c r="F40" t="s">
        <v>2059</v>
      </c>
      <c r="G40" t="s">
        <v>2060</v>
      </c>
      <c r="H40" t="s">
        <v>2061</v>
      </c>
      <c r="I40" t="s">
        <v>431</v>
      </c>
      <c r="K40" t="s">
        <v>8244</v>
      </c>
      <c r="L40" t="s">
        <v>33</v>
      </c>
    </row>
    <row r="41" spans="1:12" x14ac:dyDescent="0.35">
      <c r="A41" t="s">
        <v>20</v>
      </c>
      <c r="B41">
        <v>17643</v>
      </c>
      <c r="C41" t="s">
        <v>426</v>
      </c>
      <c r="D41" t="s">
        <v>427</v>
      </c>
      <c r="E41" t="s">
        <v>8250</v>
      </c>
      <c r="F41" t="s">
        <v>2062</v>
      </c>
      <c r="G41" t="s">
        <v>2063</v>
      </c>
      <c r="H41" t="s">
        <v>2064</v>
      </c>
      <c r="I41" t="s">
        <v>431</v>
      </c>
      <c r="K41" t="s">
        <v>8249</v>
      </c>
      <c r="L41" t="s">
        <v>33</v>
      </c>
    </row>
    <row r="42" spans="1:12" x14ac:dyDescent="0.35">
      <c r="A42" t="s">
        <v>20</v>
      </c>
      <c r="B42">
        <v>17643</v>
      </c>
      <c r="C42" t="s">
        <v>426</v>
      </c>
      <c r="D42" t="s">
        <v>427</v>
      </c>
      <c r="E42" t="s">
        <v>8251</v>
      </c>
      <c r="F42" t="s">
        <v>2066</v>
      </c>
      <c r="G42" t="s">
        <v>2067</v>
      </c>
      <c r="H42" t="s">
        <v>2068</v>
      </c>
      <c r="I42" t="s">
        <v>431</v>
      </c>
      <c r="K42" t="s">
        <v>8246</v>
      </c>
      <c r="L42" t="s">
        <v>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I2" sqref="I2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1529</v>
      </c>
      <c r="M1" t="s">
        <v>1530</v>
      </c>
      <c r="N1" t="s">
        <v>1531</v>
      </c>
      <c r="O1" t="s">
        <v>1532</v>
      </c>
      <c r="P1" t="s">
        <v>15</v>
      </c>
      <c r="Q1" t="s">
        <v>19</v>
      </c>
    </row>
    <row r="2" spans="1:17" x14ac:dyDescent="0.35">
      <c r="A2" t="s">
        <v>20</v>
      </c>
      <c r="B2">
        <v>17644</v>
      </c>
      <c r="C2" t="s">
        <v>21</v>
      </c>
      <c r="D2" t="s">
        <v>22</v>
      </c>
      <c r="E2" t="s">
        <v>8258</v>
      </c>
      <c r="F2" t="s">
        <v>8259</v>
      </c>
      <c r="G2" t="s">
        <v>8260</v>
      </c>
      <c r="H2" t="s">
        <v>8261</v>
      </c>
      <c r="I2" t="s">
        <v>27</v>
      </c>
      <c r="J2" t="s">
        <v>1537</v>
      </c>
      <c r="K2" t="s">
        <v>8262</v>
      </c>
      <c r="P2" t="s">
        <v>33</v>
      </c>
    </row>
    <row r="3" spans="1:17" x14ac:dyDescent="0.35">
      <c r="A3" t="s">
        <v>20</v>
      </c>
      <c r="B3">
        <v>17644</v>
      </c>
      <c r="C3" t="s">
        <v>21</v>
      </c>
      <c r="D3" t="s">
        <v>22</v>
      </c>
      <c r="E3" t="s">
        <v>8263</v>
      </c>
      <c r="F3" t="s">
        <v>8264</v>
      </c>
      <c r="G3" t="s">
        <v>8265</v>
      </c>
      <c r="H3" t="s">
        <v>8266</v>
      </c>
      <c r="I3" t="s">
        <v>238</v>
      </c>
      <c r="K3" t="s">
        <v>8262</v>
      </c>
      <c r="P3" t="s">
        <v>33</v>
      </c>
    </row>
    <row r="4" spans="1:17" x14ac:dyDescent="0.35">
      <c r="A4" t="s">
        <v>20</v>
      </c>
      <c r="B4">
        <v>17643</v>
      </c>
      <c r="C4" t="s">
        <v>426</v>
      </c>
      <c r="D4" t="s">
        <v>427</v>
      </c>
      <c r="E4" t="s">
        <v>8258</v>
      </c>
      <c r="F4" t="s">
        <v>8267</v>
      </c>
      <c r="G4" t="s">
        <v>8268</v>
      </c>
      <c r="H4" t="s">
        <v>8269</v>
      </c>
      <c r="I4" t="s">
        <v>557</v>
      </c>
      <c r="J4" t="s">
        <v>1568</v>
      </c>
      <c r="K4" t="s">
        <v>8262</v>
      </c>
      <c r="P4" t="s">
        <v>33</v>
      </c>
      <c r="Q4" t="s">
        <v>432</v>
      </c>
    </row>
    <row r="5" spans="1:17" x14ac:dyDescent="0.35">
      <c r="A5" t="s">
        <v>20</v>
      </c>
      <c r="B5">
        <v>17646</v>
      </c>
      <c r="C5" t="s">
        <v>666</v>
      </c>
      <c r="D5" t="s">
        <v>667</v>
      </c>
      <c r="E5" t="s">
        <v>8258</v>
      </c>
      <c r="F5" t="s">
        <v>8270</v>
      </c>
      <c r="G5" t="s">
        <v>8271</v>
      </c>
      <c r="H5" t="s">
        <v>8272</v>
      </c>
      <c r="I5" t="s">
        <v>809</v>
      </c>
      <c r="K5" t="s">
        <v>8273</v>
      </c>
      <c r="P5" t="s">
        <v>33</v>
      </c>
    </row>
    <row r="6" spans="1:17" x14ac:dyDescent="0.35">
      <c r="A6" t="s">
        <v>20</v>
      </c>
      <c r="B6">
        <v>17646</v>
      </c>
      <c r="C6" t="s">
        <v>666</v>
      </c>
      <c r="D6" t="s">
        <v>667</v>
      </c>
      <c r="E6" t="s">
        <v>8274</v>
      </c>
      <c r="F6" t="s">
        <v>8275</v>
      </c>
      <c r="G6" t="s">
        <v>8276</v>
      </c>
      <c r="H6" t="s">
        <v>8277</v>
      </c>
      <c r="I6" t="s">
        <v>809</v>
      </c>
      <c r="K6" t="s">
        <v>8262</v>
      </c>
      <c r="P6" t="s">
        <v>33</v>
      </c>
    </row>
    <row r="7" spans="1:17" x14ac:dyDescent="0.35">
      <c r="A7" t="s">
        <v>20</v>
      </c>
      <c r="B7">
        <v>17646</v>
      </c>
      <c r="C7" t="s">
        <v>666</v>
      </c>
      <c r="D7" t="s">
        <v>667</v>
      </c>
      <c r="E7" t="s">
        <v>8263</v>
      </c>
      <c r="F7" t="s">
        <v>8278</v>
      </c>
      <c r="G7" t="s">
        <v>8279</v>
      </c>
      <c r="H7" t="s">
        <v>8280</v>
      </c>
      <c r="I7" t="s">
        <v>671</v>
      </c>
      <c r="K7" t="s">
        <v>8262</v>
      </c>
      <c r="P7" t="s">
        <v>33</v>
      </c>
    </row>
    <row r="8" spans="1:17" x14ac:dyDescent="0.35">
      <c r="A8" t="s">
        <v>20</v>
      </c>
      <c r="B8">
        <v>17645</v>
      </c>
      <c r="C8" t="s">
        <v>949</v>
      </c>
      <c r="D8" t="s">
        <v>950</v>
      </c>
      <c r="E8" t="s">
        <v>8258</v>
      </c>
      <c r="F8" t="s">
        <v>8281</v>
      </c>
      <c r="G8" t="s">
        <v>8282</v>
      </c>
      <c r="H8" t="s">
        <v>8283</v>
      </c>
      <c r="I8" t="s">
        <v>954</v>
      </c>
      <c r="K8" t="s">
        <v>8284</v>
      </c>
      <c r="P8" t="s">
        <v>33</v>
      </c>
    </row>
    <row r="9" spans="1:17" x14ac:dyDescent="0.35">
      <c r="A9" t="s">
        <v>20</v>
      </c>
      <c r="B9">
        <v>17647</v>
      </c>
      <c r="C9" t="s">
        <v>1252</v>
      </c>
      <c r="D9" t="s">
        <v>1253</v>
      </c>
      <c r="E9" t="s">
        <v>8258</v>
      </c>
      <c r="F9" t="s">
        <v>8285</v>
      </c>
      <c r="G9" t="s">
        <v>8286</v>
      </c>
      <c r="H9" t="s">
        <v>8287</v>
      </c>
      <c r="I9" t="s">
        <v>1257</v>
      </c>
      <c r="K9" t="s">
        <v>8273</v>
      </c>
      <c r="P9" t="s">
        <v>33</v>
      </c>
    </row>
    <row r="10" spans="1:17" x14ac:dyDescent="0.35">
      <c r="A10" t="s">
        <v>20</v>
      </c>
      <c r="B10">
        <v>17647</v>
      </c>
      <c r="C10" t="s">
        <v>1252</v>
      </c>
      <c r="D10" t="s">
        <v>1253</v>
      </c>
      <c r="E10" t="s">
        <v>8274</v>
      </c>
      <c r="F10" t="s">
        <v>8288</v>
      </c>
      <c r="G10" t="s">
        <v>8289</v>
      </c>
      <c r="H10" t="s">
        <v>8290</v>
      </c>
      <c r="I10" t="s">
        <v>1257</v>
      </c>
      <c r="J10" t="s">
        <v>1607</v>
      </c>
      <c r="K10" t="s">
        <v>8262</v>
      </c>
      <c r="P10" t="s">
        <v>33</v>
      </c>
    </row>
    <row r="11" spans="1:17" x14ac:dyDescent="0.35">
      <c r="A11" t="s">
        <v>20</v>
      </c>
      <c r="B11">
        <v>17647</v>
      </c>
      <c r="C11" t="s">
        <v>1252</v>
      </c>
      <c r="D11" t="s">
        <v>1253</v>
      </c>
      <c r="E11" t="s">
        <v>8291</v>
      </c>
      <c r="F11" t="s">
        <v>8292</v>
      </c>
      <c r="G11" t="s">
        <v>8293</v>
      </c>
      <c r="H11" t="s">
        <v>8294</v>
      </c>
      <c r="I11" t="s">
        <v>1257</v>
      </c>
      <c r="J11" t="s">
        <v>1537</v>
      </c>
      <c r="K11" t="s">
        <v>8262</v>
      </c>
      <c r="P11" t="s">
        <v>33</v>
      </c>
    </row>
    <row r="12" spans="1:17" x14ac:dyDescent="0.35">
      <c r="A12" t="s">
        <v>20</v>
      </c>
      <c r="B12">
        <v>17647</v>
      </c>
      <c r="C12" t="s">
        <v>1252</v>
      </c>
      <c r="D12" t="s">
        <v>1253</v>
      </c>
      <c r="E12" t="s">
        <v>8263</v>
      </c>
      <c r="F12" t="s">
        <v>8295</v>
      </c>
      <c r="G12" t="s">
        <v>8296</v>
      </c>
      <c r="H12" t="s">
        <v>8297</v>
      </c>
      <c r="I12" t="s">
        <v>1395</v>
      </c>
      <c r="J12" t="s">
        <v>1670</v>
      </c>
      <c r="K12" t="s">
        <v>8262</v>
      </c>
      <c r="P12" t="s">
        <v>33</v>
      </c>
    </row>
    <row r="13" spans="1:17" x14ac:dyDescent="0.35">
      <c r="A13" t="s">
        <v>20</v>
      </c>
      <c r="B13">
        <v>17647</v>
      </c>
      <c r="C13" t="s">
        <v>1252</v>
      </c>
      <c r="D13" t="s">
        <v>1253</v>
      </c>
      <c r="E13" t="s">
        <v>8298</v>
      </c>
      <c r="F13" t="s">
        <v>8299</v>
      </c>
      <c r="G13" t="s">
        <v>8300</v>
      </c>
      <c r="H13" t="s">
        <v>8301</v>
      </c>
      <c r="I13" t="s">
        <v>1395</v>
      </c>
      <c r="K13" t="s">
        <v>8262</v>
      </c>
      <c r="P13" t="s">
        <v>33</v>
      </c>
    </row>
    <row r="14" spans="1:17" x14ac:dyDescent="0.35">
      <c r="A14" t="s">
        <v>20</v>
      </c>
      <c r="B14">
        <v>17643</v>
      </c>
      <c r="C14" t="s">
        <v>426</v>
      </c>
      <c r="D14" t="s">
        <v>427</v>
      </c>
      <c r="E14" t="s">
        <v>8258</v>
      </c>
      <c r="F14" t="s">
        <v>8267</v>
      </c>
      <c r="G14" t="s">
        <v>8268</v>
      </c>
      <c r="H14" t="s">
        <v>8269</v>
      </c>
      <c r="I14" t="s">
        <v>557</v>
      </c>
      <c r="J14" t="s">
        <v>1568</v>
      </c>
      <c r="K14" t="s">
        <v>8262</v>
      </c>
      <c r="P14" t="s">
        <v>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workbookViewId="0">
      <selection activeCell="I2" sqref="I2:I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2009</v>
      </c>
      <c r="M1" t="s">
        <v>2010</v>
      </c>
      <c r="N1" t="s">
        <v>15</v>
      </c>
      <c r="O1" t="s">
        <v>19</v>
      </c>
    </row>
    <row r="2" spans="1:15" x14ac:dyDescent="0.35">
      <c r="A2" t="s">
        <v>20</v>
      </c>
      <c r="B2">
        <v>17644</v>
      </c>
      <c r="C2" t="s">
        <v>21</v>
      </c>
      <c r="D2" t="s">
        <v>22</v>
      </c>
      <c r="E2" t="s">
        <v>8302</v>
      </c>
      <c r="F2" t="s">
        <v>2016</v>
      </c>
      <c r="G2" t="s">
        <v>2017</v>
      </c>
      <c r="H2" t="s">
        <v>2018</v>
      </c>
      <c r="I2" t="s">
        <v>27</v>
      </c>
      <c r="K2" t="s">
        <v>31</v>
      </c>
      <c r="N2" t="s">
        <v>33</v>
      </c>
    </row>
    <row r="3" spans="1:15" x14ac:dyDescent="0.35">
      <c r="A3" t="s">
        <v>20</v>
      </c>
      <c r="B3">
        <v>17644</v>
      </c>
      <c r="C3" t="s">
        <v>21</v>
      </c>
      <c r="D3" t="s">
        <v>22</v>
      </c>
      <c r="E3" t="s">
        <v>8303</v>
      </c>
      <c r="F3" t="s">
        <v>2020</v>
      </c>
      <c r="G3" t="s">
        <v>2021</v>
      </c>
      <c r="H3" t="s">
        <v>2022</v>
      </c>
      <c r="I3" t="s">
        <v>27</v>
      </c>
      <c r="K3" t="s">
        <v>31</v>
      </c>
      <c r="N3" t="s">
        <v>33</v>
      </c>
    </row>
    <row r="4" spans="1:15" x14ac:dyDescent="0.35">
      <c r="A4" t="s">
        <v>20</v>
      </c>
      <c r="B4">
        <v>17644</v>
      </c>
      <c r="C4" t="s">
        <v>21</v>
      </c>
      <c r="D4" t="s">
        <v>22</v>
      </c>
      <c r="E4" t="s">
        <v>8304</v>
      </c>
      <c r="F4" t="s">
        <v>8305</v>
      </c>
      <c r="G4" t="s">
        <v>8306</v>
      </c>
      <c r="H4" t="s">
        <v>8307</v>
      </c>
      <c r="I4" t="s">
        <v>27</v>
      </c>
      <c r="K4" t="s">
        <v>8308</v>
      </c>
      <c r="N4" t="s">
        <v>33</v>
      </c>
    </row>
    <row r="5" spans="1:15" x14ac:dyDescent="0.35">
      <c r="A5" t="s">
        <v>20</v>
      </c>
      <c r="B5">
        <v>17644</v>
      </c>
      <c r="C5" t="s">
        <v>21</v>
      </c>
      <c r="D5" t="s">
        <v>22</v>
      </c>
      <c r="E5" t="s">
        <v>8309</v>
      </c>
      <c r="F5" t="s">
        <v>8310</v>
      </c>
      <c r="G5" t="s">
        <v>8311</v>
      </c>
      <c r="H5" t="s">
        <v>8312</v>
      </c>
      <c r="I5" t="s">
        <v>27</v>
      </c>
      <c r="K5" t="s">
        <v>8308</v>
      </c>
      <c r="N5" t="s">
        <v>33</v>
      </c>
    </row>
    <row r="6" spans="1:15" x14ac:dyDescent="0.35">
      <c r="A6" t="s">
        <v>20</v>
      </c>
      <c r="B6">
        <v>17644</v>
      </c>
      <c r="C6" t="s">
        <v>21</v>
      </c>
      <c r="D6" t="s">
        <v>22</v>
      </c>
      <c r="E6" t="s">
        <v>8313</v>
      </c>
      <c r="F6" t="s">
        <v>8314</v>
      </c>
      <c r="G6" t="s">
        <v>8315</v>
      </c>
      <c r="H6" t="s">
        <v>8316</v>
      </c>
      <c r="I6" t="s">
        <v>27</v>
      </c>
      <c r="K6" t="s">
        <v>8308</v>
      </c>
      <c r="N6" t="s">
        <v>33</v>
      </c>
    </row>
    <row r="7" spans="1:15" x14ac:dyDescent="0.35">
      <c r="A7" t="s">
        <v>20</v>
      </c>
      <c r="B7">
        <v>17644</v>
      </c>
      <c r="C7" t="s">
        <v>21</v>
      </c>
      <c r="D7" t="s">
        <v>22</v>
      </c>
      <c r="E7" t="s">
        <v>8317</v>
      </c>
      <c r="F7" t="s">
        <v>2024</v>
      </c>
      <c r="G7" t="s">
        <v>2025</v>
      </c>
      <c r="H7" t="s">
        <v>2026</v>
      </c>
      <c r="I7" t="s">
        <v>27</v>
      </c>
      <c r="K7" t="s">
        <v>31</v>
      </c>
      <c r="N7" t="s">
        <v>33</v>
      </c>
    </row>
    <row r="8" spans="1:15" x14ac:dyDescent="0.35">
      <c r="A8" t="s">
        <v>20</v>
      </c>
      <c r="B8">
        <v>17644</v>
      </c>
      <c r="C8" t="s">
        <v>21</v>
      </c>
      <c r="D8" t="s">
        <v>22</v>
      </c>
      <c r="E8" t="s">
        <v>8318</v>
      </c>
      <c r="F8" t="s">
        <v>2012</v>
      </c>
      <c r="G8" t="s">
        <v>2013</v>
      </c>
      <c r="H8" t="s">
        <v>2014</v>
      </c>
      <c r="I8" t="s">
        <v>238</v>
      </c>
      <c r="K8" t="s">
        <v>31</v>
      </c>
      <c r="N8" t="s">
        <v>33</v>
      </c>
    </row>
    <row r="9" spans="1:15" x14ac:dyDescent="0.35">
      <c r="A9" t="s">
        <v>20</v>
      </c>
      <c r="B9">
        <v>17644</v>
      </c>
      <c r="C9" t="s">
        <v>21</v>
      </c>
      <c r="D9" t="s">
        <v>22</v>
      </c>
      <c r="E9" t="s">
        <v>8319</v>
      </c>
      <c r="F9" t="s">
        <v>2032</v>
      </c>
      <c r="G9" t="s">
        <v>2033</v>
      </c>
      <c r="H9" t="s">
        <v>2034</v>
      </c>
      <c r="I9" t="s">
        <v>238</v>
      </c>
      <c r="K9" t="s">
        <v>31</v>
      </c>
      <c r="N9" t="s">
        <v>33</v>
      </c>
    </row>
    <row r="10" spans="1:15" x14ac:dyDescent="0.35">
      <c r="A10" t="s">
        <v>20</v>
      </c>
      <c r="B10">
        <v>17644</v>
      </c>
      <c r="C10" t="s">
        <v>21</v>
      </c>
      <c r="D10" t="s">
        <v>22</v>
      </c>
      <c r="E10" t="s">
        <v>8320</v>
      </c>
      <c r="F10" t="s">
        <v>2028</v>
      </c>
      <c r="G10" t="s">
        <v>2029</v>
      </c>
      <c r="H10" t="s">
        <v>2030</v>
      </c>
      <c r="I10" t="s">
        <v>238</v>
      </c>
      <c r="K10" t="s">
        <v>31</v>
      </c>
      <c r="N10" t="s">
        <v>33</v>
      </c>
    </row>
    <row r="11" spans="1:15" x14ac:dyDescent="0.35">
      <c r="A11" t="s">
        <v>20</v>
      </c>
      <c r="B11">
        <v>17644</v>
      </c>
      <c r="C11" t="s">
        <v>21</v>
      </c>
      <c r="D11" t="s">
        <v>22</v>
      </c>
      <c r="E11" t="s">
        <v>8321</v>
      </c>
      <c r="F11" t="s">
        <v>8322</v>
      </c>
      <c r="G11" t="s">
        <v>8323</v>
      </c>
      <c r="H11" t="s">
        <v>8324</v>
      </c>
      <c r="I11" t="s">
        <v>238</v>
      </c>
      <c r="K11" t="s">
        <v>8308</v>
      </c>
      <c r="N11" t="s">
        <v>33</v>
      </c>
    </row>
    <row r="12" spans="1:15" x14ac:dyDescent="0.35">
      <c r="A12" t="s">
        <v>20</v>
      </c>
      <c r="B12">
        <v>17644</v>
      </c>
      <c r="C12" t="s">
        <v>21</v>
      </c>
      <c r="D12" t="s">
        <v>22</v>
      </c>
      <c r="E12" t="s">
        <v>8325</v>
      </c>
      <c r="F12" t="s">
        <v>8326</v>
      </c>
      <c r="G12" t="s">
        <v>8327</v>
      </c>
      <c r="H12" t="s">
        <v>8328</v>
      </c>
      <c r="I12" t="s">
        <v>238</v>
      </c>
      <c r="K12" t="s">
        <v>8308</v>
      </c>
      <c r="N12" t="s">
        <v>33</v>
      </c>
    </row>
    <row r="13" spans="1:15" x14ac:dyDescent="0.35">
      <c r="A13" t="s">
        <v>20</v>
      </c>
      <c r="B13">
        <v>17644</v>
      </c>
      <c r="C13" t="s">
        <v>21</v>
      </c>
      <c r="D13" t="s">
        <v>22</v>
      </c>
      <c r="E13" t="s">
        <v>8329</v>
      </c>
      <c r="F13" t="s">
        <v>8330</v>
      </c>
      <c r="G13" t="s">
        <v>8331</v>
      </c>
      <c r="H13" t="s">
        <v>8332</v>
      </c>
      <c r="I13" t="s">
        <v>238</v>
      </c>
      <c r="K13" t="s">
        <v>8308</v>
      </c>
      <c r="N13" t="s">
        <v>33</v>
      </c>
    </row>
    <row r="14" spans="1:15" x14ac:dyDescent="0.35">
      <c r="A14" t="s">
        <v>20</v>
      </c>
      <c r="B14">
        <v>17644</v>
      </c>
      <c r="C14" t="s">
        <v>21</v>
      </c>
      <c r="D14" t="s">
        <v>22</v>
      </c>
      <c r="E14" t="s">
        <v>8333</v>
      </c>
      <c r="F14" t="s">
        <v>8334</v>
      </c>
      <c r="G14" t="s">
        <v>8335</v>
      </c>
      <c r="H14" t="s">
        <v>8336</v>
      </c>
      <c r="I14" t="s">
        <v>238</v>
      </c>
      <c r="K14" t="s">
        <v>8337</v>
      </c>
      <c r="N14" t="s">
        <v>33</v>
      </c>
    </row>
    <row r="15" spans="1:15" x14ac:dyDescent="0.35">
      <c r="A15" t="s">
        <v>20</v>
      </c>
      <c r="B15">
        <v>17644</v>
      </c>
      <c r="C15" t="s">
        <v>21</v>
      </c>
      <c r="D15" t="s">
        <v>22</v>
      </c>
      <c r="E15" t="s">
        <v>8338</v>
      </c>
      <c r="F15" t="s">
        <v>2035</v>
      </c>
      <c r="G15" t="s">
        <v>2036</v>
      </c>
      <c r="H15" t="s">
        <v>2037</v>
      </c>
      <c r="I15" t="s">
        <v>238</v>
      </c>
      <c r="K15" t="s">
        <v>31</v>
      </c>
      <c r="N15" t="s">
        <v>33</v>
      </c>
    </row>
    <row r="16" spans="1:15" x14ac:dyDescent="0.35">
      <c r="A16" t="s">
        <v>20</v>
      </c>
      <c r="B16">
        <v>17643</v>
      </c>
      <c r="C16" t="s">
        <v>426</v>
      </c>
      <c r="D16" t="s">
        <v>427</v>
      </c>
      <c r="E16" t="s">
        <v>8302</v>
      </c>
      <c r="F16" t="s">
        <v>2038</v>
      </c>
      <c r="G16" t="s">
        <v>2039</v>
      </c>
      <c r="H16" t="s">
        <v>2040</v>
      </c>
      <c r="I16" t="s">
        <v>557</v>
      </c>
      <c r="K16" t="s">
        <v>31</v>
      </c>
      <c r="N16" t="s">
        <v>33</v>
      </c>
      <c r="O16" t="s">
        <v>432</v>
      </c>
    </row>
    <row r="17" spans="1:15" x14ac:dyDescent="0.35">
      <c r="A17" t="s">
        <v>20</v>
      </c>
      <c r="B17">
        <v>17643</v>
      </c>
      <c r="C17" t="s">
        <v>426</v>
      </c>
      <c r="D17" t="s">
        <v>427</v>
      </c>
      <c r="E17" t="s">
        <v>8303</v>
      </c>
      <c r="F17" t="s">
        <v>2041</v>
      </c>
      <c r="G17" t="s">
        <v>2042</v>
      </c>
      <c r="H17" t="s">
        <v>2043</v>
      </c>
      <c r="I17" t="s">
        <v>557</v>
      </c>
      <c r="K17" t="s">
        <v>31</v>
      </c>
      <c r="N17" t="s">
        <v>33</v>
      </c>
      <c r="O17" t="s">
        <v>432</v>
      </c>
    </row>
    <row r="18" spans="1:15" x14ac:dyDescent="0.35">
      <c r="A18" t="s">
        <v>20</v>
      </c>
      <c r="B18">
        <v>17643</v>
      </c>
      <c r="C18" t="s">
        <v>426</v>
      </c>
      <c r="D18" t="s">
        <v>427</v>
      </c>
      <c r="E18" t="s">
        <v>8304</v>
      </c>
      <c r="F18" t="s">
        <v>2044</v>
      </c>
      <c r="G18" t="s">
        <v>2045</v>
      </c>
      <c r="H18" t="s">
        <v>2046</v>
      </c>
      <c r="I18" t="s">
        <v>557</v>
      </c>
      <c r="K18" t="s">
        <v>31</v>
      </c>
      <c r="N18" t="s">
        <v>33</v>
      </c>
      <c r="O18" t="s">
        <v>432</v>
      </c>
    </row>
    <row r="19" spans="1:15" x14ac:dyDescent="0.35">
      <c r="A19" t="s">
        <v>20</v>
      </c>
      <c r="B19">
        <v>17643</v>
      </c>
      <c r="C19" t="s">
        <v>426</v>
      </c>
      <c r="D19" t="s">
        <v>427</v>
      </c>
      <c r="E19" t="s">
        <v>8309</v>
      </c>
      <c r="F19" t="s">
        <v>8339</v>
      </c>
      <c r="G19" t="s">
        <v>8340</v>
      </c>
      <c r="H19" t="s">
        <v>8341</v>
      </c>
      <c r="I19" t="s">
        <v>557</v>
      </c>
      <c r="K19" t="s">
        <v>8308</v>
      </c>
      <c r="N19" t="s">
        <v>33</v>
      </c>
      <c r="O19" t="s">
        <v>432</v>
      </c>
    </row>
    <row r="20" spans="1:15" x14ac:dyDescent="0.35">
      <c r="A20" t="s">
        <v>20</v>
      </c>
      <c r="B20">
        <v>17643</v>
      </c>
      <c r="C20" t="s">
        <v>426</v>
      </c>
      <c r="D20" t="s">
        <v>427</v>
      </c>
      <c r="E20" t="s">
        <v>8313</v>
      </c>
      <c r="F20" t="s">
        <v>2047</v>
      </c>
      <c r="G20" t="s">
        <v>2048</v>
      </c>
      <c r="H20" t="s">
        <v>2049</v>
      </c>
      <c r="I20" t="s">
        <v>557</v>
      </c>
      <c r="K20" t="s">
        <v>31</v>
      </c>
      <c r="N20" t="s">
        <v>33</v>
      </c>
      <c r="O20" t="s">
        <v>432</v>
      </c>
    </row>
    <row r="21" spans="1:15" x14ac:dyDescent="0.35">
      <c r="A21" t="s">
        <v>20</v>
      </c>
      <c r="B21">
        <v>17643</v>
      </c>
      <c r="C21" t="s">
        <v>426</v>
      </c>
      <c r="D21" t="s">
        <v>427</v>
      </c>
      <c r="E21" t="s">
        <v>8317</v>
      </c>
      <c r="F21" t="s">
        <v>3396</v>
      </c>
      <c r="G21" t="s">
        <v>8342</v>
      </c>
      <c r="H21" t="s">
        <v>8343</v>
      </c>
      <c r="I21" t="s">
        <v>557</v>
      </c>
      <c r="K21" t="s">
        <v>8308</v>
      </c>
      <c r="N21" t="s">
        <v>33</v>
      </c>
      <c r="O21" t="s">
        <v>432</v>
      </c>
    </row>
    <row r="22" spans="1:15" x14ac:dyDescent="0.35">
      <c r="A22" t="s">
        <v>20</v>
      </c>
      <c r="B22">
        <v>17643</v>
      </c>
      <c r="C22" t="s">
        <v>426</v>
      </c>
      <c r="D22" t="s">
        <v>427</v>
      </c>
      <c r="E22" t="s">
        <v>8344</v>
      </c>
      <c r="F22" t="s">
        <v>2051</v>
      </c>
      <c r="G22" t="s">
        <v>2052</v>
      </c>
      <c r="H22" t="s">
        <v>2053</v>
      </c>
      <c r="I22" t="s">
        <v>557</v>
      </c>
      <c r="K22" t="s">
        <v>31</v>
      </c>
      <c r="N22" t="s">
        <v>33</v>
      </c>
      <c r="O22" t="s">
        <v>432</v>
      </c>
    </row>
    <row r="23" spans="1:15" x14ac:dyDescent="0.35">
      <c r="A23" t="s">
        <v>20</v>
      </c>
      <c r="B23">
        <v>17643</v>
      </c>
      <c r="C23" t="s">
        <v>426</v>
      </c>
      <c r="D23" t="s">
        <v>427</v>
      </c>
      <c r="E23" t="s">
        <v>8345</v>
      </c>
      <c r="F23" t="s">
        <v>2055</v>
      </c>
      <c r="G23" t="s">
        <v>2056</v>
      </c>
      <c r="H23" t="s">
        <v>2057</v>
      </c>
      <c r="I23" t="s">
        <v>557</v>
      </c>
      <c r="K23" t="s">
        <v>31</v>
      </c>
      <c r="N23" t="s">
        <v>33</v>
      </c>
      <c r="O23" t="s">
        <v>432</v>
      </c>
    </row>
    <row r="24" spans="1:15" x14ac:dyDescent="0.35">
      <c r="A24" t="s">
        <v>20</v>
      </c>
      <c r="B24">
        <v>17643</v>
      </c>
      <c r="C24" t="s">
        <v>426</v>
      </c>
      <c r="D24" t="s">
        <v>427</v>
      </c>
      <c r="E24" t="s">
        <v>8346</v>
      </c>
      <c r="F24" t="s">
        <v>3411</v>
      </c>
      <c r="G24" t="s">
        <v>8347</v>
      </c>
      <c r="H24" t="s">
        <v>8348</v>
      </c>
      <c r="I24" t="s">
        <v>557</v>
      </c>
      <c r="K24" t="s">
        <v>8308</v>
      </c>
      <c r="N24" t="s">
        <v>33</v>
      </c>
      <c r="O24" t="s">
        <v>432</v>
      </c>
    </row>
    <row r="25" spans="1:15" x14ac:dyDescent="0.35">
      <c r="A25" t="s">
        <v>20</v>
      </c>
      <c r="B25">
        <v>17643</v>
      </c>
      <c r="C25" t="s">
        <v>426</v>
      </c>
      <c r="D25" t="s">
        <v>427</v>
      </c>
      <c r="E25" t="s">
        <v>8318</v>
      </c>
      <c r="F25" t="s">
        <v>2059</v>
      </c>
      <c r="G25" t="s">
        <v>2060</v>
      </c>
      <c r="H25" t="s">
        <v>2061</v>
      </c>
      <c r="I25" t="s">
        <v>431</v>
      </c>
      <c r="K25" t="s">
        <v>31</v>
      </c>
      <c r="N25" t="s">
        <v>33</v>
      </c>
      <c r="O25" t="s">
        <v>432</v>
      </c>
    </row>
    <row r="26" spans="1:15" x14ac:dyDescent="0.35">
      <c r="A26" t="s">
        <v>20</v>
      </c>
      <c r="B26">
        <v>17643</v>
      </c>
      <c r="C26" t="s">
        <v>426</v>
      </c>
      <c r="D26" t="s">
        <v>427</v>
      </c>
      <c r="E26" t="s">
        <v>8319</v>
      </c>
      <c r="F26" t="s">
        <v>2062</v>
      </c>
      <c r="G26" t="s">
        <v>2063</v>
      </c>
      <c r="H26" t="s">
        <v>2064</v>
      </c>
      <c r="I26" t="s">
        <v>431</v>
      </c>
      <c r="K26" t="s">
        <v>31</v>
      </c>
      <c r="N26" t="s">
        <v>33</v>
      </c>
      <c r="O26" t="s">
        <v>432</v>
      </c>
    </row>
    <row r="27" spans="1:15" x14ac:dyDescent="0.35">
      <c r="A27" t="s">
        <v>20</v>
      </c>
      <c r="B27">
        <v>17643</v>
      </c>
      <c r="C27" t="s">
        <v>426</v>
      </c>
      <c r="D27" t="s">
        <v>427</v>
      </c>
      <c r="E27" t="s">
        <v>8320</v>
      </c>
      <c r="F27" t="s">
        <v>8349</v>
      </c>
      <c r="G27" t="s">
        <v>8350</v>
      </c>
      <c r="H27" t="s">
        <v>8351</v>
      </c>
      <c r="I27" t="s">
        <v>431</v>
      </c>
      <c r="K27" t="s">
        <v>8308</v>
      </c>
      <c r="N27" t="s">
        <v>33</v>
      </c>
      <c r="O27" t="s">
        <v>432</v>
      </c>
    </row>
    <row r="28" spans="1:15" x14ac:dyDescent="0.35">
      <c r="A28" t="s">
        <v>20</v>
      </c>
      <c r="B28">
        <v>17643</v>
      </c>
      <c r="C28" t="s">
        <v>426</v>
      </c>
      <c r="D28" t="s">
        <v>427</v>
      </c>
      <c r="E28" t="s">
        <v>8321</v>
      </c>
      <c r="F28" t="s">
        <v>8352</v>
      </c>
      <c r="G28" t="s">
        <v>8353</v>
      </c>
      <c r="H28" t="s">
        <v>8354</v>
      </c>
      <c r="I28" t="s">
        <v>431</v>
      </c>
      <c r="K28" t="s">
        <v>8308</v>
      </c>
      <c r="N28" t="s">
        <v>33</v>
      </c>
      <c r="O28" t="s">
        <v>432</v>
      </c>
    </row>
    <row r="29" spans="1:15" x14ac:dyDescent="0.35">
      <c r="A29" t="s">
        <v>20</v>
      </c>
      <c r="B29">
        <v>17643</v>
      </c>
      <c r="C29" t="s">
        <v>426</v>
      </c>
      <c r="D29" t="s">
        <v>427</v>
      </c>
      <c r="E29" t="s">
        <v>8325</v>
      </c>
      <c r="F29" t="s">
        <v>8355</v>
      </c>
      <c r="G29" t="s">
        <v>8356</v>
      </c>
      <c r="H29" t="s">
        <v>8357</v>
      </c>
      <c r="I29" t="s">
        <v>431</v>
      </c>
      <c r="K29" t="s">
        <v>8308</v>
      </c>
      <c r="N29" t="s">
        <v>33</v>
      </c>
      <c r="O29" t="s">
        <v>432</v>
      </c>
    </row>
    <row r="30" spans="1:15" x14ac:dyDescent="0.35">
      <c r="A30" t="s">
        <v>20</v>
      </c>
      <c r="B30">
        <v>17643</v>
      </c>
      <c r="C30" t="s">
        <v>426</v>
      </c>
      <c r="D30" t="s">
        <v>427</v>
      </c>
      <c r="E30" t="s">
        <v>8329</v>
      </c>
      <c r="F30" t="s">
        <v>8358</v>
      </c>
      <c r="G30" t="s">
        <v>8359</v>
      </c>
      <c r="H30" t="s">
        <v>8360</v>
      </c>
      <c r="I30" t="s">
        <v>431</v>
      </c>
      <c r="K30" t="s">
        <v>8308</v>
      </c>
      <c r="N30" t="s">
        <v>33</v>
      </c>
      <c r="O30" t="s">
        <v>432</v>
      </c>
    </row>
    <row r="31" spans="1:15" x14ac:dyDescent="0.35">
      <c r="A31" t="s">
        <v>20</v>
      </c>
      <c r="B31">
        <v>17643</v>
      </c>
      <c r="C31" t="s">
        <v>426</v>
      </c>
      <c r="D31" t="s">
        <v>427</v>
      </c>
      <c r="E31" t="s">
        <v>8333</v>
      </c>
      <c r="F31" t="s">
        <v>8361</v>
      </c>
      <c r="G31" t="s">
        <v>8362</v>
      </c>
      <c r="H31" t="s">
        <v>8363</v>
      </c>
      <c r="I31" t="s">
        <v>431</v>
      </c>
      <c r="K31" t="s">
        <v>8308</v>
      </c>
      <c r="N31" t="s">
        <v>33</v>
      </c>
      <c r="O31" t="s">
        <v>432</v>
      </c>
    </row>
    <row r="32" spans="1:15" x14ac:dyDescent="0.35">
      <c r="A32" t="s">
        <v>20</v>
      </c>
      <c r="B32">
        <v>17643</v>
      </c>
      <c r="C32" t="s">
        <v>426</v>
      </c>
      <c r="D32" t="s">
        <v>427</v>
      </c>
      <c r="E32" t="s">
        <v>8338</v>
      </c>
      <c r="F32" t="s">
        <v>2066</v>
      </c>
      <c r="G32" t="s">
        <v>2067</v>
      </c>
      <c r="H32" t="s">
        <v>2068</v>
      </c>
      <c r="I32" t="s">
        <v>431</v>
      </c>
      <c r="K32" t="s">
        <v>31</v>
      </c>
      <c r="N32" t="s">
        <v>33</v>
      </c>
      <c r="O32" t="s">
        <v>432</v>
      </c>
    </row>
    <row r="33" spans="1:14" x14ac:dyDescent="0.35">
      <c r="A33" t="s">
        <v>20</v>
      </c>
      <c r="B33">
        <v>17646</v>
      </c>
      <c r="C33" t="s">
        <v>666</v>
      </c>
      <c r="D33" t="s">
        <v>667</v>
      </c>
      <c r="E33" t="s">
        <v>8302</v>
      </c>
      <c r="F33" t="s">
        <v>8364</v>
      </c>
      <c r="G33" t="s">
        <v>8365</v>
      </c>
      <c r="H33" t="s">
        <v>8366</v>
      </c>
      <c r="I33" t="s">
        <v>809</v>
      </c>
      <c r="K33" t="s">
        <v>8308</v>
      </c>
      <c r="N33" t="s">
        <v>33</v>
      </c>
    </row>
    <row r="34" spans="1:14" x14ac:dyDescent="0.35">
      <c r="A34" t="s">
        <v>20</v>
      </c>
      <c r="B34">
        <v>17646</v>
      </c>
      <c r="C34" t="s">
        <v>666</v>
      </c>
      <c r="D34" t="s">
        <v>667</v>
      </c>
      <c r="E34" t="s">
        <v>8303</v>
      </c>
      <c r="F34" t="s">
        <v>3482</v>
      </c>
      <c r="G34" t="s">
        <v>8367</v>
      </c>
      <c r="H34" t="s">
        <v>8368</v>
      </c>
      <c r="I34" t="s">
        <v>809</v>
      </c>
      <c r="K34" t="s">
        <v>8308</v>
      </c>
      <c r="N34" t="s">
        <v>33</v>
      </c>
    </row>
    <row r="35" spans="1:14" x14ac:dyDescent="0.35">
      <c r="A35" t="s">
        <v>20</v>
      </c>
      <c r="B35">
        <v>17646</v>
      </c>
      <c r="C35" t="s">
        <v>666</v>
      </c>
      <c r="D35" t="s">
        <v>667</v>
      </c>
      <c r="E35" t="s">
        <v>8304</v>
      </c>
      <c r="F35" t="s">
        <v>8369</v>
      </c>
      <c r="G35" t="s">
        <v>8370</v>
      </c>
      <c r="H35" t="s">
        <v>8371</v>
      </c>
      <c r="I35" t="s">
        <v>809</v>
      </c>
      <c r="K35" t="s">
        <v>8308</v>
      </c>
      <c r="N35" t="s">
        <v>33</v>
      </c>
    </row>
    <row r="36" spans="1:14" x14ac:dyDescent="0.35">
      <c r="A36" t="s">
        <v>20</v>
      </c>
      <c r="B36">
        <v>17646</v>
      </c>
      <c r="C36" t="s">
        <v>666</v>
      </c>
      <c r="D36" t="s">
        <v>667</v>
      </c>
      <c r="E36" t="s">
        <v>8309</v>
      </c>
      <c r="F36" t="s">
        <v>8372</v>
      </c>
      <c r="G36" t="s">
        <v>8373</v>
      </c>
      <c r="H36" t="s">
        <v>8374</v>
      </c>
      <c r="I36" t="s">
        <v>809</v>
      </c>
      <c r="K36" t="s">
        <v>8308</v>
      </c>
      <c r="N36" t="s">
        <v>33</v>
      </c>
    </row>
    <row r="37" spans="1:14" x14ac:dyDescent="0.35">
      <c r="A37" t="s">
        <v>20</v>
      </c>
      <c r="B37">
        <v>17646</v>
      </c>
      <c r="C37" t="s">
        <v>666</v>
      </c>
      <c r="D37" t="s">
        <v>667</v>
      </c>
      <c r="E37" t="s">
        <v>8313</v>
      </c>
      <c r="F37" t="s">
        <v>2069</v>
      </c>
      <c r="G37" t="s">
        <v>2070</v>
      </c>
      <c r="H37" t="s">
        <v>2071</v>
      </c>
      <c r="I37" t="s">
        <v>809</v>
      </c>
      <c r="K37" t="s">
        <v>31</v>
      </c>
      <c r="N37" t="s">
        <v>33</v>
      </c>
    </row>
    <row r="38" spans="1:14" x14ac:dyDescent="0.35">
      <c r="A38" t="s">
        <v>20</v>
      </c>
      <c r="B38">
        <v>17646</v>
      </c>
      <c r="C38" t="s">
        <v>666</v>
      </c>
      <c r="D38" t="s">
        <v>667</v>
      </c>
      <c r="E38" t="s">
        <v>8317</v>
      </c>
      <c r="F38" t="s">
        <v>2072</v>
      </c>
      <c r="G38" t="s">
        <v>2073</v>
      </c>
      <c r="H38" t="s">
        <v>2074</v>
      </c>
      <c r="I38" t="s">
        <v>809</v>
      </c>
      <c r="K38" t="s">
        <v>31</v>
      </c>
      <c r="N38" t="s">
        <v>33</v>
      </c>
    </row>
    <row r="39" spans="1:14" x14ac:dyDescent="0.35">
      <c r="A39" t="s">
        <v>20</v>
      </c>
      <c r="B39">
        <v>17646</v>
      </c>
      <c r="C39" t="s">
        <v>666</v>
      </c>
      <c r="D39" t="s">
        <v>667</v>
      </c>
      <c r="E39" t="s">
        <v>8344</v>
      </c>
      <c r="F39" t="s">
        <v>2075</v>
      </c>
      <c r="G39" t="s">
        <v>2076</v>
      </c>
      <c r="H39" t="s">
        <v>2077</v>
      </c>
      <c r="I39" t="s">
        <v>809</v>
      </c>
      <c r="J39" t="s">
        <v>2078</v>
      </c>
      <c r="K39" t="s">
        <v>31</v>
      </c>
      <c r="N39" t="s">
        <v>33</v>
      </c>
    </row>
    <row r="40" spans="1:14" x14ac:dyDescent="0.35">
      <c r="A40" t="s">
        <v>20</v>
      </c>
      <c r="B40">
        <v>17646</v>
      </c>
      <c r="C40" t="s">
        <v>666</v>
      </c>
      <c r="D40" t="s">
        <v>667</v>
      </c>
      <c r="E40" t="s">
        <v>8345</v>
      </c>
      <c r="F40" t="s">
        <v>2911</v>
      </c>
      <c r="G40" t="s">
        <v>2912</v>
      </c>
      <c r="H40" t="s">
        <v>2913</v>
      </c>
      <c r="I40" t="s">
        <v>809</v>
      </c>
      <c r="K40" t="s">
        <v>8375</v>
      </c>
      <c r="N40" t="s">
        <v>33</v>
      </c>
    </row>
    <row r="41" spans="1:14" x14ac:dyDescent="0.35">
      <c r="A41" t="s">
        <v>20</v>
      </c>
      <c r="B41">
        <v>17646</v>
      </c>
      <c r="C41" t="s">
        <v>666</v>
      </c>
      <c r="D41" t="s">
        <v>667</v>
      </c>
      <c r="E41" t="s">
        <v>8318</v>
      </c>
      <c r="F41" t="s">
        <v>2079</v>
      </c>
      <c r="G41" t="s">
        <v>2080</v>
      </c>
      <c r="H41" t="s">
        <v>2081</v>
      </c>
      <c r="I41" t="s">
        <v>671</v>
      </c>
      <c r="K41" t="s">
        <v>31</v>
      </c>
      <c r="N41" t="s">
        <v>33</v>
      </c>
    </row>
    <row r="42" spans="1:14" x14ac:dyDescent="0.35">
      <c r="A42" t="s">
        <v>20</v>
      </c>
      <c r="B42">
        <v>17646</v>
      </c>
      <c r="C42" t="s">
        <v>666</v>
      </c>
      <c r="D42" t="s">
        <v>667</v>
      </c>
      <c r="E42" t="s">
        <v>8319</v>
      </c>
      <c r="F42" t="s">
        <v>710</v>
      </c>
      <c r="G42" t="s">
        <v>2866</v>
      </c>
      <c r="H42" t="s">
        <v>1630</v>
      </c>
      <c r="I42" t="s">
        <v>671</v>
      </c>
      <c r="K42" t="s">
        <v>8375</v>
      </c>
      <c r="N42" t="s">
        <v>33</v>
      </c>
    </row>
    <row r="43" spans="1:14" x14ac:dyDescent="0.35">
      <c r="A43" t="s">
        <v>20</v>
      </c>
      <c r="B43">
        <v>17646</v>
      </c>
      <c r="C43" t="s">
        <v>666</v>
      </c>
      <c r="D43" t="s">
        <v>667</v>
      </c>
      <c r="E43" t="s">
        <v>8320</v>
      </c>
      <c r="F43" t="s">
        <v>8376</v>
      </c>
      <c r="G43" t="s">
        <v>8377</v>
      </c>
      <c r="H43" t="s">
        <v>8378</v>
      </c>
      <c r="I43" t="s">
        <v>671</v>
      </c>
      <c r="K43" t="s">
        <v>8308</v>
      </c>
      <c r="N43" t="s">
        <v>33</v>
      </c>
    </row>
    <row r="44" spans="1:14" x14ac:dyDescent="0.35">
      <c r="A44" t="s">
        <v>20</v>
      </c>
      <c r="B44">
        <v>17646</v>
      </c>
      <c r="C44" t="s">
        <v>666</v>
      </c>
      <c r="D44" t="s">
        <v>667</v>
      </c>
      <c r="E44" t="s">
        <v>8321</v>
      </c>
      <c r="F44" t="s">
        <v>8379</v>
      </c>
      <c r="G44" t="s">
        <v>8380</v>
      </c>
      <c r="H44" t="s">
        <v>8381</v>
      </c>
      <c r="I44" t="s">
        <v>671</v>
      </c>
      <c r="K44" t="s">
        <v>8308</v>
      </c>
      <c r="N44" t="s">
        <v>33</v>
      </c>
    </row>
    <row r="45" spans="1:14" x14ac:dyDescent="0.35">
      <c r="A45" t="s">
        <v>20</v>
      </c>
      <c r="B45">
        <v>17646</v>
      </c>
      <c r="C45" t="s">
        <v>666</v>
      </c>
      <c r="D45" t="s">
        <v>667</v>
      </c>
      <c r="E45" t="s">
        <v>8325</v>
      </c>
      <c r="F45" t="s">
        <v>3559</v>
      </c>
      <c r="G45" t="s">
        <v>8382</v>
      </c>
      <c r="H45" t="s">
        <v>8383</v>
      </c>
      <c r="I45" t="s">
        <v>671</v>
      </c>
      <c r="K45" t="s">
        <v>8308</v>
      </c>
      <c r="N45" t="s">
        <v>33</v>
      </c>
    </row>
    <row r="46" spans="1:14" x14ac:dyDescent="0.35">
      <c r="A46" t="s">
        <v>20</v>
      </c>
      <c r="B46">
        <v>17646</v>
      </c>
      <c r="C46" t="s">
        <v>666</v>
      </c>
      <c r="D46" t="s">
        <v>667</v>
      </c>
      <c r="E46" t="s">
        <v>8329</v>
      </c>
      <c r="F46" t="s">
        <v>2082</v>
      </c>
      <c r="G46" t="s">
        <v>2083</v>
      </c>
      <c r="H46" t="s">
        <v>2084</v>
      </c>
      <c r="I46" t="s">
        <v>671</v>
      </c>
      <c r="K46" t="s">
        <v>31</v>
      </c>
      <c r="N46" t="s">
        <v>33</v>
      </c>
    </row>
    <row r="47" spans="1:14" x14ac:dyDescent="0.35">
      <c r="A47" t="s">
        <v>20</v>
      </c>
      <c r="B47">
        <v>17646</v>
      </c>
      <c r="C47" t="s">
        <v>666</v>
      </c>
      <c r="D47" t="s">
        <v>667</v>
      </c>
      <c r="E47" t="s">
        <v>8333</v>
      </c>
      <c r="F47" t="s">
        <v>3571</v>
      </c>
      <c r="G47" t="s">
        <v>8384</v>
      </c>
      <c r="H47" t="s">
        <v>8385</v>
      </c>
      <c r="I47" t="s">
        <v>671</v>
      </c>
      <c r="K47" t="s">
        <v>8308</v>
      </c>
      <c r="N47" t="s">
        <v>33</v>
      </c>
    </row>
    <row r="48" spans="1:14" x14ac:dyDescent="0.35">
      <c r="A48" t="s">
        <v>20</v>
      </c>
      <c r="B48">
        <v>17646</v>
      </c>
      <c r="C48" t="s">
        <v>666</v>
      </c>
      <c r="D48" t="s">
        <v>667</v>
      </c>
      <c r="E48" t="s">
        <v>8338</v>
      </c>
      <c r="F48" t="s">
        <v>8386</v>
      </c>
      <c r="G48" t="s">
        <v>8387</v>
      </c>
      <c r="H48" t="s">
        <v>8388</v>
      </c>
      <c r="I48" t="s">
        <v>671</v>
      </c>
      <c r="K48" t="s">
        <v>8308</v>
      </c>
      <c r="N48" t="s">
        <v>33</v>
      </c>
    </row>
    <row r="49" spans="1:14" x14ac:dyDescent="0.35">
      <c r="A49" t="s">
        <v>20</v>
      </c>
      <c r="B49">
        <v>17646</v>
      </c>
      <c r="C49" t="s">
        <v>666</v>
      </c>
      <c r="D49" t="s">
        <v>667</v>
      </c>
      <c r="E49" t="s">
        <v>8389</v>
      </c>
      <c r="F49" t="s">
        <v>3577</v>
      </c>
      <c r="G49" t="s">
        <v>8390</v>
      </c>
      <c r="H49" t="s">
        <v>8391</v>
      </c>
      <c r="I49" t="s">
        <v>671</v>
      </c>
      <c r="K49" t="s">
        <v>8308</v>
      </c>
      <c r="N49" t="s">
        <v>33</v>
      </c>
    </row>
    <row r="50" spans="1:14" x14ac:dyDescent="0.35">
      <c r="A50" t="s">
        <v>20</v>
      </c>
      <c r="B50">
        <v>17645</v>
      </c>
      <c r="C50" t="s">
        <v>949</v>
      </c>
      <c r="D50" t="s">
        <v>950</v>
      </c>
      <c r="E50" t="s">
        <v>8302</v>
      </c>
      <c r="F50" t="s">
        <v>3583</v>
      </c>
      <c r="G50" t="s">
        <v>8392</v>
      </c>
      <c r="H50" t="s">
        <v>8393</v>
      </c>
      <c r="I50" t="s">
        <v>954</v>
      </c>
      <c r="K50" t="s">
        <v>8308</v>
      </c>
      <c r="N50" t="s">
        <v>33</v>
      </c>
    </row>
    <row r="51" spans="1:14" x14ac:dyDescent="0.35">
      <c r="A51" t="s">
        <v>20</v>
      </c>
      <c r="B51">
        <v>17645</v>
      </c>
      <c r="C51" t="s">
        <v>949</v>
      </c>
      <c r="D51" t="s">
        <v>950</v>
      </c>
      <c r="E51" t="s">
        <v>8303</v>
      </c>
      <c r="F51" t="s">
        <v>8394</v>
      </c>
      <c r="G51" t="s">
        <v>8395</v>
      </c>
      <c r="H51" t="s">
        <v>8396</v>
      </c>
      <c r="I51" t="s">
        <v>954</v>
      </c>
      <c r="K51" t="s">
        <v>8308</v>
      </c>
      <c r="N51" t="s">
        <v>33</v>
      </c>
    </row>
    <row r="52" spans="1:14" x14ac:dyDescent="0.35">
      <c r="A52" t="s">
        <v>20</v>
      </c>
      <c r="B52">
        <v>17645</v>
      </c>
      <c r="C52" t="s">
        <v>949</v>
      </c>
      <c r="D52" t="s">
        <v>950</v>
      </c>
      <c r="E52" t="s">
        <v>8304</v>
      </c>
      <c r="F52" t="s">
        <v>2085</v>
      </c>
      <c r="G52" t="s">
        <v>2086</v>
      </c>
      <c r="H52" t="s">
        <v>2087</v>
      </c>
      <c r="I52" t="s">
        <v>954</v>
      </c>
      <c r="K52" t="s">
        <v>31</v>
      </c>
      <c r="N52" t="s">
        <v>33</v>
      </c>
    </row>
    <row r="53" spans="1:14" x14ac:dyDescent="0.35">
      <c r="A53" t="s">
        <v>20</v>
      </c>
      <c r="B53">
        <v>17645</v>
      </c>
      <c r="C53" t="s">
        <v>949</v>
      </c>
      <c r="D53" t="s">
        <v>950</v>
      </c>
      <c r="E53" t="s">
        <v>8309</v>
      </c>
      <c r="F53" t="s">
        <v>8397</v>
      </c>
      <c r="G53" t="s">
        <v>8398</v>
      </c>
      <c r="H53" t="s">
        <v>8399</v>
      </c>
      <c r="I53" t="s">
        <v>954</v>
      </c>
      <c r="K53" t="s">
        <v>8308</v>
      </c>
      <c r="N53" t="s">
        <v>33</v>
      </c>
    </row>
    <row r="54" spans="1:14" x14ac:dyDescent="0.35">
      <c r="A54" t="s">
        <v>20</v>
      </c>
      <c r="B54">
        <v>17645</v>
      </c>
      <c r="C54" t="s">
        <v>949</v>
      </c>
      <c r="D54" t="s">
        <v>950</v>
      </c>
      <c r="E54" t="s">
        <v>8313</v>
      </c>
      <c r="F54" t="s">
        <v>2970</v>
      </c>
      <c r="G54" t="s">
        <v>2971</v>
      </c>
      <c r="H54" t="s">
        <v>2972</v>
      </c>
      <c r="I54" t="s">
        <v>954</v>
      </c>
      <c r="K54" t="s">
        <v>8375</v>
      </c>
      <c r="N54" t="s">
        <v>33</v>
      </c>
    </row>
    <row r="55" spans="1:14" x14ac:dyDescent="0.35">
      <c r="A55" t="s">
        <v>20</v>
      </c>
      <c r="B55">
        <v>17645</v>
      </c>
      <c r="C55" t="s">
        <v>949</v>
      </c>
      <c r="D55" t="s">
        <v>950</v>
      </c>
      <c r="E55" t="s">
        <v>8317</v>
      </c>
      <c r="F55" t="s">
        <v>2088</v>
      </c>
      <c r="G55" t="s">
        <v>2089</v>
      </c>
      <c r="H55" t="s">
        <v>2090</v>
      </c>
      <c r="I55" t="s">
        <v>954</v>
      </c>
      <c r="K55" t="s">
        <v>31</v>
      </c>
      <c r="N55" t="s">
        <v>33</v>
      </c>
    </row>
    <row r="56" spans="1:14" x14ac:dyDescent="0.35">
      <c r="A56" t="s">
        <v>20</v>
      </c>
      <c r="B56">
        <v>17645</v>
      </c>
      <c r="C56" t="s">
        <v>949</v>
      </c>
      <c r="D56" t="s">
        <v>950</v>
      </c>
      <c r="E56" t="s">
        <v>8344</v>
      </c>
      <c r="F56" t="s">
        <v>8400</v>
      </c>
      <c r="G56" t="s">
        <v>8401</v>
      </c>
      <c r="H56" t="s">
        <v>8402</v>
      </c>
      <c r="I56" t="s">
        <v>954</v>
      </c>
      <c r="K56" t="s">
        <v>8308</v>
      </c>
      <c r="N56" t="s">
        <v>33</v>
      </c>
    </row>
    <row r="57" spans="1:14" x14ac:dyDescent="0.35">
      <c r="A57" t="s">
        <v>20</v>
      </c>
      <c r="B57">
        <v>17645</v>
      </c>
      <c r="C57" t="s">
        <v>949</v>
      </c>
      <c r="D57" t="s">
        <v>950</v>
      </c>
      <c r="E57" t="s">
        <v>8345</v>
      </c>
      <c r="F57" t="s">
        <v>3636</v>
      </c>
      <c r="G57" t="s">
        <v>8403</v>
      </c>
      <c r="H57" t="s">
        <v>8404</v>
      </c>
      <c r="I57" t="s">
        <v>954</v>
      </c>
      <c r="K57" t="s">
        <v>8308</v>
      </c>
      <c r="N57" t="s">
        <v>33</v>
      </c>
    </row>
    <row r="58" spans="1:14" x14ac:dyDescent="0.35">
      <c r="A58" t="s">
        <v>20</v>
      </c>
      <c r="B58">
        <v>17645</v>
      </c>
      <c r="C58" t="s">
        <v>949</v>
      </c>
      <c r="D58" t="s">
        <v>950</v>
      </c>
      <c r="E58" t="s">
        <v>8318</v>
      </c>
      <c r="F58" t="s">
        <v>2091</v>
      </c>
      <c r="G58" t="s">
        <v>2092</v>
      </c>
      <c r="H58" t="s">
        <v>2093</v>
      </c>
      <c r="I58" t="s">
        <v>1090</v>
      </c>
      <c r="K58" t="s">
        <v>31</v>
      </c>
      <c r="N58" t="s">
        <v>33</v>
      </c>
    </row>
    <row r="59" spans="1:14" x14ac:dyDescent="0.35">
      <c r="A59" t="s">
        <v>20</v>
      </c>
      <c r="B59">
        <v>17645</v>
      </c>
      <c r="C59" t="s">
        <v>949</v>
      </c>
      <c r="D59" t="s">
        <v>950</v>
      </c>
      <c r="E59" t="s">
        <v>8319</v>
      </c>
      <c r="F59" t="s">
        <v>2925</v>
      </c>
      <c r="G59" t="s">
        <v>2926</v>
      </c>
      <c r="H59" t="s">
        <v>2927</v>
      </c>
      <c r="I59" t="s">
        <v>1090</v>
      </c>
      <c r="K59" t="s">
        <v>8375</v>
      </c>
      <c r="N59" t="s">
        <v>33</v>
      </c>
    </row>
    <row r="60" spans="1:14" x14ac:dyDescent="0.35">
      <c r="A60" t="s">
        <v>20</v>
      </c>
      <c r="B60">
        <v>17645</v>
      </c>
      <c r="C60" t="s">
        <v>949</v>
      </c>
      <c r="D60" t="s">
        <v>950</v>
      </c>
      <c r="E60" t="s">
        <v>8320</v>
      </c>
      <c r="F60" t="s">
        <v>2094</v>
      </c>
      <c r="G60" t="s">
        <v>2095</v>
      </c>
      <c r="H60" t="s">
        <v>2096</v>
      </c>
      <c r="I60" t="s">
        <v>1090</v>
      </c>
      <c r="K60" t="s">
        <v>31</v>
      </c>
      <c r="N60" t="s">
        <v>33</v>
      </c>
    </row>
    <row r="61" spans="1:14" x14ac:dyDescent="0.35">
      <c r="A61" t="s">
        <v>20</v>
      </c>
      <c r="B61">
        <v>17645</v>
      </c>
      <c r="C61" t="s">
        <v>949</v>
      </c>
      <c r="D61" t="s">
        <v>950</v>
      </c>
      <c r="E61" t="s">
        <v>8321</v>
      </c>
      <c r="F61" t="s">
        <v>8405</v>
      </c>
      <c r="G61" t="s">
        <v>8406</v>
      </c>
      <c r="H61" t="s">
        <v>8407</v>
      </c>
      <c r="I61" t="s">
        <v>1090</v>
      </c>
      <c r="K61" t="s">
        <v>8337</v>
      </c>
      <c r="N61" t="s">
        <v>33</v>
      </c>
    </row>
    <row r="62" spans="1:14" x14ac:dyDescent="0.35">
      <c r="A62" t="s">
        <v>20</v>
      </c>
      <c r="B62">
        <v>17645</v>
      </c>
      <c r="C62" t="s">
        <v>949</v>
      </c>
      <c r="D62" t="s">
        <v>950</v>
      </c>
      <c r="E62" t="s">
        <v>8325</v>
      </c>
      <c r="F62" t="s">
        <v>2097</v>
      </c>
      <c r="G62" t="s">
        <v>2098</v>
      </c>
      <c r="H62" t="s">
        <v>2099</v>
      </c>
      <c r="I62" t="s">
        <v>1090</v>
      </c>
      <c r="J62" t="s">
        <v>2100</v>
      </c>
      <c r="K62" t="s">
        <v>31</v>
      </c>
      <c r="N62" t="s">
        <v>33</v>
      </c>
    </row>
    <row r="63" spans="1:14" x14ac:dyDescent="0.35">
      <c r="A63" t="s">
        <v>20</v>
      </c>
      <c r="B63">
        <v>17645</v>
      </c>
      <c r="C63" t="s">
        <v>949</v>
      </c>
      <c r="D63" t="s">
        <v>950</v>
      </c>
      <c r="E63" t="s">
        <v>8329</v>
      </c>
      <c r="F63" t="s">
        <v>8408</v>
      </c>
      <c r="G63" t="s">
        <v>8409</v>
      </c>
      <c r="H63" t="s">
        <v>8410</v>
      </c>
      <c r="I63" t="s">
        <v>1090</v>
      </c>
      <c r="K63" t="s">
        <v>8337</v>
      </c>
      <c r="N63" t="s">
        <v>33</v>
      </c>
    </row>
    <row r="64" spans="1:14" x14ac:dyDescent="0.35">
      <c r="A64" t="s">
        <v>20</v>
      </c>
      <c r="B64">
        <v>17647</v>
      </c>
      <c r="C64" t="s">
        <v>1252</v>
      </c>
      <c r="D64" t="s">
        <v>1253</v>
      </c>
      <c r="E64" t="s">
        <v>8302</v>
      </c>
      <c r="F64" t="s">
        <v>8411</v>
      </c>
      <c r="G64" t="s">
        <v>8412</v>
      </c>
      <c r="H64" t="s">
        <v>8413</v>
      </c>
      <c r="I64" t="s">
        <v>1257</v>
      </c>
      <c r="K64" t="s">
        <v>8308</v>
      </c>
      <c r="N64" t="s">
        <v>33</v>
      </c>
    </row>
    <row r="65" spans="1:14" x14ac:dyDescent="0.35">
      <c r="A65" t="s">
        <v>20</v>
      </c>
      <c r="B65">
        <v>17647</v>
      </c>
      <c r="C65" t="s">
        <v>1252</v>
      </c>
      <c r="D65" t="s">
        <v>1253</v>
      </c>
      <c r="E65" t="s">
        <v>8303</v>
      </c>
      <c r="F65" t="s">
        <v>2101</v>
      </c>
      <c r="G65" t="s">
        <v>2102</v>
      </c>
      <c r="H65" t="s">
        <v>2103</v>
      </c>
      <c r="I65" t="s">
        <v>1257</v>
      </c>
      <c r="K65" t="s">
        <v>31</v>
      </c>
      <c r="N65" t="s">
        <v>33</v>
      </c>
    </row>
    <row r="66" spans="1:14" x14ac:dyDescent="0.35">
      <c r="A66" t="s">
        <v>20</v>
      </c>
      <c r="B66">
        <v>17647</v>
      </c>
      <c r="C66" t="s">
        <v>1252</v>
      </c>
      <c r="D66" t="s">
        <v>1253</v>
      </c>
      <c r="E66" t="s">
        <v>8304</v>
      </c>
      <c r="F66" t="s">
        <v>8414</v>
      </c>
      <c r="G66" t="s">
        <v>8415</v>
      </c>
      <c r="H66" t="s">
        <v>8416</v>
      </c>
      <c r="I66" t="s">
        <v>1257</v>
      </c>
      <c r="K66" t="s">
        <v>8337</v>
      </c>
      <c r="N66" t="s">
        <v>33</v>
      </c>
    </row>
    <row r="67" spans="1:14" x14ac:dyDescent="0.35">
      <c r="A67" t="s">
        <v>20</v>
      </c>
      <c r="B67">
        <v>17647</v>
      </c>
      <c r="C67" t="s">
        <v>1252</v>
      </c>
      <c r="D67" t="s">
        <v>1253</v>
      </c>
      <c r="E67" t="s">
        <v>8309</v>
      </c>
      <c r="F67" t="s">
        <v>2104</v>
      </c>
      <c r="G67" t="s">
        <v>2105</v>
      </c>
      <c r="H67" t="s">
        <v>2106</v>
      </c>
      <c r="I67" t="s">
        <v>1257</v>
      </c>
      <c r="K67" t="s">
        <v>31</v>
      </c>
      <c r="N67" t="s">
        <v>33</v>
      </c>
    </row>
    <row r="68" spans="1:14" x14ac:dyDescent="0.35">
      <c r="A68" t="s">
        <v>20</v>
      </c>
      <c r="B68">
        <v>17647</v>
      </c>
      <c r="C68" t="s">
        <v>1252</v>
      </c>
      <c r="D68" t="s">
        <v>1253</v>
      </c>
      <c r="E68" t="s">
        <v>8313</v>
      </c>
      <c r="F68" t="s">
        <v>2107</v>
      </c>
      <c r="G68" t="s">
        <v>2108</v>
      </c>
      <c r="H68" t="s">
        <v>2109</v>
      </c>
      <c r="I68" t="s">
        <v>1257</v>
      </c>
      <c r="K68" t="s">
        <v>31</v>
      </c>
      <c r="N68" t="s">
        <v>33</v>
      </c>
    </row>
    <row r="69" spans="1:14" x14ac:dyDescent="0.35">
      <c r="A69" t="s">
        <v>20</v>
      </c>
      <c r="B69">
        <v>17647</v>
      </c>
      <c r="C69" t="s">
        <v>1252</v>
      </c>
      <c r="D69" t="s">
        <v>1253</v>
      </c>
      <c r="E69" t="s">
        <v>8317</v>
      </c>
      <c r="F69" t="s">
        <v>3025</v>
      </c>
      <c r="G69" t="s">
        <v>3026</v>
      </c>
      <c r="H69" t="s">
        <v>3027</v>
      </c>
      <c r="I69" t="s">
        <v>1257</v>
      </c>
      <c r="K69" t="s">
        <v>8375</v>
      </c>
      <c r="N69" t="s">
        <v>33</v>
      </c>
    </row>
    <row r="70" spans="1:14" x14ac:dyDescent="0.35">
      <c r="A70" t="s">
        <v>20</v>
      </c>
      <c r="B70">
        <v>17647</v>
      </c>
      <c r="C70" t="s">
        <v>1252</v>
      </c>
      <c r="D70" t="s">
        <v>1253</v>
      </c>
      <c r="E70" t="s">
        <v>8344</v>
      </c>
      <c r="F70" t="s">
        <v>2110</v>
      </c>
      <c r="G70" t="s">
        <v>2111</v>
      </c>
      <c r="H70" t="s">
        <v>2112</v>
      </c>
      <c r="I70" t="s">
        <v>1257</v>
      </c>
      <c r="K70" t="s">
        <v>31</v>
      </c>
      <c r="N70" t="s">
        <v>33</v>
      </c>
    </row>
    <row r="71" spans="1:14" x14ac:dyDescent="0.35">
      <c r="A71" t="s">
        <v>20</v>
      </c>
      <c r="B71">
        <v>17647</v>
      </c>
      <c r="C71" t="s">
        <v>1252</v>
      </c>
      <c r="D71" t="s">
        <v>1253</v>
      </c>
      <c r="E71" t="s">
        <v>8345</v>
      </c>
      <c r="F71" t="s">
        <v>8417</v>
      </c>
      <c r="G71" t="s">
        <v>8418</v>
      </c>
      <c r="H71" t="s">
        <v>8419</v>
      </c>
      <c r="I71" t="s">
        <v>1257</v>
      </c>
      <c r="K71" t="s">
        <v>8337</v>
      </c>
      <c r="N71" t="s">
        <v>33</v>
      </c>
    </row>
    <row r="72" spans="1:14" x14ac:dyDescent="0.35">
      <c r="A72" t="s">
        <v>20</v>
      </c>
      <c r="B72">
        <v>17647</v>
      </c>
      <c r="C72" t="s">
        <v>1252</v>
      </c>
      <c r="D72" t="s">
        <v>1253</v>
      </c>
      <c r="E72" t="s">
        <v>8318</v>
      </c>
      <c r="F72" t="s">
        <v>3031</v>
      </c>
      <c r="G72" t="s">
        <v>3032</v>
      </c>
      <c r="H72" t="s">
        <v>3033</v>
      </c>
      <c r="I72" t="s">
        <v>1395</v>
      </c>
      <c r="K72" t="s">
        <v>8375</v>
      </c>
      <c r="N72" t="s">
        <v>33</v>
      </c>
    </row>
    <row r="73" spans="1:14" x14ac:dyDescent="0.35">
      <c r="A73" t="s">
        <v>20</v>
      </c>
      <c r="B73">
        <v>17647</v>
      </c>
      <c r="C73" t="s">
        <v>1252</v>
      </c>
      <c r="D73" t="s">
        <v>1253</v>
      </c>
      <c r="E73" t="s">
        <v>8319</v>
      </c>
      <c r="F73" t="s">
        <v>8420</v>
      </c>
      <c r="G73" t="s">
        <v>8421</v>
      </c>
      <c r="H73" t="s">
        <v>8422</v>
      </c>
      <c r="I73" t="s">
        <v>1395</v>
      </c>
      <c r="K73" t="s">
        <v>8337</v>
      </c>
      <c r="N73" t="s">
        <v>33</v>
      </c>
    </row>
    <row r="74" spans="1:14" x14ac:dyDescent="0.35">
      <c r="A74" t="s">
        <v>20</v>
      </c>
      <c r="B74">
        <v>17647</v>
      </c>
      <c r="C74" t="s">
        <v>1252</v>
      </c>
      <c r="D74" t="s">
        <v>1253</v>
      </c>
      <c r="E74" t="s">
        <v>8320</v>
      </c>
      <c r="F74" t="s">
        <v>8423</v>
      </c>
      <c r="G74" t="s">
        <v>8424</v>
      </c>
      <c r="H74" t="s">
        <v>8425</v>
      </c>
      <c r="I74" t="s">
        <v>1395</v>
      </c>
      <c r="K74" t="s">
        <v>8308</v>
      </c>
      <c r="N74" t="s">
        <v>33</v>
      </c>
    </row>
    <row r="75" spans="1:14" x14ac:dyDescent="0.35">
      <c r="A75" t="s">
        <v>20</v>
      </c>
      <c r="B75">
        <v>17647</v>
      </c>
      <c r="C75" t="s">
        <v>1252</v>
      </c>
      <c r="D75" t="s">
        <v>1253</v>
      </c>
      <c r="E75" t="s">
        <v>8321</v>
      </c>
      <c r="F75" t="s">
        <v>2113</v>
      </c>
      <c r="G75" t="s">
        <v>2114</v>
      </c>
      <c r="H75" t="s">
        <v>2115</v>
      </c>
      <c r="I75" t="s">
        <v>1395</v>
      </c>
      <c r="K75" t="s">
        <v>31</v>
      </c>
      <c r="N75" t="s">
        <v>33</v>
      </c>
    </row>
    <row r="76" spans="1:14" x14ac:dyDescent="0.35">
      <c r="A76" t="s">
        <v>20</v>
      </c>
      <c r="B76">
        <v>17647</v>
      </c>
      <c r="C76" t="s">
        <v>1252</v>
      </c>
      <c r="D76" t="s">
        <v>1253</v>
      </c>
      <c r="E76" t="s">
        <v>8325</v>
      </c>
      <c r="F76" t="s">
        <v>3765</v>
      </c>
      <c r="G76" t="s">
        <v>8426</v>
      </c>
      <c r="H76" t="s">
        <v>8427</v>
      </c>
      <c r="I76" t="s">
        <v>1395</v>
      </c>
      <c r="K76" t="s">
        <v>8308</v>
      </c>
      <c r="N76" t="s">
        <v>33</v>
      </c>
    </row>
    <row r="77" spans="1:14" x14ac:dyDescent="0.35">
      <c r="A77" t="s">
        <v>20</v>
      </c>
      <c r="B77">
        <v>17647</v>
      </c>
      <c r="C77" t="s">
        <v>1252</v>
      </c>
      <c r="D77" t="s">
        <v>1253</v>
      </c>
      <c r="E77" t="s">
        <v>8329</v>
      </c>
      <c r="F77" t="s">
        <v>8428</v>
      </c>
      <c r="G77" t="s">
        <v>8429</v>
      </c>
      <c r="H77" t="s">
        <v>8430</v>
      </c>
      <c r="I77" t="s">
        <v>1395</v>
      </c>
      <c r="K77" t="s">
        <v>8308</v>
      </c>
      <c r="N77" t="s">
        <v>33</v>
      </c>
    </row>
    <row r="78" spans="1:14" x14ac:dyDescent="0.35">
      <c r="A78" t="s">
        <v>20</v>
      </c>
      <c r="B78">
        <v>17647</v>
      </c>
      <c r="C78" t="s">
        <v>1252</v>
      </c>
      <c r="D78" t="s">
        <v>1253</v>
      </c>
      <c r="E78" t="s">
        <v>8333</v>
      </c>
      <c r="F78" t="s">
        <v>2116</v>
      </c>
      <c r="G78" t="s">
        <v>2117</v>
      </c>
      <c r="H78" t="s">
        <v>2118</v>
      </c>
      <c r="I78" t="s">
        <v>1395</v>
      </c>
      <c r="K78" t="s">
        <v>31</v>
      </c>
      <c r="N78" t="s">
        <v>33</v>
      </c>
    </row>
    <row r="79" spans="1:14" x14ac:dyDescent="0.35">
      <c r="A79" t="s">
        <v>20</v>
      </c>
      <c r="B79">
        <v>17643</v>
      </c>
      <c r="C79" t="s">
        <v>426</v>
      </c>
      <c r="D79" t="s">
        <v>427</v>
      </c>
      <c r="E79" t="s">
        <v>8302</v>
      </c>
      <c r="F79" t="s">
        <v>2038</v>
      </c>
      <c r="G79" t="s">
        <v>2039</v>
      </c>
      <c r="H79" t="s">
        <v>2040</v>
      </c>
      <c r="I79" t="s">
        <v>557</v>
      </c>
      <c r="K79" t="s">
        <v>31</v>
      </c>
      <c r="N79" t="s">
        <v>33</v>
      </c>
    </row>
    <row r="80" spans="1:14" x14ac:dyDescent="0.35">
      <c r="A80" t="s">
        <v>20</v>
      </c>
      <c r="B80">
        <v>17643</v>
      </c>
      <c r="C80" t="s">
        <v>426</v>
      </c>
      <c r="D80" t="s">
        <v>427</v>
      </c>
      <c r="E80" t="s">
        <v>8303</v>
      </c>
      <c r="F80" t="s">
        <v>2041</v>
      </c>
      <c r="G80" t="s">
        <v>2042</v>
      </c>
      <c r="H80" t="s">
        <v>2043</v>
      </c>
      <c r="I80" t="s">
        <v>557</v>
      </c>
      <c r="K80" t="s">
        <v>31</v>
      </c>
      <c r="N80" t="s">
        <v>33</v>
      </c>
    </row>
    <row r="81" spans="1:14" x14ac:dyDescent="0.35">
      <c r="A81" t="s">
        <v>20</v>
      </c>
      <c r="B81">
        <v>17643</v>
      </c>
      <c r="C81" t="s">
        <v>426</v>
      </c>
      <c r="D81" t="s">
        <v>427</v>
      </c>
      <c r="E81" t="s">
        <v>8304</v>
      </c>
      <c r="F81" t="s">
        <v>2044</v>
      </c>
      <c r="G81" t="s">
        <v>2045</v>
      </c>
      <c r="H81" t="s">
        <v>2046</v>
      </c>
      <c r="I81" t="s">
        <v>557</v>
      </c>
      <c r="K81" t="s">
        <v>31</v>
      </c>
      <c r="N81" t="s">
        <v>33</v>
      </c>
    </row>
    <row r="82" spans="1:14" x14ac:dyDescent="0.35">
      <c r="A82" t="s">
        <v>20</v>
      </c>
      <c r="B82">
        <v>17643</v>
      </c>
      <c r="C82" t="s">
        <v>426</v>
      </c>
      <c r="D82" t="s">
        <v>427</v>
      </c>
      <c r="E82" t="s">
        <v>8309</v>
      </c>
      <c r="F82" t="s">
        <v>8339</v>
      </c>
      <c r="G82" t="s">
        <v>8340</v>
      </c>
      <c r="H82" t="s">
        <v>8341</v>
      </c>
      <c r="I82" t="s">
        <v>557</v>
      </c>
      <c r="K82" t="s">
        <v>8308</v>
      </c>
      <c r="N82" t="s">
        <v>33</v>
      </c>
    </row>
    <row r="83" spans="1:14" x14ac:dyDescent="0.35">
      <c r="A83" t="s">
        <v>20</v>
      </c>
      <c r="B83">
        <v>17643</v>
      </c>
      <c r="C83" t="s">
        <v>426</v>
      </c>
      <c r="D83" t="s">
        <v>427</v>
      </c>
      <c r="E83" t="s">
        <v>8313</v>
      </c>
      <c r="F83" t="s">
        <v>2047</v>
      </c>
      <c r="G83" t="s">
        <v>2048</v>
      </c>
      <c r="H83" t="s">
        <v>2049</v>
      </c>
      <c r="I83" t="s">
        <v>557</v>
      </c>
      <c r="K83" t="s">
        <v>31</v>
      </c>
      <c r="N83" t="s">
        <v>33</v>
      </c>
    </row>
    <row r="84" spans="1:14" x14ac:dyDescent="0.35">
      <c r="A84" t="s">
        <v>20</v>
      </c>
      <c r="B84">
        <v>17643</v>
      </c>
      <c r="C84" t="s">
        <v>426</v>
      </c>
      <c r="D84" t="s">
        <v>427</v>
      </c>
      <c r="E84" t="s">
        <v>8317</v>
      </c>
      <c r="F84" t="s">
        <v>3396</v>
      </c>
      <c r="G84" t="s">
        <v>8342</v>
      </c>
      <c r="H84" t="s">
        <v>8343</v>
      </c>
      <c r="I84" t="s">
        <v>557</v>
      </c>
      <c r="K84" t="s">
        <v>8308</v>
      </c>
      <c r="N84" t="s">
        <v>33</v>
      </c>
    </row>
    <row r="85" spans="1:14" x14ac:dyDescent="0.35">
      <c r="A85" t="s">
        <v>20</v>
      </c>
      <c r="B85">
        <v>17643</v>
      </c>
      <c r="C85" t="s">
        <v>426</v>
      </c>
      <c r="D85" t="s">
        <v>427</v>
      </c>
      <c r="E85" t="s">
        <v>8344</v>
      </c>
      <c r="F85" t="s">
        <v>2051</v>
      </c>
      <c r="G85" t="s">
        <v>2052</v>
      </c>
      <c r="H85" t="s">
        <v>2053</v>
      </c>
      <c r="I85" t="s">
        <v>557</v>
      </c>
      <c r="K85" t="s">
        <v>31</v>
      </c>
      <c r="N85" t="s">
        <v>33</v>
      </c>
    </row>
    <row r="86" spans="1:14" x14ac:dyDescent="0.35">
      <c r="A86" t="s">
        <v>20</v>
      </c>
      <c r="B86">
        <v>17643</v>
      </c>
      <c r="C86" t="s">
        <v>426</v>
      </c>
      <c r="D86" t="s">
        <v>427</v>
      </c>
      <c r="E86" t="s">
        <v>8345</v>
      </c>
      <c r="F86" t="s">
        <v>2055</v>
      </c>
      <c r="G86" t="s">
        <v>2056</v>
      </c>
      <c r="H86" t="s">
        <v>2057</v>
      </c>
      <c r="I86" t="s">
        <v>557</v>
      </c>
      <c r="K86" t="s">
        <v>31</v>
      </c>
      <c r="N86" t="s">
        <v>33</v>
      </c>
    </row>
    <row r="87" spans="1:14" x14ac:dyDescent="0.35">
      <c r="A87" t="s">
        <v>20</v>
      </c>
      <c r="B87">
        <v>17643</v>
      </c>
      <c r="C87" t="s">
        <v>426</v>
      </c>
      <c r="D87" t="s">
        <v>427</v>
      </c>
      <c r="E87" t="s">
        <v>8346</v>
      </c>
      <c r="F87" t="s">
        <v>3411</v>
      </c>
      <c r="G87" t="s">
        <v>8347</v>
      </c>
      <c r="H87" t="s">
        <v>8348</v>
      </c>
      <c r="I87" t="s">
        <v>557</v>
      </c>
      <c r="K87" t="s">
        <v>8308</v>
      </c>
      <c r="N87" t="s">
        <v>33</v>
      </c>
    </row>
    <row r="88" spans="1:14" x14ac:dyDescent="0.35">
      <c r="A88" t="s">
        <v>20</v>
      </c>
      <c r="B88">
        <v>17643</v>
      </c>
      <c r="C88" t="s">
        <v>426</v>
      </c>
      <c r="D88" t="s">
        <v>427</v>
      </c>
      <c r="E88" t="s">
        <v>8318</v>
      </c>
      <c r="F88" t="s">
        <v>2059</v>
      </c>
      <c r="G88" t="s">
        <v>2060</v>
      </c>
      <c r="H88" t="s">
        <v>2061</v>
      </c>
      <c r="I88" t="s">
        <v>431</v>
      </c>
      <c r="K88" t="s">
        <v>31</v>
      </c>
      <c r="N88" t="s">
        <v>33</v>
      </c>
    </row>
    <row r="89" spans="1:14" x14ac:dyDescent="0.35">
      <c r="A89" t="s">
        <v>20</v>
      </c>
      <c r="B89">
        <v>17643</v>
      </c>
      <c r="C89" t="s">
        <v>426</v>
      </c>
      <c r="D89" t="s">
        <v>427</v>
      </c>
      <c r="E89" t="s">
        <v>8319</v>
      </c>
      <c r="F89" t="s">
        <v>2062</v>
      </c>
      <c r="G89" t="s">
        <v>2063</v>
      </c>
      <c r="H89" t="s">
        <v>2064</v>
      </c>
      <c r="I89" t="s">
        <v>431</v>
      </c>
      <c r="K89" t="s">
        <v>31</v>
      </c>
      <c r="N89" t="s">
        <v>33</v>
      </c>
    </row>
    <row r="90" spans="1:14" x14ac:dyDescent="0.35">
      <c r="A90" t="s">
        <v>20</v>
      </c>
      <c r="B90">
        <v>17643</v>
      </c>
      <c r="C90" t="s">
        <v>426</v>
      </c>
      <c r="D90" t="s">
        <v>427</v>
      </c>
      <c r="E90" t="s">
        <v>8320</v>
      </c>
      <c r="F90" t="s">
        <v>8349</v>
      </c>
      <c r="G90" t="s">
        <v>8350</v>
      </c>
      <c r="H90" t="s">
        <v>8351</v>
      </c>
      <c r="I90" t="s">
        <v>431</v>
      </c>
      <c r="K90" t="s">
        <v>8308</v>
      </c>
      <c r="N90" t="s">
        <v>33</v>
      </c>
    </row>
    <row r="91" spans="1:14" x14ac:dyDescent="0.35">
      <c r="A91" t="s">
        <v>20</v>
      </c>
      <c r="B91">
        <v>17643</v>
      </c>
      <c r="C91" t="s">
        <v>426</v>
      </c>
      <c r="D91" t="s">
        <v>427</v>
      </c>
      <c r="E91" t="s">
        <v>8321</v>
      </c>
      <c r="F91" t="s">
        <v>8352</v>
      </c>
      <c r="G91" t="s">
        <v>8353</v>
      </c>
      <c r="H91" t="s">
        <v>8354</v>
      </c>
      <c r="I91" t="s">
        <v>431</v>
      </c>
      <c r="K91" t="s">
        <v>8308</v>
      </c>
      <c r="N91" t="s">
        <v>33</v>
      </c>
    </row>
    <row r="92" spans="1:14" x14ac:dyDescent="0.35">
      <c r="A92" t="s">
        <v>20</v>
      </c>
      <c r="B92">
        <v>17643</v>
      </c>
      <c r="C92" t="s">
        <v>426</v>
      </c>
      <c r="D92" t="s">
        <v>427</v>
      </c>
      <c r="E92" t="s">
        <v>8325</v>
      </c>
      <c r="F92" t="s">
        <v>8355</v>
      </c>
      <c r="G92" t="s">
        <v>8356</v>
      </c>
      <c r="H92" t="s">
        <v>8357</v>
      </c>
      <c r="I92" t="s">
        <v>431</v>
      </c>
      <c r="K92" t="s">
        <v>8308</v>
      </c>
      <c r="N92" t="s">
        <v>33</v>
      </c>
    </row>
    <row r="93" spans="1:14" x14ac:dyDescent="0.35">
      <c r="A93" t="s">
        <v>20</v>
      </c>
      <c r="B93">
        <v>17643</v>
      </c>
      <c r="C93" t="s">
        <v>426</v>
      </c>
      <c r="D93" t="s">
        <v>427</v>
      </c>
      <c r="E93" t="s">
        <v>8329</v>
      </c>
      <c r="F93" t="s">
        <v>8358</v>
      </c>
      <c r="G93" t="s">
        <v>8359</v>
      </c>
      <c r="H93" t="s">
        <v>8360</v>
      </c>
      <c r="I93" t="s">
        <v>431</v>
      </c>
      <c r="K93" t="s">
        <v>8308</v>
      </c>
      <c r="N93" t="s">
        <v>33</v>
      </c>
    </row>
    <row r="94" spans="1:14" x14ac:dyDescent="0.35">
      <c r="A94" t="s">
        <v>20</v>
      </c>
      <c r="B94">
        <v>17643</v>
      </c>
      <c r="C94" t="s">
        <v>426</v>
      </c>
      <c r="D94" t="s">
        <v>427</v>
      </c>
      <c r="E94" t="s">
        <v>8333</v>
      </c>
      <c r="F94" t="s">
        <v>8361</v>
      </c>
      <c r="G94" t="s">
        <v>8362</v>
      </c>
      <c r="H94" t="s">
        <v>8363</v>
      </c>
      <c r="I94" t="s">
        <v>431</v>
      </c>
      <c r="K94" t="s">
        <v>8308</v>
      </c>
      <c r="N94" t="s">
        <v>33</v>
      </c>
    </row>
    <row r="95" spans="1:14" x14ac:dyDescent="0.35">
      <c r="A95" t="s">
        <v>20</v>
      </c>
      <c r="B95">
        <v>17643</v>
      </c>
      <c r="C95" t="s">
        <v>426</v>
      </c>
      <c r="D95" t="s">
        <v>427</v>
      </c>
      <c r="E95" t="s">
        <v>8338</v>
      </c>
      <c r="F95" t="s">
        <v>2066</v>
      </c>
      <c r="G95" t="s">
        <v>2067</v>
      </c>
      <c r="H95" t="s">
        <v>2068</v>
      </c>
      <c r="I95" t="s">
        <v>431</v>
      </c>
      <c r="K95" t="s">
        <v>31</v>
      </c>
      <c r="N95" t="s">
        <v>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opLeftCell="A7" workbookViewId="0">
      <selection activeCell="I8" sqref="I8:I9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</v>
      </c>
      <c r="L1" t="s">
        <v>19</v>
      </c>
    </row>
    <row r="2" spans="1:12" x14ac:dyDescent="0.35">
      <c r="A2" t="s">
        <v>20</v>
      </c>
      <c r="B2">
        <v>17644</v>
      </c>
      <c r="C2" t="s">
        <v>21</v>
      </c>
      <c r="D2" t="s">
        <v>22</v>
      </c>
      <c r="E2" t="s">
        <v>8431</v>
      </c>
      <c r="F2" t="s">
        <v>8432</v>
      </c>
      <c r="G2" t="s">
        <v>8433</v>
      </c>
      <c r="H2" t="s">
        <v>8434</v>
      </c>
      <c r="I2" t="s">
        <v>238</v>
      </c>
      <c r="K2" t="s">
        <v>33</v>
      </c>
    </row>
    <row r="3" spans="1:12" x14ac:dyDescent="0.35">
      <c r="A3" t="s">
        <v>20</v>
      </c>
      <c r="B3">
        <v>17644</v>
      </c>
      <c r="C3" t="s">
        <v>21</v>
      </c>
      <c r="D3" t="s">
        <v>22</v>
      </c>
      <c r="E3" t="s">
        <v>8435</v>
      </c>
      <c r="F3" t="s">
        <v>8436</v>
      </c>
      <c r="G3" t="s">
        <v>8437</v>
      </c>
      <c r="H3" t="s">
        <v>8438</v>
      </c>
      <c r="I3" t="s">
        <v>238</v>
      </c>
      <c r="K3" t="s">
        <v>33</v>
      </c>
    </row>
    <row r="4" spans="1:12" x14ac:dyDescent="0.35">
      <c r="A4" t="s">
        <v>20</v>
      </c>
      <c r="B4">
        <v>17644</v>
      </c>
      <c r="C4" t="s">
        <v>21</v>
      </c>
      <c r="D4" t="s">
        <v>22</v>
      </c>
      <c r="E4" t="s">
        <v>8439</v>
      </c>
      <c r="F4" t="s">
        <v>8440</v>
      </c>
      <c r="G4" t="s">
        <v>8441</v>
      </c>
      <c r="H4" t="s">
        <v>8442</v>
      </c>
      <c r="I4" t="s">
        <v>238</v>
      </c>
      <c r="K4" t="s">
        <v>33</v>
      </c>
    </row>
    <row r="5" spans="1:12" x14ac:dyDescent="0.35">
      <c r="A5" t="s">
        <v>20</v>
      </c>
      <c r="B5">
        <v>17644</v>
      </c>
      <c r="C5" t="s">
        <v>21</v>
      </c>
      <c r="D5" t="s">
        <v>22</v>
      </c>
      <c r="E5" t="s">
        <v>8443</v>
      </c>
      <c r="F5" t="s">
        <v>8444</v>
      </c>
      <c r="G5" t="s">
        <v>8445</v>
      </c>
      <c r="H5" t="s">
        <v>8446</v>
      </c>
      <c r="I5" t="s">
        <v>238</v>
      </c>
      <c r="K5" t="s">
        <v>33</v>
      </c>
    </row>
    <row r="6" spans="1:12" x14ac:dyDescent="0.35">
      <c r="A6" t="s">
        <v>20</v>
      </c>
      <c r="B6">
        <v>17644</v>
      </c>
      <c r="C6" t="s">
        <v>21</v>
      </c>
      <c r="D6" t="s">
        <v>22</v>
      </c>
      <c r="E6" t="s">
        <v>8447</v>
      </c>
      <c r="F6" t="s">
        <v>8448</v>
      </c>
      <c r="G6" t="s">
        <v>8449</v>
      </c>
      <c r="H6" t="s">
        <v>8450</v>
      </c>
      <c r="I6" t="s">
        <v>238</v>
      </c>
      <c r="K6" t="s">
        <v>33</v>
      </c>
    </row>
    <row r="7" spans="1:12" x14ac:dyDescent="0.35">
      <c r="A7" t="s">
        <v>20</v>
      </c>
      <c r="B7">
        <v>17644</v>
      </c>
      <c r="C7" t="s">
        <v>21</v>
      </c>
      <c r="D7" t="s">
        <v>22</v>
      </c>
      <c r="E7" t="s">
        <v>8451</v>
      </c>
      <c r="F7" t="s">
        <v>8452</v>
      </c>
      <c r="G7" t="s">
        <v>8453</v>
      </c>
      <c r="H7" t="s">
        <v>8454</v>
      </c>
      <c r="I7" t="s">
        <v>238</v>
      </c>
      <c r="K7" t="s">
        <v>33</v>
      </c>
    </row>
    <row r="8" spans="1:12" x14ac:dyDescent="0.35">
      <c r="A8" t="s">
        <v>20</v>
      </c>
      <c r="B8">
        <v>17644</v>
      </c>
      <c r="C8" t="s">
        <v>21</v>
      </c>
      <c r="D8" t="s">
        <v>22</v>
      </c>
      <c r="E8" t="s">
        <v>8455</v>
      </c>
      <c r="F8" t="s">
        <v>8456</v>
      </c>
      <c r="G8" t="s">
        <v>8457</v>
      </c>
      <c r="H8" t="s">
        <v>8458</v>
      </c>
      <c r="I8" t="s">
        <v>27</v>
      </c>
      <c r="K8" t="s">
        <v>33</v>
      </c>
    </row>
    <row r="9" spans="1:12" x14ac:dyDescent="0.35">
      <c r="A9" t="s">
        <v>20</v>
      </c>
      <c r="B9">
        <v>17644</v>
      </c>
      <c r="C9" t="s">
        <v>21</v>
      </c>
      <c r="D9" t="s">
        <v>22</v>
      </c>
      <c r="E9" t="s">
        <v>8459</v>
      </c>
      <c r="F9" t="s">
        <v>8460</v>
      </c>
      <c r="G9" t="s">
        <v>8461</v>
      </c>
      <c r="H9" t="s">
        <v>8462</v>
      </c>
      <c r="I9" t="s">
        <v>27</v>
      </c>
      <c r="K9" t="s">
        <v>33</v>
      </c>
    </row>
    <row r="10" spans="1:12" x14ac:dyDescent="0.35">
      <c r="A10" t="s">
        <v>20</v>
      </c>
      <c r="B10">
        <v>17643</v>
      </c>
      <c r="C10" t="s">
        <v>426</v>
      </c>
      <c r="D10" t="s">
        <v>427</v>
      </c>
      <c r="E10" t="s">
        <v>8431</v>
      </c>
      <c r="F10" t="s">
        <v>8463</v>
      </c>
      <c r="G10" t="s">
        <v>8464</v>
      </c>
      <c r="H10" t="s">
        <v>8465</v>
      </c>
      <c r="I10" t="s">
        <v>431</v>
      </c>
      <c r="K10" t="s">
        <v>33</v>
      </c>
      <c r="L10" t="s">
        <v>432</v>
      </c>
    </row>
    <row r="11" spans="1:12" x14ac:dyDescent="0.35">
      <c r="A11" t="s">
        <v>20</v>
      </c>
      <c r="B11">
        <v>17643</v>
      </c>
      <c r="C11" t="s">
        <v>426</v>
      </c>
      <c r="D11" t="s">
        <v>427</v>
      </c>
      <c r="E11" t="s">
        <v>8435</v>
      </c>
      <c r="F11" t="s">
        <v>8466</v>
      </c>
      <c r="G11" t="s">
        <v>8467</v>
      </c>
      <c r="H11" t="s">
        <v>8468</v>
      </c>
      <c r="I11" t="s">
        <v>431</v>
      </c>
      <c r="K11" t="s">
        <v>33</v>
      </c>
      <c r="L11" t="s">
        <v>432</v>
      </c>
    </row>
    <row r="12" spans="1:12" x14ac:dyDescent="0.35">
      <c r="A12" t="s">
        <v>20</v>
      </c>
      <c r="B12">
        <v>17643</v>
      </c>
      <c r="C12" t="s">
        <v>426</v>
      </c>
      <c r="D12" t="s">
        <v>427</v>
      </c>
      <c r="E12" t="s">
        <v>8439</v>
      </c>
      <c r="F12" t="s">
        <v>8469</v>
      </c>
      <c r="G12" t="s">
        <v>8470</v>
      </c>
      <c r="H12" t="s">
        <v>8471</v>
      </c>
      <c r="I12" t="s">
        <v>431</v>
      </c>
      <c r="K12" t="s">
        <v>33</v>
      </c>
      <c r="L12" t="s">
        <v>432</v>
      </c>
    </row>
    <row r="13" spans="1:12" x14ac:dyDescent="0.35">
      <c r="A13" t="s">
        <v>20</v>
      </c>
      <c r="B13">
        <v>17643</v>
      </c>
      <c r="C13" t="s">
        <v>426</v>
      </c>
      <c r="D13" t="s">
        <v>427</v>
      </c>
      <c r="E13" t="s">
        <v>8443</v>
      </c>
      <c r="F13" t="s">
        <v>8472</v>
      </c>
      <c r="G13" t="s">
        <v>8473</v>
      </c>
      <c r="H13" t="s">
        <v>8474</v>
      </c>
      <c r="I13" t="s">
        <v>431</v>
      </c>
      <c r="K13" t="s">
        <v>33</v>
      </c>
      <c r="L13" t="s">
        <v>432</v>
      </c>
    </row>
    <row r="14" spans="1:12" x14ac:dyDescent="0.35">
      <c r="A14" t="s">
        <v>20</v>
      </c>
      <c r="B14">
        <v>17643</v>
      </c>
      <c r="C14" t="s">
        <v>426</v>
      </c>
      <c r="D14" t="s">
        <v>427</v>
      </c>
      <c r="E14" t="s">
        <v>8455</v>
      </c>
      <c r="F14" t="s">
        <v>8475</v>
      </c>
      <c r="G14" t="s">
        <v>8476</v>
      </c>
      <c r="H14" t="s">
        <v>8477</v>
      </c>
      <c r="I14" t="s">
        <v>557</v>
      </c>
      <c r="K14" t="s">
        <v>33</v>
      </c>
      <c r="L14" t="s">
        <v>432</v>
      </c>
    </row>
    <row r="15" spans="1:12" x14ac:dyDescent="0.35">
      <c r="A15" t="s">
        <v>20</v>
      </c>
      <c r="B15">
        <v>17643</v>
      </c>
      <c r="C15" t="s">
        <v>426</v>
      </c>
      <c r="D15" t="s">
        <v>427</v>
      </c>
      <c r="E15" t="s">
        <v>8459</v>
      </c>
      <c r="F15" t="s">
        <v>8478</v>
      </c>
      <c r="G15" t="s">
        <v>8479</v>
      </c>
      <c r="H15" t="s">
        <v>8480</v>
      </c>
      <c r="I15" t="s">
        <v>557</v>
      </c>
      <c r="K15" t="s">
        <v>33</v>
      </c>
      <c r="L15" t="s">
        <v>432</v>
      </c>
    </row>
    <row r="16" spans="1:12" x14ac:dyDescent="0.35">
      <c r="A16" t="s">
        <v>20</v>
      </c>
      <c r="B16">
        <v>17643</v>
      </c>
      <c r="C16" t="s">
        <v>426</v>
      </c>
      <c r="D16" t="s">
        <v>427</v>
      </c>
      <c r="E16" t="s">
        <v>8481</v>
      </c>
      <c r="F16" t="s">
        <v>8482</v>
      </c>
      <c r="G16" t="s">
        <v>8483</v>
      </c>
      <c r="H16" t="s">
        <v>8484</v>
      </c>
      <c r="I16" t="s">
        <v>557</v>
      </c>
      <c r="K16" t="s">
        <v>33</v>
      </c>
      <c r="L16" t="s">
        <v>432</v>
      </c>
    </row>
    <row r="17" spans="1:12" x14ac:dyDescent="0.35">
      <c r="A17" t="s">
        <v>20</v>
      </c>
      <c r="B17">
        <v>17643</v>
      </c>
      <c r="C17" t="s">
        <v>426</v>
      </c>
      <c r="D17" t="s">
        <v>427</v>
      </c>
      <c r="E17" t="s">
        <v>8485</v>
      </c>
      <c r="F17" t="s">
        <v>8486</v>
      </c>
      <c r="G17" t="s">
        <v>8487</v>
      </c>
      <c r="H17" t="s">
        <v>8488</v>
      </c>
      <c r="I17" t="s">
        <v>557</v>
      </c>
      <c r="K17" t="s">
        <v>33</v>
      </c>
      <c r="L17" t="s">
        <v>432</v>
      </c>
    </row>
    <row r="18" spans="1:12" x14ac:dyDescent="0.35">
      <c r="A18" t="s">
        <v>20</v>
      </c>
      <c r="B18">
        <v>17646</v>
      </c>
      <c r="C18" t="s">
        <v>666</v>
      </c>
      <c r="D18" t="s">
        <v>667</v>
      </c>
      <c r="E18" t="s">
        <v>8455</v>
      </c>
      <c r="F18" t="s">
        <v>8489</v>
      </c>
      <c r="G18" t="s">
        <v>8490</v>
      </c>
      <c r="H18" t="s">
        <v>8491</v>
      </c>
      <c r="I18" t="s">
        <v>809</v>
      </c>
      <c r="K18" t="s">
        <v>33</v>
      </c>
    </row>
    <row r="19" spans="1:12" x14ac:dyDescent="0.35">
      <c r="A19" t="s">
        <v>20</v>
      </c>
      <c r="B19">
        <v>17646</v>
      </c>
      <c r="C19" t="s">
        <v>666</v>
      </c>
      <c r="D19" t="s">
        <v>667</v>
      </c>
      <c r="E19" t="s">
        <v>8459</v>
      </c>
      <c r="F19" t="s">
        <v>8492</v>
      </c>
      <c r="G19" t="s">
        <v>8493</v>
      </c>
      <c r="H19" t="s">
        <v>8494</v>
      </c>
      <c r="I19" t="s">
        <v>809</v>
      </c>
      <c r="K19" t="s">
        <v>33</v>
      </c>
    </row>
    <row r="20" spans="1:12" x14ac:dyDescent="0.35">
      <c r="A20" t="s">
        <v>20</v>
      </c>
      <c r="B20">
        <v>17646</v>
      </c>
      <c r="C20" t="s">
        <v>666</v>
      </c>
      <c r="D20" t="s">
        <v>667</v>
      </c>
      <c r="E20" t="s">
        <v>8481</v>
      </c>
      <c r="F20" t="s">
        <v>8495</v>
      </c>
      <c r="G20" t="s">
        <v>8496</v>
      </c>
      <c r="H20" t="s">
        <v>8497</v>
      </c>
      <c r="I20" t="s">
        <v>809</v>
      </c>
      <c r="K20" t="s">
        <v>33</v>
      </c>
    </row>
    <row r="21" spans="1:12" x14ac:dyDescent="0.35">
      <c r="A21" t="s">
        <v>20</v>
      </c>
      <c r="B21">
        <v>17646</v>
      </c>
      <c r="C21" t="s">
        <v>666</v>
      </c>
      <c r="D21" t="s">
        <v>667</v>
      </c>
      <c r="E21" t="s">
        <v>8485</v>
      </c>
      <c r="F21" t="s">
        <v>8498</v>
      </c>
      <c r="G21" t="s">
        <v>8499</v>
      </c>
      <c r="H21" t="s">
        <v>8500</v>
      </c>
      <c r="I21" t="s">
        <v>809</v>
      </c>
      <c r="K21" t="s">
        <v>33</v>
      </c>
    </row>
    <row r="22" spans="1:12" x14ac:dyDescent="0.35">
      <c r="A22" t="s">
        <v>20</v>
      </c>
      <c r="B22">
        <v>17646</v>
      </c>
      <c r="C22" t="s">
        <v>666</v>
      </c>
      <c r="D22" t="s">
        <v>667</v>
      </c>
      <c r="E22" t="s">
        <v>8431</v>
      </c>
      <c r="F22" t="s">
        <v>8501</v>
      </c>
      <c r="G22" t="s">
        <v>8502</v>
      </c>
      <c r="H22" t="s">
        <v>8503</v>
      </c>
      <c r="I22" t="s">
        <v>671</v>
      </c>
      <c r="K22" t="s">
        <v>33</v>
      </c>
    </row>
    <row r="23" spans="1:12" x14ac:dyDescent="0.35">
      <c r="A23" t="s">
        <v>20</v>
      </c>
      <c r="B23">
        <v>17646</v>
      </c>
      <c r="C23" t="s">
        <v>666</v>
      </c>
      <c r="D23" t="s">
        <v>667</v>
      </c>
      <c r="E23" t="s">
        <v>8435</v>
      </c>
      <c r="F23" t="s">
        <v>8504</v>
      </c>
      <c r="G23" t="s">
        <v>8505</v>
      </c>
      <c r="H23" t="s">
        <v>8506</v>
      </c>
      <c r="I23" t="s">
        <v>671</v>
      </c>
      <c r="K23" t="s">
        <v>33</v>
      </c>
    </row>
    <row r="24" spans="1:12" x14ac:dyDescent="0.35">
      <c r="A24" t="s">
        <v>20</v>
      </c>
      <c r="B24">
        <v>17646</v>
      </c>
      <c r="C24" t="s">
        <v>666</v>
      </c>
      <c r="D24" t="s">
        <v>667</v>
      </c>
      <c r="E24" t="s">
        <v>8439</v>
      </c>
      <c r="F24" t="s">
        <v>8507</v>
      </c>
      <c r="G24" t="s">
        <v>8508</v>
      </c>
      <c r="H24" t="s">
        <v>8509</v>
      </c>
      <c r="I24" t="s">
        <v>671</v>
      </c>
      <c r="K24" t="s">
        <v>33</v>
      </c>
    </row>
    <row r="25" spans="1:12" x14ac:dyDescent="0.35">
      <c r="A25" t="s">
        <v>20</v>
      </c>
      <c r="B25">
        <v>17646</v>
      </c>
      <c r="C25" t="s">
        <v>666</v>
      </c>
      <c r="D25" t="s">
        <v>667</v>
      </c>
      <c r="E25" t="s">
        <v>8443</v>
      </c>
      <c r="F25" t="s">
        <v>8510</v>
      </c>
      <c r="G25" t="s">
        <v>8511</v>
      </c>
      <c r="H25" t="s">
        <v>8512</v>
      </c>
      <c r="I25" t="s">
        <v>671</v>
      </c>
      <c r="K25" t="s">
        <v>33</v>
      </c>
    </row>
    <row r="26" spans="1:12" x14ac:dyDescent="0.35">
      <c r="A26" t="s">
        <v>20</v>
      </c>
      <c r="B26">
        <v>17645</v>
      </c>
      <c r="C26" t="s">
        <v>949</v>
      </c>
      <c r="D26" t="s">
        <v>950</v>
      </c>
      <c r="E26" t="s">
        <v>8455</v>
      </c>
      <c r="F26" t="s">
        <v>8513</v>
      </c>
      <c r="G26" t="s">
        <v>8514</v>
      </c>
      <c r="H26" t="s">
        <v>8515</v>
      </c>
      <c r="I26" t="s">
        <v>954</v>
      </c>
      <c r="K26" t="s">
        <v>33</v>
      </c>
    </row>
    <row r="27" spans="1:12" x14ac:dyDescent="0.35">
      <c r="A27" t="s">
        <v>20</v>
      </c>
      <c r="B27">
        <v>17645</v>
      </c>
      <c r="C27" t="s">
        <v>949</v>
      </c>
      <c r="D27" t="s">
        <v>950</v>
      </c>
      <c r="E27" t="s">
        <v>8459</v>
      </c>
      <c r="F27" t="s">
        <v>8516</v>
      </c>
      <c r="G27" t="s">
        <v>8517</v>
      </c>
      <c r="H27" t="s">
        <v>8518</v>
      </c>
      <c r="I27" t="s">
        <v>954</v>
      </c>
      <c r="K27" t="s">
        <v>33</v>
      </c>
    </row>
    <row r="28" spans="1:12" x14ac:dyDescent="0.35">
      <c r="A28" t="s">
        <v>20</v>
      </c>
      <c r="B28">
        <v>17645</v>
      </c>
      <c r="C28" t="s">
        <v>949</v>
      </c>
      <c r="D28" t="s">
        <v>950</v>
      </c>
      <c r="E28" t="s">
        <v>8481</v>
      </c>
      <c r="F28" t="s">
        <v>8519</v>
      </c>
      <c r="G28" t="s">
        <v>8520</v>
      </c>
      <c r="H28" t="s">
        <v>8521</v>
      </c>
      <c r="I28" t="s">
        <v>954</v>
      </c>
      <c r="K28" t="s">
        <v>33</v>
      </c>
    </row>
    <row r="29" spans="1:12" x14ac:dyDescent="0.35">
      <c r="A29" t="s">
        <v>20</v>
      </c>
      <c r="B29">
        <v>17645</v>
      </c>
      <c r="C29" t="s">
        <v>949</v>
      </c>
      <c r="D29" t="s">
        <v>950</v>
      </c>
      <c r="E29" t="s">
        <v>8485</v>
      </c>
      <c r="F29" t="s">
        <v>8522</v>
      </c>
      <c r="G29" t="s">
        <v>8523</v>
      </c>
      <c r="H29" t="s">
        <v>8524</v>
      </c>
      <c r="I29" t="s">
        <v>954</v>
      </c>
      <c r="K29" t="s">
        <v>33</v>
      </c>
    </row>
    <row r="30" spans="1:12" x14ac:dyDescent="0.35">
      <c r="A30" t="s">
        <v>20</v>
      </c>
      <c r="B30">
        <v>17645</v>
      </c>
      <c r="C30" t="s">
        <v>949</v>
      </c>
      <c r="D30" t="s">
        <v>950</v>
      </c>
      <c r="E30" t="s">
        <v>8525</v>
      </c>
      <c r="F30" t="s">
        <v>8526</v>
      </c>
      <c r="G30" t="s">
        <v>8527</v>
      </c>
      <c r="H30" t="s">
        <v>8528</v>
      </c>
      <c r="I30" t="s">
        <v>954</v>
      </c>
      <c r="K30" t="s">
        <v>33</v>
      </c>
    </row>
    <row r="31" spans="1:12" x14ac:dyDescent="0.35">
      <c r="A31" t="s">
        <v>20</v>
      </c>
      <c r="B31">
        <v>17645</v>
      </c>
      <c r="C31" t="s">
        <v>949</v>
      </c>
      <c r="D31" t="s">
        <v>950</v>
      </c>
      <c r="E31" t="s">
        <v>8431</v>
      </c>
      <c r="F31" t="s">
        <v>8529</v>
      </c>
      <c r="G31" t="s">
        <v>8530</v>
      </c>
      <c r="H31" t="s">
        <v>8531</v>
      </c>
      <c r="I31" t="s">
        <v>1090</v>
      </c>
      <c r="K31" t="s">
        <v>33</v>
      </c>
    </row>
    <row r="32" spans="1:12" x14ac:dyDescent="0.35">
      <c r="A32" t="s">
        <v>20</v>
      </c>
      <c r="B32">
        <v>17645</v>
      </c>
      <c r="C32" t="s">
        <v>949</v>
      </c>
      <c r="D32" t="s">
        <v>950</v>
      </c>
      <c r="E32" t="s">
        <v>8435</v>
      </c>
      <c r="F32" t="s">
        <v>8532</v>
      </c>
      <c r="G32" t="s">
        <v>8533</v>
      </c>
      <c r="H32" t="s">
        <v>8534</v>
      </c>
      <c r="I32" t="s">
        <v>1090</v>
      </c>
      <c r="K32" t="s">
        <v>33</v>
      </c>
    </row>
    <row r="33" spans="1:11" x14ac:dyDescent="0.35">
      <c r="A33" t="s">
        <v>20</v>
      </c>
      <c r="B33">
        <v>17645</v>
      </c>
      <c r="C33" t="s">
        <v>949</v>
      </c>
      <c r="D33" t="s">
        <v>950</v>
      </c>
      <c r="E33" t="s">
        <v>8439</v>
      </c>
      <c r="F33" t="s">
        <v>8535</v>
      </c>
      <c r="G33" t="s">
        <v>8536</v>
      </c>
      <c r="H33" t="s">
        <v>8537</v>
      </c>
      <c r="I33" t="s">
        <v>1090</v>
      </c>
      <c r="K33" t="s">
        <v>33</v>
      </c>
    </row>
    <row r="34" spans="1:11" x14ac:dyDescent="0.35">
      <c r="A34" t="s">
        <v>20</v>
      </c>
      <c r="B34">
        <v>17645</v>
      </c>
      <c r="C34" t="s">
        <v>949</v>
      </c>
      <c r="D34" t="s">
        <v>950</v>
      </c>
      <c r="E34" t="s">
        <v>8443</v>
      </c>
      <c r="F34" t="s">
        <v>8538</v>
      </c>
      <c r="G34" t="s">
        <v>8539</v>
      </c>
      <c r="H34" t="s">
        <v>8540</v>
      </c>
      <c r="I34" t="s">
        <v>1090</v>
      </c>
      <c r="K34" t="s">
        <v>33</v>
      </c>
    </row>
    <row r="35" spans="1:11" x14ac:dyDescent="0.35">
      <c r="A35" t="s">
        <v>20</v>
      </c>
      <c r="B35">
        <v>17645</v>
      </c>
      <c r="C35" t="s">
        <v>949</v>
      </c>
      <c r="D35" t="s">
        <v>950</v>
      </c>
      <c r="E35" t="s">
        <v>8447</v>
      </c>
      <c r="F35" t="s">
        <v>8541</v>
      </c>
      <c r="G35" t="s">
        <v>8542</v>
      </c>
      <c r="H35" t="s">
        <v>8543</v>
      </c>
      <c r="I35" t="s">
        <v>1090</v>
      </c>
      <c r="K35" t="s">
        <v>33</v>
      </c>
    </row>
    <row r="36" spans="1:11" x14ac:dyDescent="0.35">
      <c r="A36" t="s">
        <v>20</v>
      </c>
      <c r="B36">
        <v>17645</v>
      </c>
      <c r="C36" t="s">
        <v>949</v>
      </c>
      <c r="D36" t="s">
        <v>950</v>
      </c>
      <c r="E36" t="s">
        <v>8451</v>
      </c>
      <c r="F36" t="s">
        <v>8544</v>
      </c>
      <c r="G36" t="s">
        <v>8545</v>
      </c>
      <c r="H36" t="s">
        <v>8546</v>
      </c>
      <c r="I36" t="s">
        <v>1090</v>
      </c>
      <c r="K36" t="s">
        <v>33</v>
      </c>
    </row>
    <row r="37" spans="1:11" x14ac:dyDescent="0.35">
      <c r="A37" t="s">
        <v>20</v>
      </c>
      <c r="B37">
        <v>17645</v>
      </c>
      <c r="C37" t="s">
        <v>949</v>
      </c>
      <c r="D37" t="s">
        <v>950</v>
      </c>
      <c r="E37" t="s">
        <v>8547</v>
      </c>
      <c r="F37" t="s">
        <v>8548</v>
      </c>
      <c r="G37" t="s">
        <v>8549</v>
      </c>
      <c r="H37" t="s">
        <v>8550</v>
      </c>
      <c r="I37" t="s">
        <v>1090</v>
      </c>
      <c r="K37" t="s">
        <v>33</v>
      </c>
    </row>
    <row r="38" spans="1:11" x14ac:dyDescent="0.35">
      <c r="A38" t="s">
        <v>20</v>
      </c>
      <c r="B38">
        <v>17647</v>
      </c>
      <c r="C38" t="s">
        <v>1252</v>
      </c>
      <c r="D38" t="s">
        <v>1253</v>
      </c>
      <c r="E38" t="s">
        <v>8455</v>
      </c>
      <c r="F38" t="s">
        <v>8551</v>
      </c>
      <c r="G38" t="s">
        <v>8552</v>
      </c>
      <c r="H38" t="s">
        <v>8553</v>
      </c>
      <c r="I38" t="s">
        <v>1257</v>
      </c>
      <c r="K38" t="s">
        <v>33</v>
      </c>
    </row>
    <row r="39" spans="1:11" x14ac:dyDescent="0.35">
      <c r="A39" t="s">
        <v>20</v>
      </c>
      <c r="B39">
        <v>17647</v>
      </c>
      <c r="C39" t="s">
        <v>1252</v>
      </c>
      <c r="D39" t="s">
        <v>1253</v>
      </c>
      <c r="E39" t="s">
        <v>8459</v>
      </c>
      <c r="F39" t="s">
        <v>8554</v>
      </c>
      <c r="G39" t="s">
        <v>8555</v>
      </c>
      <c r="H39" t="s">
        <v>8556</v>
      </c>
      <c r="I39" t="s">
        <v>1257</v>
      </c>
      <c r="K39" t="s">
        <v>33</v>
      </c>
    </row>
    <row r="40" spans="1:11" x14ac:dyDescent="0.35">
      <c r="A40" t="s">
        <v>20</v>
      </c>
      <c r="B40">
        <v>17647</v>
      </c>
      <c r="C40" t="s">
        <v>1252</v>
      </c>
      <c r="D40" t="s">
        <v>1253</v>
      </c>
      <c r="E40" t="s">
        <v>8481</v>
      </c>
      <c r="F40" t="s">
        <v>8557</v>
      </c>
      <c r="G40" t="s">
        <v>8558</v>
      </c>
      <c r="H40" t="s">
        <v>8559</v>
      </c>
      <c r="I40" t="s">
        <v>1257</v>
      </c>
      <c r="K40" t="s">
        <v>33</v>
      </c>
    </row>
    <row r="41" spans="1:11" x14ac:dyDescent="0.35">
      <c r="A41" t="s">
        <v>20</v>
      </c>
      <c r="B41">
        <v>17647</v>
      </c>
      <c r="C41" t="s">
        <v>1252</v>
      </c>
      <c r="D41" t="s">
        <v>1253</v>
      </c>
      <c r="E41" t="s">
        <v>8485</v>
      </c>
      <c r="F41" t="s">
        <v>8560</v>
      </c>
      <c r="G41" t="s">
        <v>8561</v>
      </c>
      <c r="H41" t="s">
        <v>8562</v>
      </c>
      <c r="I41" t="s">
        <v>1257</v>
      </c>
      <c r="K41" t="s">
        <v>33</v>
      </c>
    </row>
    <row r="42" spans="1:11" x14ac:dyDescent="0.35">
      <c r="A42" t="s">
        <v>20</v>
      </c>
      <c r="B42">
        <v>17647</v>
      </c>
      <c r="C42" t="s">
        <v>1252</v>
      </c>
      <c r="D42" t="s">
        <v>1253</v>
      </c>
      <c r="E42" t="s">
        <v>8525</v>
      </c>
      <c r="F42" t="s">
        <v>8563</v>
      </c>
      <c r="G42" t="s">
        <v>8564</v>
      </c>
      <c r="H42" t="s">
        <v>8565</v>
      </c>
      <c r="I42" t="s">
        <v>1257</v>
      </c>
      <c r="K42" t="s">
        <v>33</v>
      </c>
    </row>
    <row r="43" spans="1:11" x14ac:dyDescent="0.35">
      <c r="A43" t="s">
        <v>20</v>
      </c>
      <c r="B43">
        <v>17647</v>
      </c>
      <c r="C43" t="s">
        <v>1252</v>
      </c>
      <c r="D43" t="s">
        <v>1253</v>
      </c>
      <c r="E43" t="s">
        <v>8566</v>
      </c>
      <c r="F43" t="s">
        <v>8567</v>
      </c>
      <c r="G43" t="s">
        <v>8568</v>
      </c>
      <c r="H43" t="s">
        <v>8569</v>
      </c>
      <c r="I43" t="s">
        <v>1257</v>
      </c>
      <c r="K43" t="s">
        <v>33</v>
      </c>
    </row>
    <row r="44" spans="1:11" x14ac:dyDescent="0.35">
      <c r="A44" t="s">
        <v>20</v>
      </c>
      <c r="B44">
        <v>17647</v>
      </c>
      <c r="C44" t="s">
        <v>1252</v>
      </c>
      <c r="D44" t="s">
        <v>1253</v>
      </c>
      <c r="E44" t="s">
        <v>8431</v>
      </c>
      <c r="F44" t="s">
        <v>8570</v>
      </c>
      <c r="G44" t="s">
        <v>8571</v>
      </c>
      <c r="H44" t="s">
        <v>8572</v>
      </c>
      <c r="I44" t="s">
        <v>1395</v>
      </c>
      <c r="K44" t="s">
        <v>33</v>
      </c>
    </row>
    <row r="45" spans="1:11" x14ac:dyDescent="0.35">
      <c r="A45" t="s">
        <v>20</v>
      </c>
      <c r="B45">
        <v>17647</v>
      </c>
      <c r="C45" t="s">
        <v>1252</v>
      </c>
      <c r="D45" t="s">
        <v>1253</v>
      </c>
      <c r="E45" t="s">
        <v>8435</v>
      </c>
      <c r="F45" t="s">
        <v>8573</v>
      </c>
      <c r="G45" t="s">
        <v>8574</v>
      </c>
      <c r="H45" t="s">
        <v>8575</v>
      </c>
      <c r="I45" t="s">
        <v>1395</v>
      </c>
      <c r="K45" t="s">
        <v>33</v>
      </c>
    </row>
    <row r="46" spans="1:11" x14ac:dyDescent="0.35">
      <c r="A46" t="s">
        <v>20</v>
      </c>
      <c r="B46">
        <v>17647</v>
      </c>
      <c r="C46" t="s">
        <v>1252</v>
      </c>
      <c r="D46" t="s">
        <v>1253</v>
      </c>
      <c r="E46" t="s">
        <v>8439</v>
      </c>
      <c r="F46" t="s">
        <v>8576</v>
      </c>
      <c r="G46" t="s">
        <v>8577</v>
      </c>
      <c r="H46" t="s">
        <v>8578</v>
      </c>
      <c r="I46" t="s">
        <v>1395</v>
      </c>
      <c r="K46" t="s">
        <v>33</v>
      </c>
    </row>
    <row r="47" spans="1:11" x14ac:dyDescent="0.35">
      <c r="A47" t="s">
        <v>20</v>
      </c>
      <c r="B47">
        <v>17647</v>
      </c>
      <c r="C47" t="s">
        <v>1252</v>
      </c>
      <c r="D47" t="s">
        <v>1253</v>
      </c>
      <c r="E47" t="s">
        <v>8443</v>
      </c>
      <c r="F47" t="s">
        <v>8579</v>
      </c>
      <c r="G47" t="s">
        <v>8580</v>
      </c>
      <c r="H47" t="s">
        <v>8581</v>
      </c>
      <c r="I47" t="s">
        <v>1395</v>
      </c>
      <c r="K47" t="s">
        <v>33</v>
      </c>
    </row>
    <row r="48" spans="1:11" x14ac:dyDescent="0.35">
      <c r="A48" t="s">
        <v>20</v>
      </c>
      <c r="B48">
        <v>17647</v>
      </c>
      <c r="C48" t="s">
        <v>1252</v>
      </c>
      <c r="D48" t="s">
        <v>1253</v>
      </c>
      <c r="E48" t="s">
        <v>8447</v>
      </c>
      <c r="F48" t="s">
        <v>8582</v>
      </c>
      <c r="G48" t="s">
        <v>8583</v>
      </c>
      <c r="H48" t="s">
        <v>8584</v>
      </c>
      <c r="I48" t="s">
        <v>1395</v>
      </c>
      <c r="K48" t="s">
        <v>33</v>
      </c>
    </row>
    <row r="49" spans="1:11" x14ac:dyDescent="0.35">
      <c r="A49" t="s">
        <v>20</v>
      </c>
      <c r="B49">
        <v>17647</v>
      </c>
      <c r="C49" t="s">
        <v>1252</v>
      </c>
      <c r="D49" t="s">
        <v>1253</v>
      </c>
      <c r="E49" t="s">
        <v>8451</v>
      </c>
      <c r="F49" t="s">
        <v>8585</v>
      </c>
      <c r="G49" t="s">
        <v>8586</v>
      </c>
      <c r="H49" t="s">
        <v>8587</v>
      </c>
      <c r="I49" t="s">
        <v>1395</v>
      </c>
      <c r="K49" t="s">
        <v>33</v>
      </c>
    </row>
    <row r="50" spans="1:11" x14ac:dyDescent="0.35">
      <c r="A50" t="s">
        <v>20</v>
      </c>
      <c r="B50">
        <v>17643</v>
      </c>
      <c r="C50" t="s">
        <v>426</v>
      </c>
      <c r="D50" t="s">
        <v>427</v>
      </c>
      <c r="E50" t="s">
        <v>8431</v>
      </c>
      <c r="F50" t="s">
        <v>8463</v>
      </c>
      <c r="G50" t="s">
        <v>8464</v>
      </c>
      <c r="H50" t="s">
        <v>8465</v>
      </c>
      <c r="I50" t="s">
        <v>431</v>
      </c>
      <c r="K50" t="s">
        <v>33</v>
      </c>
    </row>
    <row r="51" spans="1:11" x14ac:dyDescent="0.35">
      <c r="A51" t="s">
        <v>20</v>
      </c>
      <c r="B51">
        <v>17643</v>
      </c>
      <c r="C51" t="s">
        <v>426</v>
      </c>
      <c r="D51" t="s">
        <v>427</v>
      </c>
      <c r="E51" t="s">
        <v>8435</v>
      </c>
      <c r="F51" t="s">
        <v>8466</v>
      </c>
      <c r="G51" t="s">
        <v>8467</v>
      </c>
      <c r="H51" t="s">
        <v>8468</v>
      </c>
      <c r="I51" t="s">
        <v>431</v>
      </c>
      <c r="K51" t="s">
        <v>33</v>
      </c>
    </row>
    <row r="52" spans="1:11" x14ac:dyDescent="0.35">
      <c r="A52" t="s">
        <v>20</v>
      </c>
      <c r="B52">
        <v>17643</v>
      </c>
      <c r="C52" t="s">
        <v>426</v>
      </c>
      <c r="D52" t="s">
        <v>427</v>
      </c>
      <c r="E52" t="s">
        <v>8439</v>
      </c>
      <c r="F52" t="s">
        <v>8469</v>
      </c>
      <c r="G52" t="s">
        <v>8470</v>
      </c>
      <c r="H52" t="s">
        <v>8471</v>
      </c>
      <c r="I52" t="s">
        <v>431</v>
      </c>
      <c r="K52" t="s">
        <v>33</v>
      </c>
    </row>
    <row r="53" spans="1:11" x14ac:dyDescent="0.35">
      <c r="A53" t="s">
        <v>20</v>
      </c>
      <c r="B53">
        <v>17643</v>
      </c>
      <c r="C53" t="s">
        <v>426</v>
      </c>
      <c r="D53" t="s">
        <v>427</v>
      </c>
      <c r="E53" t="s">
        <v>8443</v>
      </c>
      <c r="F53" t="s">
        <v>8472</v>
      </c>
      <c r="G53" t="s">
        <v>8473</v>
      </c>
      <c r="H53" t="s">
        <v>8474</v>
      </c>
      <c r="I53" t="s">
        <v>431</v>
      </c>
      <c r="K53" t="s">
        <v>33</v>
      </c>
    </row>
    <row r="54" spans="1:11" x14ac:dyDescent="0.35">
      <c r="A54" t="s">
        <v>20</v>
      </c>
      <c r="B54">
        <v>17643</v>
      </c>
      <c r="C54" t="s">
        <v>426</v>
      </c>
      <c r="D54" t="s">
        <v>427</v>
      </c>
      <c r="E54" t="s">
        <v>8455</v>
      </c>
      <c r="F54" t="s">
        <v>8475</v>
      </c>
      <c r="G54" t="s">
        <v>8476</v>
      </c>
      <c r="H54" t="s">
        <v>8477</v>
      </c>
      <c r="I54" t="s">
        <v>557</v>
      </c>
      <c r="K54" t="s">
        <v>33</v>
      </c>
    </row>
    <row r="55" spans="1:11" x14ac:dyDescent="0.35">
      <c r="A55" t="s">
        <v>20</v>
      </c>
      <c r="B55">
        <v>17643</v>
      </c>
      <c r="C55" t="s">
        <v>426</v>
      </c>
      <c r="D55" t="s">
        <v>427</v>
      </c>
      <c r="E55" t="s">
        <v>8459</v>
      </c>
      <c r="F55" t="s">
        <v>8478</v>
      </c>
      <c r="G55" t="s">
        <v>8479</v>
      </c>
      <c r="H55" t="s">
        <v>8480</v>
      </c>
      <c r="I55" t="s">
        <v>557</v>
      </c>
      <c r="K55" t="s">
        <v>33</v>
      </c>
    </row>
    <row r="56" spans="1:11" x14ac:dyDescent="0.35">
      <c r="A56" t="s">
        <v>20</v>
      </c>
      <c r="B56">
        <v>17643</v>
      </c>
      <c r="C56" t="s">
        <v>426</v>
      </c>
      <c r="D56" t="s">
        <v>427</v>
      </c>
      <c r="E56" t="s">
        <v>8481</v>
      </c>
      <c r="F56" t="s">
        <v>8482</v>
      </c>
      <c r="G56" t="s">
        <v>8483</v>
      </c>
      <c r="H56" t="s">
        <v>8484</v>
      </c>
      <c r="I56" t="s">
        <v>557</v>
      </c>
      <c r="K56" t="s">
        <v>33</v>
      </c>
    </row>
    <row r="57" spans="1:11" x14ac:dyDescent="0.35">
      <c r="A57" t="s">
        <v>20</v>
      </c>
      <c r="B57">
        <v>17643</v>
      </c>
      <c r="C57" t="s">
        <v>426</v>
      </c>
      <c r="D57" t="s">
        <v>427</v>
      </c>
      <c r="E57" t="s">
        <v>8485</v>
      </c>
      <c r="F57" t="s">
        <v>8486</v>
      </c>
      <c r="G57" t="s">
        <v>8487</v>
      </c>
      <c r="H57" t="s">
        <v>8488</v>
      </c>
      <c r="I57" t="s">
        <v>557</v>
      </c>
      <c r="K57" t="s">
        <v>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I2" sqref="I2:I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15</v>
      </c>
      <c r="M1" t="s">
        <v>19</v>
      </c>
    </row>
    <row r="2" spans="1:13" x14ac:dyDescent="0.35">
      <c r="A2" t="s">
        <v>20</v>
      </c>
      <c r="B2">
        <v>17644</v>
      </c>
      <c r="C2" t="s">
        <v>21</v>
      </c>
      <c r="D2" t="s">
        <v>22</v>
      </c>
      <c r="E2" t="s">
        <v>8588</v>
      </c>
      <c r="F2" t="s">
        <v>8589</v>
      </c>
      <c r="G2" t="s">
        <v>8590</v>
      </c>
      <c r="H2" t="s">
        <v>8591</v>
      </c>
      <c r="I2" t="s">
        <v>27</v>
      </c>
      <c r="L2" t="s">
        <v>33</v>
      </c>
    </row>
    <row r="3" spans="1:13" x14ac:dyDescent="0.35">
      <c r="A3" t="s">
        <v>20</v>
      </c>
      <c r="B3">
        <v>17644</v>
      </c>
      <c r="C3" t="s">
        <v>21</v>
      </c>
      <c r="D3" t="s">
        <v>22</v>
      </c>
      <c r="E3" t="s">
        <v>8592</v>
      </c>
      <c r="F3" t="s">
        <v>8259</v>
      </c>
      <c r="G3" t="s">
        <v>8260</v>
      </c>
      <c r="H3" t="s">
        <v>8261</v>
      </c>
      <c r="I3" t="s">
        <v>27</v>
      </c>
      <c r="J3" t="s">
        <v>1537</v>
      </c>
      <c r="L3" t="s">
        <v>33</v>
      </c>
    </row>
    <row r="4" spans="1:13" x14ac:dyDescent="0.35">
      <c r="A4" t="s">
        <v>20</v>
      </c>
      <c r="B4">
        <v>17644</v>
      </c>
      <c r="C4" t="s">
        <v>21</v>
      </c>
      <c r="D4" t="s">
        <v>22</v>
      </c>
      <c r="E4" t="s">
        <v>8593</v>
      </c>
      <c r="F4" t="s">
        <v>8594</v>
      </c>
      <c r="G4" t="s">
        <v>8595</v>
      </c>
      <c r="H4" t="s">
        <v>8596</v>
      </c>
      <c r="I4" t="s">
        <v>27</v>
      </c>
      <c r="L4" t="s">
        <v>33</v>
      </c>
    </row>
    <row r="5" spans="1:13" x14ac:dyDescent="0.35">
      <c r="A5" t="s">
        <v>20</v>
      </c>
      <c r="B5">
        <v>17644</v>
      </c>
      <c r="C5" t="s">
        <v>21</v>
      </c>
      <c r="D5" t="s">
        <v>22</v>
      </c>
      <c r="E5" t="s">
        <v>8597</v>
      </c>
      <c r="F5" t="s">
        <v>8598</v>
      </c>
      <c r="G5" t="s">
        <v>8599</v>
      </c>
      <c r="H5" t="s">
        <v>8600</v>
      </c>
      <c r="I5" t="s">
        <v>27</v>
      </c>
      <c r="L5" t="s">
        <v>33</v>
      </c>
    </row>
    <row r="6" spans="1:13" x14ac:dyDescent="0.35">
      <c r="A6" t="s">
        <v>20</v>
      </c>
      <c r="B6">
        <v>17644</v>
      </c>
      <c r="C6" t="s">
        <v>21</v>
      </c>
      <c r="D6" t="s">
        <v>22</v>
      </c>
      <c r="E6" t="s">
        <v>8601</v>
      </c>
      <c r="F6" t="s">
        <v>8602</v>
      </c>
      <c r="G6" t="s">
        <v>8603</v>
      </c>
      <c r="H6" t="s">
        <v>8604</v>
      </c>
      <c r="I6" t="s">
        <v>27</v>
      </c>
      <c r="L6" t="s">
        <v>33</v>
      </c>
    </row>
    <row r="7" spans="1:13" x14ac:dyDescent="0.35">
      <c r="A7" t="s">
        <v>20</v>
      </c>
      <c r="B7">
        <v>17644</v>
      </c>
      <c r="C7" t="s">
        <v>21</v>
      </c>
      <c r="D7" t="s">
        <v>22</v>
      </c>
      <c r="E7" t="s">
        <v>8605</v>
      </c>
      <c r="F7" t="s">
        <v>8264</v>
      </c>
      <c r="G7" t="s">
        <v>8265</v>
      </c>
      <c r="H7" t="s">
        <v>8266</v>
      </c>
      <c r="I7" t="s">
        <v>238</v>
      </c>
      <c r="L7" t="s">
        <v>33</v>
      </c>
    </row>
    <row r="8" spans="1:13" x14ac:dyDescent="0.35">
      <c r="A8" t="s">
        <v>20</v>
      </c>
      <c r="B8">
        <v>17643</v>
      </c>
      <c r="C8" t="s">
        <v>426</v>
      </c>
      <c r="D8" t="s">
        <v>427</v>
      </c>
      <c r="E8" t="s">
        <v>8605</v>
      </c>
      <c r="F8" t="s">
        <v>8606</v>
      </c>
      <c r="G8" t="s">
        <v>8607</v>
      </c>
      <c r="H8" t="s">
        <v>8608</v>
      </c>
      <c r="I8" t="s">
        <v>431</v>
      </c>
      <c r="L8" t="s">
        <v>33</v>
      </c>
      <c r="M8" t="s">
        <v>432</v>
      </c>
    </row>
    <row r="9" spans="1:13" x14ac:dyDescent="0.35">
      <c r="A9" t="s">
        <v>20</v>
      </c>
      <c r="B9">
        <v>17643</v>
      </c>
      <c r="C9" t="s">
        <v>426</v>
      </c>
      <c r="D9" t="s">
        <v>427</v>
      </c>
      <c r="E9" t="s">
        <v>8609</v>
      </c>
      <c r="F9" t="s">
        <v>8610</v>
      </c>
      <c r="G9" t="s">
        <v>8611</v>
      </c>
      <c r="H9" t="s">
        <v>8612</v>
      </c>
      <c r="I9" t="s">
        <v>431</v>
      </c>
      <c r="L9" t="s">
        <v>33</v>
      </c>
      <c r="M9" t="s">
        <v>432</v>
      </c>
    </row>
    <row r="10" spans="1:13" x14ac:dyDescent="0.35">
      <c r="A10" t="s">
        <v>20</v>
      </c>
      <c r="B10">
        <v>17643</v>
      </c>
      <c r="C10" t="s">
        <v>426</v>
      </c>
      <c r="D10" t="s">
        <v>427</v>
      </c>
      <c r="E10" t="s">
        <v>8613</v>
      </c>
      <c r="F10" t="s">
        <v>8614</v>
      </c>
      <c r="G10" t="s">
        <v>8615</v>
      </c>
      <c r="H10" t="s">
        <v>8616</v>
      </c>
      <c r="I10" t="s">
        <v>431</v>
      </c>
      <c r="L10" t="s">
        <v>33</v>
      </c>
      <c r="M10" t="s">
        <v>432</v>
      </c>
    </row>
    <row r="11" spans="1:13" x14ac:dyDescent="0.35">
      <c r="A11" t="s">
        <v>20</v>
      </c>
      <c r="B11">
        <v>17643</v>
      </c>
      <c r="C11" t="s">
        <v>426</v>
      </c>
      <c r="D11" t="s">
        <v>427</v>
      </c>
      <c r="E11" t="s">
        <v>8617</v>
      </c>
      <c r="F11" t="s">
        <v>8618</v>
      </c>
      <c r="G11" t="s">
        <v>8619</v>
      </c>
      <c r="H11" t="s">
        <v>8620</v>
      </c>
      <c r="I11" t="s">
        <v>431</v>
      </c>
      <c r="L11" t="s">
        <v>33</v>
      </c>
      <c r="M11" t="s">
        <v>432</v>
      </c>
    </row>
    <row r="12" spans="1:13" x14ac:dyDescent="0.35">
      <c r="A12" t="s">
        <v>20</v>
      </c>
      <c r="B12">
        <v>17643</v>
      </c>
      <c r="C12" t="s">
        <v>426</v>
      </c>
      <c r="D12" t="s">
        <v>427</v>
      </c>
      <c r="E12" t="s">
        <v>8588</v>
      </c>
      <c r="F12" t="s">
        <v>8621</v>
      </c>
      <c r="G12" t="s">
        <v>8622</v>
      </c>
      <c r="H12" t="s">
        <v>8623</v>
      </c>
      <c r="I12" t="s">
        <v>557</v>
      </c>
      <c r="L12" t="s">
        <v>33</v>
      </c>
      <c r="M12" t="s">
        <v>432</v>
      </c>
    </row>
    <row r="13" spans="1:13" x14ac:dyDescent="0.35">
      <c r="A13" t="s">
        <v>20</v>
      </c>
      <c r="B13">
        <v>17643</v>
      </c>
      <c r="C13" t="s">
        <v>426</v>
      </c>
      <c r="D13" t="s">
        <v>427</v>
      </c>
      <c r="E13" t="s">
        <v>8592</v>
      </c>
      <c r="F13" t="s">
        <v>8624</v>
      </c>
      <c r="G13" t="s">
        <v>8625</v>
      </c>
      <c r="H13" t="s">
        <v>8626</v>
      </c>
      <c r="I13" t="s">
        <v>557</v>
      </c>
      <c r="L13" t="s">
        <v>33</v>
      </c>
      <c r="M13" t="s">
        <v>432</v>
      </c>
    </row>
    <row r="14" spans="1:13" x14ac:dyDescent="0.35">
      <c r="A14" t="s">
        <v>20</v>
      </c>
      <c r="B14">
        <v>17643</v>
      </c>
      <c r="C14" t="s">
        <v>426</v>
      </c>
      <c r="D14" t="s">
        <v>427</v>
      </c>
      <c r="E14" t="s">
        <v>8593</v>
      </c>
      <c r="F14" t="s">
        <v>8267</v>
      </c>
      <c r="G14" t="s">
        <v>8268</v>
      </c>
      <c r="H14" t="s">
        <v>8269</v>
      </c>
      <c r="I14" t="s">
        <v>557</v>
      </c>
      <c r="J14" t="s">
        <v>1568</v>
      </c>
      <c r="L14" t="s">
        <v>33</v>
      </c>
      <c r="M14" t="s">
        <v>432</v>
      </c>
    </row>
    <row r="15" spans="1:13" x14ac:dyDescent="0.35">
      <c r="A15" t="s">
        <v>20</v>
      </c>
      <c r="B15">
        <v>17646</v>
      </c>
      <c r="C15" t="s">
        <v>666</v>
      </c>
      <c r="D15" t="s">
        <v>667</v>
      </c>
      <c r="E15" t="s">
        <v>8588</v>
      </c>
      <c r="F15" t="s">
        <v>8627</v>
      </c>
      <c r="G15" t="s">
        <v>8628</v>
      </c>
      <c r="H15" t="s">
        <v>8629</v>
      </c>
      <c r="I15" t="s">
        <v>809</v>
      </c>
      <c r="L15" t="s">
        <v>33</v>
      </c>
    </row>
    <row r="16" spans="1:13" x14ac:dyDescent="0.35">
      <c r="A16" t="s">
        <v>20</v>
      </c>
      <c r="B16">
        <v>17646</v>
      </c>
      <c r="C16" t="s">
        <v>666</v>
      </c>
      <c r="D16" t="s">
        <v>667</v>
      </c>
      <c r="E16" t="s">
        <v>8592</v>
      </c>
      <c r="F16" t="s">
        <v>8630</v>
      </c>
      <c r="G16" t="s">
        <v>8631</v>
      </c>
      <c r="H16" t="s">
        <v>8632</v>
      </c>
      <c r="I16" t="s">
        <v>809</v>
      </c>
      <c r="L16" t="s">
        <v>33</v>
      </c>
    </row>
    <row r="17" spans="1:12" x14ac:dyDescent="0.35">
      <c r="A17" t="s">
        <v>20</v>
      </c>
      <c r="B17">
        <v>17646</v>
      </c>
      <c r="C17" t="s">
        <v>666</v>
      </c>
      <c r="D17" t="s">
        <v>667</v>
      </c>
      <c r="E17" t="s">
        <v>8593</v>
      </c>
      <c r="F17" t="s">
        <v>8270</v>
      </c>
      <c r="G17" t="s">
        <v>8271</v>
      </c>
      <c r="H17" t="s">
        <v>8272</v>
      </c>
      <c r="I17" t="s">
        <v>809</v>
      </c>
      <c r="L17" t="s">
        <v>33</v>
      </c>
    </row>
    <row r="18" spans="1:12" x14ac:dyDescent="0.35">
      <c r="A18" t="s">
        <v>20</v>
      </c>
      <c r="B18">
        <v>17646</v>
      </c>
      <c r="C18" t="s">
        <v>666</v>
      </c>
      <c r="D18" t="s">
        <v>667</v>
      </c>
      <c r="E18" t="s">
        <v>8597</v>
      </c>
      <c r="F18" t="s">
        <v>8275</v>
      </c>
      <c r="G18" t="s">
        <v>8276</v>
      </c>
      <c r="H18" t="s">
        <v>8277</v>
      </c>
      <c r="I18" t="s">
        <v>809</v>
      </c>
      <c r="L18" t="s">
        <v>33</v>
      </c>
    </row>
    <row r="19" spans="1:12" x14ac:dyDescent="0.35">
      <c r="A19" t="s">
        <v>20</v>
      </c>
      <c r="B19">
        <v>17646</v>
      </c>
      <c r="C19" t="s">
        <v>666</v>
      </c>
      <c r="D19" t="s">
        <v>667</v>
      </c>
      <c r="E19" t="s">
        <v>8605</v>
      </c>
      <c r="F19" t="s">
        <v>8633</v>
      </c>
      <c r="G19" t="s">
        <v>8634</v>
      </c>
      <c r="H19" t="s">
        <v>8635</v>
      </c>
      <c r="I19" t="s">
        <v>671</v>
      </c>
      <c r="L19" t="s">
        <v>33</v>
      </c>
    </row>
    <row r="20" spans="1:12" x14ac:dyDescent="0.35">
      <c r="A20" t="s">
        <v>20</v>
      </c>
      <c r="B20">
        <v>17646</v>
      </c>
      <c r="C20" t="s">
        <v>666</v>
      </c>
      <c r="D20" t="s">
        <v>667</v>
      </c>
      <c r="E20" t="s">
        <v>8609</v>
      </c>
      <c r="F20" t="s">
        <v>715</v>
      </c>
      <c r="G20" t="s">
        <v>8636</v>
      </c>
      <c r="H20" t="s">
        <v>8637</v>
      </c>
      <c r="I20" t="s">
        <v>671</v>
      </c>
      <c r="L20" t="s">
        <v>33</v>
      </c>
    </row>
    <row r="21" spans="1:12" x14ac:dyDescent="0.35">
      <c r="A21" t="s">
        <v>20</v>
      </c>
      <c r="B21">
        <v>17646</v>
      </c>
      <c r="C21" t="s">
        <v>666</v>
      </c>
      <c r="D21" t="s">
        <v>667</v>
      </c>
      <c r="E21" t="s">
        <v>8613</v>
      </c>
      <c r="F21" t="s">
        <v>8278</v>
      </c>
      <c r="G21" t="s">
        <v>8279</v>
      </c>
      <c r="H21" t="s">
        <v>8280</v>
      </c>
      <c r="I21" t="s">
        <v>671</v>
      </c>
      <c r="L21" t="s">
        <v>33</v>
      </c>
    </row>
    <row r="22" spans="1:12" x14ac:dyDescent="0.35">
      <c r="A22" t="s">
        <v>20</v>
      </c>
      <c r="B22">
        <v>17645</v>
      </c>
      <c r="C22" t="s">
        <v>949</v>
      </c>
      <c r="D22" t="s">
        <v>950</v>
      </c>
      <c r="E22" t="s">
        <v>8588</v>
      </c>
      <c r="F22" t="s">
        <v>8638</v>
      </c>
      <c r="G22" t="s">
        <v>8639</v>
      </c>
      <c r="H22" t="s">
        <v>8640</v>
      </c>
      <c r="I22" t="s">
        <v>954</v>
      </c>
      <c r="L22" t="s">
        <v>33</v>
      </c>
    </row>
    <row r="23" spans="1:12" x14ac:dyDescent="0.35">
      <c r="A23" t="s">
        <v>20</v>
      </c>
      <c r="B23">
        <v>17645</v>
      </c>
      <c r="C23" t="s">
        <v>949</v>
      </c>
      <c r="D23" t="s">
        <v>950</v>
      </c>
      <c r="E23" t="s">
        <v>8592</v>
      </c>
      <c r="F23" t="s">
        <v>8281</v>
      </c>
      <c r="G23" t="s">
        <v>8282</v>
      </c>
      <c r="H23" t="s">
        <v>8283</v>
      </c>
      <c r="I23" t="s">
        <v>954</v>
      </c>
      <c r="L23" t="s">
        <v>33</v>
      </c>
    </row>
    <row r="24" spans="1:12" x14ac:dyDescent="0.35">
      <c r="A24" t="s">
        <v>20</v>
      </c>
      <c r="B24">
        <v>17647</v>
      </c>
      <c r="C24" t="s">
        <v>1252</v>
      </c>
      <c r="D24" t="s">
        <v>1253</v>
      </c>
      <c r="E24" t="s">
        <v>8588</v>
      </c>
      <c r="F24" t="s">
        <v>8285</v>
      </c>
      <c r="G24" t="s">
        <v>8286</v>
      </c>
      <c r="H24" t="s">
        <v>8287</v>
      </c>
      <c r="I24" t="s">
        <v>1257</v>
      </c>
      <c r="L24" t="s">
        <v>33</v>
      </c>
    </row>
    <row r="25" spans="1:12" x14ac:dyDescent="0.35">
      <c r="A25" t="s">
        <v>20</v>
      </c>
      <c r="B25">
        <v>17647</v>
      </c>
      <c r="C25" t="s">
        <v>1252</v>
      </c>
      <c r="D25" t="s">
        <v>1253</v>
      </c>
      <c r="E25" t="s">
        <v>8592</v>
      </c>
      <c r="F25" t="s">
        <v>8288</v>
      </c>
      <c r="G25" t="s">
        <v>8289</v>
      </c>
      <c r="H25" t="s">
        <v>8290</v>
      </c>
      <c r="I25" t="s">
        <v>1257</v>
      </c>
      <c r="J25" t="s">
        <v>1607</v>
      </c>
      <c r="L25" t="s">
        <v>33</v>
      </c>
    </row>
    <row r="26" spans="1:12" x14ac:dyDescent="0.35">
      <c r="A26" t="s">
        <v>20</v>
      </c>
      <c r="B26">
        <v>17647</v>
      </c>
      <c r="C26" t="s">
        <v>1252</v>
      </c>
      <c r="D26" t="s">
        <v>1253</v>
      </c>
      <c r="E26" t="s">
        <v>8593</v>
      </c>
      <c r="F26" t="s">
        <v>8292</v>
      </c>
      <c r="G26" t="s">
        <v>8293</v>
      </c>
      <c r="H26" t="s">
        <v>8294</v>
      </c>
      <c r="I26" t="s">
        <v>1257</v>
      </c>
      <c r="J26" t="s">
        <v>1537</v>
      </c>
      <c r="L26" t="s">
        <v>33</v>
      </c>
    </row>
    <row r="27" spans="1:12" x14ac:dyDescent="0.35">
      <c r="A27" t="s">
        <v>20</v>
      </c>
      <c r="B27">
        <v>17647</v>
      </c>
      <c r="C27" t="s">
        <v>1252</v>
      </c>
      <c r="D27" t="s">
        <v>1253</v>
      </c>
      <c r="E27" t="s">
        <v>8597</v>
      </c>
      <c r="F27" t="s">
        <v>8641</v>
      </c>
      <c r="G27" t="s">
        <v>8642</v>
      </c>
      <c r="H27" t="s">
        <v>8643</v>
      </c>
      <c r="I27" t="s">
        <v>1257</v>
      </c>
      <c r="L27" t="s">
        <v>33</v>
      </c>
    </row>
    <row r="28" spans="1:12" x14ac:dyDescent="0.35">
      <c r="A28" t="s">
        <v>20</v>
      </c>
      <c r="B28">
        <v>17647</v>
      </c>
      <c r="C28" t="s">
        <v>1252</v>
      </c>
      <c r="D28" t="s">
        <v>1253</v>
      </c>
      <c r="E28" t="s">
        <v>8605</v>
      </c>
      <c r="F28" t="s">
        <v>8644</v>
      </c>
      <c r="G28" t="s">
        <v>8645</v>
      </c>
      <c r="H28" t="s">
        <v>8646</v>
      </c>
      <c r="I28" t="s">
        <v>1395</v>
      </c>
      <c r="L28" t="s">
        <v>33</v>
      </c>
    </row>
    <row r="29" spans="1:12" x14ac:dyDescent="0.35">
      <c r="A29" t="s">
        <v>20</v>
      </c>
      <c r="B29">
        <v>17647</v>
      </c>
      <c r="C29" t="s">
        <v>1252</v>
      </c>
      <c r="D29" t="s">
        <v>1253</v>
      </c>
      <c r="E29" t="s">
        <v>8609</v>
      </c>
      <c r="F29" t="s">
        <v>8295</v>
      </c>
      <c r="G29" t="s">
        <v>8296</v>
      </c>
      <c r="H29" t="s">
        <v>8297</v>
      </c>
      <c r="I29" t="s">
        <v>1395</v>
      </c>
      <c r="J29" t="s">
        <v>1670</v>
      </c>
      <c r="L29" t="s">
        <v>33</v>
      </c>
    </row>
    <row r="30" spans="1:12" x14ac:dyDescent="0.35">
      <c r="A30" t="s">
        <v>20</v>
      </c>
      <c r="B30">
        <v>17647</v>
      </c>
      <c r="C30" t="s">
        <v>1252</v>
      </c>
      <c r="D30" t="s">
        <v>1253</v>
      </c>
      <c r="E30" t="s">
        <v>8613</v>
      </c>
      <c r="F30" t="s">
        <v>8299</v>
      </c>
      <c r="G30" t="s">
        <v>8300</v>
      </c>
      <c r="H30" t="s">
        <v>8301</v>
      </c>
      <c r="I30" t="s">
        <v>1395</v>
      </c>
      <c r="L30" t="s">
        <v>33</v>
      </c>
    </row>
    <row r="31" spans="1:12" x14ac:dyDescent="0.35">
      <c r="A31" t="s">
        <v>20</v>
      </c>
      <c r="B31">
        <v>17643</v>
      </c>
      <c r="C31" t="s">
        <v>426</v>
      </c>
      <c r="D31" t="s">
        <v>427</v>
      </c>
      <c r="E31" t="s">
        <v>8605</v>
      </c>
      <c r="F31" t="s">
        <v>8606</v>
      </c>
      <c r="G31" t="s">
        <v>8607</v>
      </c>
      <c r="H31" t="s">
        <v>8608</v>
      </c>
      <c r="I31" t="s">
        <v>431</v>
      </c>
      <c r="L31" t="s">
        <v>33</v>
      </c>
    </row>
    <row r="32" spans="1:12" x14ac:dyDescent="0.35">
      <c r="A32" t="s">
        <v>20</v>
      </c>
      <c r="B32">
        <v>17643</v>
      </c>
      <c r="C32" t="s">
        <v>426</v>
      </c>
      <c r="D32" t="s">
        <v>427</v>
      </c>
      <c r="E32" t="s">
        <v>8609</v>
      </c>
      <c r="F32" t="s">
        <v>8610</v>
      </c>
      <c r="G32" t="s">
        <v>8611</v>
      </c>
      <c r="H32" t="s">
        <v>8612</v>
      </c>
      <c r="I32" t="s">
        <v>431</v>
      </c>
      <c r="L32" t="s">
        <v>33</v>
      </c>
    </row>
    <row r="33" spans="1:12" x14ac:dyDescent="0.35">
      <c r="A33" t="s">
        <v>20</v>
      </c>
      <c r="B33">
        <v>17643</v>
      </c>
      <c r="C33" t="s">
        <v>426</v>
      </c>
      <c r="D33" t="s">
        <v>427</v>
      </c>
      <c r="E33" t="s">
        <v>8613</v>
      </c>
      <c r="F33" t="s">
        <v>8614</v>
      </c>
      <c r="G33" t="s">
        <v>8615</v>
      </c>
      <c r="H33" t="s">
        <v>8616</v>
      </c>
      <c r="I33" t="s">
        <v>431</v>
      </c>
      <c r="L33" t="s">
        <v>33</v>
      </c>
    </row>
    <row r="34" spans="1:12" x14ac:dyDescent="0.35">
      <c r="A34" t="s">
        <v>20</v>
      </c>
      <c r="B34">
        <v>17643</v>
      </c>
      <c r="C34" t="s">
        <v>426</v>
      </c>
      <c r="D34" t="s">
        <v>427</v>
      </c>
      <c r="E34" t="s">
        <v>8617</v>
      </c>
      <c r="F34" t="s">
        <v>8618</v>
      </c>
      <c r="G34" t="s">
        <v>8619</v>
      </c>
      <c r="H34" t="s">
        <v>8620</v>
      </c>
      <c r="I34" t="s">
        <v>431</v>
      </c>
      <c r="L34" t="s">
        <v>33</v>
      </c>
    </row>
    <row r="35" spans="1:12" x14ac:dyDescent="0.35">
      <c r="A35" t="s">
        <v>20</v>
      </c>
      <c r="B35">
        <v>17643</v>
      </c>
      <c r="C35" t="s">
        <v>426</v>
      </c>
      <c r="D35" t="s">
        <v>427</v>
      </c>
      <c r="E35" t="s">
        <v>8588</v>
      </c>
      <c r="F35" t="s">
        <v>8621</v>
      </c>
      <c r="G35" t="s">
        <v>8622</v>
      </c>
      <c r="H35" t="s">
        <v>8623</v>
      </c>
      <c r="I35" t="s">
        <v>557</v>
      </c>
      <c r="L35" t="s">
        <v>33</v>
      </c>
    </row>
    <row r="36" spans="1:12" x14ac:dyDescent="0.35">
      <c r="A36" t="s">
        <v>20</v>
      </c>
      <c r="B36">
        <v>17643</v>
      </c>
      <c r="C36" t="s">
        <v>426</v>
      </c>
      <c r="D36" t="s">
        <v>427</v>
      </c>
      <c r="E36" t="s">
        <v>8592</v>
      </c>
      <c r="F36" t="s">
        <v>8624</v>
      </c>
      <c r="G36" t="s">
        <v>8625</v>
      </c>
      <c r="H36" t="s">
        <v>8626</v>
      </c>
      <c r="I36" t="s">
        <v>557</v>
      </c>
      <c r="L36" t="s">
        <v>33</v>
      </c>
    </row>
    <row r="37" spans="1:12" x14ac:dyDescent="0.35">
      <c r="A37" t="s">
        <v>20</v>
      </c>
      <c r="B37">
        <v>17643</v>
      </c>
      <c r="C37" t="s">
        <v>426</v>
      </c>
      <c r="D37" t="s">
        <v>427</v>
      </c>
      <c r="E37" t="s">
        <v>8593</v>
      </c>
      <c r="F37" t="s">
        <v>8267</v>
      </c>
      <c r="G37" t="s">
        <v>8268</v>
      </c>
      <c r="H37" t="s">
        <v>8269</v>
      </c>
      <c r="I37" t="s">
        <v>557</v>
      </c>
      <c r="J37" t="s">
        <v>1568</v>
      </c>
      <c r="L37" t="s">
        <v>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I2" sqref="I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8647</v>
      </c>
      <c r="L1" t="s">
        <v>15</v>
      </c>
      <c r="M1" t="s">
        <v>19</v>
      </c>
    </row>
    <row r="2" spans="1:13" x14ac:dyDescent="0.35">
      <c r="A2" t="s">
        <v>20</v>
      </c>
      <c r="B2">
        <v>17644</v>
      </c>
      <c r="C2" t="s">
        <v>21</v>
      </c>
      <c r="D2" t="s">
        <v>22</v>
      </c>
      <c r="E2" t="s">
        <v>8648</v>
      </c>
      <c r="F2" t="s">
        <v>8649</v>
      </c>
      <c r="G2" t="s">
        <v>8650</v>
      </c>
      <c r="H2" t="s">
        <v>8651</v>
      </c>
      <c r="I2" t="s">
        <v>27</v>
      </c>
      <c r="J2" t="s">
        <v>8652</v>
      </c>
      <c r="K2" t="s">
        <v>38</v>
      </c>
      <c r="L2" t="s">
        <v>33</v>
      </c>
    </row>
    <row r="3" spans="1:13" x14ac:dyDescent="0.35">
      <c r="A3" t="s">
        <v>20</v>
      </c>
      <c r="B3">
        <v>17643</v>
      </c>
      <c r="C3" t="s">
        <v>426</v>
      </c>
      <c r="D3" t="s">
        <v>427</v>
      </c>
      <c r="E3" t="s">
        <v>8653</v>
      </c>
      <c r="F3" t="s">
        <v>8654</v>
      </c>
      <c r="G3" t="s">
        <v>8655</v>
      </c>
      <c r="H3" t="s">
        <v>8656</v>
      </c>
      <c r="I3" t="s">
        <v>557</v>
      </c>
      <c r="J3" t="s">
        <v>2182</v>
      </c>
      <c r="K3" t="s">
        <v>28</v>
      </c>
      <c r="L3" t="s">
        <v>33</v>
      </c>
      <c r="M3" t="s">
        <v>432</v>
      </c>
    </row>
    <row r="4" spans="1:13" x14ac:dyDescent="0.35">
      <c r="A4" t="s">
        <v>20</v>
      </c>
      <c r="B4">
        <v>17643</v>
      </c>
      <c r="C4" t="s">
        <v>426</v>
      </c>
      <c r="D4" t="s">
        <v>427</v>
      </c>
      <c r="E4" t="s">
        <v>8657</v>
      </c>
      <c r="F4" t="s">
        <v>8658</v>
      </c>
      <c r="G4" t="s">
        <v>8659</v>
      </c>
      <c r="H4" t="s">
        <v>8660</v>
      </c>
      <c r="I4" t="s">
        <v>557</v>
      </c>
      <c r="J4" t="s">
        <v>8661</v>
      </c>
      <c r="K4" t="s">
        <v>28</v>
      </c>
      <c r="L4" t="s">
        <v>33</v>
      </c>
      <c r="M4" t="s">
        <v>432</v>
      </c>
    </row>
    <row r="5" spans="1:13" x14ac:dyDescent="0.35">
      <c r="A5" t="s">
        <v>20</v>
      </c>
      <c r="B5">
        <v>17643</v>
      </c>
      <c r="C5" t="s">
        <v>426</v>
      </c>
      <c r="D5" t="s">
        <v>427</v>
      </c>
      <c r="E5" t="s">
        <v>8662</v>
      </c>
      <c r="F5" t="s">
        <v>8663</v>
      </c>
      <c r="G5" t="s">
        <v>8664</v>
      </c>
      <c r="H5" t="s">
        <v>8665</v>
      </c>
      <c r="I5" t="s">
        <v>431</v>
      </c>
      <c r="K5" t="s">
        <v>28</v>
      </c>
      <c r="L5" t="s">
        <v>33</v>
      </c>
      <c r="M5" t="s">
        <v>432</v>
      </c>
    </row>
    <row r="6" spans="1:13" x14ac:dyDescent="0.35">
      <c r="A6" t="s">
        <v>20</v>
      </c>
      <c r="B6">
        <v>17643</v>
      </c>
      <c r="C6" t="s">
        <v>426</v>
      </c>
      <c r="D6" t="s">
        <v>427</v>
      </c>
      <c r="E6" t="s">
        <v>8666</v>
      </c>
      <c r="F6" t="s">
        <v>8667</v>
      </c>
      <c r="G6" t="s">
        <v>8668</v>
      </c>
      <c r="H6" t="s">
        <v>8669</v>
      </c>
      <c r="I6" t="s">
        <v>431</v>
      </c>
      <c r="J6" t="s">
        <v>2078</v>
      </c>
      <c r="K6" t="s">
        <v>38</v>
      </c>
      <c r="L6" t="s">
        <v>33</v>
      </c>
      <c r="M6" t="s">
        <v>432</v>
      </c>
    </row>
    <row r="7" spans="1:13" x14ac:dyDescent="0.35">
      <c r="A7" t="s">
        <v>20</v>
      </c>
      <c r="B7">
        <v>17643</v>
      </c>
      <c r="C7" t="s">
        <v>426</v>
      </c>
      <c r="D7" t="s">
        <v>427</v>
      </c>
      <c r="E7" t="s">
        <v>8670</v>
      </c>
      <c r="F7" t="s">
        <v>8671</v>
      </c>
      <c r="G7" t="s">
        <v>8672</v>
      </c>
      <c r="H7" t="s">
        <v>8673</v>
      </c>
      <c r="I7" t="s">
        <v>431</v>
      </c>
      <c r="K7" t="s">
        <v>38</v>
      </c>
      <c r="L7" t="s">
        <v>33</v>
      </c>
      <c r="M7" t="s">
        <v>432</v>
      </c>
    </row>
    <row r="8" spans="1:13" x14ac:dyDescent="0.35">
      <c r="A8" t="s">
        <v>20</v>
      </c>
      <c r="B8">
        <v>17647</v>
      </c>
      <c r="C8" t="s">
        <v>1252</v>
      </c>
      <c r="D8" t="s">
        <v>1253</v>
      </c>
      <c r="E8" t="s">
        <v>8662</v>
      </c>
      <c r="F8" t="s">
        <v>8674</v>
      </c>
      <c r="G8" t="s">
        <v>8675</v>
      </c>
      <c r="H8" t="s">
        <v>8676</v>
      </c>
      <c r="I8" t="s">
        <v>1395</v>
      </c>
      <c r="K8" t="s">
        <v>28</v>
      </c>
      <c r="L8" t="s">
        <v>33</v>
      </c>
    </row>
    <row r="9" spans="1:13" x14ac:dyDescent="0.35">
      <c r="A9" t="s">
        <v>20</v>
      </c>
      <c r="B9">
        <v>17643</v>
      </c>
      <c r="C9" t="s">
        <v>426</v>
      </c>
      <c r="D9" t="s">
        <v>427</v>
      </c>
      <c r="E9" t="s">
        <v>8653</v>
      </c>
      <c r="F9" t="s">
        <v>8654</v>
      </c>
      <c r="G9" t="s">
        <v>8655</v>
      </c>
      <c r="H9" t="s">
        <v>8656</v>
      </c>
      <c r="I9" t="s">
        <v>557</v>
      </c>
      <c r="J9" t="s">
        <v>2182</v>
      </c>
      <c r="K9" t="s">
        <v>28</v>
      </c>
      <c r="L9" t="s">
        <v>33</v>
      </c>
    </row>
    <row r="10" spans="1:13" x14ac:dyDescent="0.35">
      <c r="A10" t="s">
        <v>20</v>
      </c>
      <c r="B10">
        <v>17643</v>
      </c>
      <c r="C10" t="s">
        <v>426</v>
      </c>
      <c r="D10" t="s">
        <v>427</v>
      </c>
      <c r="E10" t="s">
        <v>8657</v>
      </c>
      <c r="F10" t="s">
        <v>8658</v>
      </c>
      <c r="G10" t="s">
        <v>8659</v>
      </c>
      <c r="H10" t="s">
        <v>8660</v>
      </c>
      <c r="I10" t="s">
        <v>557</v>
      </c>
      <c r="J10" t="s">
        <v>8661</v>
      </c>
      <c r="K10" t="s">
        <v>28</v>
      </c>
      <c r="L10" t="s">
        <v>33</v>
      </c>
    </row>
    <row r="11" spans="1:13" x14ac:dyDescent="0.35">
      <c r="A11" t="s">
        <v>20</v>
      </c>
      <c r="B11">
        <v>17643</v>
      </c>
      <c r="C11" t="s">
        <v>426</v>
      </c>
      <c r="D11" t="s">
        <v>427</v>
      </c>
      <c r="E11" t="s">
        <v>8662</v>
      </c>
      <c r="F11" t="s">
        <v>8663</v>
      </c>
      <c r="G11" t="s">
        <v>8664</v>
      </c>
      <c r="H11" t="s">
        <v>8665</v>
      </c>
      <c r="I11" t="s">
        <v>431</v>
      </c>
      <c r="K11" t="s">
        <v>28</v>
      </c>
      <c r="L11" t="s">
        <v>33</v>
      </c>
    </row>
    <row r="12" spans="1:13" x14ac:dyDescent="0.35">
      <c r="A12" t="s">
        <v>20</v>
      </c>
      <c r="B12">
        <v>17643</v>
      </c>
      <c r="C12" t="s">
        <v>426</v>
      </c>
      <c r="D12" t="s">
        <v>427</v>
      </c>
      <c r="E12" t="s">
        <v>8666</v>
      </c>
      <c r="F12" t="s">
        <v>8667</v>
      </c>
      <c r="G12" t="s">
        <v>8668</v>
      </c>
      <c r="H12" t="s">
        <v>8669</v>
      </c>
      <c r="I12" t="s">
        <v>431</v>
      </c>
      <c r="J12" t="s">
        <v>2078</v>
      </c>
      <c r="K12" t="s">
        <v>38</v>
      </c>
      <c r="L12" t="s">
        <v>33</v>
      </c>
    </row>
    <row r="13" spans="1:13" x14ac:dyDescent="0.35">
      <c r="A13" t="s">
        <v>20</v>
      </c>
      <c r="B13">
        <v>17643</v>
      </c>
      <c r="C13" t="s">
        <v>426</v>
      </c>
      <c r="D13" t="s">
        <v>427</v>
      </c>
      <c r="E13" t="s">
        <v>8670</v>
      </c>
      <c r="F13" t="s">
        <v>8671</v>
      </c>
      <c r="G13" t="s">
        <v>8672</v>
      </c>
      <c r="H13" t="s">
        <v>8673</v>
      </c>
      <c r="I13" t="s">
        <v>431</v>
      </c>
      <c r="K13" t="s">
        <v>38</v>
      </c>
      <c r="L13" t="s">
        <v>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"/>
  <sheetViews>
    <sheetView workbookViewId="0">
      <selection activeCell="I2" sqref="I2:I14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8677</v>
      </c>
      <c r="M1" t="s">
        <v>8678</v>
      </c>
      <c r="N1" t="s">
        <v>2548</v>
      </c>
      <c r="O1" t="s">
        <v>2009</v>
      </c>
      <c r="P1" t="s">
        <v>2010</v>
      </c>
      <c r="Q1" t="s">
        <v>15</v>
      </c>
      <c r="R1" t="s">
        <v>19</v>
      </c>
    </row>
    <row r="2" spans="1:18" x14ac:dyDescent="0.35">
      <c r="A2" t="s">
        <v>20</v>
      </c>
      <c r="B2">
        <v>17644</v>
      </c>
      <c r="C2" t="s">
        <v>21</v>
      </c>
      <c r="D2" t="s">
        <v>22</v>
      </c>
      <c r="E2" t="s">
        <v>8679</v>
      </c>
      <c r="F2" t="s">
        <v>8680</v>
      </c>
      <c r="G2" t="s">
        <v>8681</v>
      </c>
      <c r="H2" t="s">
        <v>8682</v>
      </c>
      <c r="I2" t="s">
        <v>27</v>
      </c>
      <c r="K2" t="s">
        <v>46</v>
      </c>
      <c r="L2" t="s">
        <v>8683</v>
      </c>
      <c r="M2" t="s">
        <v>8684</v>
      </c>
      <c r="O2">
        <v>0.59088419976635509</v>
      </c>
      <c r="P2">
        <v>0.69409722222222214</v>
      </c>
      <c r="Q2" t="s">
        <v>33</v>
      </c>
    </row>
    <row r="3" spans="1:18" x14ac:dyDescent="0.35">
      <c r="A3" t="s">
        <v>20</v>
      </c>
      <c r="B3">
        <v>17644</v>
      </c>
      <c r="C3" t="s">
        <v>21</v>
      </c>
      <c r="D3" t="s">
        <v>22</v>
      </c>
      <c r="E3" t="s">
        <v>8685</v>
      </c>
      <c r="F3" t="s">
        <v>8686</v>
      </c>
      <c r="G3" t="s">
        <v>8687</v>
      </c>
      <c r="H3" t="s">
        <v>8688</v>
      </c>
      <c r="I3" t="s">
        <v>27</v>
      </c>
      <c r="K3" t="s">
        <v>46</v>
      </c>
      <c r="L3" t="s">
        <v>8683</v>
      </c>
      <c r="M3" t="s">
        <v>8684</v>
      </c>
      <c r="O3">
        <v>0.5774313668224299</v>
      </c>
      <c r="P3">
        <v>0.22650462962962961</v>
      </c>
      <c r="Q3" t="s">
        <v>33</v>
      </c>
    </row>
    <row r="4" spans="1:18" x14ac:dyDescent="0.35">
      <c r="A4" t="s">
        <v>20</v>
      </c>
      <c r="B4">
        <v>17644</v>
      </c>
      <c r="C4" t="s">
        <v>21</v>
      </c>
      <c r="D4" t="s">
        <v>22</v>
      </c>
      <c r="E4" t="s">
        <v>8689</v>
      </c>
      <c r="F4" t="s">
        <v>8690</v>
      </c>
      <c r="G4" t="s">
        <v>8691</v>
      </c>
      <c r="H4" t="s">
        <v>8692</v>
      </c>
      <c r="I4" t="s">
        <v>27</v>
      </c>
      <c r="K4" t="s">
        <v>38</v>
      </c>
      <c r="L4" t="s">
        <v>8683</v>
      </c>
      <c r="M4" t="s">
        <v>8684</v>
      </c>
      <c r="N4" t="s">
        <v>8693</v>
      </c>
      <c r="O4">
        <v>0.94525773948598124</v>
      </c>
      <c r="P4">
        <v>0.54189814814814818</v>
      </c>
      <c r="Q4" t="s">
        <v>33</v>
      </c>
    </row>
    <row r="5" spans="1:18" x14ac:dyDescent="0.35">
      <c r="A5" t="s">
        <v>20</v>
      </c>
      <c r="B5">
        <v>17644</v>
      </c>
      <c r="C5" t="s">
        <v>21</v>
      </c>
      <c r="D5" t="s">
        <v>22</v>
      </c>
      <c r="E5" t="s">
        <v>8694</v>
      </c>
      <c r="F5" t="s">
        <v>8695</v>
      </c>
      <c r="G5" t="s">
        <v>8696</v>
      </c>
      <c r="H5" t="s">
        <v>8697</v>
      </c>
      <c r="I5" t="s">
        <v>27</v>
      </c>
      <c r="K5" t="s">
        <v>38</v>
      </c>
      <c r="L5" t="s">
        <v>8698</v>
      </c>
      <c r="M5" t="s">
        <v>8684</v>
      </c>
      <c r="N5" t="s">
        <v>8693</v>
      </c>
      <c r="Q5" t="s">
        <v>33</v>
      </c>
    </row>
    <row r="6" spans="1:18" x14ac:dyDescent="0.35">
      <c r="A6" t="s">
        <v>20</v>
      </c>
      <c r="B6">
        <v>17644</v>
      </c>
      <c r="C6" t="s">
        <v>21</v>
      </c>
      <c r="D6" t="s">
        <v>22</v>
      </c>
      <c r="E6" t="s">
        <v>8699</v>
      </c>
      <c r="F6" t="s">
        <v>8700</v>
      </c>
      <c r="G6" t="s">
        <v>8701</v>
      </c>
      <c r="H6" t="s">
        <v>8702</v>
      </c>
      <c r="I6" t="s">
        <v>27</v>
      </c>
      <c r="K6" t="s">
        <v>38</v>
      </c>
      <c r="L6" t="s">
        <v>8683</v>
      </c>
      <c r="M6" t="s">
        <v>8684</v>
      </c>
      <c r="N6" t="s">
        <v>8703</v>
      </c>
      <c r="Q6" t="s">
        <v>33</v>
      </c>
    </row>
    <row r="7" spans="1:18" x14ac:dyDescent="0.35">
      <c r="A7" t="s">
        <v>20</v>
      </c>
      <c r="B7">
        <v>17644</v>
      </c>
      <c r="C7" t="s">
        <v>21</v>
      </c>
      <c r="D7" t="s">
        <v>22</v>
      </c>
      <c r="E7" t="s">
        <v>8704</v>
      </c>
      <c r="F7" t="s">
        <v>8705</v>
      </c>
      <c r="G7" t="s">
        <v>8706</v>
      </c>
      <c r="H7" t="s">
        <v>8707</v>
      </c>
      <c r="I7" t="s">
        <v>27</v>
      </c>
      <c r="K7" t="s">
        <v>28</v>
      </c>
      <c r="L7" t="s">
        <v>8683</v>
      </c>
      <c r="M7" t="s">
        <v>8684</v>
      </c>
      <c r="N7" t="s">
        <v>8708</v>
      </c>
      <c r="O7">
        <v>0.2759017231308411</v>
      </c>
      <c r="P7">
        <v>0.28776041666666657</v>
      </c>
      <c r="Q7" t="s">
        <v>33</v>
      </c>
    </row>
    <row r="8" spans="1:18" x14ac:dyDescent="0.35">
      <c r="A8" t="s">
        <v>20</v>
      </c>
      <c r="B8">
        <v>17644</v>
      </c>
      <c r="C8" t="s">
        <v>21</v>
      </c>
      <c r="D8" t="s">
        <v>22</v>
      </c>
      <c r="E8" t="s">
        <v>8709</v>
      </c>
      <c r="F8" t="s">
        <v>8710</v>
      </c>
      <c r="G8" t="s">
        <v>8711</v>
      </c>
      <c r="H8" t="s">
        <v>8712</v>
      </c>
      <c r="I8" t="s">
        <v>27</v>
      </c>
      <c r="K8" t="s">
        <v>28</v>
      </c>
      <c r="L8" t="s">
        <v>8698</v>
      </c>
      <c r="M8" t="s">
        <v>8713</v>
      </c>
      <c r="N8" t="s">
        <v>8693</v>
      </c>
      <c r="O8">
        <v>0.38034827686915879</v>
      </c>
      <c r="P8">
        <v>0.72005208333333326</v>
      </c>
      <c r="Q8" t="s">
        <v>33</v>
      </c>
    </row>
    <row r="9" spans="1:18" x14ac:dyDescent="0.35">
      <c r="A9" t="s">
        <v>20</v>
      </c>
      <c r="B9">
        <v>17644</v>
      </c>
      <c r="C9" t="s">
        <v>21</v>
      </c>
      <c r="D9" t="s">
        <v>22</v>
      </c>
      <c r="E9" t="s">
        <v>8714</v>
      </c>
      <c r="F9" t="s">
        <v>8715</v>
      </c>
      <c r="G9" t="s">
        <v>8716</v>
      </c>
      <c r="H9" t="s">
        <v>8717</v>
      </c>
      <c r="I9" t="s">
        <v>27</v>
      </c>
      <c r="K9" t="s">
        <v>28</v>
      </c>
      <c r="L9" t="s">
        <v>8683</v>
      </c>
      <c r="M9" t="s">
        <v>8684</v>
      </c>
      <c r="N9" t="s">
        <v>8703</v>
      </c>
      <c r="O9">
        <v>0.77206848714953269</v>
      </c>
      <c r="P9">
        <v>0.53220486111111098</v>
      </c>
      <c r="Q9" t="s">
        <v>33</v>
      </c>
    </row>
    <row r="10" spans="1:18" x14ac:dyDescent="0.35">
      <c r="A10" t="s">
        <v>20</v>
      </c>
      <c r="B10">
        <v>17644</v>
      </c>
      <c r="C10" t="s">
        <v>21</v>
      </c>
      <c r="D10" t="s">
        <v>22</v>
      </c>
      <c r="E10" t="s">
        <v>8718</v>
      </c>
      <c r="F10" t="s">
        <v>8719</v>
      </c>
      <c r="G10" t="s">
        <v>8720</v>
      </c>
      <c r="H10" t="s">
        <v>8721</v>
      </c>
      <c r="I10" t="s">
        <v>27</v>
      </c>
      <c r="K10" t="s">
        <v>28</v>
      </c>
      <c r="L10" t="s">
        <v>8683</v>
      </c>
      <c r="M10" t="s">
        <v>8713</v>
      </c>
      <c r="N10" t="s">
        <v>8722</v>
      </c>
      <c r="O10">
        <v>0.55094553154205606</v>
      </c>
      <c r="P10">
        <v>0.2278935185185185</v>
      </c>
      <c r="Q10" t="s">
        <v>33</v>
      </c>
    </row>
    <row r="11" spans="1:18" x14ac:dyDescent="0.35">
      <c r="A11" t="s">
        <v>20</v>
      </c>
      <c r="B11">
        <v>17644</v>
      </c>
      <c r="C11" t="s">
        <v>21</v>
      </c>
      <c r="D11" t="s">
        <v>22</v>
      </c>
      <c r="E11" t="s">
        <v>8723</v>
      </c>
      <c r="F11" t="s">
        <v>8724</v>
      </c>
      <c r="G11" t="s">
        <v>8725</v>
      </c>
      <c r="H11" t="s">
        <v>8726</v>
      </c>
      <c r="I11" t="s">
        <v>27</v>
      </c>
      <c r="K11" t="s">
        <v>28</v>
      </c>
      <c r="L11" t="s">
        <v>8683</v>
      </c>
      <c r="M11" t="s">
        <v>8684</v>
      </c>
      <c r="N11" t="s">
        <v>8727</v>
      </c>
      <c r="O11">
        <v>0.43567464953271029</v>
      </c>
      <c r="P11">
        <v>0.2474247685185185</v>
      </c>
      <c r="Q11" t="s">
        <v>33</v>
      </c>
    </row>
    <row r="12" spans="1:18" x14ac:dyDescent="0.35">
      <c r="A12" t="s">
        <v>20</v>
      </c>
      <c r="B12">
        <v>17644</v>
      </c>
      <c r="C12" t="s">
        <v>21</v>
      </c>
      <c r="D12" t="s">
        <v>22</v>
      </c>
      <c r="E12" t="s">
        <v>8728</v>
      </c>
      <c r="F12" t="s">
        <v>8729</v>
      </c>
      <c r="G12" t="s">
        <v>8730</v>
      </c>
      <c r="H12" t="s">
        <v>8731</v>
      </c>
      <c r="I12" t="s">
        <v>27</v>
      </c>
      <c r="K12" t="s">
        <v>28</v>
      </c>
      <c r="L12" t="s">
        <v>8683</v>
      </c>
      <c r="M12" t="s">
        <v>8684</v>
      </c>
      <c r="N12" t="s">
        <v>8732</v>
      </c>
      <c r="O12">
        <v>0.61961521612149528</v>
      </c>
      <c r="P12">
        <v>0.90830439814814812</v>
      </c>
      <c r="Q12" t="s">
        <v>33</v>
      </c>
    </row>
    <row r="13" spans="1:18" x14ac:dyDescent="0.35">
      <c r="A13" t="s">
        <v>20</v>
      </c>
      <c r="B13">
        <v>17644</v>
      </c>
      <c r="C13" t="s">
        <v>21</v>
      </c>
      <c r="D13" t="s">
        <v>22</v>
      </c>
      <c r="E13" t="s">
        <v>8733</v>
      </c>
      <c r="F13" t="s">
        <v>8734</v>
      </c>
      <c r="G13" t="s">
        <v>8735</v>
      </c>
      <c r="H13" t="s">
        <v>8736</v>
      </c>
      <c r="I13" t="s">
        <v>27</v>
      </c>
      <c r="K13" t="s">
        <v>46</v>
      </c>
      <c r="L13" t="s">
        <v>8683</v>
      </c>
      <c r="M13" t="s">
        <v>8684</v>
      </c>
      <c r="N13" t="s">
        <v>8708</v>
      </c>
      <c r="O13">
        <v>0.2213967581775701</v>
      </c>
      <c r="P13">
        <v>0.59563078703703698</v>
      </c>
      <c r="Q13" t="s">
        <v>33</v>
      </c>
    </row>
    <row r="14" spans="1:18" x14ac:dyDescent="0.35">
      <c r="A14" t="s">
        <v>20</v>
      </c>
      <c r="B14">
        <v>17644</v>
      </c>
      <c r="C14" t="s">
        <v>21</v>
      </c>
      <c r="D14" t="s">
        <v>22</v>
      </c>
      <c r="E14" t="s">
        <v>8737</v>
      </c>
      <c r="F14" t="s">
        <v>8738</v>
      </c>
      <c r="G14" t="s">
        <v>8739</v>
      </c>
      <c r="H14" t="s">
        <v>8740</v>
      </c>
      <c r="I14" t="s">
        <v>27</v>
      </c>
      <c r="K14" t="s">
        <v>38</v>
      </c>
      <c r="L14" t="s">
        <v>8683</v>
      </c>
      <c r="M14" t="s">
        <v>8684</v>
      </c>
      <c r="N14" t="s">
        <v>8741</v>
      </c>
      <c r="O14">
        <v>7.4255257009345793E-2</v>
      </c>
      <c r="P14">
        <v>0.50596064814814812</v>
      </c>
      <c r="Q14" t="s">
        <v>33</v>
      </c>
    </row>
    <row r="15" spans="1:18" x14ac:dyDescent="0.35">
      <c r="A15" t="s">
        <v>20</v>
      </c>
      <c r="B15">
        <v>17644</v>
      </c>
      <c r="C15" t="s">
        <v>21</v>
      </c>
      <c r="D15" t="s">
        <v>22</v>
      </c>
      <c r="E15" t="s">
        <v>8742</v>
      </c>
      <c r="F15" t="s">
        <v>8743</v>
      </c>
      <c r="G15" t="s">
        <v>8744</v>
      </c>
      <c r="H15" t="s">
        <v>8745</v>
      </c>
      <c r="I15" t="s">
        <v>238</v>
      </c>
      <c r="K15" t="s">
        <v>46</v>
      </c>
      <c r="L15" t="s">
        <v>8683</v>
      </c>
      <c r="M15" t="s">
        <v>8713</v>
      </c>
      <c r="N15" t="s">
        <v>8722</v>
      </c>
      <c r="O15">
        <v>0.44009199766355139</v>
      </c>
      <c r="P15">
        <v>0.85321180555555554</v>
      </c>
      <c r="Q15" t="s">
        <v>33</v>
      </c>
    </row>
    <row r="16" spans="1:18" x14ac:dyDescent="0.35">
      <c r="A16" t="s">
        <v>20</v>
      </c>
      <c r="B16">
        <v>17644</v>
      </c>
      <c r="C16" t="s">
        <v>21</v>
      </c>
      <c r="D16" t="s">
        <v>22</v>
      </c>
      <c r="E16" t="s">
        <v>8746</v>
      </c>
      <c r="F16" t="s">
        <v>8747</v>
      </c>
      <c r="G16" t="s">
        <v>8748</v>
      </c>
      <c r="H16" t="s">
        <v>8749</v>
      </c>
      <c r="I16" t="s">
        <v>238</v>
      </c>
      <c r="K16" t="s">
        <v>28</v>
      </c>
      <c r="L16" t="s">
        <v>8683</v>
      </c>
      <c r="M16" t="s">
        <v>8684</v>
      </c>
      <c r="N16" t="s">
        <v>8703</v>
      </c>
      <c r="O16">
        <v>0.64816369742990643</v>
      </c>
      <c r="P16">
        <v>0.8427662037037037</v>
      </c>
      <c r="Q16" t="s">
        <v>33</v>
      </c>
    </row>
    <row r="17" spans="1:18" x14ac:dyDescent="0.35">
      <c r="A17" t="s">
        <v>20</v>
      </c>
      <c r="B17">
        <v>17644</v>
      </c>
      <c r="C17" t="s">
        <v>21</v>
      </c>
      <c r="D17" t="s">
        <v>22</v>
      </c>
      <c r="E17" t="s">
        <v>8750</v>
      </c>
      <c r="F17" t="s">
        <v>8751</v>
      </c>
      <c r="G17" t="s">
        <v>8752</v>
      </c>
      <c r="H17" t="s">
        <v>8753</v>
      </c>
      <c r="I17" t="s">
        <v>238</v>
      </c>
      <c r="K17" t="s">
        <v>38</v>
      </c>
      <c r="L17" t="s">
        <v>8683</v>
      </c>
      <c r="M17" t="s">
        <v>8684</v>
      </c>
      <c r="O17">
        <v>0.1108535338785047</v>
      </c>
      <c r="P17">
        <v>0.28990162037037043</v>
      </c>
      <c r="Q17" t="s">
        <v>33</v>
      </c>
    </row>
    <row r="18" spans="1:18" x14ac:dyDescent="0.35">
      <c r="A18" t="s">
        <v>20</v>
      </c>
      <c r="B18">
        <v>17644</v>
      </c>
      <c r="C18" t="s">
        <v>21</v>
      </c>
      <c r="D18" t="s">
        <v>22</v>
      </c>
      <c r="E18" t="s">
        <v>8754</v>
      </c>
      <c r="F18" t="s">
        <v>8755</v>
      </c>
      <c r="G18" t="s">
        <v>8756</v>
      </c>
      <c r="H18" t="s">
        <v>8757</v>
      </c>
      <c r="I18" t="s">
        <v>238</v>
      </c>
      <c r="K18" t="s">
        <v>28</v>
      </c>
      <c r="L18" t="s">
        <v>8698</v>
      </c>
      <c r="M18" t="s">
        <v>8684</v>
      </c>
      <c r="N18" t="s">
        <v>8693</v>
      </c>
      <c r="O18">
        <v>0.58555417640186913</v>
      </c>
      <c r="P18">
        <v>0.68370949074074072</v>
      </c>
      <c r="Q18" t="s">
        <v>33</v>
      </c>
    </row>
    <row r="19" spans="1:18" x14ac:dyDescent="0.35">
      <c r="A19" t="s">
        <v>20</v>
      </c>
      <c r="B19">
        <v>17644</v>
      </c>
      <c r="C19" t="s">
        <v>21</v>
      </c>
      <c r="D19" t="s">
        <v>22</v>
      </c>
      <c r="E19" t="s">
        <v>8758</v>
      </c>
      <c r="F19" t="s">
        <v>8759</v>
      </c>
      <c r="G19" t="s">
        <v>8760</v>
      </c>
      <c r="H19" t="s">
        <v>8761</v>
      </c>
      <c r="I19" t="s">
        <v>238</v>
      </c>
      <c r="K19" t="s">
        <v>46</v>
      </c>
      <c r="L19" t="s">
        <v>8683</v>
      </c>
      <c r="M19" t="s">
        <v>8684</v>
      </c>
      <c r="N19" t="s">
        <v>8703</v>
      </c>
      <c r="O19">
        <v>0.59422459112149528</v>
      </c>
      <c r="P19">
        <v>0.87268518518518512</v>
      </c>
      <c r="Q19" t="s">
        <v>33</v>
      </c>
    </row>
    <row r="20" spans="1:18" x14ac:dyDescent="0.35">
      <c r="A20" t="s">
        <v>20</v>
      </c>
      <c r="B20">
        <v>17644</v>
      </c>
      <c r="C20" t="s">
        <v>21</v>
      </c>
      <c r="D20" t="s">
        <v>22</v>
      </c>
      <c r="E20" t="s">
        <v>8762</v>
      </c>
      <c r="F20" t="s">
        <v>8763</v>
      </c>
      <c r="G20" t="s">
        <v>8764</v>
      </c>
      <c r="H20" t="s">
        <v>8765</v>
      </c>
      <c r="I20" t="s">
        <v>238</v>
      </c>
      <c r="K20" t="s">
        <v>38</v>
      </c>
      <c r="L20" t="s">
        <v>8683</v>
      </c>
      <c r="M20" t="s">
        <v>8684</v>
      </c>
      <c r="N20" t="s">
        <v>8703</v>
      </c>
      <c r="O20">
        <v>0.8917749707943925</v>
      </c>
      <c r="P20">
        <v>0.69027777777777777</v>
      </c>
      <c r="Q20" t="s">
        <v>33</v>
      </c>
    </row>
    <row r="21" spans="1:18" x14ac:dyDescent="0.35">
      <c r="A21" t="s">
        <v>20</v>
      </c>
      <c r="B21">
        <v>17644</v>
      </c>
      <c r="C21" t="s">
        <v>21</v>
      </c>
      <c r="D21" t="s">
        <v>22</v>
      </c>
      <c r="E21" t="s">
        <v>8766</v>
      </c>
      <c r="F21" t="s">
        <v>8767</v>
      </c>
      <c r="G21" t="s">
        <v>8768</v>
      </c>
      <c r="H21" t="s">
        <v>8769</v>
      </c>
      <c r="I21" t="s">
        <v>238</v>
      </c>
      <c r="K21" t="s">
        <v>61</v>
      </c>
      <c r="L21" t="s">
        <v>8683</v>
      </c>
      <c r="M21" t="s">
        <v>8713</v>
      </c>
      <c r="N21" t="s">
        <v>8770</v>
      </c>
      <c r="O21">
        <v>0.16037529205607479</v>
      </c>
      <c r="P21">
        <v>5.4340277777777717E-2</v>
      </c>
      <c r="Q21" t="s">
        <v>33</v>
      </c>
    </row>
    <row r="22" spans="1:18" x14ac:dyDescent="0.35">
      <c r="A22" t="s">
        <v>20</v>
      </c>
      <c r="B22">
        <v>17644</v>
      </c>
      <c r="C22" t="s">
        <v>21</v>
      </c>
      <c r="D22" t="s">
        <v>22</v>
      </c>
      <c r="E22" t="s">
        <v>8771</v>
      </c>
      <c r="F22" t="s">
        <v>8772</v>
      </c>
      <c r="G22" t="s">
        <v>8773</v>
      </c>
      <c r="H22" t="s">
        <v>8774</v>
      </c>
      <c r="I22" t="s">
        <v>238</v>
      </c>
      <c r="K22" t="s">
        <v>61</v>
      </c>
      <c r="L22" t="s">
        <v>8683</v>
      </c>
      <c r="M22" t="s">
        <v>8713</v>
      </c>
      <c r="N22" t="s">
        <v>8770</v>
      </c>
      <c r="O22">
        <v>0.18242552570093459</v>
      </c>
      <c r="P22">
        <v>0.22326388888888879</v>
      </c>
      <c r="Q22" t="s">
        <v>33</v>
      </c>
    </row>
    <row r="23" spans="1:18" x14ac:dyDescent="0.35">
      <c r="A23" t="s">
        <v>20</v>
      </c>
      <c r="B23">
        <v>17644</v>
      </c>
      <c r="C23" t="s">
        <v>21</v>
      </c>
      <c r="D23" t="s">
        <v>22</v>
      </c>
      <c r="E23" t="s">
        <v>8775</v>
      </c>
      <c r="F23" t="s">
        <v>8776</v>
      </c>
      <c r="G23" t="s">
        <v>8777</v>
      </c>
      <c r="H23" t="s">
        <v>8778</v>
      </c>
      <c r="I23" t="s">
        <v>238</v>
      </c>
      <c r="K23" t="s">
        <v>61</v>
      </c>
      <c r="L23" t="s">
        <v>8683</v>
      </c>
      <c r="M23" t="s">
        <v>8713</v>
      </c>
      <c r="N23" t="s">
        <v>8722</v>
      </c>
      <c r="O23">
        <v>0.1231016355140187</v>
      </c>
      <c r="P23">
        <v>0.187673611111111</v>
      </c>
      <c r="Q23" t="s">
        <v>33</v>
      </c>
    </row>
    <row r="24" spans="1:18" x14ac:dyDescent="0.35">
      <c r="A24" t="s">
        <v>20</v>
      </c>
      <c r="B24">
        <v>17643</v>
      </c>
      <c r="C24" t="s">
        <v>426</v>
      </c>
      <c r="D24" t="s">
        <v>427</v>
      </c>
      <c r="E24" t="s">
        <v>8679</v>
      </c>
      <c r="F24" t="s">
        <v>8779</v>
      </c>
      <c r="G24" t="s">
        <v>8780</v>
      </c>
      <c r="H24" t="s">
        <v>8781</v>
      </c>
      <c r="I24" t="s">
        <v>557</v>
      </c>
      <c r="K24" t="s">
        <v>28</v>
      </c>
      <c r="L24" t="s">
        <v>8683</v>
      </c>
      <c r="M24" t="s">
        <v>8713</v>
      </c>
      <c r="N24" t="s">
        <v>8708</v>
      </c>
      <c r="O24">
        <v>0.67923116238317749</v>
      </c>
      <c r="P24">
        <v>0.74878472222222214</v>
      </c>
      <c r="Q24" t="s">
        <v>33</v>
      </c>
      <c r="R24" t="s">
        <v>432</v>
      </c>
    </row>
    <row r="25" spans="1:18" x14ac:dyDescent="0.35">
      <c r="A25" t="s">
        <v>20</v>
      </c>
      <c r="B25">
        <v>17643</v>
      </c>
      <c r="C25" t="s">
        <v>426</v>
      </c>
      <c r="D25" t="s">
        <v>427</v>
      </c>
      <c r="E25" t="s">
        <v>8685</v>
      </c>
      <c r="F25" t="s">
        <v>8782</v>
      </c>
      <c r="G25" t="s">
        <v>8783</v>
      </c>
      <c r="H25" t="s">
        <v>8784</v>
      </c>
      <c r="I25" t="s">
        <v>557</v>
      </c>
      <c r="L25" t="s">
        <v>8683</v>
      </c>
      <c r="M25" t="s">
        <v>8684</v>
      </c>
      <c r="N25" t="s">
        <v>8785</v>
      </c>
      <c r="O25">
        <v>0.38465610397196259</v>
      </c>
      <c r="P25">
        <v>0.34716435185185179</v>
      </c>
      <c r="Q25" t="s">
        <v>33</v>
      </c>
      <c r="R25" t="s">
        <v>432</v>
      </c>
    </row>
    <row r="26" spans="1:18" x14ac:dyDescent="0.35">
      <c r="A26" t="s">
        <v>20</v>
      </c>
      <c r="B26">
        <v>17643</v>
      </c>
      <c r="C26" t="s">
        <v>426</v>
      </c>
      <c r="D26" t="s">
        <v>427</v>
      </c>
      <c r="E26" t="s">
        <v>8689</v>
      </c>
      <c r="F26" t="s">
        <v>8786</v>
      </c>
      <c r="G26" t="s">
        <v>8787</v>
      </c>
      <c r="H26" t="s">
        <v>8788</v>
      </c>
      <c r="I26" t="s">
        <v>557</v>
      </c>
      <c r="K26" t="s">
        <v>38</v>
      </c>
      <c r="L26" t="s">
        <v>8683</v>
      </c>
      <c r="M26" t="s">
        <v>8684</v>
      </c>
      <c r="N26" t="s">
        <v>8789</v>
      </c>
      <c r="O26">
        <v>0.1195056950934579</v>
      </c>
      <c r="P26">
        <v>0.89155092592592589</v>
      </c>
      <c r="Q26" t="s">
        <v>33</v>
      </c>
      <c r="R26" t="s">
        <v>432</v>
      </c>
    </row>
    <row r="27" spans="1:18" x14ac:dyDescent="0.35">
      <c r="A27" t="s">
        <v>20</v>
      </c>
      <c r="B27">
        <v>17643</v>
      </c>
      <c r="C27" t="s">
        <v>426</v>
      </c>
      <c r="D27" t="s">
        <v>427</v>
      </c>
      <c r="E27" t="s">
        <v>8694</v>
      </c>
      <c r="F27" t="s">
        <v>8790</v>
      </c>
      <c r="G27" t="s">
        <v>8791</v>
      </c>
      <c r="H27" t="s">
        <v>8792</v>
      </c>
      <c r="I27" t="s">
        <v>557</v>
      </c>
      <c r="K27" t="s">
        <v>38</v>
      </c>
      <c r="L27" t="s">
        <v>8683</v>
      </c>
      <c r="M27" t="s">
        <v>8684</v>
      </c>
      <c r="N27" t="s">
        <v>8708</v>
      </c>
      <c r="O27">
        <v>7.8818633177570097E-2</v>
      </c>
      <c r="P27">
        <v>0.640162037037037</v>
      </c>
      <c r="Q27" t="s">
        <v>33</v>
      </c>
      <c r="R27" t="s">
        <v>432</v>
      </c>
    </row>
    <row r="28" spans="1:18" x14ac:dyDescent="0.35">
      <c r="A28" t="s">
        <v>20</v>
      </c>
      <c r="B28">
        <v>17643</v>
      </c>
      <c r="C28" t="s">
        <v>426</v>
      </c>
      <c r="D28" t="s">
        <v>427</v>
      </c>
      <c r="E28" t="s">
        <v>8699</v>
      </c>
      <c r="F28" t="s">
        <v>8793</v>
      </c>
      <c r="G28" t="s">
        <v>8794</v>
      </c>
      <c r="H28" t="s">
        <v>8795</v>
      </c>
      <c r="I28" t="s">
        <v>557</v>
      </c>
      <c r="K28" t="s">
        <v>38</v>
      </c>
      <c r="L28" t="s">
        <v>8698</v>
      </c>
      <c r="M28" t="s">
        <v>8713</v>
      </c>
      <c r="N28" t="s">
        <v>8693</v>
      </c>
      <c r="O28">
        <v>7.7832943925233641E-2</v>
      </c>
      <c r="P28">
        <v>0.42277199074074068</v>
      </c>
      <c r="Q28" t="s">
        <v>33</v>
      </c>
      <c r="R28" t="s">
        <v>432</v>
      </c>
    </row>
    <row r="29" spans="1:18" x14ac:dyDescent="0.35">
      <c r="A29" t="s">
        <v>20</v>
      </c>
      <c r="B29">
        <v>17643</v>
      </c>
      <c r="C29" t="s">
        <v>426</v>
      </c>
      <c r="D29" t="s">
        <v>427</v>
      </c>
      <c r="E29" t="s">
        <v>8704</v>
      </c>
      <c r="F29" t="s">
        <v>8796</v>
      </c>
      <c r="G29" t="s">
        <v>8797</v>
      </c>
      <c r="H29" t="s">
        <v>8798</v>
      </c>
      <c r="I29" t="s">
        <v>557</v>
      </c>
      <c r="K29" t="s">
        <v>61</v>
      </c>
      <c r="L29" t="s">
        <v>8683</v>
      </c>
      <c r="M29" t="s">
        <v>8684</v>
      </c>
      <c r="N29" t="s">
        <v>8708</v>
      </c>
      <c r="O29">
        <v>0.85680125584112143</v>
      </c>
      <c r="P29">
        <v>0.68547453703703698</v>
      </c>
      <c r="Q29" t="s">
        <v>33</v>
      </c>
      <c r="R29" t="s">
        <v>432</v>
      </c>
    </row>
    <row r="30" spans="1:18" x14ac:dyDescent="0.35">
      <c r="A30" t="s">
        <v>20</v>
      </c>
      <c r="B30">
        <v>17643</v>
      </c>
      <c r="C30" t="s">
        <v>426</v>
      </c>
      <c r="D30" t="s">
        <v>427</v>
      </c>
      <c r="E30" t="s">
        <v>8709</v>
      </c>
      <c r="F30" t="s">
        <v>8799</v>
      </c>
      <c r="G30" t="s">
        <v>8800</v>
      </c>
      <c r="H30" t="s">
        <v>8801</v>
      </c>
      <c r="I30" t="s">
        <v>557</v>
      </c>
      <c r="K30" t="s">
        <v>28</v>
      </c>
      <c r="L30" t="s">
        <v>8683</v>
      </c>
      <c r="M30" t="s">
        <v>8713</v>
      </c>
      <c r="N30" t="s">
        <v>8770</v>
      </c>
      <c r="O30">
        <v>0.31918078271028039</v>
      </c>
      <c r="P30">
        <v>0.89490740740740737</v>
      </c>
      <c r="Q30" t="s">
        <v>33</v>
      </c>
      <c r="R30" t="s">
        <v>432</v>
      </c>
    </row>
    <row r="31" spans="1:18" x14ac:dyDescent="0.35">
      <c r="A31" t="s">
        <v>20</v>
      </c>
      <c r="B31">
        <v>17643</v>
      </c>
      <c r="C31" t="s">
        <v>426</v>
      </c>
      <c r="D31" t="s">
        <v>427</v>
      </c>
      <c r="E31" t="s">
        <v>8714</v>
      </c>
      <c r="F31" t="s">
        <v>8802</v>
      </c>
      <c r="G31" t="s">
        <v>8803</v>
      </c>
      <c r="H31" t="s">
        <v>8804</v>
      </c>
      <c r="I31" t="s">
        <v>557</v>
      </c>
      <c r="K31" t="s">
        <v>28</v>
      </c>
      <c r="L31" t="s">
        <v>8683</v>
      </c>
      <c r="M31" t="s">
        <v>8684</v>
      </c>
      <c r="N31" t="s">
        <v>8703</v>
      </c>
      <c r="O31">
        <v>0.30627555490654201</v>
      </c>
      <c r="P31">
        <v>0.46715856481481483</v>
      </c>
      <c r="Q31" t="s">
        <v>33</v>
      </c>
      <c r="R31" t="s">
        <v>432</v>
      </c>
    </row>
    <row r="32" spans="1:18" x14ac:dyDescent="0.35">
      <c r="A32" t="s">
        <v>20</v>
      </c>
      <c r="B32">
        <v>17643</v>
      </c>
      <c r="C32" t="s">
        <v>426</v>
      </c>
      <c r="D32" t="s">
        <v>427</v>
      </c>
      <c r="E32" t="s">
        <v>8718</v>
      </c>
      <c r="F32" t="s">
        <v>8805</v>
      </c>
      <c r="G32" t="s">
        <v>8806</v>
      </c>
      <c r="H32" t="s">
        <v>8807</v>
      </c>
      <c r="I32" t="s">
        <v>557</v>
      </c>
      <c r="K32" t="s">
        <v>28</v>
      </c>
      <c r="L32" t="s">
        <v>8683</v>
      </c>
      <c r="M32" t="s">
        <v>8684</v>
      </c>
      <c r="N32" t="s">
        <v>8708</v>
      </c>
      <c r="O32">
        <v>0.54346159462616817</v>
      </c>
      <c r="P32">
        <v>0.43909143518518517</v>
      </c>
      <c r="Q32" t="s">
        <v>33</v>
      </c>
      <c r="R32" t="s">
        <v>432</v>
      </c>
    </row>
    <row r="33" spans="1:18" x14ac:dyDescent="0.35">
      <c r="A33" t="s">
        <v>20</v>
      </c>
      <c r="B33">
        <v>17643</v>
      </c>
      <c r="C33" t="s">
        <v>426</v>
      </c>
      <c r="D33" t="s">
        <v>427</v>
      </c>
      <c r="E33" t="s">
        <v>8723</v>
      </c>
      <c r="F33" t="s">
        <v>8808</v>
      </c>
      <c r="G33" t="s">
        <v>8809</v>
      </c>
      <c r="H33" t="s">
        <v>8810</v>
      </c>
      <c r="I33" t="s">
        <v>557</v>
      </c>
      <c r="K33" t="s">
        <v>46</v>
      </c>
      <c r="L33" t="s">
        <v>8683</v>
      </c>
      <c r="M33" t="s">
        <v>8684</v>
      </c>
      <c r="N33" t="s">
        <v>8811</v>
      </c>
      <c r="O33">
        <v>0.72055709696261672</v>
      </c>
      <c r="P33">
        <v>0.71753472222222214</v>
      </c>
      <c r="Q33" t="s">
        <v>33</v>
      </c>
      <c r="R33" t="s">
        <v>432</v>
      </c>
    </row>
    <row r="34" spans="1:18" x14ac:dyDescent="0.35">
      <c r="A34" t="s">
        <v>20</v>
      </c>
      <c r="B34">
        <v>17643</v>
      </c>
      <c r="C34" t="s">
        <v>426</v>
      </c>
      <c r="D34" t="s">
        <v>427</v>
      </c>
      <c r="E34" t="s">
        <v>8728</v>
      </c>
      <c r="F34" t="s">
        <v>8812</v>
      </c>
      <c r="G34" t="s">
        <v>8813</v>
      </c>
      <c r="H34" t="s">
        <v>8814</v>
      </c>
      <c r="I34" t="s">
        <v>557</v>
      </c>
      <c r="K34" t="s">
        <v>38</v>
      </c>
      <c r="L34" t="s">
        <v>8698</v>
      </c>
      <c r="M34" t="s">
        <v>8713</v>
      </c>
      <c r="N34" t="s">
        <v>8693</v>
      </c>
      <c r="O34">
        <v>0.82943925233644866</v>
      </c>
      <c r="P34">
        <v>0.79756944444444444</v>
      </c>
      <c r="Q34" t="s">
        <v>33</v>
      </c>
      <c r="R34" t="s">
        <v>432</v>
      </c>
    </row>
    <row r="35" spans="1:18" x14ac:dyDescent="0.35">
      <c r="A35" t="s">
        <v>20</v>
      </c>
      <c r="B35">
        <v>17643</v>
      </c>
      <c r="C35" t="s">
        <v>426</v>
      </c>
      <c r="D35" t="s">
        <v>427</v>
      </c>
      <c r="E35" t="s">
        <v>8733</v>
      </c>
      <c r="F35" t="s">
        <v>8815</v>
      </c>
      <c r="G35" t="s">
        <v>8816</v>
      </c>
      <c r="H35" t="s">
        <v>8817</v>
      </c>
      <c r="I35" t="s">
        <v>557</v>
      </c>
      <c r="K35" t="s">
        <v>38</v>
      </c>
      <c r="L35" t="s">
        <v>8683</v>
      </c>
      <c r="M35" t="s">
        <v>8684</v>
      </c>
      <c r="O35">
        <v>0.91955680490654201</v>
      </c>
      <c r="P35">
        <v>0.69945023148148144</v>
      </c>
      <c r="Q35" t="s">
        <v>33</v>
      </c>
      <c r="R35" t="s">
        <v>432</v>
      </c>
    </row>
    <row r="36" spans="1:18" x14ac:dyDescent="0.35">
      <c r="A36" t="s">
        <v>20</v>
      </c>
      <c r="B36">
        <v>17643</v>
      </c>
      <c r="C36" t="s">
        <v>426</v>
      </c>
      <c r="D36" t="s">
        <v>427</v>
      </c>
      <c r="E36" t="s">
        <v>8737</v>
      </c>
      <c r="F36" t="s">
        <v>8818</v>
      </c>
      <c r="G36" t="s">
        <v>8819</v>
      </c>
      <c r="H36" t="s">
        <v>8820</v>
      </c>
      <c r="I36" t="s">
        <v>557</v>
      </c>
      <c r="K36" t="s">
        <v>28</v>
      </c>
      <c r="L36" t="s">
        <v>8683</v>
      </c>
      <c r="M36" t="s">
        <v>8684</v>
      </c>
      <c r="N36" t="s">
        <v>8703</v>
      </c>
      <c r="O36">
        <v>0.24998174649532709</v>
      </c>
      <c r="P36">
        <v>0.4809895833333333</v>
      </c>
      <c r="Q36" t="s">
        <v>33</v>
      </c>
      <c r="R36" t="s">
        <v>432</v>
      </c>
    </row>
    <row r="37" spans="1:18" x14ac:dyDescent="0.35">
      <c r="A37" t="s">
        <v>20</v>
      </c>
      <c r="B37">
        <v>17643</v>
      </c>
      <c r="C37" t="s">
        <v>426</v>
      </c>
      <c r="D37" t="s">
        <v>427</v>
      </c>
      <c r="E37" t="s">
        <v>8742</v>
      </c>
      <c r="F37" t="s">
        <v>8821</v>
      </c>
      <c r="G37" t="s">
        <v>8822</v>
      </c>
      <c r="H37" t="s">
        <v>8823</v>
      </c>
      <c r="I37" t="s">
        <v>431</v>
      </c>
      <c r="K37" t="s">
        <v>38</v>
      </c>
      <c r="L37" t="s">
        <v>8683</v>
      </c>
      <c r="M37" t="s">
        <v>8684</v>
      </c>
      <c r="N37" t="s">
        <v>8708</v>
      </c>
      <c r="Q37" t="s">
        <v>33</v>
      </c>
      <c r="R37" t="s">
        <v>432</v>
      </c>
    </row>
    <row r="38" spans="1:18" x14ac:dyDescent="0.35">
      <c r="A38" t="s">
        <v>20</v>
      </c>
      <c r="B38">
        <v>17643</v>
      </c>
      <c r="C38" t="s">
        <v>426</v>
      </c>
      <c r="D38" t="s">
        <v>427</v>
      </c>
      <c r="E38" t="s">
        <v>8746</v>
      </c>
      <c r="F38" t="s">
        <v>8824</v>
      </c>
      <c r="G38" t="s">
        <v>8825</v>
      </c>
      <c r="H38" t="s">
        <v>8826</v>
      </c>
      <c r="I38" t="s">
        <v>431</v>
      </c>
      <c r="K38" t="s">
        <v>38</v>
      </c>
      <c r="L38" t="s">
        <v>8683</v>
      </c>
      <c r="M38" t="s">
        <v>8684</v>
      </c>
      <c r="N38" t="s">
        <v>8708</v>
      </c>
      <c r="O38">
        <v>0.8041033878504672</v>
      </c>
      <c r="P38">
        <v>0.5869502314814814</v>
      </c>
      <c r="Q38" t="s">
        <v>33</v>
      </c>
      <c r="R38" t="s">
        <v>432</v>
      </c>
    </row>
    <row r="39" spans="1:18" x14ac:dyDescent="0.35">
      <c r="A39" t="s">
        <v>20</v>
      </c>
      <c r="B39">
        <v>17643</v>
      </c>
      <c r="C39" t="s">
        <v>426</v>
      </c>
      <c r="D39" t="s">
        <v>427</v>
      </c>
      <c r="E39" t="s">
        <v>8750</v>
      </c>
      <c r="F39" t="s">
        <v>8827</v>
      </c>
      <c r="G39" t="s">
        <v>8828</v>
      </c>
      <c r="H39" t="s">
        <v>8829</v>
      </c>
      <c r="I39" t="s">
        <v>431</v>
      </c>
      <c r="J39" t="s">
        <v>2078</v>
      </c>
      <c r="Q39" t="s">
        <v>33</v>
      </c>
      <c r="R39" t="s">
        <v>432</v>
      </c>
    </row>
    <row r="40" spans="1:18" x14ac:dyDescent="0.35">
      <c r="A40" t="s">
        <v>20</v>
      </c>
      <c r="B40">
        <v>17643</v>
      </c>
      <c r="C40" t="s">
        <v>426</v>
      </c>
      <c r="D40" t="s">
        <v>427</v>
      </c>
      <c r="E40" t="s">
        <v>8754</v>
      </c>
      <c r="F40" t="s">
        <v>8830</v>
      </c>
      <c r="G40" t="s">
        <v>8831</v>
      </c>
      <c r="H40" t="s">
        <v>8832</v>
      </c>
      <c r="I40" t="s">
        <v>431</v>
      </c>
      <c r="K40" t="s">
        <v>38</v>
      </c>
      <c r="L40" t="s">
        <v>8698</v>
      </c>
      <c r="M40" t="s">
        <v>8684</v>
      </c>
      <c r="N40" t="s">
        <v>8693</v>
      </c>
      <c r="O40">
        <v>0.9167092581775701</v>
      </c>
      <c r="P40">
        <v>0.89056712962962958</v>
      </c>
      <c r="Q40" t="s">
        <v>33</v>
      </c>
      <c r="R40" t="s">
        <v>432</v>
      </c>
    </row>
    <row r="41" spans="1:18" x14ac:dyDescent="0.35">
      <c r="A41" t="s">
        <v>20</v>
      </c>
      <c r="B41">
        <v>17643</v>
      </c>
      <c r="C41" t="s">
        <v>426</v>
      </c>
      <c r="D41" t="s">
        <v>427</v>
      </c>
      <c r="E41" t="s">
        <v>8758</v>
      </c>
      <c r="F41" t="s">
        <v>1837</v>
      </c>
      <c r="G41" t="s">
        <v>1838</v>
      </c>
      <c r="H41" t="s">
        <v>8833</v>
      </c>
      <c r="I41" t="s">
        <v>431</v>
      </c>
      <c r="Q41" t="s">
        <v>33</v>
      </c>
      <c r="R41" t="s">
        <v>432</v>
      </c>
    </row>
    <row r="42" spans="1:18" x14ac:dyDescent="0.35">
      <c r="A42" t="s">
        <v>20</v>
      </c>
      <c r="B42">
        <v>17643</v>
      </c>
      <c r="C42" t="s">
        <v>426</v>
      </c>
      <c r="D42" t="s">
        <v>427</v>
      </c>
      <c r="E42" t="s">
        <v>8762</v>
      </c>
      <c r="F42" t="s">
        <v>8834</v>
      </c>
      <c r="G42" t="s">
        <v>8835</v>
      </c>
      <c r="H42" t="s">
        <v>8836</v>
      </c>
      <c r="I42" t="s">
        <v>431</v>
      </c>
      <c r="K42" t="s">
        <v>46</v>
      </c>
      <c r="L42" t="s">
        <v>8683</v>
      </c>
      <c r="M42" t="s">
        <v>8713</v>
      </c>
      <c r="N42" t="s">
        <v>8837</v>
      </c>
      <c r="O42">
        <v>0.45195677570093462</v>
      </c>
      <c r="P42">
        <v>0.43891782407407398</v>
      </c>
      <c r="Q42" t="s">
        <v>33</v>
      </c>
      <c r="R42" t="s">
        <v>432</v>
      </c>
    </row>
    <row r="43" spans="1:18" x14ac:dyDescent="0.35">
      <c r="A43" t="s">
        <v>20</v>
      </c>
      <c r="B43">
        <v>17643</v>
      </c>
      <c r="C43" t="s">
        <v>426</v>
      </c>
      <c r="D43" t="s">
        <v>427</v>
      </c>
      <c r="E43" t="s">
        <v>8766</v>
      </c>
      <c r="F43" t="s">
        <v>8838</v>
      </c>
      <c r="G43" t="s">
        <v>8839</v>
      </c>
      <c r="H43" t="s">
        <v>8840</v>
      </c>
      <c r="I43" t="s">
        <v>431</v>
      </c>
      <c r="K43" t="s">
        <v>38</v>
      </c>
      <c r="L43" t="s">
        <v>8683</v>
      </c>
      <c r="M43" t="s">
        <v>8713</v>
      </c>
      <c r="N43" t="s">
        <v>8770</v>
      </c>
      <c r="O43">
        <v>0.19407126168224301</v>
      </c>
      <c r="P43">
        <v>0.49001736111111099</v>
      </c>
      <c r="Q43" t="s">
        <v>33</v>
      </c>
      <c r="R43" t="s">
        <v>432</v>
      </c>
    </row>
    <row r="44" spans="1:18" x14ac:dyDescent="0.35">
      <c r="A44" t="s">
        <v>20</v>
      </c>
      <c r="B44">
        <v>17643</v>
      </c>
      <c r="C44" t="s">
        <v>426</v>
      </c>
      <c r="D44" t="s">
        <v>427</v>
      </c>
      <c r="E44" t="s">
        <v>8771</v>
      </c>
      <c r="F44" t="s">
        <v>8841</v>
      </c>
      <c r="G44" t="s">
        <v>8842</v>
      </c>
      <c r="H44" t="s">
        <v>8843</v>
      </c>
      <c r="I44" t="s">
        <v>431</v>
      </c>
      <c r="K44" t="s">
        <v>38</v>
      </c>
      <c r="L44" t="s">
        <v>8683</v>
      </c>
      <c r="M44" t="s">
        <v>8713</v>
      </c>
      <c r="N44" t="s">
        <v>8770</v>
      </c>
      <c r="O44">
        <v>9.5794392523364469E-2</v>
      </c>
      <c r="P44">
        <v>0.66565393518518512</v>
      </c>
      <c r="Q44" t="s">
        <v>33</v>
      </c>
      <c r="R44" t="s">
        <v>432</v>
      </c>
    </row>
    <row r="45" spans="1:18" x14ac:dyDescent="0.35">
      <c r="A45" t="s">
        <v>20</v>
      </c>
      <c r="B45">
        <v>17643</v>
      </c>
      <c r="C45" t="s">
        <v>426</v>
      </c>
      <c r="D45" t="s">
        <v>427</v>
      </c>
      <c r="E45" t="s">
        <v>8775</v>
      </c>
      <c r="F45" t="s">
        <v>8844</v>
      </c>
      <c r="G45" t="s">
        <v>8845</v>
      </c>
      <c r="H45" t="s">
        <v>8846</v>
      </c>
      <c r="I45" t="s">
        <v>431</v>
      </c>
      <c r="K45" t="s">
        <v>28</v>
      </c>
      <c r="L45" t="s">
        <v>8683</v>
      </c>
      <c r="M45" t="s">
        <v>8713</v>
      </c>
      <c r="N45" t="s">
        <v>8770</v>
      </c>
      <c r="O45">
        <v>0.6842691296728971</v>
      </c>
      <c r="P45">
        <v>0.71125578703703707</v>
      </c>
      <c r="Q45" t="s">
        <v>33</v>
      </c>
      <c r="R45" t="s">
        <v>432</v>
      </c>
    </row>
    <row r="46" spans="1:18" x14ac:dyDescent="0.35">
      <c r="A46" t="s">
        <v>20</v>
      </c>
      <c r="B46">
        <v>17643</v>
      </c>
      <c r="C46" t="s">
        <v>426</v>
      </c>
      <c r="D46" t="s">
        <v>427</v>
      </c>
      <c r="E46" t="s">
        <v>8847</v>
      </c>
      <c r="F46" t="s">
        <v>8848</v>
      </c>
      <c r="G46" t="s">
        <v>8849</v>
      </c>
      <c r="H46" t="s">
        <v>8850</v>
      </c>
      <c r="I46" t="s">
        <v>431</v>
      </c>
      <c r="K46" t="s">
        <v>46</v>
      </c>
      <c r="L46" t="s">
        <v>8683</v>
      </c>
      <c r="M46" t="s">
        <v>8684</v>
      </c>
      <c r="N46" t="s">
        <v>8708</v>
      </c>
      <c r="O46">
        <v>0.54001168224299068</v>
      </c>
      <c r="P46">
        <v>0.54354745370370372</v>
      </c>
      <c r="Q46" t="s">
        <v>33</v>
      </c>
      <c r="R46" t="s">
        <v>432</v>
      </c>
    </row>
    <row r="47" spans="1:18" x14ac:dyDescent="0.35">
      <c r="A47" t="s">
        <v>20</v>
      </c>
      <c r="B47">
        <v>17643</v>
      </c>
      <c r="C47" t="s">
        <v>426</v>
      </c>
      <c r="D47" t="s">
        <v>427</v>
      </c>
      <c r="E47" t="s">
        <v>8851</v>
      </c>
      <c r="F47" t="s">
        <v>8852</v>
      </c>
      <c r="G47" t="s">
        <v>8853</v>
      </c>
      <c r="H47" t="s">
        <v>8854</v>
      </c>
      <c r="I47" t="s">
        <v>431</v>
      </c>
      <c r="K47" t="s">
        <v>46</v>
      </c>
      <c r="L47" t="s">
        <v>8683</v>
      </c>
      <c r="M47" t="s">
        <v>8684</v>
      </c>
      <c r="N47" t="s">
        <v>8708</v>
      </c>
      <c r="O47">
        <v>0.32850832359813081</v>
      </c>
      <c r="P47">
        <v>0.82025462962962958</v>
      </c>
      <c r="Q47" t="s">
        <v>33</v>
      </c>
      <c r="R47" t="s">
        <v>432</v>
      </c>
    </row>
    <row r="48" spans="1:18" x14ac:dyDescent="0.35">
      <c r="A48" t="s">
        <v>20</v>
      </c>
      <c r="B48">
        <v>17646</v>
      </c>
      <c r="C48" t="s">
        <v>666</v>
      </c>
      <c r="D48" t="s">
        <v>667</v>
      </c>
      <c r="E48" t="s">
        <v>8679</v>
      </c>
      <c r="F48" t="s">
        <v>8855</v>
      </c>
      <c r="G48" t="s">
        <v>8856</v>
      </c>
      <c r="H48" t="s">
        <v>8857</v>
      </c>
      <c r="I48" t="s">
        <v>809</v>
      </c>
      <c r="K48" t="s">
        <v>28</v>
      </c>
      <c r="L48" t="s">
        <v>8683</v>
      </c>
      <c r="M48" t="s">
        <v>8713</v>
      </c>
      <c r="N48" t="s">
        <v>8770</v>
      </c>
      <c r="O48">
        <v>0.58546290887850461</v>
      </c>
      <c r="P48">
        <v>0.89042245370370365</v>
      </c>
      <c r="Q48" t="s">
        <v>33</v>
      </c>
    </row>
    <row r="49" spans="1:17" x14ac:dyDescent="0.35">
      <c r="A49" t="s">
        <v>20</v>
      </c>
      <c r="B49">
        <v>17646</v>
      </c>
      <c r="C49" t="s">
        <v>666</v>
      </c>
      <c r="D49" t="s">
        <v>667</v>
      </c>
      <c r="E49" t="s">
        <v>8685</v>
      </c>
      <c r="F49" t="s">
        <v>8858</v>
      </c>
      <c r="G49" t="s">
        <v>8859</v>
      </c>
      <c r="H49" t="s">
        <v>8860</v>
      </c>
      <c r="I49" t="s">
        <v>809</v>
      </c>
      <c r="K49" t="s">
        <v>28</v>
      </c>
      <c r="L49" t="s">
        <v>8698</v>
      </c>
      <c r="M49" t="s">
        <v>8684</v>
      </c>
      <c r="N49" t="s">
        <v>8861</v>
      </c>
      <c r="O49">
        <v>0.60318706191588778</v>
      </c>
      <c r="P49">
        <v>0.80645254629629626</v>
      </c>
      <c r="Q49" t="s">
        <v>33</v>
      </c>
    </row>
    <row r="50" spans="1:17" x14ac:dyDescent="0.35">
      <c r="A50" t="s">
        <v>20</v>
      </c>
      <c r="B50">
        <v>17646</v>
      </c>
      <c r="C50" t="s">
        <v>666</v>
      </c>
      <c r="D50" t="s">
        <v>667</v>
      </c>
      <c r="E50" t="s">
        <v>8689</v>
      </c>
      <c r="F50" t="s">
        <v>8862</v>
      </c>
      <c r="G50" t="s">
        <v>8863</v>
      </c>
      <c r="H50" t="s">
        <v>8864</v>
      </c>
      <c r="I50" t="s">
        <v>809</v>
      </c>
      <c r="K50" t="s">
        <v>61</v>
      </c>
      <c r="L50" t="s">
        <v>8698</v>
      </c>
      <c r="M50" t="s">
        <v>8684</v>
      </c>
      <c r="N50" t="s">
        <v>8861</v>
      </c>
      <c r="O50">
        <v>0.92959623247663548</v>
      </c>
      <c r="P50">
        <v>0.3247685185185184</v>
      </c>
      <c r="Q50" t="s">
        <v>33</v>
      </c>
    </row>
    <row r="51" spans="1:17" x14ac:dyDescent="0.35">
      <c r="A51" t="s">
        <v>20</v>
      </c>
      <c r="B51">
        <v>17646</v>
      </c>
      <c r="C51" t="s">
        <v>666</v>
      </c>
      <c r="D51" t="s">
        <v>667</v>
      </c>
      <c r="E51" t="s">
        <v>8694</v>
      </c>
      <c r="F51" t="s">
        <v>8865</v>
      </c>
      <c r="G51" t="s">
        <v>8866</v>
      </c>
      <c r="H51" t="s">
        <v>8867</v>
      </c>
      <c r="I51" t="s">
        <v>809</v>
      </c>
      <c r="K51" t="s">
        <v>38</v>
      </c>
      <c r="L51" t="s">
        <v>8683</v>
      </c>
      <c r="M51" t="s">
        <v>8684</v>
      </c>
      <c r="N51" t="s">
        <v>8703</v>
      </c>
      <c r="O51">
        <v>0.1756899824766355</v>
      </c>
      <c r="P51">
        <v>0.55118634259259258</v>
      </c>
      <c r="Q51" t="s">
        <v>33</v>
      </c>
    </row>
    <row r="52" spans="1:17" x14ac:dyDescent="0.35">
      <c r="A52" t="s">
        <v>20</v>
      </c>
      <c r="B52">
        <v>17646</v>
      </c>
      <c r="C52" t="s">
        <v>666</v>
      </c>
      <c r="D52" t="s">
        <v>667</v>
      </c>
      <c r="E52" t="s">
        <v>8699</v>
      </c>
      <c r="F52" t="s">
        <v>8868</v>
      </c>
      <c r="G52" t="s">
        <v>8869</v>
      </c>
      <c r="H52" t="s">
        <v>8870</v>
      </c>
      <c r="I52" t="s">
        <v>809</v>
      </c>
      <c r="K52" t="s">
        <v>28</v>
      </c>
      <c r="L52" t="s">
        <v>8683</v>
      </c>
      <c r="M52" t="s">
        <v>8713</v>
      </c>
      <c r="N52" t="s">
        <v>8722</v>
      </c>
      <c r="O52">
        <v>0.59323890186915884</v>
      </c>
      <c r="P52">
        <v>0.54270833333333335</v>
      </c>
      <c r="Q52" t="s">
        <v>33</v>
      </c>
    </row>
    <row r="53" spans="1:17" x14ac:dyDescent="0.35">
      <c r="A53" t="s">
        <v>20</v>
      </c>
      <c r="B53">
        <v>17646</v>
      </c>
      <c r="C53" t="s">
        <v>666</v>
      </c>
      <c r="D53" t="s">
        <v>667</v>
      </c>
      <c r="E53" t="s">
        <v>8704</v>
      </c>
      <c r="F53" t="s">
        <v>8871</v>
      </c>
      <c r="G53" t="s">
        <v>8872</v>
      </c>
      <c r="H53" t="s">
        <v>8873</v>
      </c>
      <c r="I53" t="s">
        <v>809</v>
      </c>
      <c r="K53" t="s">
        <v>46</v>
      </c>
      <c r="L53" t="s">
        <v>8683</v>
      </c>
      <c r="M53" t="s">
        <v>8684</v>
      </c>
      <c r="N53" t="s">
        <v>8703</v>
      </c>
      <c r="O53">
        <v>0.26555198598130841</v>
      </c>
      <c r="P53">
        <v>0.47549189814814818</v>
      </c>
      <c r="Q53" t="s">
        <v>33</v>
      </c>
    </row>
    <row r="54" spans="1:17" x14ac:dyDescent="0.35">
      <c r="A54" t="s">
        <v>20</v>
      </c>
      <c r="B54">
        <v>17646</v>
      </c>
      <c r="C54" t="s">
        <v>666</v>
      </c>
      <c r="D54" t="s">
        <v>667</v>
      </c>
      <c r="E54" t="s">
        <v>8709</v>
      </c>
      <c r="F54" t="s">
        <v>8874</v>
      </c>
      <c r="G54" t="s">
        <v>8875</v>
      </c>
      <c r="H54" t="s">
        <v>8876</v>
      </c>
      <c r="I54" t="s">
        <v>809</v>
      </c>
      <c r="K54" t="s">
        <v>46</v>
      </c>
      <c r="L54" t="s">
        <v>8683</v>
      </c>
      <c r="M54" t="s">
        <v>8713</v>
      </c>
      <c r="N54" t="s">
        <v>8708</v>
      </c>
      <c r="O54">
        <v>0.58188522196261683</v>
      </c>
      <c r="P54">
        <v>0.78472222222222221</v>
      </c>
      <c r="Q54" t="s">
        <v>33</v>
      </c>
    </row>
    <row r="55" spans="1:17" x14ac:dyDescent="0.35">
      <c r="A55" t="s">
        <v>20</v>
      </c>
      <c r="B55">
        <v>17646</v>
      </c>
      <c r="C55" t="s">
        <v>666</v>
      </c>
      <c r="D55" t="s">
        <v>667</v>
      </c>
      <c r="E55" t="s">
        <v>8714</v>
      </c>
      <c r="F55" t="s">
        <v>8877</v>
      </c>
      <c r="G55" t="s">
        <v>8878</v>
      </c>
      <c r="H55" t="s">
        <v>8879</v>
      </c>
      <c r="I55" t="s">
        <v>809</v>
      </c>
      <c r="K55" t="s">
        <v>46</v>
      </c>
      <c r="L55" t="s">
        <v>8683</v>
      </c>
      <c r="M55" t="s">
        <v>8684</v>
      </c>
      <c r="N55" t="s">
        <v>8703</v>
      </c>
      <c r="O55">
        <v>0.58841997663551393</v>
      </c>
      <c r="P55">
        <v>0.51371527777777781</v>
      </c>
      <c r="Q55" t="s">
        <v>33</v>
      </c>
    </row>
    <row r="56" spans="1:17" x14ac:dyDescent="0.35">
      <c r="A56" t="s">
        <v>20</v>
      </c>
      <c r="B56">
        <v>17646</v>
      </c>
      <c r="C56" t="s">
        <v>666</v>
      </c>
      <c r="D56" t="s">
        <v>667</v>
      </c>
      <c r="E56" t="s">
        <v>8718</v>
      </c>
      <c r="F56" t="s">
        <v>8880</v>
      </c>
      <c r="G56" t="s">
        <v>8881</v>
      </c>
      <c r="H56" t="s">
        <v>8882</v>
      </c>
      <c r="I56" t="s">
        <v>809</v>
      </c>
      <c r="K56" t="s">
        <v>38</v>
      </c>
      <c r="L56" t="s">
        <v>8683</v>
      </c>
      <c r="M56" t="s">
        <v>8713</v>
      </c>
      <c r="N56" t="s">
        <v>8708</v>
      </c>
      <c r="O56">
        <v>0.92371860397196259</v>
      </c>
      <c r="P56">
        <v>0.32549189814814822</v>
      </c>
      <c r="Q56" t="s">
        <v>33</v>
      </c>
    </row>
    <row r="57" spans="1:17" x14ac:dyDescent="0.35">
      <c r="A57" t="s">
        <v>20</v>
      </c>
      <c r="B57">
        <v>17646</v>
      </c>
      <c r="C57" t="s">
        <v>666</v>
      </c>
      <c r="D57" t="s">
        <v>667</v>
      </c>
      <c r="E57" t="s">
        <v>8723</v>
      </c>
      <c r="F57" t="s">
        <v>8883</v>
      </c>
      <c r="G57" t="s">
        <v>8884</v>
      </c>
      <c r="H57" t="s">
        <v>8885</v>
      </c>
      <c r="I57" t="s">
        <v>809</v>
      </c>
      <c r="K57" t="s">
        <v>38</v>
      </c>
      <c r="L57" t="s">
        <v>8683</v>
      </c>
      <c r="M57" t="s">
        <v>8684</v>
      </c>
      <c r="N57" t="s">
        <v>8703</v>
      </c>
      <c r="O57">
        <v>0.80154789719626163</v>
      </c>
      <c r="P57">
        <v>0.52225115740740735</v>
      </c>
      <c r="Q57" t="s">
        <v>33</v>
      </c>
    </row>
    <row r="58" spans="1:17" x14ac:dyDescent="0.35">
      <c r="A58" t="s">
        <v>20</v>
      </c>
      <c r="B58">
        <v>17646</v>
      </c>
      <c r="C58" t="s">
        <v>666</v>
      </c>
      <c r="D58" t="s">
        <v>667</v>
      </c>
      <c r="E58" t="s">
        <v>8742</v>
      </c>
      <c r="F58" t="s">
        <v>3538</v>
      </c>
      <c r="G58" t="s">
        <v>3539</v>
      </c>
      <c r="H58" t="s">
        <v>8886</v>
      </c>
      <c r="I58" t="s">
        <v>671</v>
      </c>
      <c r="K58" t="s">
        <v>28</v>
      </c>
      <c r="L58" t="s">
        <v>8683</v>
      </c>
      <c r="M58" t="s">
        <v>8713</v>
      </c>
      <c r="N58" t="s">
        <v>8722</v>
      </c>
      <c r="O58">
        <v>0.4700094918224299</v>
      </c>
      <c r="P58">
        <v>0.32919560185185182</v>
      </c>
      <c r="Q58" t="s">
        <v>33</v>
      </c>
    </row>
    <row r="59" spans="1:17" x14ac:dyDescent="0.35">
      <c r="A59" t="s">
        <v>20</v>
      </c>
      <c r="B59">
        <v>17646</v>
      </c>
      <c r="C59" t="s">
        <v>666</v>
      </c>
      <c r="D59" t="s">
        <v>667</v>
      </c>
      <c r="E59" t="s">
        <v>8746</v>
      </c>
      <c r="F59" t="s">
        <v>8887</v>
      </c>
      <c r="G59" t="s">
        <v>8888</v>
      </c>
      <c r="H59" t="s">
        <v>8889</v>
      </c>
      <c r="I59" t="s">
        <v>671</v>
      </c>
      <c r="K59" t="s">
        <v>28</v>
      </c>
      <c r="L59" t="s">
        <v>8683</v>
      </c>
      <c r="M59" t="s">
        <v>8713</v>
      </c>
      <c r="N59" t="s">
        <v>8770</v>
      </c>
      <c r="O59">
        <v>0.44284827686915879</v>
      </c>
      <c r="P59">
        <v>0.62627314814814816</v>
      </c>
      <c r="Q59" t="s">
        <v>33</v>
      </c>
    </row>
    <row r="60" spans="1:17" x14ac:dyDescent="0.35">
      <c r="A60" t="s">
        <v>20</v>
      </c>
      <c r="B60">
        <v>17646</v>
      </c>
      <c r="C60" t="s">
        <v>666</v>
      </c>
      <c r="D60" t="s">
        <v>667</v>
      </c>
      <c r="E60" t="s">
        <v>8750</v>
      </c>
      <c r="F60" t="s">
        <v>8890</v>
      </c>
      <c r="G60" t="s">
        <v>8891</v>
      </c>
      <c r="H60" t="s">
        <v>8892</v>
      </c>
      <c r="I60" t="s">
        <v>671</v>
      </c>
      <c r="K60" t="s">
        <v>28</v>
      </c>
      <c r="L60" t="s">
        <v>8683</v>
      </c>
      <c r="M60" t="s">
        <v>8713</v>
      </c>
      <c r="N60" t="s">
        <v>8770</v>
      </c>
      <c r="O60">
        <v>0.44540376752336452</v>
      </c>
      <c r="P60">
        <v>0.22569444444444439</v>
      </c>
      <c r="Q60" t="s">
        <v>33</v>
      </c>
    </row>
    <row r="61" spans="1:17" x14ac:dyDescent="0.35">
      <c r="A61" t="s">
        <v>20</v>
      </c>
      <c r="B61">
        <v>17646</v>
      </c>
      <c r="C61" t="s">
        <v>666</v>
      </c>
      <c r="D61" t="s">
        <v>667</v>
      </c>
      <c r="E61" t="s">
        <v>8754</v>
      </c>
      <c r="F61" t="s">
        <v>8893</v>
      </c>
      <c r="G61" t="s">
        <v>8894</v>
      </c>
      <c r="H61" t="s">
        <v>8895</v>
      </c>
      <c r="I61" t="s">
        <v>671</v>
      </c>
      <c r="K61" t="s">
        <v>46</v>
      </c>
      <c r="L61" t="s">
        <v>8683</v>
      </c>
      <c r="M61" t="s">
        <v>8684</v>
      </c>
      <c r="N61" t="s">
        <v>8703</v>
      </c>
      <c r="O61">
        <v>0.3397889894859813</v>
      </c>
      <c r="P61">
        <v>0.2592881944444444</v>
      </c>
      <c r="Q61" t="s">
        <v>33</v>
      </c>
    </row>
    <row r="62" spans="1:17" x14ac:dyDescent="0.35">
      <c r="A62" t="s">
        <v>20</v>
      </c>
      <c r="B62">
        <v>17646</v>
      </c>
      <c r="C62" t="s">
        <v>666</v>
      </c>
      <c r="D62" t="s">
        <v>667</v>
      </c>
      <c r="E62" t="s">
        <v>8758</v>
      </c>
      <c r="F62" t="s">
        <v>8896</v>
      </c>
      <c r="G62" t="s">
        <v>8897</v>
      </c>
      <c r="H62" t="s">
        <v>8898</v>
      </c>
      <c r="I62" t="s">
        <v>671</v>
      </c>
      <c r="K62" t="s">
        <v>28</v>
      </c>
      <c r="L62" t="s">
        <v>8683</v>
      </c>
      <c r="M62" t="s">
        <v>8684</v>
      </c>
      <c r="N62" t="s">
        <v>8708</v>
      </c>
      <c r="O62">
        <v>0.65625</v>
      </c>
      <c r="P62">
        <v>0.24667245370370361</v>
      </c>
      <c r="Q62" t="s">
        <v>33</v>
      </c>
    </row>
    <row r="63" spans="1:17" x14ac:dyDescent="0.35">
      <c r="A63" t="s">
        <v>20</v>
      </c>
      <c r="B63">
        <v>17646</v>
      </c>
      <c r="C63" t="s">
        <v>666</v>
      </c>
      <c r="D63" t="s">
        <v>667</v>
      </c>
      <c r="E63" t="s">
        <v>8762</v>
      </c>
      <c r="F63" t="s">
        <v>8899</v>
      </c>
      <c r="G63" t="s">
        <v>8900</v>
      </c>
      <c r="H63" t="s">
        <v>8901</v>
      </c>
      <c r="I63" t="s">
        <v>671</v>
      </c>
      <c r="K63" t="s">
        <v>46</v>
      </c>
      <c r="L63" t="s">
        <v>8683</v>
      </c>
      <c r="M63" t="s">
        <v>8684</v>
      </c>
      <c r="N63" t="s">
        <v>8708</v>
      </c>
      <c r="O63">
        <v>0.41612514602803741</v>
      </c>
      <c r="P63">
        <v>0.65234375</v>
      </c>
      <c r="Q63" t="s">
        <v>33</v>
      </c>
    </row>
    <row r="64" spans="1:17" x14ac:dyDescent="0.35">
      <c r="A64" t="s">
        <v>20</v>
      </c>
      <c r="B64">
        <v>17646</v>
      </c>
      <c r="C64" t="s">
        <v>666</v>
      </c>
      <c r="D64" t="s">
        <v>667</v>
      </c>
      <c r="E64" t="s">
        <v>8766</v>
      </c>
      <c r="F64" t="s">
        <v>8902</v>
      </c>
      <c r="G64" t="s">
        <v>8903</v>
      </c>
      <c r="H64" t="s">
        <v>8904</v>
      </c>
      <c r="I64" t="s">
        <v>671</v>
      </c>
      <c r="K64" t="s">
        <v>38</v>
      </c>
      <c r="L64" t="s">
        <v>8683</v>
      </c>
      <c r="M64" t="s">
        <v>8684</v>
      </c>
      <c r="N64" t="s">
        <v>8708</v>
      </c>
      <c r="O64">
        <v>7.934798481308411E-2</v>
      </c>
      <c r="P64">
        <v>0.67803819444444446</v>
      </c>
      <c r="Q64" t="s">
        <v>33</v>
      </c>
    </row>
    <row r="65" spans="1:17" x14ac:dyDescent="0.35">
      <c r="A65" t="s">
        <v>20</v>
      </c>
      <c r="B65">
        <v>17646</v>
      </c>
      <c r="C65" t="s">
        <v>666</v>
      </c>
      <c r="D65" t="s">
        <v>667</v>
      </c>
      <c r="E65" t="s">
        <v>8771</v>
      </c>
      <c r="F65" t="s">
        <v>8905</v>
      </c>
      <c r="G65" t="s">
        <v>8906</v>
      </c>
      <c r="H65" t="s">
        <v>8907</v>
      </c>
      <c r="I65" t="s">
        <v>671</v>
      </c>
      <c r="K65" t="s">
        <v>61</v>
      </c>
      <c r="L65" t="s">
        <v>8683</v>
      </c>
      <c r="M65" t="s">
        <v>8684</v>
      </c>
      <c r="N65" t="s">
        <v>8703</v>
      </c>
      <c r="O65">
        <v>5.4413697429906538E-2</v>
      </c>
      <c r="P65">
        <v>0.18642939814814821</v>
      </c>
      <c r="Q65" t="s">
        <v>33</v>
      </c>
    </row>
    <row r="66" spans="1:17" x14ac:dyDescent="0.35">
      <c r="A66" t="s">
        <v>20</v>
      </c>
      <c r="B66">
        <v>17645</v>
      </c>
      <c r="C66" t="s">
        <v>949</v>
      </c>
      <c r="D66" t="s">
        <v>950</v>
      </c>
      <c r="E66" t="s">
        <v>8679</v>
      </c>
      <c r="F66" t="s">
        <v>8908</v>
      </c>
      <c r="G66" t="s">
        <v>8909</v>
      </c>
      <c r="H66" t="s">
        <v>8910</v>
      </c>
      <c r="I66" t="s">
        <v>954</v>
      </c>
      <c r="K66" t="s">
        <v>38</v>
      </c>
      <c r="L66" t="s">
        <v>8683</v>
      </c>
      <c r="M66" t="s">
        <v>8684</v>
      </c>
      <c r="N66" t="s">
        <v>8789</v>
      </c>
      <c r="O66">
        <v>0.91827905957943923</v>
      </c>
      <c r="P66">
        <v>0.81802662037037033</v>
      </c>
      <c r="Q66" t="s">
        <v>33</v>
      </c>
    </row>
    <row r="67" spans="1:17" x14ac:dyDescent="0.35">
      <c r="A67" t="s">
        <v>20</v>
      </c>
      <c r="B67">
        <v>17645</v>
      </c>
      <c r="C67" t="s">
        <v>949</v>
      </c>
      <c r="D67" t="s">
        <v>950</v>
      </c>
      <c r="E67" t="s">
        <v>8685</v>
      </c>
      <c r="F67" t="s">
        <v>8911</v>
      </c>
      <c r="G67" t="s">
        <v>8912</v>
      </c>
      <c r="H67" t="s">
        <v>8913</v>
      </c>
      <c r="I67" t="s">
        <v>954</v>
      </c>
      <c r="K67" t="s">
        <v>38</v>
      </c>
      <c r="L67" t="s">
        <v>8683</v>
      </c>
      <c r="M67" t="s">
        <v>8684</v>
      </c>
      <c r="N67" t="s">
        <v>8789</v>
      </c>
      <c r="O67">
        <v>0.92694947429906538</v>
      </c>
      <c r="P67">
        <v>0.71189236111111109</v>
      </c>
      <c r="Q67" t="s">
        <v>33</v>
      </c>
    </row>
    <row r="68" spans="1:17" x14ac:dyDescent="0.35">
      <c r="A68" t="s">
        <v>20</v>
      </c>
      <c r="B68">
        <v>17645</v>
      </c>
      <c r="C68" t="s">
        <v>949</v>
      </c>
      <c r="D68" t="s">
        <v>950</v>
      </c>
      <c r="E68" t="s">
        <v>8689</v>
      </c>
      <c r="F68" t="s">
        <v>8914</v>
      </c>
      <c r="G68" t="s">
        <v>8915</v>
      </c>
      <c r="H68" t="s">
        <v>8916</v>
      </c>
      <c r="I68" t="s">
        <v>954</v>
      </c>
      <c r="K68" t="s">
        <v>61</v>
      </c>
      <c r="L68" t="s">
        <v>8698</v>
      </c>
      <c r="M68" t="s">
        <v>8684</v>
      </c>
      <c r="N68" t="s">
        <v>8693</v>
      </c>
      <c r="O68">
        <v>0.17862879672897189</v>
      </c>
      <c r="P68">
        <v>0.58998842592592593</v>
      </c>
      <c r="Q68" t="s">
        <v>33</v>
      </c>
    </row>
    <row r="69" spans="1:17" x14ac:dyDescent="0.35">
      <c r="A69" t="s">
        <v>20</v>
      </c>
      <c r="B69">
        <v>17645</v>
      </c>
      <c r="C69" t="s">
        <v>949</v>
      </c>
      <c r="D69" t="s">
        <v>950</v>
      </c>
      <c r="E69" t="s">
        <v>8694</v>
      </c>
      <c r="F69" t="s">
        <v>8917</v>
      </c>
      <c r="G69" t="s">
        <v>8918</v>
      </c>
      <c r="H69" t="s">
        <v>8919</v>
      </c>
      <c r="I69" t="s">
        <v>954</v>
      </c>
      <c r="K69" t="s">
        <v>46</v>
      </c>
      <c r="L69" t="s">
        <v>8698</v>
      </c>
      <c r="M69" t="s">
        <v>8684</v>
      </c>
      <c r="N69" t="s">
        <v>8861</v>
      </c>
      <c r="O69">
        <v>0.84303811331775691</v>
      </c>
      <c r="P69">
        <v>0.54276620370370365</v>
      </c>
      <c r="Q69" t="s">
        <v>33</v>
      </c>
    </row>
    <row r="70" spans="1:17" x14ac:dyDescent="0.35">
      <c r="A70" t="s">
        <v>20</v>
      </c>
      <c r="B70">
        <v>17645</v>
      </c>
      <c r="C70" t="s">
        <v>949</v>
      </c>
      <c r="D70" t="s">
        <v>950</v>
      </c>
      <c r="E70" t="s">
        <v>8699</v>
      </c>
      <c r="F70" t="s">
        <v>8920</v>
      </c>
      <c r="G70" t="s">
        <v>8921</v>
      </c>
      <c r="H70" t="s">
        <v>8922</v>
      </c>
      <c r="I70" t="s">
        <v>954</v>
      </c>
      <c r="K70" t="s">
        <v>38</v>
      </c>
      <c r="L70" t="s">
        <v>8683</v>
      </c>
      <c r="M70" t="s">
        <v>8713</v>
      </c>
      <c r="N70" t="s">
        <v>8722</v>
      </c>
      <c r="O70">
        <v>0.1968092873831776</v>
      </c>
      <c r="P70">
        <v>0.12343749999999989</v>
      </c>
      <c r="Q70" t="s">
        <v>33</v>
      </c>
    </row>
    <row r="71" spans="1:17" x14ac:dyDescent="0.35">
      <c r="A71" t="s">
        <v>20</v>
      </c>
      <c r="B71">
        <v>17645</v>
      </c>
      <c r="C71" t="s">
        <v>949</v>
      </c>
      <c r="D71" t="s">
        <v>950</v>
      </c>
      <c r="E71" t="s">
        <v>8704</v>
      </c>
      <c r="F71" t="s">
        <v>8923</v>
      </c>
      <c r="G71" t="s">
        <v>8924</v>
      </c>
      <c r="H71" t="s">
        <v>8925</v>
      </c>
      <c r="I71" t="s">
        <v>954</v>
      </c>
      <c r="K71" t="s">
        <v>61</v>
      </c>
      <c r="L71" t="s">
        <v>8683</v>
      </c>
      <c r="M71" t="s">
        <v>8713</v>
      </c>
      <c r="N71" t="s">
        <v>8811</v>
      </c>
      <c r="O71">
        <v>7.4474299065420552E-2</v>
      </c>
      <c r="P71">
        <v>0.22097800925925931</v>
      </c>
      <c r="Q71" t="s">
        <v>33</v>
      </c>
    </row>
    <row r="72" spans="1:17" x14ac:dyDescent="0.35">
      <c r="A72" t="s">
        <v>20</v>
      </c>
      <c r="B72">
        <v>17645</v>
      </c>
      <c r="C72" t="s">
        <v>949</v>
      </c>
      <c r="D72" t="s">
        <v>950</v>
      </c>
      <c r="E72" t="s">
        <v>8709</v>
      </c>
      <c r="F72" t="s">
        <v>8926</v>
      </c>
      <c r="G72" t="s">
        <v>8927</v>
      </c>
      <c r="H72" t="s">
        <v>8928</v>
      </c>
      <c r="I72" t="s">
        <v>954</v>
      </c>
      <c r="K72" t="s">
        <v>38</v>
      </c>
      <c r="L72" t="s">
        <v>8683</v>
      </c>
      <c r="M72" t="s">
        <v>8684</v>
      </c>
      <c r="N72" t="s">
        <v>8708</v>
      </c>
      <c r="O72">
        <v>0.1689726927570093</v>
      </c>
      <c r="P72">
        <v>0.1557291666666667</v>
      </c>
      <c r="Q72" t="s">
        <v>33</v>
      </c>
    </row>
    <row r="73" spans="1:17" x14ac:dyDescent="0.35">
      <c r="A73" t="s">
        <v>20</v>
      </c>
      <c r="B73">
        <v>17645</v>
      </c>
      <c r="C73" t="s">
        <v>949</v>
      </c>
      <c r="D73" t="s">
        <v>950</v>
      </c>
      <c r="E73" t="s">
        <v>8714</v>
      </c>
      <c r="F73" t="s">
        <v>8929</v>
      </c>
      <c r="G73" t="s">
        <v>8930</v>
      </c>
      <c r="H73" t="s">
        <v>8931</v>
      </c>
      <c r="I73" t="s">
        <v>954</v>
      </c>
      <c r="K73" t="s">
        <v>38</v>
      </c>
      <c r="L73" t="s">
        <v>8683</v>
      </c>
      <c r="M73" t="s">
        <v>8684</v>
      </c>
      <c r="N73" t="s">
        <v>8789</v>
      </c>
      <c r="O73">
        <v>4.9320969626168221E-2</v>
      </c>
      <c r="P73">
        <v>5.9635416666666607E-2</v>
      </c>
      <c r="Q73" t="s">
        <v>33</v>
      </c>
    </row>
    <row r="74" spans="1:17" x14ac:dyDescent="0.35">
      <c r="A74" t="s">
        <v>20</v>
      </c>
      <c r="B74">
        <v>17645</v>
      </c>
      <c r="C74" t="s">
        <v>949</v>
      </c>
      <c r="D74" t="s">
        <v>950</v>
      </c>
      <c r="E74" t="s">
        <v>8718</v>
      </c>
      <c r="F74" t="s">
        <v>8932</v>
      </c>
      <c r="G74" t="s">
        <v>8933</v>
      </c>
      <c r="H74" t="s">
        <v>8934</v>
      </c>
      <c r="I74" t="s">
        <v>954</v>
      </c>
      <c r="K74" t="s">
        <v>28</v>
      </c>
      <c r="L74" t="s">
        <v>8683</v>
      </c>
      <c r="M74" t="s">
        <v>8684</v>
      </c>
      <c r="N74" t="s">
        <v>8703</v>
      </c>
      <c r="O74">
        <v>0.55873977803738317</v>
      </c>
      <c r="P74">
        <v>0.43642939814814818</v>
      </c>
      <c r="Q74" t="s">
        <v>33</v>
      </c>
    </row>
    <row r="75" spans="1:17" x14ac:dyDescent="0.35">
      <c r="A75" t="s">
        <v>20</v>
      </c>
      <c r="B75">
        <v>17645</v>
      </c>
      <c r="C75" t="s">
        <v>949</v>
      </c>
      <c r="D75" t="s">
        <v>950</v>
      </c>
      <c r="E75" t="s">
        <v>8723</v>
      </c>
      <c r="F75" t="s">
        <v>8935</v>
      </c>
      <c r="G75" t="s">
        <v>8936</v>
      </c>
      <c r="H75" t="s">
        <v>8937</v>
      </c>
      <c r="I75" t="s">
        <v>954</v>
      </c>
      <c r="K75" t="s">
        <v>46</v>
      </c>
      <c r="L75" t="s">
        <v>8683</v>
      </c>
      <c r="M75" t="s">
        <v>8684</v>
      </c>
      <c r="N75" t="s">
        <v>8741</v>
      </c>
      <c r="O75">
        <v>0.32697502920560739</v>
      </c>
      <c r="P75">
        <v>0.82126736111111109</v>
      </c>
      <c r="Q75" t="s">
        <v>33</v>
      </c>
    </row>
    <row r="76" spans="1:17" x14ac:dyDescent="0.35">
      <c r="A76" t="s">
        <v>20</v>
      </c>
      <c r="B76">
        <v>17645</v>
      </c>
      <c r="C76" t="s">
        <v>949</v>
      </c>
      <c r="D76" t="s">
        <v>950</v>
      </c>
      <c r="E76" t="s">
        <v>8728</v>
      </c>
      <c r="F76" t="s">
        <v>8938</v>
      </c>
      <c r="G76" t="s">
        <v>8939</v>
      </c>
      <c r="H76" t="s">
        <v>8940</v>
      </c>
      <c r="I76" t="s">
        <v>954</v>
      </c>
      <c r="K76" t="s">
        <v>38</v>
      </c>
      <c r="L76" t="s">
        <v>8683</v>
      </c>
      <c r="M76" t="s">
        <v>8684</v>
      </c>
      <c r="N76" t="s">
        <v>8708</v>
      </c>
      <c r="O76">
        <v>0.1781359521028037</v>
      </c>
      <c r="P76">
        <v>0.65584490740740731</v>
      </c>
      <c r="Q76" t="s">
        <v>33</v>
      </c>
    </row>
    <row r="77" spans="1:17" x14ac:dyDescent="0.35">
      <c r="A77" t="s">
        <v>20</v>
      </c>
      <c r="B77">
        <v>17645</v>
      </c>
      <c r="C77" t="s">
        <v>949</v>
      </c>
      <c r="D77" t="s">
        <v>950</v>
      </c>
      <c r="E77" t="s">
        <v>8733</v>
      </c>
      <c r="F77" t="s">
        <v>8941</v>
      </c>
      <c r="G77" t="s">
        <v>8942</v>
      </c>
      <c r="H77" t="s">
        <v>8943</v>
      </c>
      <c r="I77" t="s">
        <v>954</v>
      </c>
      <c r="K77" t="s">
        <v>46</v>
      </c>
      <c r="L77" t="s">
        <v>8683</v>
      </c>
      <c r="M77" t="s">
        <v>8684</v>
      </c>
      <c r="N77" t="s">
        <v>8708</v>
      </c>
      <c r="O77">
        <v>0.56532929322429903</v>
      </c>
      <c r="P77">
        <v>0.5566550925925926</v>
      </c>
      <c r="Q77" t="s">
        <v>33</v>
      </c>
    </row>
    <row r="78" spans="1:17" x14ac:dyDescent="0.35">
      <c r="A78" t="s">
        <v>20</v>
      </c>
      <c r="B78">
        <v>17645</v>
      </c>
      <c r="C78" t="s">
        <v>949</v>
      </c>
      <c r="D78" t="s">
        <v>950</v>
      </c>
      <c r="E78" t="s">
        <v>8737</v>
      </c>
      <c r="F78" t="s">
        <v>8944</v>
      </c>
      <c r="G78" t="s">
        <v>8945</v>
      </c>
      <c r="H78" t="s">
        <v>8946</v>
      </c>
      <c r="I78" t="s">
        <v>954</v>
      </c>
      <c r="K78" t="s">
        <v>38</v>
      </c>
      <c r="L78" t="s">
        <v>8683</v>
      </c>
      <c r="M78" t="s">
        <v>8713</v>
      </c>
      <c r="N78" t="s">
        <v>8722</v>
      </c>
      <c r="O78">
        <v>0.87890625</v>
      </c>
      <c r="P78">
        <v>7.798032407407407E-2</v>
      </c>
      <c r="Q78" t="s">
        <v>33</v>
      </c>
    </row>
    <row r="79" spans="1:17" x14ac:dyDescent="0.35">
      <c r="A79" t="s">
        <v>20</v>
      </c>
      <c r="B79">
        <v>17645</v>
      </c>
      <c r="C79" t="s">
        <v>949</v>
      </c>
      <c r="D79" t="s">
        <v>950</v>
      </c>
      <c r="E79" t="s">
        <v>8947</v>
      </c>
      <c r="F79" t="s">
        <v>8948</v>
      </c>
      <c r="G79" t="s">
        <v>8949</v>
      </c>
      <c r="H79" t="s">
        <v>8950</v>
      </c>
      <c r="I79" t="s">
        <v>954</v>
      </c>
      <c r="K79" t="s">
        <v>46</v>
      </c>
      <c r="L79" t="s">
        <v>8683</v>
      </c>
      <c r="M79" t="s">
        <v>8684</v>
      </c>
      <c r="N79" t="s">
        <v>8708</v>
      </c>
      <c r="O79">
        <v>0.46157637266355139</v>
      </c>
      <c r="P79">
        <v>0.53232060185185182</v>
      </c>
      <c r="Q79" t="s">
        <v>33</v>
      </c>
    </row>
    <row r="80" spans="1:17" x14ac:dyDescent="0.35">
      <c r="A80" t="s">
        <v>20</v>
      </c>
      <c r="B80">
        <v>17645</v>
      </c>
      <c r="C80" t="s">
        <v>949</v>
      </c>
      <c r="D80" t="s">
        <v>950</v>
      </c>
      <c r="E80" t="s">
        <v>8951</v>
      </c>
      <c r="F80" t="s">
        <v>8952</v>
      </c>
      <c r="G80" t="s">
        <v>8953</v>
      </c>
      <c r="H80" t="s">
        <v>8954</v>
      </c>
      <c r="I80" t="s">
        <v>954</v>
      </c>
      <c r="K80" t="s">
        <v>46</v>
      </c>
      <c r="L80" t="s">
        <v>8683</v>
      </c>
      <c r="M80" t="s">
        <v>8684</v>
      </c>
      <c r="N80" t="s">
        <v>8722</v>
      </c>
      <c r="O80">
        <v>0.82522269275700932</v>
      </c>
      <c r="P80">
        <v>0.30648148148148152</v>
      </c>
      <c r="Q80" t="s">
        <v>33</v>
      </c>
    </row>
    <row r="81" spans="1:17" x14ac:dyDescent="0.35">
      <c r="A81" t="s">
        <v>20</v>
      </c>
      <c r="B81">
        <v>17645</v>
      </c>
      <c r="C81" t="s">
        <v>949</v>
      </c>
      <c r="D81" t="s">
        <v>950</v>
      </c>
      <c r="E81" t="s">
        <v>8955</v>
      </c>
      <c r="F81" t="s">
        <v>8956</v>
      </c>
      <c r="G81" t="s">
        <v>8957</v>
      </c>
      <c r="H81" t="s">
        <v>8958</v>
      </c>
      <c r="I81" t="s">
        <v>954</v>
      </c>
      <c r="K81" t="s">
        <v>28</v>
      </c>
      <c r="L81" t="s">
        <v>8683</v>
      </c>
      <c r="M81" t="s">
        <v>8684</v>
      </c>
      <c r="N81" t="s">
        <v>8722</v>
      </c>
      <c r="O81">
        <v>0.63388945677570097</v>
      </c>
      <c r="P81">
        <v>9.4068287037037068E-2</v>
      </c>
      <c r="Q81" t="s">
        <v>33</v>
      </c>
    </row>
    <row r="82" spans="1:17" x14ac:dyDescent="0.35">
      <c r="A82" t="s">
        <v>20</v>
      </c>
      <c r="B82">
        <v>17645</v>
      </c>
      <c r="C82" t="s">
        <v>949</v>
      </c>
      <c r="D82" t="s">
        <v>950</v>
      </c>
      <c r="E82" t="s">
        <v>8959</v>
      </c>
      <c r="F82" t="s">
        <v>8960</v>
      </c>
      <c r="G82" t="s">
        <v>8961</v>
      </c>
      <c r="H82" t="s">
        <v>8962</v>
      </c>
      <c r="I82" t="s">
        <v>954</v>
      </c>
      <c r="K82" t="s">
        <v>46</v>
      </c>
      <c r="L82" t="s">
        <v>8683</v>
      </c>
      <c r="M82" t="s">
        <v>8684</v>
      </c>
      <c r="N82" t="s">
        <v>8708</v>
      </c>
      <c r="O82">
        <v>0.43715318341121501</v>
      </c>
      <c r="P82">
        <v>0.40642361111111103</v>
      </c>
      <c r="Q82" t="s">
        <v>33</v>
      </c>
    </row>
    <row r="83" spans="1:17" x14ac:dyDescent="0.35">
      <c r="A83" t="s">
        <v>20</v>
      </c>
      <c r="B83">
        <v>17645</v>
      </c>
      <c r="C83" t="s">
        <v>949</v>
      </c>
      <c r="D83" t="s">
        <v>950</v>
      </c>
      <c r="E83" t="s">
        <v>8963</v>
      </c>
      <c r="F83" t="s">
        <v>8964</v>
      </c>
      <c r="G83" t="s">
        <v>8965</v>
      </c>
      <c r="H83" t="s">
        <v>8966</v>
      </c>
      <c r="I83" t="s">
        <v>954</v>
      </c>
      <c r="K83" t="s">
        <v>28</v>
      </c>
      <c r="L83" t="s">
        <v>8683</v>
      </c>
      <c r="M83" t="s">
        <v>8713</v>
      </c>
      <c r="N83" t="s">
        <v>8722</v>
      </c>
      <c r="O83">
        <v>0.57270370911214952</v>
      </c>
      <c r="P83">
        <v>0.67109374999999993</v>
      </c>
      <c r="Q83" t="s">
        <v>33</v>
      </c>
    </row>
    <row r="84" spans="1:17" x14ac:dyDescent="0.35">
      <c r="A84" t="s">
        <v>20</v>
      </c>
      <c r="B84">
        <v>17645</v>
      </c>
      <c r="C84" t="s">
        <v>949</v>
      </c>
      <c r="D84" t="s">
        <v>950</v>
      </c>
      <c r="E84" t="s">
        <v>8967</v>
      </c>
      <c r="F84" t="s">
        <v>8968</v>
      </c>
      <c r="G84" t="s">
        <v>8969</v>
      </c>
      <c r="H84" t="s">
        <v>8970</v>
      </c>
      <c r="I84" t="s">
        <v>954</v>
      </c>
      <c r="K84" t="s">
        <v>46</v>
      </c>
      <c r="L84" t="s">
        <v>8683</v>
      </c>
      <c r="M84" t="s">
        <v>8684</v>
      </c>
      <c r="N84" t="s">
        <v>8703</v>
      </c>
      <c r="O84">
        <v>0.39462251752336452</v>
      </c>
      <c r="P84">
        <v>0.64866898148148144</v>
      </c>
      <c r="Q84" t="s">
        <v>33</v>
      </c>
    </row>
    <row r="85" spans="1:17" x14ac:dyDescent="0.35">
      <c r="A85" t="s">
        <v>20</v>
      </c>
      <c r="B85">
        <v>17645</v>
      </c>
      <c r="C85" t="s">
        <v>949</v>
      </c>
      <c r="D85" t="s">
        <v>950</v>
      </c>
      <c r="E85" t="s">
        <v>8971</v>
      </c>
      <c r="F85" t="s">
        <v>8972</v>
      </c>
      <c r="G85" t="s">
        <v>8973</v>
      </c>
      <c r="H85" t="s">
        <v>8974</v>
      </c>
      <c r="I85" t="s">
        <v>954</v>
      </c>
      <c r="K85" t="s">
        <v>46</v>
      </c>
      <c r="L85" t="s">
        <v>8683</v>
      </c>
      <c r="M85" t="s">
        <v>8684</v>
      </c>
      <c r="N85" t="s">
        <v>8708</v>
      </c>
      <c r="O85">
        <v>0.39268764602803741</v>
      </c>
      <c r="P85">
        <v>0.58067129629629632</v>
      </c>
      <c r="Q85" t="s">
        <v>33</v>
      </c>
    </row>
    <row r="86" spans="1:17" x14ac:dyDescent="0.35">
      <c r="A86" t="s">
        <v>20</v>
      </c>
      <c r="B86">
        <v>17645</v>
      </c>
      <c r="C86" t="s">
        <v>949</v>
      </c>
      <c r="D86" t="s">
        <v>950</v>
      </c>
      <c r="E86" t="s">
        <v>8975</v>
      </c>
      <c r="F86" t="s">
        <v>8976</v>
      </c>
      <c r="G86" t="s">
        <v>8977</v>
      </c>
      <c r="H86" t="s">
        <v>8978</v>
      </c>
      <c r="I86" t="s">
        <v>954</v>
      </c>
      <c r="K86" t="s">
        <v>46</v>
      </c>
      <c r="L86" t="s">
        <v>8683</v>
      </c>
      <c r="M86" t="s">
        <v>8684</v>
      </c>
      <c r="N86" t="s">
        <v>8703</v>
      </c>
      <c r="O86">
        <v>0.34320239485981302</v>
      </c>
      <c r="P86">
        <v>0.35584490740740737</v>
      </c>
      <c r="Q86" t="s">
        <v>33</v>
      </c>
    </row>
    <row r="87" spans="1:17" x14ac:dyDescent="0.35">
      <c r="A87" t="s">
        <v>20</v>
      </c>
      <c r="B87">
        <v>17645</v>
      </c>
      <c r="C87" t="s">
        <v>949</v>
      </c>
      <c r="D87" t="s">
        <v>950</v>
      </c>
      <c r="E87" t="s">
        <v>8979</v>
      </c>
      <c r="F87" t="s">
        <v>8980</v>
      </c>
      <c r="G87" t="s">
        <v>8981</v>
      </c>
      <c r="H87" t="s">
        <v>8982</v>
      </c>
      <c r="I87" t="s">
        <v>954</v>
      </c>
      <c r="K87" t="s">
        <v>28</v>
      </c>
      <c r="L87" t="s">
        <v>8698</v>
      </c>
      <c r="M87" t="s">
        <v>8684</v>
      </c>
      <c r="N87" t="s">
        <v>8693</v>
      </c>
      <c r="O87">
        <v>0.78053811331775691</v>
      </c>
      <c r="P87">
        <v>0.86096643518518512</v>
      </c>
      <c r="Q87" t="s">
        <v>33</v>
      </c>
    </row>
    <row r="88" spans="1:17" x14ac:dyDescent="0.35">
      <c r="A88" t="s">
        <v>20</v>
      </c>
      <c r="B88">
        <v>17645</v>
      </c>
      <c r="C88" t="s">
        <v>949</v>
      </c>
      <c r="D88" t="s">
        <v>950</v>
      </c>
      <c r="E88" t="s">
        <v>8983</v>
      </c>
      <c r="F88" t="s">
        <v>8984</v>
      </c>
      <c r="G88" t="s">
        <v>8985</v>
      </c>
      <c r="H88" t="s">
        <v>8986</v>
      </c>
      <c r="I88" t="s">
        <v>954</v>
      </c>
      <c r="K88" t="s">
        <v>46</v>
      </c>
      <c r="L88" t="s">
        <v>8698</v>
      </c>
      <c r="M88" t="s">
        <v>8713</v>
      </c>
      <c r="N88" t="s">
        <v>8693</v>
      </c>
      <c r="O88">
        <v>0.28077540887850472</v>
      </c>
      <c r="P88">
        <v>8.1684027777777724E-2</v>
      </c>
      <c r="Q88" t="s">
        <v>33</v>
      </c>
    </row>
    <row r="89" spans="1:17" x14ac:dyDescent="0.35">
      <c r="A89" t="s">
        <v>20</v>
      </c>
      <c r="B89">
        <v>17645</v>
      </c>
      <c r="C89" t="s">
        <v>949</v>
      </c>
      <c r="D89" t="s">
        <v>950</v>
      </c>
      <c r="E89" t="s">
        <v>8987</v>
      </c>
      <c r="F89" t="s">
        <v>8988</v>
      </c>
      <c r="G89" t="s">
        <v>8989</v>
      </c>
      <c r="H89" t="s">
        <v>8990</v>
      </c>
      <c r="I89" t="s">
        <v>954</v>
      </c>
      <c r="K89" t="s">
        <v>38</v>
      </c>
      <c r="L89" t="s">
        <v>8683</v>
      </c>
      <c r="M89" t="s">
        <v>8684</v>
      </c>
      <c r="N89" t="s">
        <v>8789</v>
      </c>
      <c r="O89">
        <v>0.15051839953271029</v>
      </c>
      <c r="P89">
        <v>0.2202256944444444</v>
      </c>
      <c r="Q89" t="s">
        <v>33</v>
      </c>
    </row>
    <row r="90" spans="1:17" x14ac:dyDescent="0.35">
      <c r="A90" t="s">
        <v>20</v>
      </c>
      <c r="B90">
        <v>17645</v>
      </c>
      <c r="C90" t="s">
        <v>949</v>
      </c>
      <c r="D90" t="s">
        <v>950</v>
      </c>
      <c r="E90" t="s">
        <v>8742</v>
      </c>
      <c r="F90" t="s">
        <v>8991</v>
      </c>
      <c r="G90" t="s">
        <v>8992</v>
      </c>
      <c r="H90" t="s">
        <v>8993</v>
      </c>
      <c r="I90" t="s">
        <v>1090</v>
      </c>
      <c r="K90" t="s">
        <v>46</v>
      </c>
      <c r="L90" t="s">
        <v>8698</v>
      </c>
      <c r="M90" t="s">
        <v>8713</v>
      </c>
      <c r="N90" t="s">
        <v>8861</v>
      </c>
      <c r="O90">
        <v>0.41630768107476629</v>
      </c>
      <c r="P90">
        <v>0.27407407407407403</v>
      </c>
      <c r="Q90" t="s">
        <v>33</v>
      </c>
    </row>
    <row r="91" spans="1:17" x14ac:dyDescent="0.35">
      <c r="A91" t="s">
        <v>20</v>
      </c>
      <c r="B91">
        <v>17645</v>
      </c>
      <c r="C91" t="s">
        <v>949</v>
      </c>
      <c r="D91" t="s">
        <v>950</v>
      </c>
      <c r="E91" t="s">
        <v>8746</v>
      </c>
      <c r="F91" t="s">
        <v>8994</v>
      </c>
      <c r="G91" t="s">
        <v>8995</v>
      </c>
      <c r="H91" t="s">
        <v>8996</v>
      </c>
      <c r="I91" t="s">
        <v>1090</v>
      </c>
      <c r="K91" t="s">
        <v>38</v>
      </c>
      <c r="L91" t="s">
        <v>8683</v>
      </c>
      <c r="M91" t="s">
        <v>8713</v>
      </c>
      <c r="N91" t="s">
        <v>8811</v>
      </c>
      <c r="O91">
        <v>0.88071334696261672</v>
      </c>
      <c r="P91">
        <v>0.21281828703703701</v>
      </c>
      <c r="Q91" t="s">
        <v>33</v>
      </c>
    </row>
    <row r="92" spans="1:17" x14ac:dyDescent="0.35">
      <c r="A92" t="s">
        <v>20</v>
      </c>
      <c r="B92">
        <v>17645</v>
      </c>
      <c r="C92" t="s">
        <v>949</v>
      </c>
      <c r="D92" t="s">
        <v>950</v>
      </c>
      <c r="E92" t="s">
        <v>8750</v>
      </c>
      <c r="F92" t="s">
        <v>8997</v>
      </c>
      <c r="G92" t="s">
        <v>8998</v>
      </c>
      <c r="H92" t="s">
        <v>8999</v>
      </c>
      <c r="I92" t="s">
        <v>1090</v>
      </c>
      <c r="K92" t="s">
        <v>46</v>
      </c>
      <c r="L92" t="s">
        <v>8683</v>
      </c>
      <c r="M92" t="s">
        <v>8684</v>
      </c>
      <c r="N92" t="s">
        <v>8708</v>
      </c>
      <c r="O92">
        <v>0.36994377920560739</v>
      </c>
      <c r="P92">
        <v>0.44843749999999988</v>
      </c>
      <c r="Q92" t="s">
        <v>33</v>
      </c>
    </row>
    <row r="93" spans="1:17" x14ac:dyDescent="0.35">
      <c r="A93" t="s">
        <v>20</v>
      </c>
      <c r="B93">
        <v>17645</v>
      </c>
      <c r="C93" t="s">
        <v>949</v>
      </c>
      <c r="D93" t="s">
        <v>950</v>
      </c>
      <c r="E93" t="s">
        <v>8754</v>
      </c>
      <c r="F93" t="s">
        <v>9000</v>
      </c>
      <c r="G93" t="s">
        <v>9001</v>
      </c>
      <c r="H93" t="s">
        <v>9002</v>
      </c>
      <c r="I93" t="s">
        <v>1090</v>
      </c>
      <c r="K93" t="s">
        <v>28</v>
      </c>
      <c r="L93" t="s">
        <v>8683</v>
      </c>
      <c r="M93" t="s">
        <v>8713</v>
      </c>
      <c r="N93" t="s">
        <v>9003</v>
      </c>
      <c r="O93">
        <v>0.37237149532710279</v>
      </c>
      <c r="P93">
        <v>8.4866898148148184E-2</v>
      </c>
      <c r="Q93" t="s">
        <v>33</v>
      </c>
    </row>
    <row r="94" spans="1:17" x14ac:dyDescent="0.35">
      <c r="A94" t="s">
        <v>20</v>
      </c>
      <c r="B94">
        <v>17645</v>
      </c>
      <c r="C94" t="s">
        <v>949</v>
      </c>
      <c r="D94" t="s">
        <v>950</v>
      </c>
      <c r="E94" t="s">
        <v>8758</v>
      </c>
      <c r="F94" t="s">
        <v>9004</v>
      </c>
      <c r="G94" t="s">
        <v>9005</v>
      </c>
      <c r="H94" t="s">
        <v>9006</v>
      </c>
      <c r="I94" t="s">
        <v>1090</v>
      </c>
      <c r="K94" t="s">
        <v>61</v>
      </c>
      <c r="L94" t="s">
        <v>8683</v>
      </c>
      <c r="M94" t="s">
        <v>8713</v>
      </c>
      <c r="N94" t="s">
        <v>8770</v>
      </c>
      <c r="O94">
        <v>0.19213639018691589</v>
      </c>
      <c r="P94">
        <v>0.36501736111111099</v>
      </c>
      <c r="Q94" t="s">
        <v>33</v>
      </c>
    </row>
    <row r="95" spans="1:17" x14ac:dyDescent="0.35">
      <c r="A95" t="s">
        <v>20</v>
      </c>
      <c r="B95">
        <v>17645</v>
      </c>
      <c r="C95" t="s">
        <v>949</v>
      </c>
      <c r="D95" t="s">
        <v>950</v>
      </c>
      <c r="E95" t="s">
        <v>8762</v>
      </c>
      <c r="F95" t="s">
        <v>9007</v>
      </c>
      <c r="G95" t="s">
        <v>9008</v>
      </c>
      <c r="H95" t="s">
        <v>9009</v>
      </c>
      <c r="I95" t="s">
        <v>1090</v>
      </c>
      <c r="K95" t="s">
        <v>38</v>
      </c>
      <c r="L95" t="s">
        <v>8683</v>
      </c>
      <c r="M95" t="s">
        <v>8684</v>
      </c>
      <c r="N95" t="s">
        <v>8789</v>
      </c>
      <c r="O95">
        <v>0.9314033294392523</v>
      </c>
      <c r="P95">
        <v>0.74927662037037035</v>
      </c>
      <c r="Q95" t="s">
        <v>33</v>
      </c>
    </row>
    <row r="96" spans="1:17" x14ac:dyDescent="0.35">
      <c r="A96" t="s">
        <v>20</v>
      </c>
      <c r="B96">
        <v>17645</v>
      </c>
      <c r="C96" t="s">
        <v>949</v>
      </c>
      <c r="D96" t="s">
        <v>950</v>
      </c>
      <c r="E96" t="s">
        <v>8766</v>
      </c>
      <c r="F96" t="s">
        <v>9010</v>
      </c>
      <c r="G96" t="s">
        <v>9011</v>
      </c>
      <c r="H96" t="s">
        <v>9012</v>
      </c>
      <c r="I96" t="s">
        <v>1090</v>
      </c>
      <c r="K96" t="s">
        <v>28</v>
      </c>
      <c r="L96" t="s">
        <v>8683</v>
      </c>
      <c r="M96" t="s">
        <v>8684</v>
      </c>
      <c r="N96" t="s">
        <v>8703</v>
      </c>
      <c r="O96">
        <v>0.24131133177570091</v>
      </c>
      <c r="P96">
        <v>0.67514467592592586</v>
      </c>
      <c r="Q96" t="s">
        <v>33</v>
      </c>
    </row>
    <row r="97" spans="1:17" x14ac:dyDescent="0.35">
      <c r="A97" t="s">
        <v>20</v>
      </c>
      <c r="B97">
        <v>17645</v>
      </c>
      <c r="C97" t="s">
        <v>949</v>
      </c>
      <c r="D97" t="s">
        <v>950</v>
      </c>
      <c r="E97" t="s">
        <v>8771</v>
      </c>
      <c r="F97" t="s">
        <v>9013</v>
      </c>
      <c r="G97" t="s">
        <v>9014</v>
      </c>
      <c r="H97" t="s">
        <v>9015</v>
      </c>
      <c r="I97" t="s">
        <v>1090</v>
      </c>
      <c r="K97" t="s">
        <v>46</v>
      </c>
      <c r="L97" t="s">
        <v>8698</v>
      </c>
      <c r="M97" t="s">
        <v>8684</v>
      </c>
      <c r="N97" t="s">
        <v>8693</v>
      </c>
      <c r="O97">
        <v>0.6075313960280373</v>
      </c>
      <c r="P97">
        <v>0.77725694444444438</v>
      </c>
      <c r="Q97" t="s">
        <v>33</v>
      </c>
    </row>
    <row r="98" spans="1:17" x14ac:dyDescent="0.35">
      <c r="A98" t="s">
        <v>20</v>
      </c>
      <c r="B98">
        <v>17645</v>
      </c>
      <c r="C98" t="s">
        <v>949</v>
      </c>
      <c r="D98" t="s">
        <v>950</v>
      </c>
      <c r="E98" t="s">
        <v>8775</v>
      </c>
      <c r="F98" t="s">
        <v>9016</v>
      </c>
      <c r="G98" t="s">
        <v>9017</v>
      </c>
      <c r="H98" t="s">
        <v>9018</v>
      </c>
      <c r="I98" t="s">
        <v>1090</v>
      </c>
      <c r="K98" t="s">
        <v>61</v>
      </c>
      <c r="L98" t="s">
        <v>8683</v>
      </c>
      <c r="M98" t="s">
        <v>8713</v>
      </c>
      <c r="N98" t="s">
        <v>8770</v>
      </c>
      <c r="O98">
        <v>5.9433411214953269E-2</v>
      </c>
      <c r="P98">
        <v>0.45344328703703712</v>
      </c>
      <c r="Q98" t="s">
        <v>33</v>
      </c>
    </row>
    <row r="99" spans="1:17" x14ac:dyDescent="0.35">
      <c r="A99" t="s">
        <v>20</v>
      </c>
      <c r="B99">
        <v>17645</v>
      </c>
      <c r="C99" t="s">
        <v>949</v>
      </c>
      <c r="D99" t="s">
        <v>950</v>
      </c>
      <c r="E99" t="s">
        <v>8847</v>
      </c>
      <c r="F99" t="s">
        <v>9019</v>
      </c>
      <c r="G99" t="s">
        <v>9020</v>
      </c>
      <c r="H99" t="s">
        <v>9021</v>
      </c>
      <c r="I99" t="s">
        <v>1090</v>
      </c>
      <c r="K99" t="s">
        <v>38</v>
      </c>
      <c r="L99" t="s">
        <v>8683</v>
      </c>
      <c r="M99" t="s">
        <v>8684</v>
      </c>
      <c r="N99" t="s">
        <v>8708</v>
      </c>
      <c r="O99">
        <v>0.89810893691588778</v>
      </c>
      <c r="P99">
        <v>0.81064814814814812</v>
      </c>
      <c r="Q99" t="s">
        <v>33</v>
      </c>
    </row>
    <row r="100" spans="1:17" x14ac:dyDescent="0.35">
      <c r="A100" t="s">
        <v>20</v>
      </c>
      <c r="B100">
        <v>17645</v>
      </c>
      <c r="C100" t="s">
        <v>949</v>
      </c>
      <c r="D100" t="s">
        <v>950</v>
      </c>
      <c r="E100" t="s">
        <v>8851</v>
      </c>
      <c r="F100" t="s">
        <v>9022</v>
      </c>
      <c r="G100" t="s">
        <v>9023</v>
      </c>
      <c r="H100" t="s">
        <v>9024</v>
      </c>
      <c r="I100" t="s">
        <v>1090</v>
      </c>
      <c r="K100" t="s">
        <v>38</v>
      </c>
      <c r="L100" t="s">
        <v>8698</v>
      </c>
      <c r="M100" t="s">
        <v>8684</v>
      </c>
      <c r="N100" t="s">
        <v>8693</v>
      </c>
      <c r="O100">
        <v>0.90674284462616805</v>
      </c>
      <c r="P100">
        <v>0.53396990740740735</v>
      </c>
      <c r="Q100" t="s">
        <v>33</v>
      </c>
    </row>
    <row r="101" spans="1:17" x14ac:dyDescent="0.35">
      <c r="A101" t="s">
        <v>20</v>
      </c>
      <c r="B101">
        <v>17645</v>
      </c>
      <c r="C101" t="s">
        <v>949</v>
      </c>
      <c r="D101" t="s">
        <v>950</v>
      </c>
      <c r="E101" t="s">
        <v>9025</v>
      </c>
      <c r="F101" t="s">
        <v>9026</v>
      </c>
      <c r="G101" t="s">
        <v>9027</v>
      </c>
      <c r="H101" t="s">
        <v>9028</v>
      </c>
      <c r="I101" t="s">
        <v>1090</v>
      </c>
      <c r="K101" t="s">
        <v>38</v>
      </c>
      <c r="L101" t="s">
        <v>8683</v>
      </c>
      <c r="M101" t="s">
        <v>8684</v>
      </c>
      <c r="N101" t="s">
        <v>8708</v>
      </c>
      <c r="O101">
        <v>0.90612222546728971</v>
      </c>
      <c r="P101">
        <v>0.84875578703703702</v>
      </c>
      <c r="Q101" t="s">
        <v>33</v>
      </c>
    </row>
    <row r="102" spans="1:17" x14ac:dyDescent="0.35">
      <c r="A102" t="s">
        <v>20</v>
      </c>
      <c r="B102">
        <v>17647</v>
      </c>
      <c r="C102" t="s">
        <v>1252</v>
      </c>
      <c r="D102" t="s">
        <v>1253</v>
      </c>
      <c r="E102" t="s">
        <v>8679</v>
      </c>
      <c r="F102" t="s">
        <v>9029</v>
      </c>
      <c r="G102" t="s">
        <v>9030</v>
      </c>
      <c r="H102" t="s">
        <v>9031</v>
      </c>
      <c r="I102" t="s">
        <v>1257</v>
      </c>
      <c r="K102" t="s">
        <v>38</v>
      </c>
      <c r="L102" t="s">
        <v>8683</v>
      </c>
      <c r="M102" t="s">
        <v>8684</v>
      </c>
      <c r="N102" t="s">
        <v>8708</v>
      </c>
      <c r="O102">
        <v>8.7324766355140179E-2</v>
      </c>
      <c r="P102">
        <v>0.4965856481481481</v>
      </c>
      <c r="Q102" t="s">
        <v>33</v>
      </c>
    </row>
    <row r="103" spans="1:17" x14ac:dyDescent="0.35">
      <c r="A103" t="s">
        <v>20</v>
      </c>
      <c r="B103">
        <v>17647</v>
      </c>
      <c r="C103" t="s">
        <v>1252</v>
      </c>
      <c r="D103" t="s">
        <v>1253</v>
      </c>
      <c r="E103" t="s">
        <v>8685</v>
      </c>
      <c r="F103" t="s">
        <v>9032</v>
      </c>
      <c r="G103" t="s">
        <v>9033</v>
      </c>
      <c r="H103" t="s">
        <v>9034</v>
      </c>
      <c r="I103" t="s">
        <v>1257</v>
      </c>
      <c r="K103" t="s">
        <v>28</v>
      </c>
      <c r="L103" t="s">
        <v>8683</v>
      </c>
      <c r="M103" t="s">
        <v>8684</v>
      </c>
      <c r="N103" t="s">
        <v>8741</v>
      </c>
      <c r="O103">
        <v>0.55492479556074759</v>
      </c>
      <c r="P103">
        <v>0.44415509259259262</v>
      </c>
      <c r="Q103" t="s">
        <v>33</v>
      </c>
    </row>
    <row r="104" spans="1:17" x14ac:dyDescent="0.35">
      <c r="A104" t="s">
        <v>20</v>
      </c>
      <c r="B104">
        <v>17647</v>
      </c>
      <c r="C104" t="s">
        <v>1252</v>
      </c>
      <c r="D104" t="s">
        <v>1253</v>
      </c>
      <c r="E104" t="s">
        <v>8689</v>
      </c>
      <c r="F104" t="s">
        <v>9035</v>
      </c>
      <c r="G104" t="s">
        <v>9036</v>
      </c>
      <c r="H104" t="s">
        <v>9037</v>
      </c>
      <c r="I104" t="s">
        <v>1257</v>
      </c>
      <c r="K104" t="s">
        <v>46</v>
      </c>
      <c r="L104" t="s">
        <v>8683</v>
      </c>
      <c r="M104" t="s">
        <v>8684</v>
      </c>
      <c r="N104" t="s">
        <v>8789</v>
      </c>
      <c r="O104">
        <v>0.28238171728971961</v>
      </c>
      <c r="P104">
        <v>0.2013020833333333</v>
      </c>
      <c r="Q104" t="s">
        <v>33</v>
      </c>
    </row>
    <row r="105" spans="1:17" x14ac:dyDescent="0.35">
      <c r="A105" t="s">
        <v>20</v>
      </c>
      <c r="B105">
        <v>17647</v>
      </c>
      <c r="C105" t="s">
        <v>1252</v>
      </c>
      <c r="D105" t="s">
        <v>1253</v>
      </c>
      <c r="E105" t="s">
        <v>8694</v>
      </c>
      <c r="F105" t="s">
        <v>9038</v>
      </c>
      <c r="G105" t="s">
        <v>9039</v>
      </c>
      <c r="H105" t="s">
        <v>9040</v>
      </c>
      <c r="I105" t="s">
        <v>1257</v>
      </c>
      <c r="K105" t="s">
        <v>38</v>
      </c>
      <c r="L105" t="s">
        <v>8683</v>
      </c>
      <c r="M105" t="s">
        <v>8684</v>
      </c>
      <c r="N105" t="s">
        <v>8708</v>
      </c>
      <c r="Q105" t="s">
        <v>33</v>
      </c>
    </row>
    <row r="106" spans="1:17" x14ac:dyDescent="0.35">
      <c r="A106" t="s">
        <v>20</v>
      </c>
      <c r="B106">
        <v>17647</v>
      </c>
      <c r="C106" t="s">
        <v>1252</v>
      </c>
      <c r="D106" t="s">
        <v>1253</v>
      </c>
      <c r="E106" t="s">
        <v>8699</v>
      </c>
      <c r="F106" t="s">
        <v>9041</v>
      </c>
      <c r="G106" t="s">
        <v>9042</v>
      </c>
      <c r="H106" t="s">
        <v>9043</v>
      </c>
      <c r="I106" t="s">
        <v>1257</v>
      </c>
      <c r="K106" t="s">
        <v>61</v>
      </c>
      <c r="L106" t="s">
        <v>8698</v>
      </c>
      <c r="M106" t="s">
        <v>8713</v>
      </c>
      <c r="N106" t="s">
        <v>8693</v>
      </c>
      <c r="O106">
        <v>0.93142158294392519</v>
      </c>
      <c r="P106">
        <v>0.45674189814814797</v>
      </c>
      <c r="Q106" t="s">
        <v>33</v>
      </c>
    </row>
    <row r="107" spans="1:17" x14ac:dyDescent="0.35">
      <c r="A107" t="s">
        <v>20</v>
      </c>
      <c r="B107">
        <v>17647</v>
      </c>
      <c r="C107" t="s">
        <v>1252</v>
      </c>
      <c r="D107" t="s">
        <v>1253</v>
      </c>
      <c r="E107" t="s">
        <v>8704</v>
      </c>
      <c r="F107" t="s">
        <v>9044</v>
      </c>
      <c r="G107" t="s">
        <v>9045</v>
      </c>
      <c r="H107" t="s">
        <v>9046</v>
      </c>
      <c r="I107" t="s">
        <v>1257</v>
      </c>
      <c r="K107" t="s">
        <v>46</v>
      </c>
      <c r="L107" t="s">
        <v>8683</v>
      </c>
      <c r="M107" t="s">
        <v>8684</v>
      </c>
      <c r="N107" t="s">
        <v>8708</v>
      </c>
      <c r="O107">
        <v>0.41523072429906538</v>
      </c>
      <c r="P107">
        <v>0.42578125</v>
      </c>
      <c r="Q107" t="s">
        <v>33</v>
      </c>
    </row>
    <row r="108" spans="1:17" x14ac:dyDescent="0.35">
      <c r="A108" t="s">
        <v>20</v>
      </c>
      <c r="B108">
        <v>17647</v>
      </c>
      <c r="C108" t="s">
        <v>1252</v>
      </c>
      <c r="D108" t="s">
        <v>1253</v>
      </c>
      <c r="E108" t="s">
        <v>8709</v>
      </c>
      <c r="F108" t="s">
        <v>9047</v>
      </c>
      <c r="G108" t="s">
        <v>9048</v>
      </c>
      <c r="H108" t="s">
        <v>9049</v>
      </c>
      <c r="I108" t="s">
        <v>1257</v>
      </c>
      <c r="K108" t="s">
        <v>28</v>
      </c>
      <c r="M108" t="s">
        <v>8713</v>
      </c>
      <c r="N108" t="s">
        <v>8770</v>
      </c>
      <c r="O108">
        <v>0.61229556074766345</v>
      </c>
      <c r="P108">
        <v>0.25425347222222222</v>
      </c>
      <c r="Q108" t="s">
        <v>33</v>
      </c>
    </row>
    <row r="109" spans="1:17" x14ac:dyDescent="0.35">
      <c r="A109" t="s">
        <v>20</v>
      </c>
      <c r="B109">
        <v>17647</v>
      </c>
      <c r="C109" t="s">
        <v>1252</v>
      </c>
      <c r="D109" t="s">
        <v>1253</v>
      </c>
      <c r="E109" t="s">
        <v>8714</v>
      </c>
      <c r="F109" t="s">
        <v>9050</v>
      </c>
      <c r="G109" t="s">
        <v>9051</v>
      </c>
      <c r="H109" t="s">
        <v>9052</v>
      </c>
      <c r="I109" t="s">
        <v>1257</v>
      </c>
      <c r="K109" t="s">
        <v>38</v>
      </c>
      <c r="L109" t="s">
        <v>8683</v>
      </c>
      <c r="M109" t="s">
        <v>8684</v>
      </c>
      <c r="N109" t="s">
        <v>8708</v>
      </c>
      <c r="O109">
        <v>0.1048663843457944</v>
      </c>
      <c r="P109">
        <v>0.38680555555555551</v>
      </c>
      <c r="Q109" t="s">
        <v>33</v>
      </c>
    </row>
    <row r="110" spans="1:17" x14ac:dyDescent="0.35">
      <c r="A110" t="s">
        <v>20</v>
      </c>
      <c r="B110">
        <v>17647</v>
      </c>
      <c r="C110" t="s">
        <v>1252</v>
      </c>
      <c r="D110" t="s">
        <v>1253</v>
      </c>
      <c r="E110" t="s">
        <v>8718</v>
      </c>
      <c r="F110" t="s">
        <v>9053</v>
      </c>
      <c r="G110" t="s">
        <v>9054</v>
      </c>
      <c r="H110" t="s">
        <v>9055</v>
      </c>
      <c r="I110" t="s">
        <v>1257</v>
      </c>
      <c r="K110" t="s">
        <v>46</v>
      </c>
      <c r="L110" t="s">
        <v>8683</v>
      </c>
      <c r="M110" t="s">
        <v>8713</v>
      </c>
      <c r="N110" t="s">
        <v>8722</v>
      </c>
      <c r="O110">
        <v>0.60451956775700932</v>
      </c>
      <c r="P110">
        <v>0.35379050925925931</v>
      </c>
      <c r="Q110" t="s">
        <v>33</v>
      </c>
    </row>
    <row r="111" spans="1:17" x14ac:dyDescent="0.35">
      <c r="A111" t="s">
        <v>20</v>
      </c>
      <c r="B111">
        <v>17647</v>
      </c>
      <c r="C111" t="s">
        <v>1252</v>
      </c>
      <c r="D111" t="s">
        <v>1253</v>
      </c>
      <c r="E111" t="s">
        <v>8723</v>
      </c>
      <c r="F111" t="s">
        <v>9056</v>
      </c>
      <c r="G111" t="s">
        <v>9057</v>
      </c>
      <c r="H111" t="s">
        <v>9058</v>
      </c>
      <c r="I111" t="s">
        <v>1257</v>
      </c>
      <c r="K111" t="s">
        <v>61</v>
      </c>
      <c r="L111" t="s">
        <v>8683</v>
      </c>
      <c r="M111" t="s">
        <v>8684</v>
      </c>
      <c r="N111" t="s">
        <v>8785</v>
      </c>
      <c r="O111">
        <v>9.7145151869158883E-2</v>
      </c>
      <c r="P111">
        <v>0.88663194444444438</v>
      </c>
      <c r="Q111" t="s">
        <v>33</v>
      </c>
    </row>
    <row r="112" spans="1:17" x14ac:dyDescent="0.35">
      <c r="A112" t="s">
        <v>20</v>
      </c>
      <c r="B112">
        <v>17647</v>
      </c>
      <c r="C112" t="s">
        <v>1252</v>
      </c>
      <c r="D112" t="s">
        <v>1253</v>
      </c>
      <c r="E112" t="s">
        <v>8742</v>
      </c>
      <c r="F112" t="s">
        <v>9059</v>
      </c>
      <c r="G112" t="s">
        <v>9060</v>
      </c>
      <c r="H112" t="s">
        <v>9061</v>
      </c>
      <c r="I112" t="s">
        <v>1395</v>
      </c>
      <c r="K112" t="s">
        <v>46</v>
      </c>
      <c r="L112" t="s">
        <v>8698</v>
      </c>
      <c r="M112" t="s">
        <v>8713</v>
      </c>
      <c r="O112">
        <v>0.64064325350467288</v>
      </c>
      <c r="P112">
        <v>0.4932002314814814</v>
      </c>
      <c r="Q112" t="s">
        <v>33</v>
      </c>
    </row>
    <row r="113" spans="1:17" x14ac:dyDescent="0.35">
      <c r="A113" t="s">
        <v>20</v>
      </c>
      <c r="B113">
        <v>17647</v>
      </c>
      <c r="C113" t="s">
        <v>1252</v>
      </c>
      <c r="D113" t="s">
        <v>1253</v>
      </c>
      <c r="E113" t="s">
        <v>8746</v>
      </c>
      <c r="F113" t="s">
        <v>9062</v>
      </c>
      <c r="G113" t="s">
        <v>9063</v>
      </c>
      <c r="H113" t="s">
        <v>9064</v>
      </c>
      <c r="I113" t="s">
        <v>1395</v>
      </c>
      <c r="K113" t="s">
        <v>38</v>
      </c>
      <c r="L113" t="s">
        <v>8683</v>
      </c>
      <c r="M113" t="s">
        <v>8713</v>
      </c>
      <c r="N113" t="s">
        <v>8770</v>
      </c>
      <c r="O113">
        <v>0.82600759345794383</v>
      </c>
      <c r="P113">
        <v>0.887181712962963</v>
      </c>
      <c r="Q113" t="s">
        <v>33</v>
      </c>
    </row>
    <row r="114" spans="1:17" x14ac:dyDescent="0.35">
      <c r="A114" t="s">
        <v>20</v>
      </c>
      <c r="B114">
        <v>17647</v>
      </c>
      <c r="C114" t="s">
        <v>1252</v>
      </c>
      <c r="D114" t="s">
        <v>1253</v>
      </c>
      <c r="E114" t="s">
        <v>8750</v>
      </c>
      <c r="F114" t="s">
        <v>9065</v>
      </c>
      <c r="G114" t="s">
        <v>9066</v>
      </c>
      <c r="H114" t="s">
        <v>9067</v>
      </c>
      <c r="I114" t="s">
        <v>1395</v>
      </c>
      <c r="K114" t="s">
        <v>61</v>
      </c>
      <c r="L114" t="s">
        <v>8683</v>
      </c>
      <c r="M114" t="s">
        <v>8713</v>
      </c>
      <c r="O114">
        <v>0.10437353971962619</v>
      </c>
      <c r="P114">
        <v>0.54366319444444433</v>
      </c>
      <c r="Q114" t="s">
        <v>33</v>
      </c>
    </row>
    <row r="115" spans="1:17" x14ac:dyDescent="0.35">
      <c r="A115" t="s">
        <v>20</v>
      </c>
      <c r="B115">
        <v>17647</v>
      </c>
      <c r="C115" t="s">
        <v>1252</v>
      </c>
      <c r="D115" t="s">
        <v>1253</v>
      </c>
      <c r="E115" t="s">
        <v>8754</v>
      </c>
      <c r="F115" t="s">
        <v>9068</v>
      </c>
      <c r="G115" t="s">
        <v>9069</v>
      </c>
      <c r="H115" t="s">
        <v>9070</v>
      </c>
      <c r="I115" t="s">
        <v>1395</v>
      </c>
      <c r="K115" t="s">
        <v>28</v>
      </c>
      <c r="L115" t="s">
        <v>8698</v>
      </c>
      <c r="M115" t="s">
        <v>8684</v>
      </c>
      <c r="O115">
        <v>0.29616311331775702</v>
      </c>
      <c r="P115">
        <v>0.20578703703703691</v>
      </c>
      <c r="Q115" t="s">
        <v>33</v>
      </c>
    </row>
    <row r="116" spans="1:17" x14ac:dyDescent="0.35">
      <c r="A116" t="s">
        <v>20</v>
      </c>
      <c r="B116">
        <v>17647</v>
      </c>
      <c r="C116" t="s">
        <v>1252</v>
      </c>
      <c r="D116" t="s">
        <v>1253</v>
      </c>
      <c r="E116" t="s">
        <v>8758</v>
      </c>
      <c r="F116" t="s">
        <v>9071</v>
      </c>
      <c r="G116" t="s">
        <v>9072</v>
      </c>
      <c r="H116" t="s">
        <v>9073</v>
      </c>
      <c r="I116" t="s">
        <v>1395</v>
      </c>
      <c r="K116" t="s">
        <v>28</v>
      </c>
      <c r="L116" t="s">
        <v>8683</v>
      </c>
      <c r="M116" t="s">
        <v>8713</v>
      </c>
      <c r="N116" t="s">
        <v>8811</v>
      </c>
      <c r="O116">
        <v>0.33235981308411211</v>
      </c>
      <c r="P116">
        <v>0.34418402777777779</v>
      </c>
      <c r="Q116" t="s">
        <v>33</v>
      </c>
    </row>
    <row r="117" spans="1:17" x14ac:dyDescent="0.35">
      <c r="A117" t="s">
        <v>20</v>
      </c>
      <c r="B117">
        <v>17647</v>
      </c>
      <c r="C117" t="s">
        <v>1252</v>
      </c>
      <c r="D117" t="s">
        <v>1253</v>
      </c>
      <c r="E117" t="s">
        <v>8762</v>
      </c>
      <c r="F117" t="s">
        <v>9074</v>
      </c>
      <c r="G117" t="s">
        <v>9075</v>
      </c>
      <c r="H117" t="s">
        <v>9076</v>
      </c>
      <c r="I117" t="s">
        <v>1395</v>
      </c>
      <c r="K117" t="s">
        <v>46</v>
      </c>
      <c r="L117" t="s">
        <v>8698</v>
      </c>
      <c r="M117" t="s">
        <v>8713</v>
      </c>
      <c r="N117" t="s">
        <v>8693</v>
      </c>
      <c r="O117">
        <v>0.63363390771028039</v>
      </c>
      <c r="P117">
        <v>0.26869212962962957</v>
      </c>
      <c r="Q117" t="s">
        <v>33</v>
      </c>
    </row>
    <row r="118" spans="1:17" x14ac:dyDescent="0.35">
      <c r="A118" t="s">
        <v>20</v>
      </c>
      <c r="B118">
        <v>17647</v>
      </c>
      <c r="C118" t="s">
        <v>1252</v>
      </c>
      <c r="D118" t="s">
        <v>1253</v>
      </c>
      <c r="E118" t="s">
        <v>8766</v>
      </c>
      <c r="F118" t="s">
        <v>9077</v>
      </c>
      <c r="G118" t="s">
        <v>9078</v>
      </c>
      <c r="H118" t="s">
        <v>9079</v>
      </c>
      <c r="I118" t="s">
        <v>1395</v>
      </c>
      <c r="K118" t="s">
        <v>46</v>
      </c>
      <c r="L118" t="s">
        <v>8698</v>
      </c>
      <c r="M118" t="s">
        <v>8684</v>
      </c>
      <c r="N118" t="s">
        <v>8861</v>
      </c>
      <c r="O118">
        <v>0.73065128504672894</v>
      </c>
      <c r="P118">
        <v>0.45410879629629619</v>
      </c>
      <c r="Q118" t="s">
        <v>33</v>
      </c>
    </row>
    <row r="119" spans="1:17" x14ac:dyDescent="0.35">
      <c r="A119" t="s">
        <v>20</v>
      </c>
      <c r="B119">
        <v>17647</v>
      </c>
      <c r="C119" t="s">
        <v>1252</v>
      </c>
      <c r="D119" t="s">
        <v>1253</v>
      </c>
      <c r="E119" t="s">
        <v>8771</v>
      </c>
      <c r="F119" t="s">
        <v>9080</v>
      </c>
      <c r="G119" t="s">
        <v>9081</v>
      </c>
      <c r="H119" t="s">
        <v>9082</v>
      </c>
      <c r="I119" t="s">
        <v>1395</v>
      </c>
      <c r="L119" t="s">
        <v>8683</v>
      </c>
      <c r="M119" t="s">
        <v>8684</v>
      </c>
      <c r="N119" t="s">
        <v>8789</v>
      </c>
      <c r="Q119" t="s">
        <v>33</v>
      </c>
    </row>
    <row r="120" spans="1:17" x14ac:dyDescent="0.35">
      <c r="A120" t="s">
        <v>20</v>
      </c>
      <c r="B120">
        <v>17647</v>
      </c>
      <c r="C120" t="s">
        <v>1252</v>
      </c>
      <c r="D120" t="s">
        <v>1253</v>
      </c>
      <c r="E120" t="s">
        <v>8775</v>
      </c>
      <c r="F120" t="s">
        <v>9083</v>
      </c>
      <c r="G120" t="s">
        <v>9084</v>
      </c>
      <c r="H120" t="s">
        <v>9085</v>
      </c>
      <c r="I120" t="s">
        <v>1395</v>
      </c>
      <c r="K120" t="s">
        <v>38</v>
      </c>
      <c r="L120" t="s">
        <v>8683</v>
      </c>
      <c r="M120" t="s">
        <v>8713</v>
      </c>
      <c r="N120" t="s">
        <v>8770</v>
      </c>
      <c r="O120">
        <v>0.79399094626168221</v>
      </c>
      <c r="P120">
        <v>0.86649305555555556</v>
      </c>
      <c r="Q120" t="s">
        <v>33</v>
      </c>
    </row>
    <row r="121" spans="1:17" x14ac:dyDescent="0.35">
      <c r="A121" t="s">
        <v>20</v>
      </c>
      <c r="B121">
        <v>17647</v>
      </c>
      <c r="C121" t="s">
        <v>1252</v>
      </c>
      <c r="D121" t="s">
        <v>1253</v>
      </c>
      <c r="E121" t="s">
        <v>8847</v>
      </c>
      <c r="F121" t="s">
        <v>9086</v>
      </c>
      <c r="G121" t="s">
        <v>9087</v>
      </c>
      <c r="H121" t="s">
        <v>9088</v>
      </c>
      <c r="I121" t="s">
        <v>1395</v>
      </c>
      <c r="K121" t="s">
        <v>38</v>
      </c>
      <c r="L121" t="s">
        <v>8683</v>
      </c>
      <c r="M121" t="s">
        <v>8684</v>
      </c>
      <c r="N121" t="s">
        <v>8708</v>
      </c>
      <c r="O121">
        <v>0.14130037967289719</v>
      </c>
      <c r="P121">
        <v>0.51571180555555551</v>
      </c>
      <c r="Q121" t="s">
        <v>33</v>
      </c>
    </row>
    <row r="122" spans="1:17" x14ac:dyDescent="0.35">
      <c r="A122" t="s">
        <v>20</v>
      </c>
      <c r="B122">
        <v>17647</v>
      </c>
      <c r="C122" t="s">
        <v>1252</v>
      </c>
      <c r="D122" t="s">
        <v>1253</v>
      </c>
      <c r="E122" t="s">
        <v>8851</v>
      </c>
      <c r="F122" t="s">
        <v>9089</v>
      </c>
      <c r="G122" t="s">
        <v>9090</v>
      </c>
      <c r="H122" t="s">
        <v>9091</v>
      </c>
      <c r="I122" t="s">
        <v>1395</v>
      </c>
      <c r="K122" t="s">
        <v>46</v>
      </c>
      <c r="L122" t="s">
        <v>8683</v>
      </c>
      <c r="M122" t="s">
        <v>8713</v>
      </c>
      <c r="N122" t="s">
        <v>8722</v>
      </c>
      <c r="O122">
        <v>0.40060966705607481</v>
      </c>
      <c r="P122">
        <v>0.25182291666666662</v>
      </c>
      <c r="Q122" t="s">
        <v>33</v>
      </c>
    </row>
    <row r="123" spans="1:17" x14ac:dyDescent="0.35">
      <c r="A123" t="s">
        <v>20</v>
      </c>
      <c r="B123">
        <v>17643</v>
      </c>
      <c r="C123" t="s">
        <v>426</v>
      </c>
      <c r="D123" t="s">
        <v>427</v>
      </c>
      <c r="E123" t="s">
        <v>8679</v>
      </c>
      <c r="F123" t="s">
        <v>8779</v>
      </c>
      <c r="G123" t="s">
        <v>8780</v>
      </c>
      <c r="H123" t="s">
        <v>8781</v>
      </c>
      <c r="I123" t="s">
        <v>557</v>
      </c>
      <c r="K123" t="s">
        <v>28</v>
      </c>
      <c r="L123" t="s">
        <v>8683</v>
      </c>
      <c r="M123" t="s">
        <v>8713</v>
      </c>
      <c r="N123" t="s">
        <v>8708</v>
      </c>
      <c r="O123">
        <v>0.67923116238317749</v>
      </c>
      <c r="P123">
        <v>0.74878472222222214</v>
      </c>
      <c r="Q123" t="s">
        <v>33</v>
      </c>
    </row>
    <row r="124" spans="1:17" x14ac:dyDescent="0.35">
      <c r="A124" t="s">
        <v>20</v>
      </c>
      <c r="B124">
        <v>17643</v>
      </c>
      <c r="C124" t="s">
        <v>426</v>
      </c>
      <c r="D124" t="s">
        <v>427</v>
      </c>
      <c r="E124" t="s">
        <v>8685</v>
      </c>
      <c r="F124" t="s">
        <v>8782</v>
      </c>
      <c r="G124" t="s">
        <v>8783</v>
      </c>
      <c r="H124" t="s">
        <v>8784</v>
      </c>
      <c r="I124" t="s">
        <v>557</v>
      </c>
      <c r="L124" t="s">
        <v>8683</v>
      </c>
      <c r="M124" t="s">
        <v>8684</v>
      </c>
      <c r="N124" t="s">
        <v>8785</v>
      </c>
      <c r="O124">
        <v>0.38465610397196259</v>
      </c>
      <c r="P124">
        <v>0.34716435185185179</v>
      </c>
      <c r="Q124" t="s">
        <v>33</v>
      </c>
    </row>
    <row r="125" spans="1:17" x14ac:dyDescent="0.35">
      <c r="A125" t="s">
        <v>20</v>
      </c>
      <c r="B125">
        <v>17643</v>
      </c>
      <c r="C125" t="s">
        <v>426</v>
      </c>
      <c r="D125" t="s">
        <v>427</v>
      </c>
      <c r="E125" t="s">
        <v>8689</v>
      </c>
      <c r="F125" t="s">
        <v>8786</v>
      </c>
      <c r="G125" t="s">
        <v>8787</v>
      </c>
      <c r="H125" t="s">
        <v>8788</v>
      </c>
      <c r="I125" t="s">
        <v>557</v>
      </c>
      <c r="K125" t="s">
        <v>38</v>
      </c>
      <c r="L125" t="s">
        <v>8683</v>
      </c>
      <c r="M125" t="s">
        <v>8684</v>
      </c>
      <c r="N125" t="s">
        <v>8789</v>
      </c>
      <c r="O125">
        <v>0.1195056950934579</v>
      </c>
      <c r="P125">
        <v>0.89155092592592589</v>
      </c>
      <c r="Q125" t="s">
        <v>33</v>
      </c>
    </row>
    <row r="126" spans="1:17" x14ac:dyDescent="0.35">
      <c r="A126" t="s">
        <v>20</v>
      </c>
      <c r="B126">
        <v>17643</v>
      </c>
      <c r="C126" t="s">
        <v>426</v>
      </c>
      <c r="D126" t="s">
        <v>427</v>
      </c>
      <c r="E126" t="s">
        <v>8694</v>
      </c>
      <c r="F126" t="s">
        <v>8790</v>
      </c>
      <c r="G126" t="s">
        <v>8791</v>
      </c>
      <c r="H126" t="s">
        <v>8792</v>
      </c>
      <c r="I126" t="s">
        <v>557</v>
      </c>
      <c r="K126" t="s">
        <v>38</v>
      </c>
      <c r="L126" t="s">
        <v>8683</v>
      </c>
      <c r="M126" t="s">
        <v>8684</v>
      </c>
      <c r="N126" t="s">
        <v>8708</v>
      </c>
      <c r="O126">
        <v>7.8818633177570097E-2</v>
      </c>
      <c r="P126">
        <v>0.640162037037037</v>
      </c>
      <c r="Q126" t="s">
        <v>33</v>
      </c>
    </row>
    <row r="127" spans="1:17" x14ac:dyDescent="0.35">
      <c r="A127" t="s">
        <v>20</v>
      </c>
      <c r="B127">
        <v>17643</v>
      </c>
      <c r="C127" t="s">
        <v>426</v>
      </c>
      <c r="D127" t="s">
        <v>427</v>
      </c>
      <c r="E127" t="s">
        <v>8699</v>
      </c>
      <c r="F127" t="s">
        <v>8793</v>
      </c>
      <c r="G127" t="s">
        <v>8794</v>
      </c>
      <c r="H127" t="s">
        <v>8795</v>
      </c>
      <c r="I127" t="s">
        <v>557</v>
      </c>
      <c r="K127" t="s">
        <v>38</v>
      </c>
      <c r="L127" t="s">
        <v>8698</v>
      </c>
      <c r="M127" t="s">
        <v>8713</v>
      </c>
      <c r="N127" t="s">
        <v>8693</v>
      </c>
      <c r="O127">
        <v>7.7832943925233641E-2</v>
      </c>
      <c r="P127">
        <v>0.42277199074074068</v>
      </c>
      <c r="Q127" t="s">
        <v>33</v>
      </c>
    </row>
    <row r="128" spans="1:17" x14ac:dyDescent="0.35">
      <c r="A128" t="s">
        <v>20</v>
      </c>
      <c r="B128">
        <v>17643</v>
      </c>
      <c r="C128" t="s">
        <v>426</v>
      </c>
      <c r="D128" t="s">
        <v>427</v>
      </c>
      <c r="E128" t="s">
        <v>8704</v>
      </c>
      <c r="F128" t="s">
        <v>8796</v>
      </c>
      <c r="G128" t="s">
        <v>8797</v>
      </c>
      <c r="H128" t="s">
        <v>8798</v>
      </c>
      <c r="I128" t="s">
        <v>557</v>
      </c>
      <c r="K128" t="s">
        <v>61</v>
      </c>
      <c r="L128" t="s">
        <v>8683</v>
      </c>
      <c r="M128" t="s">
        <v>8684</v>
      </c>
      <c r="N128" t="s">
        <v>8708</v>
      </c>
      <c r="O128">
        <v>0.85680125584112143</v>
      </c>
      <c r="P128">
        <v>0.68547453703703698</v>
      </c>
      <c r="Q128" t="s">
        <v>33</v>
      </c>
    </row>
    <row r="129" spans="1:17" x14ac:dyDescent="0.35">
      <c r="A129" t="s">
        <v>20</v>
      </c>
      <c r="B129">
        <v>17643</v>
      </c>
      <c r="C129" t="s">
        <v>426</v>
      </c>
      <c r="D129" t="s">
        <v>427</v>
      </c>
      <c r="E129" t="s">
        <v>8709</v>
      </c>
      <c r="F129" t="s">
        <v>8799</v>
      </c>
      <c r="G129" t="s">
        <v>8800</v>
      </c>
      <c r="H129" t="s">
        <v>8801</v>
      </c>
      <c r="I129" t="s">
        <v>557</v>
      </c>
      <c r="K129" t="s">
        <v>28</v>
      </c>
      <c r="L129" t="s">
        <v>8683</v>
      </c>
      <c r="M129" t="s">
        <v>8713</v>
      </c>
      <c r="N129" t="s">
        <v>8770</v>
      </c>
      <c r="O129">
        <v>0.31918078271028039</v>
      </c>
      <c r="P129">
        <v>0.89490740740740737</v>
      </c>
      <c r="Q129" t="s">
        <v>33</v>
      </c>
    </row>
    <row r="130" spans="1:17" x14ac:dyDescent="0.35">
      <c r="A130" t="s">
        <v>20</v>
      </c>
      <c r="B130">
        <v>17643</v>
      </c>
      <c r="C130" t="s">
        <v>426</v>
      </c>
      <c r="D130" t="s">
        <v>427</v>
      </c>
      <c r="E130" t="s">
        <v>8714</v>
      </c>
      <c r="F130" t="s">
        <v>8802</v>
      </c>
      <c r="G130" t="s">
        <v>8803</v>
      </c>
      <c r="H130" t="s">
        <v>8804</v>
      </c>
      <c r="I130" t="s">
        <v>557</v>
      </c>
      <c r="K130" t="s">
        <v>28</v>
      </c>
      <c r="L130" t="s">
        <v>8683</v>
      </c>
      <c r="M130" t="s">
        <v>8684</v>
      </c>
      <c r="N130" t="s">
        <v>8703</v>
      </c>
      <c r="O130">
        <v>0.30627555490654201</v>
      </c>
      <c r="P130">
        <v>0.46715856481481483</v>
      </c>
      <c r="Q130" t="s">
        <v>33</v>
      </c>
    </row>
    <row r="131" spans="1:17" x14ac:dyDescent="0.35">
      <c r="A131" t="s">
        <v>20</v>
      </c>
      <c r="B131">
        <v>17643</v>
      </c>
      <c r="C131" t="s">
        <v>426</v>
      </c>
      <c r="D131" t="s">
        <v>427</v>
      </c>
      <c r="E131" t="s">
        <v>8718</v>
      </c>
      <c r="F131" t="s">
        <v>8805</v>
      </c>
      <c r="G131" t="s">
        <v>8806</v>
      </c>
      <c r="H131" t="s">
        <v>8807</v>
      </c>
      <c r="I131" t="s">
        <v>557</v>
      </c>
      <c r="K131" t="s">
        <v>28</v>
      </c>
      <c r="L131" t="s">
        <v>8683</v>
      </c>
      <c r="M131" t="s">
        <v>8684</v>
      </c>
      <c r="N131" t="s">
        <v>8708</v>
      </c>
      <c r="O131">
        <v>0.54346159462616817</v>
      </c>
      <c r="P131">
        <v>0.43909143518518517</v>
      </c>
      <c r="Q131" t="s">
        <v>33</v>
      </c>
    </row>
    <row r="132" spans="1:17" x14ac:dyDescent="0.35">
      <c r="A132" t="s">
        <v>20</v>
      </c>
      <c r="B132">
        <v>17643</v>
      </c>
      <c r="C132" t="s">
        <v>426</v>
      </c>
      <c r="D132" t="s">
        <v>427</v>
      </c>
      <c r="E132" t="s">
        <v>8723</v>
      </c>
      <c r="F132" t="s">
        <v>8808</v>
      </c>
      <c r="G132" t="s">
        <v>8809</v>
      </c>
      <c r="H132" t="s">
        <v>8810</v>
      </c>
      <c r="I132" t="s">
        <v>557</v>
      </c>
      <c r="K132" t="s">
        <v>46</v>
      </c>
      <c r="L132" t="s">
        <v>8683</v>
      </c>
      <c r="M132" t="s">
        <v>8684</v>
      </c>
      <c r="N132" t="s">
        <v>8811</v>
      </c>
      <c r="O132">
        <v>0.72055709696261672</v>
      </c>
      <c r="P132">
        <v>0.71753472222222214</v>
      </c>
      <c r="Q132" t="s">
        <v>33</v>
      </c>
    </row>
    <row r="133" spans="1:17" x14ac:dyDescent="0.35">
      <c r="A133" t="s">
        <v>20</v>
      </c>
      <c r="B133">
        <v>17643</v>
      </c>
      <c r="C133" t="s">
        <v>426</v>
      </c>
      <c r="D133" t="s">
        <v>427</v>
      </c>
      <c r="E133" t="s">
        <v>8728</v>
      </c>
      <c r="F133" t="s">
        <v>8812</v>
      </c>
      <c r="G133" t="s">
        <v>8813</v>
      </c>
      <c r="H133" t="s">
        <v>8814</v>
      </c>
      <c r="I133" t="s">
        <v>557</v>
      </c>
      <c r="K133" t="s">
        <v>38</v>
      </c>
      <c r="L133" t="s">
        <v>8698</v>
      </c>
      <c r="M133" t="s">
        <v>8713</v>
      </c>
      <c r="N133" t="s">
        <v>8693</v>
      </c>
      <c r="O133">
        <v>0.82943925233644866</v>
      </c>
      <c r="P133">
        <v>0.79756944444444444</v>
      </c>
      <c r="Q133" t="s">
        <v>33</v>
      </c>
    </row>
    <row r="134" spans="1:17" x14ac:dyDescent="0.35">
      <c r="A134" t="s">
        <v>20</v>
      </c>
      <c r="B134">
        <v>17643</v>
      </c>
      <c r="C134" t="s">
        <v>426</v>
      </c>
      <c r="D134" t="s">
        <v>427</v>
      </c>
      <c r="E134" t="s">
        <v>8733</v>
      </c>
      <c r="F134" t="s">
        <v>8815</v>
      </c>
      <c r="G134" t="s">
        <v>8816</v>
      </c>
      <c r="H134" t="s">
        <v>8817</v>
      </c>
      <c r="I134" t="s">
        <v>557</v>
      </c>
      <c r="K134" t="s">
        <v>38</v>
      </c>
      <c r="L134" t="s">
        <v>8683</v>
      </c>
      <c r="M134" t="s">
        <v>8684</v>
      </c>
      <c r="O134">
        <v>0.91955680490654201</v>
      </c>
      <c r="P134">
        <v>0.69945023148148144</v>
      </c>
      <c r="Q134" t="s">
        <v>33</v>
      </c>
    </row>
    <row r="135" spans="1:17" x14ac:dyDescent="0.35">
      <c r="A135" t="s">
        <v>20</v>
      </c>
      <c r="B135">
        <v>17643</v>
      </c>
      <c r="C135" t="s">
        <v>426</v>
      </c>
      <c r="D135" t="s">
        <v>427</v>
      </c>
      <c r="E135" t="s">
        <v>8737</v>
      </c>
      <c r="F135" t="s">
        <v>8818</v>
      </c>
      <c r="G135" t="s">
        <v>8819</v>
      </c>
      <c r="H135" t="s">
        <v>8820</v>
      </c>
      <c r="I135" t="s">
        <v>557</v>
      </c>
      <c r="K135" t="s">
        <v>28</v>
      </c>
      <c r="L135" t="s">
        <v>8683</v>
      </c>
      <c r="M135" t="s">
        <v>8684</v>
      </c>
      <c r="N135" t="s">
        <v>8703</v>
      </c>
      <c r="O135">
        <v>0.24998174649532709</v>
      </c>
      <c r="P135">
        <v>0.4809895833333333</v>
      </c>
      <c r="Q135" t="s">
        <v>33</v>
      </c>
    </row>
    <row r="136" spans="1:17" x14ac:dyDescent="0.35">
      <c r="A136" t="s">
        <v>20</v>
      </c>
      <c r="B136">
        <v>17643</v>
      </c>
      <c r="C136" t="s">
        <v>426</v>
      </c>
      <c r="D136" t="s">
        <v>427</v>
      </c>
      <c r="E136" t="s">
        <v>8742</v>
      </c>
      <c r="F136" t="s">
        <v>8821</v>
      </c>
      <c r="G136" t="s">
        <v>8822</v>
      </c>
      <c r="H136" t="s">
        <v>8823</v>
      </c>
      <c r="I136" t="s">
        <v>431</v>
      </c>
      <c r="K136" t="s">
        <v>38</v>
      </c>
      <c r="L136" t="s">
        <v>8683</v>
      </c>
      <c r="M136" t="s">
        <v>8684</v>
      </c>
      <c r="N136" t="s">
        <v>8708</v>
      </c>
      <c r="Q136" t="s">
        <v>33</v>
      </c>
    </row>
    <row r="137" spans="1:17" x14ac:dyDescent="0.35">
      <c r="A137" t="s">
        <v>20</v>
      </c>
      <c r="B137">
        <v>17643</v>
      </c>
      <c r="C137" t="s">
        <v>426</v>
      </c>
      <c r="D137" t="s">
        <v>427</v>
      </c>
      <c r="E137" t="s">
        <v>8746</v>
      </c>
      <c r="F137" t="s">
        <v>8824</v>
      </c>
      <c r="G137" t="s">
        <v>8825</v>
      </c>
      <c r="H137" t="s">
        <v>8826</v>
      </c>
      <c r="I137" t="s">
        <v>431</v>
      </c>
      <c r="K137" t="s">
        <v>38</v>
      </c>
      <c r="L137" t="s">
        <v>8683</v>
      </c>
      <c r="M137" t="s">
        <v>8684</v>
      </c>
      <c r="N137" t="s">
        <v>8708</v>
      </c>
      <c r="O137">
        <v>0.8041033878504672</v>
      </c>
      <c r="P137">
        <v>0.5869502314814814</v>
      </c>
      <c r="Q137" t="s">
        <v>33</v>
      </c>
    </row>
    <row r="138" spans="1:17" x14ac:dyDescent="0.35">
      <c r="A138" t="s">
        <v>20</v>
      </c>
      <c r="B138">
        <v>17643</v>
      </c>
      <c r="C138" t="s">
        <v>426</v>
      </c>
      <c r="D138" t="s">
        <v>427</v>
      </c>
      <c r="E138" t="s">
        <v>8750</v>
      </c>
      <c r="F138" t="s">
        <v>8827</v>
      </c>
      <c r="G138" t="s">
        <v>8828</v>
      </c>
      <c r="H138" t="s">
        <v>8829</v>
      </c>
      <c r="I138" t="s">
        <v>431</v>
      </c>
      <c r="J138" t="s">
        <v>2078</v>
      </c>
      <c r="Q138" t="s">
        <v>33</v>
      </c>
    </row>
    <row r="139" spans="1:17" x14ac:dyDescent="0.35">
      <c r="A139" t="s">
        <v>20</v>
      </c>
      <c r="B139">
        <v>17643</v>
      </c>
      <c r="C139" t="s">
        <v>426</v>
      </c>
      <c r="D139" t="s">
        <v>427</v>
      </c>
      <c r="E139" t="s">
        <v>8754</v>
      </c>
      <c r="F139" t="s">
        <v>8830</v>
      </c>
      <c r="G139" t="s">
        <v>8831</v>
      </c>
      <c r="H139" t="s">
        <v>8832</v>
      </c>
      <c r="I139" t="s">
        <v>431</v>
      </c>
      <c r="K139" t="s">
        <v>38</v>
      </c>
      <c r="L139" t="s">
        <v>8698</v>
      </c>
      <c r="M139" t="s">
        <v>8684</v>
      </c>
      <c r="N139" t="s">
        <v>8693</v>
      </c>
      <c r="O139">
        <v>0.9167092581775701</v>
      </c>
      <c r="P139">
        <v>0.89056712962962958</v>
      </c>
      <c r="Q139" t="s">
        <v>33</v>
      </c>
    </row>
    <row r="140" spans="1:17" x14ac:dyDescent="0.35">
      <c r="A140" t="s">
        <v>20</v>
      </c>
      <c r="B140">
        <v>17643</v>
      </c>
      <c r="C140" t="s">
        <v>426</v>
      </c>
      <c r="D140" t="s">
        <v>427</v>
      </c>
      <c r="E140" t="s">
        <v>8758</v>
      </c>
      <c r="F140" t="s">
        <v>1837</v>
      </c>
      <c r="G140" t="s">
        <v>1838</v>
      </c>
      <c r="H140" t="s">
        <v>8833</v>
      </c>
      <c r="I140" t="s">
        <v>431</v>
      </c>
      <c r="Q140" t="s">
        <v>33</v>
      </c>
    </row>
    <row r="141" spans="1:17" x14ac:dyDescent="0.35">
      <c r="A141" t="s">
        <v>20</v>
      </c>
      <c r="B141">
        <v>17643</v>
      </c>
      <c r="C141" t="s">
        <v>426</v>
      </c>
      <c r="D141" t="s">
        <v>427</v>
      </c>
      <c r="E141" t="s">
        <v>8762</v>
      </c>
      <c r="F141" t="s">
        <v>8834</v>
      </c>
      <c r="G141" t="s">
        <v>8835</v>
      </c>
      <c r="H141" t="s">
        <v>8836</v>
      </c>
      <c r="I141" t="s">
        <v>431</v>
      </c>
      <c r="K141" t="s">
        <v>46</v>
      </c>
      <c r="L141" t="s">
        <v>8683</v>
      </c>
      <c r="M141" t="s">
        <v>8713</v>
      </c>
      <c r="N141" t="s">
        <v>8837</v>
      </c>
      <c r="O141">
        <v>0.45195677570093462</v>
      </c>
      <c r="P141">
        <v>0.43891782407407398</v>
      </c>
      <c r="Q141" t="s">
        <v>33</v>
      </c>
    </row>
    <row r="142" spans="1:17" x14ac:dyDescent="0.35">
      <c r="A142" t="s">
        <v>20</v>
      </c>
      <c r="B142">
        <v>17643</v>
      </c>
      <c r="C142" t="s">
        <v>426</v>
      </c>
      <c r="D142" t="s">
        <v>427</v>
      </c>
      <c r="E142" t="s">
        <v>8766</v>
      </c>
      <c r="F142" t="s">
        <v>8838</v>
      </c>
      <c r="G142" t="s">
        <v>8839</v>
      </c>
      <c r="H142" t="s">
        <v>8840</v>
      </c>
      <c r="I142" t="s">
        <v>431</v>
      </c>
      <c r="K142" t="s">
        <v>38</v>
      </c>
      <c r="L142" t="s">
        <v>8683</v>
      </c>
      <c r="M142" t="s">
        <v>8713</v>
      </c>
      <c r="N142" t="s">
        <v>8770</v>
      </c>
      <c r="O142">
        <v>0.19407126168224301</v>
      </c>
      <c r="P142">
        <v>0.49001736111111099</v>
      </c>
      <c r="Q142" t="s">
        <v>33</v>
      </c>
    </row>
    <row r="143" spans="1:17" x14ac:dyDescent="0.35">
      <c r="A143" t="s">
        <v>20</v>
      </c>
      <c r="B143">
        <v>17643</v>
      </c>
      <c r="C143" t="s">
        <v>426</v>
      </c>
      <c r="D143" t="s">
        <v>427</v>
      </c>
      <c r="E143" t="s">
        <v>8771</v>
      </c>
      <c r="F143" t="s">
        <v>8841</v>
      </c>
      <c r="G143" t="s">
        <v>8842</v>
      </c>
      <c r="H143" t="s">
        <v>8843</v>
      </c>
      <c r="I143" t="s">
        <v>431</v>
      </c>
      <c r="K143" t="s">
        <v>38</v>
      </c>
      <c r="L143" t="s">
        <v>8683</v>
      </c>
      <c r="M143" t="s">
        <v>8713</v>
      </c>
      <c r="N143" t="s">
        <v>8770</v>
      </c>
      <c r="O143">
        <v>9.5794392523364469E-2</v>
      </c>
      <c r="P143">
        <v>0.66565393518518512</v>
      </c>
      <c r="Q143" t="s">
        <v>33</v>
      </c>
    </row>
    <row r="144" spans="1:17" x14ac:dyDescent="0.35">
      <c r="A144" t="s">
        <v>20</v>
      </c>
      <c r="B144">
        <v>17643</v>
      </c>
      <c r="C144" t="s">
        <v>426</v>
      </c>
      <c r="D144" t="s">
        <v>427</v>
      </c>
      <c r="E144" t="s">
        <v>8775</v>
      </c>
      <c r="F144" t="s">
        <v>8844</v>
      </c>
      <c r="G144" t="s">
        <v>8845</v>
      </c>
      <c r="H144" t="s">
        <v>8846</v>
      </c>
      <c r="I144" t="s">
        <v>431</v>
      </c>
      <c r="K144" t="s">
        <v>28</v>
      </c>
      <c r="L144" t="s">
        <v>8683</v>
      </c>
      <c r="M144" t="s">
        <v>8713</v>
      </c>
      <c r="N144" t="s">
        <v>8770</v>
      </c>
      <c r="O144">
        <v>0.6842691296728971</v>
      </c>
      <c r="P144">
        <v>0.71125578703703707</v>
      </c>
      <c r="Q144" t="s">
        <v>33</v>
      </c>
    </row>
    <row r="145" spans="1:17" x14ac:dyDescent="0.35">
      <c r="A145" t="s">
        <v>20</v>
      </c>
      <c r="B145">
        <v>17643</v>
      </c>
      <c r="C145" t="s">
        <v>426</v>
      </c>
      <c r="D145" t="s">
        <v>427</v>
      </c>
      <c r="E145" t="s">
        <v>8847</v>
      </c>
      <c r="F145" t="s">
        <v>8848</v>
      </c>
      <c r="G145" t="s">
        <v>8849</v>
      </c>
      <c r="H145" t="s">
        <v>8850</v>
      </c>
      <c r="I145" t="s">
        <v>431</v>
      </c>
      <c r="K145" t="s">
        <v>46</v>
      </c>
      <c r="L145" t="s">
        <v>8683</v>
      </c>
      <c r="M145" t="s">
        <v>8684</v>
      </c>
      <c r="N145" t="s">
        <v>8708</v>
      </c>
      <c r="O145">
        <v>0.54001168224299068</v>
      </c>
      <c r="P145">
        <v>0.54354745370370372</v>
      </c>
      <c r="Q145" t="s">
        <v>33</v>
      </c>
    </row>
    <row r="146" spans="1:17" x14ac:dyDescent="0.35">
      <c r="A146" t="s">
        <v>20</v>
      </c>
      <c r="B146">
        <v>17643</v>
      </c>
      <c r="C146" t="s">
        <v>426</v>
      </c>
      <c r="D146" t="s">
        <v>427</v>
      </c>
      <c r="E146" t="s">
        <v>8851</v>
      </c>
      <c r="F146" t="s">
        <v>8852</v>
      </c>
      <c r="G146" t="s">
        <v>8853</v>
      </c>
      <c r="H146" t="s">
        <v>8854</v>
      </c>
      <c r="I146" t="s">
        <v>431</v>
      </c>
      <c r="K146" t="s">
        <v>46</v>
      </c>
      <c r="L146" t="s">
        <v>8683</v>
      </c>
      <c r="M146" t="s">
        <v>8684</v>
      </c>
      <c r="N146" t="s">
        <v>8708</v>
      </c>
      <c r="O146">
        <v>0.32850832359813081</v>
      </c>
      <c r="P146">
        <v>0.82025462962962958</v>
      </c>
      <c r="Q146" t="s">
        <v>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9092</v>
      </c>
      <c r="K1" t="s">
        <v>9093</v>
      </c>
      <c r="L1" t="s">
        <v>15</v>
      </c>
      <c r="M1" t="s">
        <v>19</v>
      </c>
    </row>
    <row r="2" spans="1:13" x14ac:dyDescent="0.35">
      <c r="A2" t="s">
        <v>20</v>
      </c>
      <c r="B2">
        <v>17644</v>
      </c>
      <c r="C2" t="s">
        <v>21</v>
      </c>
      <c r="D2" t="s">
        <v>22</v>
      </c>
      <c r="E2" t="s">
        <v>9094</v>
      </c>
      <c r="F2" t="s">
        <v>9095</v>
      </c>
      <c r="G2" t="s">
        <v>9095</v>
      </c>
      <c r="H2" t="s">
        <v>9095</v>
      </c>
      <c r="L2" t="s">
        <v>33</v>
      </c>
    </row>
    <row r="3" spans="1:13" x14ac:dyDescent="0.35">
      <c r="A3" t="s">
        <v>20</v>
      </c>
      <c r="B3">
        <v>17643</v>
      </c>
      <c r="C3" t="s">
        <v>426</v>
      </c>
      <c r="D3" t="s">
        <v>427</v>
      </c>
      <c r="E3" t="s">
        <v>9094</v>
      </c>
      <c r="F3" t="s">
        <v>9096</v>
      </c>
      <c r="G3" t="s">
        <v>9096</v>
      </c>
      <c r="H3" t="s">
        <v>9096</v>
      </c>
      <c r="L3" t="s">
        <v>33</v>
      </c>
      <c r="M3" t="s">
        <v>432</v>
      </c>
    </row>
    <row r="4" spans="1:13" x14ac:dyDescent="0.35">
      <c r="A4" t="s">
        <v>20</v>
      </c>
      <c r="B4">
        <v>17646</v>
      </c>
      <c r="C4" t="s">
        <v>666</v>
      </c>
      <c r="D4" t="s">
        <v>667</v>
      </c>
      <c r="E4" t="s">
        <v>9094</v>
      </c>
      <c r="F4" t="s">
        <v>9096</v>
      </c>
      <c r="G4" t="s">
        <v>9096</v>
      </c>
      <c r="H4" t="s">
        <v>9096</v>
      </c>
      <c r="L4" t="s">
        <v>33</v>
      </c>
    </row>
    <row r="5" spans="1:13" x14ac:dyDescent="0.35">
      <c r="A5" t="s">
        <v>20</v>
      </c>
      <c r="B5">
        <v>17645</v>
      </c>
      <c r="C5" t="s">
        <v>949</v>
      </c>
      <c r="D5" t="s">
        <v>950</v>
      </c>
      <c r="E5" t="s">
        <v>9094</v>
      </c>
      <c r="F5" t="s">
        <v>9097</v>
      </c>
      <c r="G5" t="s">
        <v>9097</v>
      </c>
      <c r="H5" t="s">
        <v>9097</v>
      </c>
      <c r="L5" t="s">
        <v>33</v>
      </c>
    </row>
    <row r="6" spans="1:13" x14ac:dyDescent="0.35">
      <c r="A6" t="s">
        <v>20</v>
      </c>
      <c r="B6">
        <v>17647</v>
      </c>
      <c r="C6" t="s">
        <v>1252</v>
      </c>
      <c r="D6" t="s">
        <v>1253</v>
      </c>
      <c r="E6" t="s">
        <v>9094</v>
      </c>
      <c r="F6" t="s">
        <v>9098</v>
      </c>
      <c r="G6" t="s">
        <v>9098</v>
      </c>
      <c r="H6" t="s">
        <v>9098</v>
      </c>
      <c r="L6" t="s">
        <v>33</v>
      </c>
    </row>
    <row r="7" spans="1:13" x14ac:dyDescent="0.35">
      <c r="A7" t="s">
        <v>20</v>
      </c>
      <c r="B7">
        <v>17643</v>
      </c>
      <c r="C7" t="s">
        <v>426</v>
      </c>
      <c r="D7" t="s">
        <v>427</v>
      </c>
      <c r="E7" t="s">
        <v>9094</v>
      </c>
      <c r="F7" t="s">
        <v>9096</v>
      </c>
      <c r="G7" t="s">
        <v>9096</v>
      </c>
      <c r="H7" t="s">
        <v>9096</v>
      </c>
      <c r="L7" t="s">
        <v>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7"/>
  <sheetViews>
    <sheetView topLeftCell="A25" workbookViewId="0">
      <selection activeCell="I3" sqref="I3:I11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2548</v>
      </c>
      <c r="M1" t="s">
        <v>1528</v>
      </c>
      <c r="N1" t="s">
        <v>15</v>
      </c>
      <c r="O1" t="s">
        <v>19</v>
      </c>
    </row>
    <row r="2" spans="1:15" x14ac:dyDescent="0.35">
      <c r="A2" t="s">
        <v>20</v>
      </c>
      <c r="B2">
        <v>17644</v>
      </c>
      <c r="C2" t="s">
        <v>21</v>
      </c>
      <c r="D2" t="s">
        <v>22</v>
      </c>
      <c r="E2" t="s">
        <v>9099</v>
      </c>
      <c r="F2" t="s">
        <v>9100</v>
      </c>
      <c r="G2" t="s">
        <v>9101</v>
      </c>
      <c r="H2" t="s">
        <v>9102</v>
      </c>
      <c r="I2" t="s">
        <v>27</v>
      </c>
      <c r="M2" t="s">
        <v>1686</v>
      </c>
      <c r="N2" t="s">
        <v>33</v>
      </c>
    </row>
    <row r="3" spans="1:15" x14ac:dyDescent="0.35">
      <c r="A3" t="s">
        <v>20</v>
      </c>
      <c r="B3">
        <v>17644</v>
      </c>
      <c r="C3" t="s">
        <v>21</v>
      </c>
      <c r="D3" t="s">
        <v>22</v>
      </c>
      <c r="E3" t="s">
        <v>9103</v>
      </c>
      <c r="F3" t="s">
        <v>9104</v>
      </c>
      <c r="G3" t="s">
        <v>9105</v>
      </c>
      <c r="H3" t="s">
        <v>9106</v>
      </c>
      <c r="I3" t="s">
        <v>27</v>
      </c>
      <c r="M3" t="s">
        <v>1686</v>
      </c>
      <c r="N3" t="s">
        <v>33</v>
      </c>
    </row>
    <row r="4" spans="1:15" x14ac:dyDescent="0.35">
      <c r="A4" t="s">
        <v>20</v>
      </c>
      <c r="B4">
        <v>17644</v>
      </c>
      <c r="C4" t="s">
        <v>21</v>
      </c>
      <c r="D4" t="s">
        <v>22</v>
      </c>
      <c r="E4" t="s">
        <v>9107</v>
      </c>
      <c r="F4" t="s">
        <v>9108</v>
      </c>
      <c r="G4" t="s">
        <v>9109</v>
      </c>
      <c r="H4" t="s">
        <v>9110</v>
      </c>
      <c r="I4" t="s">
        <v>27</v>
      </c>
      <c r="M4" t="s">
        <v>1686</v>
      </c>
      <c r="N4" t="s">
        <v>33</v>
      </c>
    </row>
    <row r="5" spans="1:15" x14ac:dyDescent="0.35">
      <c r="A5" t="s">
        <v>20</v>
      </c>
      <c r="B5">
        <v>17644</v>
      </c>
      <c r="C5" t="s">
        <v>21</v>
      </c>
      <c r="D5" t="s">
        <v>22</v>
      </c>
      <c r="E5" t="s">
        <v>9111</v>
      </c>
      <c r="F5" t="s">
        <v>9112</v>
      </c>
      <c r="G5" t="s">
        <v>9113</v>
      </c>
      <c r="H5" t="s">
        <v>9114</v>
      </c>
      <c r="I5" t="s">
        <v>27</v>
      </c>
      <c r="M5" t="s">
        <v>1686</v>
      </c>
      <c r="N5" t="s">
        <v>33</v>
      </c>
    </row>
    <row r="6" spans="1:15" x14ac:dyDescent="0.35">
      <c r="A6" t="s">
        <v>20</v>
      </c>
      <c r="B6">
        <v>17644</v>
      </c>
      <c r="C6" t="s">
        <v>21</v>
      </c>
      <c r="D6" t="s">
        <v>22</v>
      </c>
      <c r="E6" t="s">
        <v>9115</v>
      </c>
      <c r="F6" t="s">
        <v>9116</v>
      </c>
      <c r="G6" t="s">
        <v>9117</v>
      </c>
      <c r="H6" t="s">
        <v>9118</v>
      </c>
      <c r="I6" t="s">
        <v>27</v>
      </c>
      <c r="M6" t="s">
        <v>1686</v>
      </c>
      <c r="N6" t="s">
        <v>33</v>
      </c>
    </row>
    <row r="7" spans="1:15" x14ac:dyDescent="0.35">
      <c r="A7" t="s">
        <v>20</v>
      </c>
      <c r="B7">
        <v>17644</v>
      </c>
      <c r="C7" t="s">
        <v>21</v>
      </c>
      <c r="D7" t="s">
        <v>22</v>
      </c>
      <c r="E7" t="s">
        <v>9119</v>
      </c>
      <c r="F7" t="s">
        <v>9120</v>
      </c>
      <c r="G7" t="s">
        <v>9121</v>
      </c>
      <c r="H7" t="s">
        <v>9122</v>
      </c>
      <c r="I7" t="s">
        <v>27</v>
      </c>
      <c r="M7" t="s">
        <v>1686</v>
      </c>
      <c r="N7" t="s">
        <v>33</v>
      </c>
    </row>
    <row r="8" spans="1:15" x14ac:dyDescent="0.35">
      <c r="A8" t="s">
        <v>20</v>
      </c>
      <c r="B8">
        <v>17644</v>
      </c>
      <c r="C8" t="s">
        <v>21</v>
      </c>
      <c r="D8" t="s">
        <v>22</v>
      </c>
      <c r="E8" t="s">
        <v>9123</v>
      </c>
      <c r="F8" t="s">
        <v>9124</v>
      </c>
      <c r="G8" t="s">
        <v>9125</v>
      </c>
      <c r="H8" t="s">
        <v>9126</v>
      </c>
      <c r="I8" t="s">
        <v>27</v>
      </c>
      <c r="M8" t="s">
        <v>1686</v>
      </c>
      <c r="N8" t="s">
        <v>33</v>
      </c>
    </row>
    <row r="9" spans="1:15" x14ac:dyDescent="0.35">
      <c r="A9" t="s">
        <v>20</v>
      </c>
      <c r="B9">
        <v>17644</v>
      </c>
      <c r="C9" t="s">
        <v>21</v>
      </c>
      <c r="D9" t="s">
        <v>22</v>
      </c>
      <c r="E9" t="s">
        <v>9127</v>
      </c>
      <c r="F9" t="s">
        <v>9128</v>
      </c>
      <c r="G9" t="s">
        <v>9129</v>
      </c>
      <c r="H9" t="s">
        <v>9130</v>
      </c>
      <c r="I9" t="s">
        <v>27</v>
      </c>
      <c r="M9" t="s">
        <v>1686</v>
      </c>
      <c r="N9" t="s">
        <v>33</v>
      </c>
    </row>
    <row r="10" spans="1:15" x14ac:dyDescent="0.35">
      <c r="A10" t="s">
        <v>20</v>
      </c>
      <c r="B10">
        <v>17644</v>
      </c>
      <c r="C10" t="s">
        <v>21</v>
      </c>
      <c r="D10" t="s">
        <v>22</v>
      </c>
      <c r="E10" t="s">
        <v>9131</v>
      </c>
      <c r="F10" t="s">
        <v>9132</v>
      </c>
      <c r="G10" t="s">
        <v>9133</v>
      </c>
      <c r="H10" t="s">
        <v>9134</v>
      </c>
      <c r="I10" t="s">
        <v>27</v>
      </c>
      <c r="M10" t="s">
        <v>1686</v>
      </c>
      <c r="N10" t="s">
        <v>33</v>
      </c>
    </row>
    <row r="11" spans="1:15" x14ac:dyDescent="0.35">
      <c r="A11" t="s">
        <v>20</v>
      </c>
      <c r="B11">
        <v>17644</v>
      </c>
      <c r="C11" t="s">
        <v>21</v>
      </c>
      <c r="D11" t="s">
        <v>22</v>
      </c>
      <c r="E11" t="s">
        <v>9135</v>
      </c>
      <c r="F11" t="s">
        <v>9136</v>
      </c>
      <c r="G11" t="s">
        <v>9137</v>
      </c>
      <c r="H11" t="s">
        <v>9138</v>
      </c>
      <c r="I11" t="s">
        <v>27</v>
      </c>
      <c r="M11" t="s">
        <v>1686</v>
      </c>
      <c r="N11" t="s">
        <v>33</v>
      </c>
    </row>
    <row r="12" spans="1:15" x14ac:dyDescent="0.35">
      <c r="A12" t="s">
        <v>20</v>
      </c>
      <c r="B12">
        <v>17644</v>
      </c>
      <c r="C12" t="s">
        <v>21</v>
      </c>
      <c r="D12" t="s">
        <v>22</v>
      </c>
      <c r="E12" t="s">
        <v>9139</v>
      </c>
      <c r="F12" t="s">
        <v>9140</v>
      </c>
      <c r="G12" t="s">
        <v>9141</v>
      </c>
      <c r="H12" t="s">
        <v>9142</v>
      </c>
      <c r="I12" t="s">
        <v>27</v>
      </c>
      <c r="M12" t="s">
        <v>1686</v>
      </c>
      <c r="N12" t="s">
        <v>33</v>
      </c>
    </row>
    <row r="13" spans="1:15" x14ac:dyDescent="0.35">
      <c r="A13" t="s">
        <v>20</v>
      </c>
      <c r="B13">
        <v>17644</v>
      </c>
      <c r="C13" t="s">
        <v>21</v>
      </c>
      <c r="D13" t="s">
        <v>22</v>
      </c>
      <c r="E13" t="s">
        <v>9143</v>
      </c>
      <c r="F13" t="s">
        <v>9144</v>
      </c>
      <c r="G13" t="s">
        <v>9145</v>
      </c>
      <c r="H13" t="s">
        <v>9146</v>
      </c>
      <c r="I13" t="s">
        <v>27</v>
      </c>
      <c r="M13" t="s">
        <v>1686</v>
      </c>
      <c r="N13" t="s">
        <v>33</v>
      </c>
    </row>
    <row r="14" spans="1:15" x14ac:dyDescent="0.35">
      <c r="A14" t="s">
        <v>20</v>
      </c>
      <c r="B14">
        <v>17644</v>
      </c>
      <c r="C14" t="s">
        <v>21</v>
      </c>
      <c r="D14" t="s">
        <v>22</v>
      </c>
      <c r="E14" t="s">
        <v>9147</v>
      </c>
      <c r="F14" t="s">
        <v>9148</v>
      </c>
      <c r="G14" t="s">
        <v>9149</v>
      </c>
      <c r="H14" t="s">
        <v>9150</v>
      </c>
      <c r="I14" t="s">
        <v>27</v>
      </c>
      <c r="M14" t="s">
        <v>1686</v>
      </c>
      <c r="N14" t="s">
        <v>33</v>
      </c>
    </row>
    <row r="15" spans="1:15" x14ac:dyDescent="0.35">
      <c r="A15" t="s">
        <v>20</v>
      </c>
      <c r="B15">
        <v>17644</v>
      </c>
      <c r="C15" t="s">
        <v>21</v>
      </c>
      <c r="D15" t="s">
        <v>22</v>
      </c>
      <c r="E15" t="s">
        <v>9151</v>
      </c>
      <c r="F15" t="s">
        <v>9152</v>
      </c>
      <c r="G15" t="s">
        <v>9153</v>
      </c>
      <c r="H15" t="s">
        <v>9154</v>
      </c>
      <c r="I15" t="s">
        <v>27</v>
      </c>
      <c r="M15" t="s">
        <v>1686</v>
      </c>
      <c r="N15" t="s">
        <v>33</v>
      </c>
    </row>
    <row r="16" spans="1:15" x14ac:dyDescent="0.35">
      <c r="A16" t="s">
        <v>20</v>
      </c>
      <c r="B16">
        <v>17644</v>
      </c>
      <c r="C16" t="s">
        <v>21</v>
      </c>
      <c r="D16" t="s">
        <v>22</v>
      </c>
      <c r="E16" t="s">
        <v>9155</v>
      </c>
      <c r="F16" t="s">
        <v>9156</v>
      </c>
      <c r="G16" t="s">
        <v>9157</v>
      </c>
      <c r="H16" t="s">
        <v>9158</v>
      </c>
      <c r="I16" t="s">
        <v>27</v>
      </c>
      <c r="M16" t="s">
        <v>1686</v>
      </c>
      <c r="N16" t="s">
        <v>33</v>
      </c>
    </row>
    <row r="17" spans="1:14" x14ac:dyDescent="0.35">
      <c r="A17" t="s">
        <v>20</v>
      </c>
      <c r="B17">
        <v>17644</v>
      </c>
      <c r="C17" t="s">
        <v>21</v>
      </c>
      <c r="D17" t="s">
        <v>22</v>
      </c>
      <c r="E17" t="s">
        <v>9159</v>
      </c>
      <c r="F17" t="s">
        <v>9160</v>
      </c>
      <c r="G17" t="s">
        <v>9161</v>
      </c>
      <c r="H17" t="s">
        <v>9162</v>
      </c>
      <c r="I17" t="s">
        <v>27</v>
      </c>
      <c r="M17" t="s">
        <v>1686</v>
      </c>
      <c r="N17" t="s">
        <v>33</v>
      </c>
    </row>
    <row r="18" spans="1:14" x14ac:dyDescent="0.35">
      <c r="A18" t="s">
        <v>20</v>
      </c>
      <c r="B18">
        <v>17644</v>
      </c>
      <c r="C18" t="s">
        <v>21</v>
      </c>
      <c r="D18" t="s">
        <v>22</v>
      </c>
      <c r="E18" t="s">
        <v>9163</v>
      </c>
      <c r="F18" t="s">
        <v>9164</v>
      </c>
      <c r="G18" t="s">
        <v>9165</v>
      </c>
      <c r="H18" t="s">
        <v>9166</v>
      </c>
      <c r="I18" t="s">
        <v>27</v>
      </c>
      <c r="M18" t="s">
        <v>1686</v>
      </c>
      <c r="N18" t="s">
        <v>33</v>
      </c>
    </row>
    <row r="19" spans="1:14" x14ac:dyDescent="0.35">
      <c r="A19" t="s">
        <v>20</v>
      </c>
      <c r="B19">
        <v>17644</v>
      </c>
      <c r="C19" t="s">
        <v>21</v>
      </c>
      <c r="D19" t="s">
        <v>22</v>
      </c>
      <c r="E19" t="s">
        <v>9167</v>
      </c>
      <c r="F19" t="s">
        <v>9168</v>
      </c>
      <c r="G19" t="s">
        <v>9169</v>
      </c>
      <c r="H19" t="s">
        <v>9170</v>
      </c>
      <c r="I19" t="s">
        <v>27</v>
      </c>
      <c r="M19" t="s">
        <v>1686</v>
      </c>
      <c r="N19" t="s">
        <v>33</v>
      </c>
    </row>
    <row r="20" spans="1:14" x14ac:dyDescent="0.35">
      <c r="A20" t="s">
        <v>20</v>
      </c>
      <c r="B20">
        <v>17644</v>
      </c>
      <c r="C20" t="s">
        <v>21</v>
      </c>
      <c r="D20" t="s">
        <v>22</v>
      </c>
      <c r="E20" t="s">
        <v>9171</v>
      </c>
      <c r="F20" t="s">
        <v>9172</v>
      </c>
      <c r="G20" t="s">
        <v>9173</v>
      </c>
      <c r="H20" t="s">
        <v>9174</v>
      </c>
      <c r="I20" t="s">
        <v>27</v>
      </c>
      <c r="M20" t="s">
        <v>1686</v>
      </c>
      <c r="N20" t="s">
        <v>33</v>
      </c>
    </row>
    <row r="21" spans="1:14" x14ac:dyDescent="0.35">
      <c r="A21" t="s">
        <v>20</v>
      </c>
      <c r="B21">
        <v>17644</v>
      </c>
      <c r="C21" t="s">
        <v>21</v>
      </c>
      <c r="D21" t="s">
        <v>22</v>
      </c>
      <c r="E21" t="s">
        <v>9175</v>
      </c>
      <c r="F21" t="s">
        <v>9176</v>
      </c>
      <c r="G21" t="s">
        <v>9177</v>
      </c>
      <c r="H21" t="s">
        <v>9178</v>
      </c>
      <c r="I21" t="s">
        <v>27</v>
      </c>
      <c r="M21" t="s">
        <v>1686</v>
      </c>
      <c r="N21" t="s">
        <v>33</v>
      </c>
    </row>
    <row r="22" spans="1:14" x14ac:dyDescent="0.35">
      <c r="A22" t="s">
        <v>20</v>
      </c>
      <c r="B22">
        <v>17644</v>
      </c>
      <c r="C22" t="s">
        <v>21</v>
      </c>
      <c r="D22" t="s">
        <v>22</v>
      </c>
      <c r="E22" t="s">
        <v>9179</v>
      </c>
      <c r="F22" t="s">
        <v>9180</v>
      </c>
      <c r="G22" t="s">
        <v>9181</v>
      </c>
      <c r="H22" t="s">
        <v>9182</v>
      </c>
      <c r="I22" t="s">
        <v>27</v>
      </c>
      <c r="M22" t="s">
        <v>1686</v>
      </c>
      <c r="N22" t="s">
        <v>33</v>
      </c>
    </row>
    <row r="23" spans="1:14" x14ac:dyDescent="0.35">
      <c r="A23" t="s">
        <v>20</v>
      </c>
      <c r="B23">
        <v>17644</v>
      </c>
      <c r="C23" t="s">
        <v>21</v>
      </c>
      <c r="D23" t="s">
        <v>22</v>
      </c>
      <c r="E23" t="s">
        <v>9183</v>
      </c>
      <c r="F23" t="s">
        <v>9184</v>
      </c>
      <c r="G23" t="s">
        <v>9185</v>
      </c>
      <c r="H23" t="s">
        <v>9186</v>
      </c>
      <c r="I23" t="s">
        <v>27</v>
      </c>
      <c r="M23" t="s">
        <v>1686</v>
      </c>
      <c r="N23" t="s">
        <v>33</v>
      </c>
    </row>
    <row r="24" spans="1:14" x14ac:dyDescent="0.35">
      <c r="A24" t="s">
        <v>20</v>
      </c>
      <c r="B24">
        <v>17644</v>
      </c>
      <c r="C24" t="s">
        <v>21</v>
      </c>
      <c r="D24" t="s">
        <v>22</v>
      </c>
      <c r="E24" t="s">
        <v>9187</v>
      </c>
      <c r="F24" t="s">
        <v>9188</v>
      </c>
      <c r="G24" t="s">
        <v>9189</v>
      </c>
      <c r="H24" t="s">
        <v>9190</v>
      </c>
      <c r="I24" t="s">
        <v>27</v>
      </c>
      <c r="M24" t="s">
        <v>1686</v>
      </c>
      <c r="N24" t="s">
        <v>33</v>
      </c>
    </row>
    <row r="25" spans="1:14" x14ac:dyDescent="0.35">
      <c r="A25" t="s">
        <v>20</v>
      </c>
      <c r="B25">
        <v>17644</v>
      </c>
      <c r="C25" t="s">
        <v>21</v>
      </c>
      <c r="D25" t="s">
        <v>22</v>
      </c>
      <c r="E25" t="s">
        <v>9191</v>
      </c>
      <c r="F25" t="s">
        <v>9192</v>
      </c>
      <c r="G25" t="s">
        <v>9193</v>
      </c>
      <c r="H25" t="s">
        <v>9194</v>
      </c>
      <c r="I25" t="s">
        <v>27</v>
      </c>
      <c r="M25" t="s">
        <v>1686</v>
      </c>
      <c r="N25" t="s">
        <v>33</v>
      </c>
    </row>
    <row r="26" spans="1:14" x14ac:dyDescent="0.35">
      <c r="A26" t="s">
        <v>20</v>
      </c>
      <c r="B26">
        <v>17644</v>
      </c>
      <c r="C26" t="s">
        <v>21</v>
      </c>
      <c r="D26" t="s">
        <v>22</v>
      </c>
      <c r="E26" t="s">
        <v>9195</v>
      </c>
      <c r="F26" t="s">
        <v>9196</v>
      </c>
      <c r="G26" t="s">
        <v>9197</v>
      </c>
      <c r="H26" t="s">
        <v>9198</v>
      </c>
      <c r="I26" t="s">
        <v>27</v>
      </c>
      <c r="M26" t="s">
        <v>1686</v>
      </c>
      <c r="N26" t="s">
        <v>33</v>
      </c>
    </row>
    <row r="27" spans="1:14" x14ac:dyDescent="0.35">
      <c r="A27" t="s">
        <v>20</v>
      </c>
      <c r="B27">
        <v>17644</v>
      </c>
      <c r="C27" t="s">
        <v>21</v>
      </c>
      <c r="D27" t="s">
        <v>22</v>
      </c>
      <c r="E27" t="s">
        <v>9199</v>
      </c>
      <c r="F27" t="s">
        <v>9200</v>
      </c>
      <c r="G27" t="s">
        <v>9201</v>
      </c>
      <c r="H27" t="s">
        <v>9202</v>
      </c>
      <c r="I27" t="s">
        <v>27</v>
      </c>
      <c r="M27" t="s">
        <v>1686</v>
      </c>
      <c r="N27" t="s">
        <v>33</v>
      </c>
    </row>
    <row r="28" spans="1:14" x14ac:dyDescent="0.35">
      <c r="A28" t="s">
        <v>20</v>
      </c>
      <c r="B28">
        <v>17644</v>
      </c>
      <c r="C28" t="s">
        <v>21</v>
      </c>
      <c r="D28" t="s">
        <v>22</v>
      </c>
      <c r="E28" t="s">
        <v>9203</v>
      </c>
      <c r="F28" t="s">
        <v>9204</v>
      </c>
      <c r="G28" t="s">
        <v>9205</v>
      </c>
      <c r="H28" t="s">
        <v>9206</v>
      </c>
      <c r="I28" t="s">
        <v>27</v>
      </c>
      <c r="M28" t="s">
        <v>1686</v>
      </c>
      <c r="N28" t="s">
        <v>33</v>
      </c>
    </row>
    <row r="29" spans="1:14" x14ac:dyDescent="0.35">
      <c r="A29" t="s">
        <v>20</v>
      </c>
      <c r="B29">
        <v>17644</v>
      </c>
      <c r="C29" t="s">
        <v>21</v>
      </c>
      <c r="D29" t="s">
        <v>22</v>
      </c>
      <c r="E29" t="s">
        <v>9207</v>
      </c>
      <c r="F29" t="s">
        <v>9208</v>
      </c>
      <c r="G29" t="s">
        <v>9209</v>
      </c>
      <c r="H29" t="s">
        <v>9210</v>
      </c>
      <c r="I29" t="s">
        <v>27</v>
      </c>
      <c r="M29" t="s">
        <v>1686</v>
      </c>
      <c r="N29" t="s">
        <v>33</v>
      </c>
    </row>
    <row r="30" spans="1:14" x14ac:dyDescent="0.35">
      <c r="A30" t="s">
        <v>20</v>
      </c>
      <c r="B30">
        <v>17644</v>
      </c>
      <c r="C30" t="s">
        <v>21</v>
      </c>
      <c r="D30" t="s">
        <v>22</v>
      </c>
      <c r="E30" t="s">
        <v>9211</v>
      </c>
      <c r="F30" t="s">
        <v>9212</v>
      </c>
      <c r="G30" t="s">
        <v>9213</v>
      </c>
      <c r="H30" t="s">
        <v>9214</v>
      </c>
      <c r="I30" t="s">
        <v>27</v>
      </c>
      <c r="M30" t="s">
        <v>1686</v>
      </c>
      <c r="N30" t="s">
        <v>33</v>
      </c>
    </row>
    <row r="31" spans="1:14" x14ac:dyDescent="0.35">
      <c r="A31" t="s">
        <v>20</v>
      </c>
      <c r="B31">
        <v>17644</v>
      </c>
      <c r="C31" t="s">
        <v>21</v>
      </c>
      <c r="D31" t="s">
        <v>22</v>
      </c>
      <c r="E31" t="s">
        <v>9215</v>
      </c>
      <c r="F31" t="s">
        <v>9216</v>
      </c>
      <c r="G31" t="s">
        <v>9217</v>
      </c>
      <c r="H31" t="s">
        <v>9218</v>
      </c>
      <c r="I31" t="s">
        <v>27</v>
      </c>
      <c r="M31" t="s">
        <v>1686</v>
      </c>
      <c r="N31" t="s">
        <v>33</v>
      </c>
    </row>
    <row r="32" spans="1:14" x14ac:dyDescent="0.35">
      <c r="A32" t="s">
        <v>20</v>
      </c>
      <c r="B32">
        <v>17644</v>
      </c>
      <c r="C32" t="s">
        <v>21</v>
      </c>
      <c r="D32" t="s">
        <v>22</v>
      </c>
      <c r="E32" t="s">
        <v>9219</v>
      </c>
      <c r="F32" t="s">
        <v>9220</v>
      </c>
      <c r="G32" t="s">
        <v>9221</v>
      </c>
      <c r="H32" t="s">
        <v>9222</v>
      </c>
      <c r="I32" t="s">
        <v>27</v>
      </c>
      <c r="M32" t="s">
        <v>1686</v>
      </c>
      <c r="N32" t="s">
        <v>33</v>
      </c>
    </row>
    <row r="33" spans="1:14" x14ac:dyDescent="0.35">
      <c r="A33" t="s">
        <v>20</v>
      </c>
      <c r="B33">
        <v>17644</v>
      </c>
      <c r="C33" t="s">
        <v>21</v>
      </c>
      <c r="D33" t="s">
        <v>22</v>
      </c>
      <c r="E33" t="s">
        <v>9223</v>
      </c>
      <c r="F33" t="s">
        <v>9224</v>
      </c>
      <c r="G33" t="s">
        <v>9225</v>
      </c>
      <c r="H33" t="s">
        <v>9226</v>
      </c>
      <c r="I33" t="s">
        <v>27</v>
      </c>
      <c r="M33" t="s">
        <v>1686</v>
      </c>
      <c r="N33" t="s">
        <v>33</v>
      </c>
    </row>
    <row r="34" spans="1:14" x14ac:dyDescent="0.35">
      <c r="A34" t="s">
        <v>20</v>
      </c>
      <c r="B34">
        <v>17644</v>
      </c>
      <c r="C34" t="s">
        <v>21</v>
      </c>
      <c r="D34" t="s">
        <v>22</v>
      </c>
      <c r="E34" t="s">
        <v>9227</v>
      </c>
      <c r="F34" t="s">
        <v>9228</v>
      </c>
      <c r="G34" t="s">
        <v>9229</v>
      </c>
      <c r="H34" t="s">
        <v>9230</v>
      </c>
      <c r="I34" t="s">
        <v>27</v>
      </c>
      <c r="M34" t="s">
        <v>1686</v>
      </c>
      <c r="N34" t="s">
        <v>33</v>
      </c>
    </row>
    <row r="35" spans="1:14" x14ac:dyDescent="0.35">
      <c r="A35" t="s">
        <v>20</v>
      </c>
      <c r="B35">
        <v>17644</v>
      </c>
      <c r="C35" t="s">
        <v>21</v>
      </c>
      <c r="D35" t="s">
        <v>22</v>
      </c>
      <c r="E35" t="s">
        <v>9231</v>
      </c>
      <c r="F35" t="s">
        <v>9232</v>
      </c>
      <c r="G35" t="s">
        <v>9233</v>
      </c>
      <c r="H35" t="s">
        <v>9234</v>
      </c>
      <c r="I35" t="s">
        <v>27</v>
      </c>
      <c r="M35" t="s">
        <v>1686</v>
      </c>
      <c r="N35" t="s">
        <v>33</v>
      </c>
    </row>
    <row r="36" spans="1:14" x14ac:dyDescent="0.35">
      <c r="A36" t="s">
        <v>20</v>
      </c>
      <c r="B36">
        <v>17644</v>
      </c>
      <c r="C36" t="s">
        <v>21</v>
      </c>
      <c r="D36" t="s">
        <v>22</v>
      </c>
      <c r="E36" t="s">
        <v>9235</v>
      </c>
      <c r="F36" t="s">
        <v>9236</v>
      </c>
      <c r="G36" t="s">
        <v>9237</v>
      </c>
      <c r="H36" t="s">
        <v>9238</v>
      </c>
      <c r="I36" t="s">
        <v>27</v>
      </c>
      <c r="M36" t="s">
        <v>1686</v>
      </c>
      <c r="N36" t="s">
        <v>33</v>
      </c>
    </row>
    <row r="37" spans="1:14" x14ac:dyDescent="0.35">
      <c r="A37" t="s">
        <v>20</v>
      </c>
      <c r="B37">
        <v>17644</v>
      </c>
      <c r="C37" t="s">
        <v>21</v>
      </c>
      <c r="D37" t="s">
        <v>22</v>
      </c>
      <c r="E37" t="s">
        <v>9239</v>
      </c>
      <c r="F37" t="s">
        <v>9240</v>
      </c>
      <c r="G37" t="s">
        <v>9241</v>
      </c>
      <c r="H37" t="s">
        <v>9242</v>
      </c>
      <c r="I37" t="s">
        <v>27</v>
      </c>
      <c r="M37" t="s">
        <v>1686</v>
      </c>
      <c r="N37" t="s">
        <v>33</v>
      </c>
    </row>
    <row r="38" spans="1:14" x14ac:dyDescent="0.35">
      <c r="A38" t="s">
        <v>20</v>
      </c>
      <c r="B38">
        <v>17644</v>
      </c>
      <c r="C38" t="s">
        <v>21</v>
      </c>
      <c r="D38" t="s">
        <v>22</v>
      </c>
      <c r="E38" t="s">
        <v>9243</v>
      </c>
      <c r="F38" t="s">
        <v>9244</v>
      </c>
      <c r="G38" t="s">
        <v>9245</v>
      </c>
      <c r="H38" t="s">
        <v>9246</v>
      </c>
      <c r="I38" t="s">
        <v>27</v>
      </c>
      <c r="M38" t="s">
        <v>1686</v>
      </c>
      <c r="N38" t="s">
        <v>33</v>
      </c>
    </row>
    <row r="39" spans="1:14" x14ac:dyDescent="0.35">
      <c r="A39" t="s">
        <v>20</v>
      </c>
      <c r="B39">
        <v>17644</v>
      </c>
      <c r="C39" t="s">
        <v>21</v>
      </c>
      <c r="D39" t="s">
        <v>22</v>
      </c>
      <c r="E39" t="s">
        <v>9247</v>
      </c>
      <c r="F39" t="s">
        <v>9248</v>
      </c>
      <c r="G39" t="s">
        <v>9249</v>
      </c>
      <c r="H39" t="s">
        <v>9250</v>
      </c>
      <c r="I39" t="s">
        <v>27</v>
      </c>
      <c r="M39" t="s">
        <v>1686</v>
      </c>
      <c r="N39" t="s">
        <v>33</v>
      </c>
    </row>
    <row r="40" spans="1:14" x14ac:dyDescent="0.35">
      <c r="A40" t="s">
        <v>20</v>
      </c>
      <c r="B40">
        <v>17644</v>
      </c>
      <c r="C40" t="s">
        <v>21</v>
      </c>
      <c r="D40" t="s">
        <v>22</v>
      </c>
      <c r="E40" t="s">
        <v>9251</v>
      </c>
      <c r="F40" t="s">
        <v>9252</v>
      </c>
      <c r="G40" t="s">
        <v>9253</v>
      </c>
      <c r="H40" t="s">
        <v>9254</v>
      </c>
      <c r="I40" t="s">
        <v>27</v>
      </c>
      <c r="M40" t="s">
        <v>1686</v>
      </c>
      <c r="N40" t="s">
        <v>33</v>
      </c>
    </row>
    <row r="41" spans="1:14" x14ac:dyDescent="0.35">
      <c r="A41" t="s">
        <v>20</v>
      </c>
      <c r="B41">
        <v>17644</v>
      </c>
      <c r="C41" t="s">
        <v>21</v>
      </c>
      <c r="D41" t="s">
        <v>22</v>
      </c>
      <c r="E41" t="s">
        <v>9255</v>
      </c>
      <c r="F41" t="s">
        <v>9256</v>
      </c>
      <c r="G41" t="s">
        <v>9257</v>
      </c>
      <c r="H41" t="s">
        <v>9258</v>
      </c>
      <c r="I41" t="s">
        <v>27</v>
      </c>
      <c r="M41" t="s">
        <v>1686</v>
      </c>
      <c r="N41" t="s">
        <v>33</v>
      </c>
    </row>
    <row r="42" spans="1:14" x14ac:dyDescent="0.35">
      <c r="A42" t="s">
        <v>20</v>
      </c>
      <c r="B42">
        <v>17644</v>
      </c>
      <c r="C42" t="s">
        <v>21</v>
      </c>
      <c r="D42" t="s">
        <v>22</v>
      </c>
      <c r="E42" t="s">
        <v>9259</v>
      </c>
      <c r="F42" t="s">
        <v>9260</v>
      </c>
      <c r="G42" t="s">
        <v>9261</v>
      </c>
      <c r="H42" t="s">
        <v>9262</v>
      </c>
      <c r="I42" t="s">
        <v>27</v>
      </c>
      <c r="M42" t="s">
        <v>1686</v>
      </c>
      <c r="N42" t="s">
        <v>33</v>
      </c>
    </row>
    <row r="43" spans="1:14" x14ac:dyDescent="0.35">
      <c r="A43" t="s">
        <v>20</v>
      </c>
      <c r="B43">
        <v>17644</v>
      </c>
      <c r="C43" t="s">
        <v>21</v>
      </c>
      <c r="D43" t="s">
        <v>22</v>
      </c>
      <c r="E43" t="s">
        <v>9263</v>
      </c>
      <c r="F43" t="s">
        <v>9264</v>
      </c>
      <c r="G43" t="s">
        <v>9265</v>
      </c>
      <c r="H43" t="s">
        <v>9266</v>
      </c>
      <c r="I43" t="s">
        <v>27</v>
      </c>
      <c r="M43" t="s">
        <v>1686</v>
      </c>
      <c r="N43" t="s">
        <v>33</v>
      </c>
    </row>
    <row r="44" spans="1:14" x14ac:dyDescent="0.35">
      <c r="A44" t="s">
        <v>20</v>
      </c>
      <c r="B44">
        <v>17644</v>
      </c>
      <c r="C44" t="s">
        <v>21</v>
      </c>
      <c r="D44" t="s">
        <v>22</v>
      </c>
      <c r="E44" t="s">
        <v>9267</v>
      </c>
      <c r="F44" t="s">
        <v>9268</v>
      </c>
      <c r="G44" t="s">
        <v>9269</v>
      </c>
      <c r="H44" t="s">
        <v>9270</v>
      </c>
      <c r="I44" t="s">
        <v>27</v>
      </c>
      <c r="M44" t="s">
        <v>1686</v>
      </c>
      <c r="N44" t="s">
        <v>33</v>
      </c>
    </row>
    <row r="45" spans="1:14" x14ac:dyDescent="0.35">
      <c r="A45" t="s">
        <v>20</v>
      </c>
      <c r="B45">
        <v>17644</v>
      </c>
      <c r="C45" t="s">
        <v>21</v>
      </c>
      <c r="D45" t="s">
        <v>22</v>
      </c>
      <c r="E45" t="s">
        <v>9271</v>
      </c>
      <c r="F45" t="s">
        <v>9272</v>
      </c>
      <c r="G45" t="s">
        <v>9273</v>
      </c>
      <c r="H45" t="s">
        <v>9274</v>
      </c>
      <c r="I45" t="s">
        <v>27</v>
      </c>
      <c r="M45" t="s">
        <v>1686</v>
      </c>
      <c r="N45" t="s">
        <v>33</v>
      </c>
    </row>
    <row r="46" spans="1:14" x14ac:dyDescent="0.35">
      <c r="A46" t="s">
        <v>20</v>
      </c>
      <c r="B46">
        <v>17644</v>
      </c>
      <c r="C46" t="s">
        <v>21</v>
      </c>
      <c r="D46" t="s">
        <v>22</v>
      </c>
      <c r="E46" t="s">
        <v>9275</v>
      </c>
      <c r="F46" t="s">
        <v>9276</v>
      </c>
      <c r="G46" t="s">
        <v>9277</v>
      </c>
      <c r="H46" t="s">
        <v>9278</v>
      </c>
      <c r="I46" t="s">
        <v>27</v>
      </c>
      <c r="M46" t="s">
        <v>1686</v>
      </c>
      <c r="N46" t="s">
        <v>33</v>
      </c>
    </row>
    <row r="47" spans="1:14" x14ac:dyDescent="0.35">
      <c r="A47" t="s">
        <v>20</v>
      </c>
      <c r="B47">
        <v>17644</v>
      </c>
      <c r="C47" t="s">
        <v>21</v>
      </c>
      <c r="D47" t="s">
        <v>22</v>
      </c>
      <c r="E47" t="s">
        <v>9279</v>
      </c>
      <c r="F47" t="s">
        <v>9280</v>
      </c>
      <c r="G47" t="s">
        <v>9281</v>
      </c>
      <c r="H47" t="s">
        <v>9282</v>
      </c>
      <c r="I47" t="s">
        <v>27</v>
      </c>
      <c r="M47" t="s">
        <v>1686</v>
      </c>
      <c r="N47" t="s">
        <v>33</v>
      </c>
    </row>
    <row r="48" spans="1:14" x14ac:dyDescent="0.35">
      <c r="A48" t="s">
        <v>20</v>
      </c>
      <c r="B48">
        <v>17644</v>
      </c>
      <c r="C48" t="s">
        <v>21</v>
      </c>
      <c r="D48" t="s">
        <v>22</v>
      </c>
      <c r="E48" t="s">
        <v>9283</v>
      </c>
      <c r="F48" t="s">
        <v>9284</v>
      </c>
      <c r="G48" t="s">
        <v>9285</v>
      </c>
      <c r="H48" t="s">
        <v>9286</v>
      </c>
      <c r="I48" t="s">
        <v>27</v>
      </c>
      <c r="M48" t="s">
        <v>1686</v>
      </c>
      <c r="N48" t="s">
        <v>33</v>
      </c>
    </row>
    <row r="49" spans="1:14" x14ac:dyDescent="0.35">
      <c r="A49" t="s">
        <v>20</v>
      </c>
      <c r="B49">
        <v>17644</v>
      </c>
      <c r="C49" t="s">
        <v>21</v>
      </c>
      <c r="D49" t="s">
        <v>22</v>
      </c>
      <c r="E49" t="s">
        <v>9287</v>
      </c>
      <c r="F49" t="s">
        <v>9288</v>
      </c>
      <c r="G49" t="s">
        <v>9289</v>
      </c>
      <c r="H49" t="s">
        <v>9290</v>
      </c>
      <c r="I49" t="s">
        <v>27</v>
      </c>
      <c r="M49" t="s">
        <v>1686</v>
      </c>
      <c r="N49" t="s">
        <v>33</v>
      </c>
    </row>
    <row r="50" spans="1:14" x14ac:dyDescent="0.35">
      <c r="A50" t="s">
        <v>20</v>
      </c>
      <c r="B50">
        <v>17644</v>
      </c>
      <c r="C50" t="s">
        <v>21</v>
      </c>
      <c r="D50" t="s">
        <v>22</v>
      </c>
      <c r="E50" t="s">
        <v>9291</v>
      </c>
      <c r="F50" t="s">
        <v>9292</v>
      </c>
      <c r="G50" t="s">
        <v>9293</v>
      </c>
      <c r="H50" t="s">
        <v>9294</v>
      </c>
      <c r="I50" t="s">
        <v>27</v>
      </c>
      <c r="M50" t="s">
        <v>1686</v>
      </c>
      <c r="N50" t="s">
        <v>33</v>
      </c>
    </row>
    <row r="51" spans="1:14" x14ac:dyDescent="0.35">
      <c r="A51" t="s">
        <v>20</v>
      </c>
      <c r="B51">
        <v>17644</v>
      </c>
      <c r="C51" t="s">
        <v>21</v>
      </c>
      <c r="D51" t="s">
        <v>22</v>
      </c>
      <c r="E51" t="s">
        <v>9295</v>
      </c>
      <c r="F51" t="s">
        <v>9296</v>
      </c>
      <c r="G51" t="s">
        <v>9297</v>
      </c>
      <c r="H51" t="s">
        <v>9298</v>
      </c>
      <c r="I51" t="s">
        <v>27</v>
      </c>
      <c r="M51" t="s">
        <v>1686</v>
      </c>
      <c r="N51" t="s">
        <v>33</v>
      </c>
    </row>
    <row r="52" spans="1:14" x14ac:dyDescent="0.35">
      <c r="A52" t="s">
        <v>20</v>
      </c>
      <c r="B52">
        <v>17644</v>
      </c>
      <c r="C52" t="s">
        <v>21</v>
      </c>
      <c r="D52" t="s">
        <v>22</v>
      </c>
      <c r="E52" t="s">
        <v>9299</v>
      </c>
      <c r="F52" t="s">
        <v>9300</v>
      </c>
      <c r="G52" t="s">
        <v>9301</v>
      </c>
      <c r="H52" t="s">
        <v>9302</v>
      </c>
      <c r="I52" t="s">
        <v>27</v>
      </c>
      <c r="M52" t="s">
        <v>1686</v>
      </c>
      <c r="N52" t="s">
        <v>33</v>
      </c>
    </row>
    <row r="53" spans="1:14" x14ac:dyDescent="0.35">
      <c r="A53" t="s">
        <v>20</v>
      </c>
      <c r="B53">
        <v>17644</v>
      </c>
      <c r="C53" t="s">
        <v>21</v>
      </c>
      <c r="D53" t="s">
        <v>22</v>
      </c>
      <c r="E53" t="s">
        <v>9303</v>
      </c>
      <c r="F53" t="s">
        <v>9304</v>
      </c>
      <c r="G53" t="s">
        <v>9305</v>
      </c>
      <c r="H53" t="s">
        <v>9306</v>
      </c>
      <c r="I53" t="s">
        <v>27</v>
      </c>
      <c r="M53" t="s">
        <v>1686</v>
      </c>
      <c r="N53" t="s">
        <v>33</v>
      </c>
    </row>
    <row r="54" spans="1:14" x14ac:dyDescent="0.35">
      <c r="A54" t="s">
        <v>20</v>
      </c>
      <c r="B54">
        <v>17644</v>
      </c>
      <c r="C54" t="s">
        <v>21</v>
      </c>
      <c r="D54" t="s">
        <v>22</v>
      </c>
      <c r="E54" t="s">
        <v>9307</v>
      </c>
      <c r="F54" t="s">
        <v>9308</v>
      </c>
      <c r="G54" t="s">
        <v>9309</v>
      </c>
      <c r="H54" t="s">
        <v>9310</v>
      </c>
      <c r="I54" t="s">
        <v>27</v>
      </c>
      <c r="M54" t="s">
        <v>1686</v>
      </c>
      <c r="N54" t="s">
        <v>33</v>
      </c>
    </row>
    <row r="55" spans="1:14" x14ac:dyDescent="0.35">
      <c r="A55" t="s">
        <v>20</v>
      </c>
      <c r="B55">
        <v>17644</v>
      </c>
      <c r="C55" t="s">
        <v>21</v>
      </c>
      <c r="D55" t="s">
        <v>22</v>
      </c>
      <c r="E55" t="s">
        <v>9311</v>
      </c>
      <c r="F55" t="s">
        <v>9312</v>
      </c>
      <c r="G55" t="s">
        <v>9313</v>
      </c>
      <c r="H55" t="s">
        <v>9314</v>
      </c>
      <c r="I55" t="s">
        <v>27</v>
      </c>
      <c r="M55" t="s">
        <v>1686</v>
      </c>
      <c r="N55" t="s">
        <v>33</v>
      </c>
    </row>
    <row r="56" spans="1:14" x14ac:dyDescent="0.35">
      <c r="A56" t="s">
        <v>20</v>
      </c>
      <c r="B56">
        <v>17644</v>
      </c>
      <c r="C56" t="s">
        <v>21</v>
      </c>
      <c r="D56" t="s">
        <v>22</v>
      </c>
      <c r="E56" t="s">
        <v>9315</v>
      </c>
      <c r="F56" t="s">
        <v>9316</v>
      </c>
      <c r="G56" t="s">
        <v>9317</v>
      </c>
      <c r="H56" t="s">
        <v>9318</v>
      </c>
      <c r="I56" t="s">
        <v>27</v>
      </c>
      <c r="M56" t="s">
        <v>1686</v>
      </c>
      <c r="N56" t="s">
        <v>33</v>
      </c>
    </row>
    <row r="57" spans="1:14" x14ac:dyDescent="0.35">
      <c r="A57" t="s">
        <v>20</v>
      </c>
      <c r="B57">
        <v>17644</v>
      </c>
      <c r="C57" t="s">
        <v>21</v>
      </c>
      <c r="D57" t="s">
        <v>22</v>
      </c>
      <c r="E57" t="s">
        <v>9319</v>
      </c>
      <c r="F57" t="s">
        <v>9320</v>
      </c>
      <c r="G57" t="s">
        <v>9321</v>
      </c>
      <c r="H57" t="s">
        <v>9322</v>
      </c>
      <c r="I57" t="s">
        <v>27</v>
      </c>
      <c r="M57" t="s">
        <v>1686</v>
      </c>
      <c r="N57" t="s">
        <v>33</v>
      </c>
    </row>
    <row r="58" spans="1:14" x14ac:dyDescent="0.35">
      <c r="A58" t="s">
        <v>20</v>
      </c>
      <c r="B58">
        <v>17644</v>
      </c>
      <c r="C58" t="s">
        <v>21</v>
      </c>
      <c r="D58" t="s">
        <v>22</v>
      </c>
      <c r="E58" t="s">
        <v>9323</v>
      </c>
      <c r="F58" t="s">
        <v>9324</v>
      </c>
      <c r="G58" t="s">
        <v>9325</v>
      </c>
      <c r="H58" t="s">
        <v>9326</v>
      </c>
      <c r="I58" t="s">
        <v>27</v>
      </c>
      <c r="M58" t="s">
        <v>1686</v>
      </c>
      <c r="N58" t="s">
        <v>33</v>
      </c>
    </row>
    <row r="59" spans="1:14" x14ac:dyDescent="0.35">
      <c r="A59" t="s">
        <v>20</v>
      </c>
      <c r="B59">
        <v>17644</v>
      </c>
      <c r="C59" t="s">
        <v>21</v>
      </c>
      <c r="D59" t="s">
        <v>22</v>
      </c>
      <c r="E59" t="s">
        <v>9327</v>
      </c>
      <c r="F59" t="s">
        <v>9328</v>
      </c>
      <c r="G59" t="s">
        <v>9329</v>
      </c>
      <c r="H59" t="s">
        <v>9330</v>
      </c>
      <c r="I59" t="s">
        <v>27</v>
      </c>
      <c r="M59" t="s">
        <v>1686</v>
      </c>
      <c r="N59" t="s">
        <v>33</v>
      </c>
    </row>
    <row r="60" spans="1:14" x14ac:dyDescent="0.35">
      <c r="A60" t="s">
        <v>20</v>
      </c>
      <c r="B60">
        <v>17644</v>
      </c>
      <c r="C60" t="s">
        <v>21</v>
      </c>
      <c r="D60" t="s">
        <v>22</v>
      </c>
      <c r="E60" t="s">
        <v>9331</v>
      </c>
      <c r="F60" t="s">
        <v>9332</v>
      </c>
      <c r="G60" t="s">
        <v>9333</v>
      </c>
      <c r="H60" t="s">
        <v>9334</v>
      </c>
      <c r="I60" t="s">
        <v>27</v>
      </c>
      <c r="M60" t="s">
        <v>1686</v>
      </c>
      <c r="N60" t="s">
        <v>33</v>
      </c>
    </row>
    <row r="61" spans="1:14" x14ac:dyDescent="0.35">
      <c r="A61" t="s">
        <v>20</v>
      </c>
      <c r="B61">
        <v>17644</v>
      </c>
      <c r="C61" t="s">
        <v>21</v>
      </c>
      <c r="D61" t="s">
        <v>22</v>
      </c>
      <c r="E61" t="s">
        <v>9335</v>
      </c>
      <c r="F61" t="s">
        <v>9336</v>
      </c>
      <c r="G61" t="s">
        <v>9337</v>
      </c>
      <c r="H61" t="s">
        <v>9338</v>
      </c>
      <c r="I61" t="s">
        <v>27</v>
      </c>
      <c r="M61" t="s">
        <v>1686</v>
      </c>
      <c r="N61" t="s">
        <v>33</v>
      </c>
    </row>
    <row r="62" spans="1:14" x14ac:dyDescent="0.35">
      <c r="A62" t="s">
        <v>20</v>
      </c>
      <c r="B62">
        <v>17644</v>
      </c>
      <c r="C62" t="s">
        <v>21</v>
      </c>
      <c r="D62" t="s">
        <v>22</v>
      </c>
      <c r="E62" t="s">
        <v>9339</v>
      </c>
      <c r="F62" t="s">
        <v>9340</v>
      </c>
      <c r="G62" t="s">
        <v>9341</v>
      </c>
      <c r="H62" t="s">
        <v>9342</v>
      </c>
      <c r="I62" t="s">
        <v>27</v>
      </c>
      <c r="M62" t="s">
        <v>1686</v>
      </c>
      <c r="N62" t="s">
        <v>33</v>
      </c>
    </row>
    <row r="63" spans="1:14" x14ac:dyDescent="0.35">
      <c r="A63" t="s">
        <v>20</v>
      </c>
      <c r="B63">
        <v>17644</v>
      </c>
      <c r="C63" t="s">
        <v>21</v>
      </c>
      <c r="D63" t="s">
        <v>22</v>
      </c>
      <c r="E63" t="s">
        <v>9343</v>
      </c>
      <c r="F63" t="s">
        <v>9344</v>
      </c>
      <c r="G63" t="s">
        <v>9345</v>
      </c>
      <c r="H63" t="s">
        <v>9346</v>
      </c>
      <c r="I63" t="s">
        <v>27</v>
      </c>
      <c r="M63" t="s">
        <v>1686</v>
      </c>
      <c r="N63" t="s">
        <v>33</v>
      </c>
    </row>
    <row r="64" spans="1:14" x14ac:dyDescent="0.35">
      <c r="A64" t="s">
        <v>20</v>
      </c>
      <c r="B64">
        <v>17644</v>
      </c>
      <c r="C64" t="s">
        <v>21</v>
      </c>
      <c r="D64" t="s">
        <v>22</v>
      </c>
      <c r="E64" t="s">
        <v>9347</v>
      </c>
      <c r="F64" t="s">
        <v>9348</v>
      </c>
      <c r="G64" t="s">
        <v>9349</v>
      </c>
      <c r="H64" t="s">
        <v>9350</v>
      </c>
      <c r="I64" t="s">
        <v>27</v>
      </c>
      <c r="M64" t="s">
        <v>1686</v>
      </c>
      <c r="N64" t="s">
        <v>33</v>
      </c>
    </row>
    <row r="65" spans="1:14" x14ac:dyDescent="0.35">
      <c r="A65" t="s">
        <v>20</v>
      </c>
      <c r="B65">
        <v>17644</v>
      </c>
      <c r="C65" t="s">
        <v>21</v>
      </c>
      <c r="D65" t="s">
        <v>22</v>
      </c>
      <c r="E65" t="s">
        <v>9351</v>
      </c>
      <c r="F65" t="s">
        <v>9352</v>
      </c>
      <c r="G65" t="s">
        <v>9353</v>
      </c>
      <c r="H65" t="s">
        <v>9354</v>
      </c>
      <c r="I65" t="s">
        <v>27</v>
      </c>
      <c r="M65" t="s">
        <v>1686</v>
      </c>
      <c r="N65" t="s">
        <v>33</v>
      </c>
    </row>
    <row r="66" spans="1:14" x14ac:dyDescent="0.35">
      <c r="A66" t="s">
        <v>20</v>
      </c>
      <c r="B66">
        <v>17644</v>
      </c>
      <c r="C66" t="s">
        <v>21</v>
      </c>
      <c r="D66" t="s">
        <v>22</v>
      </c>
      <c r="E66" t="s">
        <v>9355</v>
      </c>
      <c r="F66" t="s">
        <v>9356</v>
      </c>
      <c r="G66" t="s">
        <v>9357</v>
      </c>
      <c r="H66" t="s">
        <v>9358</v>
      </c>
      <c r="I66" t="s">
        <v>27</v>
      </c>
      <c r="M66" t="s">
        <v>1686</v>
      </c>
      <c r="N66" t="s">
        <v>33</v>
      </c>
    </row>
    <row r="67" spans="1:14" x14ac:dyDescent="0.35">
      <c r="A67" t="s">
        <v>20</v>
      </c>
      <c r="B67">
        <v>17644</v>
      </c>
      <c r="C67" t="s">
        <v>21</v>
      </c>
      <c r="D67" t="s">
        <v>22</v>
      </c>
      <c r="E67" t="s">
        <v>9359</v>
      </c>
      <c r="F67" t="s">
        <v>9360</v>
      </c>
      <c r="G67" t="s">
        <v>9361</v>
      </c>
      <c r="H67" t="s">
        <v>9362</v>
      </c>
      <c r="I67" t="s">
        <v>27</v>
      </c>
      <c r="M67" t="s">
        <v>1686</v>
      </c>
      <c r="N67" t="s">
        <v>33</v>
      </c>
    </row>
    <row r="68" spans="1:14" x14ac:dyDescent="0.35">
      <c r="A68" t="s">
        <v>20</v>
      </c>
      <c r="B68">
        <v>17644</v>
      </c>
      <c r="C68" t="s">
        <v>21</v>
      </c>
      <c r="D68" t="s">
        <v>22</v>
      </c>
      <c r="E68" t="s">
        <v>9363</v>
      </c>
      <c r="F68" t="s">
        <v>9364</v>
      </c>
      <c r="G68" t="s">
        <v>9365</v>
      </c>
      <c r="H68" t="s">
        <v>9366</v>
      </c>
      <c r="I68" t="s">
        <v>27</v>
      </c>
      <c r="M68" t="s">
        <v>1686</v>
      </c>
      <c r="N68" t="s">
        <v>33</v>
      </c>
    </row>
    <row r="69" spans="1:14" x14ac:dyDescent="0.35">
      <c r="A69" t="s">
        <v>20</v>
      </c>
      <c r="B69">
        <v>17644</v>
      </c>
      <c r="C69" t="s">
        <v>21</v>
      </c>
      <c r="D69" t="s">
        <v>22</v>
      </c>
      <c r="E69" t="s">
        <v>9367</v>
      </c>
      <c r="F69" t="s">
        <v>9368</v>
      </c>
      <c r="G69" t="s">
        <v>9369</v>
      </c>
      <c r="H69" t="s">
        <v>9370</v>
      </c>
      <c r="I69" t="s">
        <v>27</v>
      </c>
      <c r="M69" t="s">
        <v>1686</v>
      </c>
      <c r="N69" t="s">
        <v>33</v>
      </c>
    </row>
    <row r="70" spans="1:14" x14ac:dyDescent="0.35">
      <c r="A70" t="s">
        <v>20</v>
      </c>
      <c r="B70">
        <v>17644</v>
      </c>
      <c r="C70" t="s">
        <v>21</v>
      </c>
      <c r="D70" t="s">
        <v>22</v>
      </c>
      <c r="E70" t="s">
        <v>9371</v>
      </c>
      <c r="F70" t="s">
        <v>9372</v>
      </c>
      <c r="G70" t="s">
        <v>9373</v>
      </c>
      <c r="H70" t="s">
        <v>9374</v>
      </c>
      <c r="I70" t="s">
        <v>27</v>
      </c>
      <c r="M70" t="s">
        <v>1686</v>
      </c>
      <c r="N70" t="s">
        <v>33</v>
      </c>
    </row>
    <row r="71" spans="1:14" x14ac:dyDescent="0.35">
      <c r="A71" t="s">
        <v>20</v>
      </c>
      <c r="B71">
        <v>17644</v>
      </c>
      <c r="C71" t="s">
        <v>21</v>
      </c>
      <c r="D71" t="s">
        <v>22</v>
      </c>
      <c r="E71" t="s">
        <v>9375</v>
      </c>
      <c r="F71" t="s">
        <v>9376</v>
      </c>
      <c r="G71" t="s">
        <v>9377</v>
      </c>
      <c r="H71" t="s">
        <v>9378</v>
      </c>
      <c r="I71" t="s">
        <v>27</v>
      </c>
      <c r="M71" t="s">
        <v>1686</v>
      </c>
      <c r="N71" t="s">
        <v>33</v>
      </c>
    </row>
    <row r="72" spans="1:14" x14ac:dyDescent="0.35">
      <c r="A72" t="s">
        <v>20</v>
      </c>
      <c r="B72">
        <v>17644</v>
      </c>
      <c r="C72" t="s">
        <v>21</v>
      </c>
      <c r="D72" t="s">
        <v>22</v>
      </c>
      <c r="E72" t="s">
        <v>9379</v>
      </c>
      <c r="F72" t="s">
        <v>9380</v>
      </c>
      <c r="G72" t="s">
        <v>9381</v>
      </c>
      <c r="H72" t="s">
        <v>9382</v>
      </c>
      <c r="I72" t="s">
        <v>27</v>
      </c>
      <c r="M72" t="s">
        <v>1686</v>
      </c>
      <c r="N72" t="s">
        <v>33</v>
      </c>
    </row>
    <row r="73" spans="1:14" x14ac:dyDescent="0.35">
      <c r="A73" t="s">
        <v>20</v>
      </c>
      <c r="B73">
        <v>17644</v>
      </c>
      <c r="C73" t="s">
        <v>21</v>
      </c>
      <c r="D73" t="s">
        <v>22</v>
      </c>
      <c r="E73" t="s">
        <v>9383</v>
      </c>
      <c r="F73" t="s">
        <v>9384</v>
      </c>
      <c r="G73" t="s">
        <v>9385</v>
      </c>
      <c r="H73" t="s">
        <v>9386</v>
      </c>
      <c r="I73" t="s">
        <v>27</v>
      </c>
      <c r="M73" t="s">
        <v>1686</v>
      </c>
      <c r="N73" t="s">
        <v>33</v>
      </c>
    </row>
    <row r="74" spans="1:14" x14ac:dyDescent="0.35">
      <c r="A74" t="s">
        <v>20</v>
      </c>
      <c r="B74">
        <v>17644</v>
      </c>
      <c r="C74" t="s">
        <v>21</v>
      </c>
      <c r="D74" t="s">
        <v>22</v>
      </c>
      <c r="E74" t="s">
        <v>9387</v>
      </c>
      <c r="F74" t="s">
        <v>9388</v>
      </c>
      <c r="G74" t="s">
        <v>9389</v>
      </c>
      <c r="H74" t="s">
        <v>9390</v>
      </c>
      <c r="I74" t="s">
        <v>27</v>
      </c>
      <c r="M74" t="s">
        <v>1686</v>
      </c>
      <c r="N74" t="s">
        <v>33</v>
      </c>
    </row>
    <row r="75" spans="1:14" x14ac:dyDescent="0.35">
      <c r="A75" t="s">
        <v>20</v>
      </c>
      <c r="B75">
        <v>17644</v>
      </c>
      <c r="C75" t="s">
        <v>21</v>
      </c>
      <c r="D75" t="s">
        <v>22</v>
      </c>
      <c r="E75" t="s">
        <v>9391</v>
      </c>
      <c r="F75" t="s">
        <v>9392</v>
      </c>
      <c r="G75" t="s">
        <v>9393</v>
      </c>
      <c r="H75" t="s">
        <v>9394</v>
      </c>
      <c r="I75" t="s">
        <v>27</v>
      </c>
      <c r="M75" t="s">
        <v>1686</v>
      </c>
      <c r="N75" t="s">
        <v>33</v>
      </c>
    </row>
    <row r="76" spans="1:14" x14ac:dyDescent="0.35">
      <c r="A76" t="s">
        <v>20</v>
      </c>
      <c r="B76">
        <v>17644</v>
      </c>
      <c r="C76" t="s">
        <v>21</v>
      </c>
      <c r="D76" t="s">
        <v>22</v>
      </c>
      <c r="E76" t="s">
        <v>9395</v>
      </c>
      <c r="F76" t="s">
        <v>9396</v>
      </c>
      <c r="G76" t="s">
        <v>9397</v>
      </c>
      <c r="H76" t="s">
        <v>9398</v>
      </c>
      <c r="I76" t="s">
        <v>27</v>
      </c>
      <c r="M76" t="s">
        <v>1686</v>
      </c>
      <c r="N76" t="s">
        <v>33</v>
      </c>
    </row>
    <row r="77" spans="1:14" x14ac:dyDescent="0.35">
      <c r="A77" t="s">
        <v>20</v>
      </c>
      <c r="B77">
        <v>17644</v>
      </c>
      <c r="C77" t="s">
        <v>21</v>
      </c>
      <c r="D77" t="s">
        <v>22</v>
      </c>
      <c r="E77" t="s">
        <v>9399</v>
      </c>
      <c r="F77" t="s">
        <v>9400</v>
      </c>
      <c r="G77" t="s">
        <v>9401</v>
      </c>
      <c r="H77" t="s">
        <v>9402</v>
      </c>
      <c r="I77" t="s">
        <v>27</v>
      </c>
      <c r="M77" t="s">
        <v>1686</v>
      </c>
      <c r="N77" t="s">
        <v>33</v>
      </c>
    </row>
    <row r="78" spans="1:14" x14ac:dyDescent="0.35">
      <c r="A78" t="s">
        <v>20</v>
      </c>
      <c r="B78">
        <v>17644</v>
      </c>
      <c r="C78" t="s">
        <v>21</v>
      </c>
      <c r="D78" t="s">
        <v>22</v>
      </c>
      <c r="E78" t="s">
        <v>9403</v>
      </c>
      <c r="F78" t="s">
        <v>9404</v>
      </c>
      <c r="G78" t="s">
        <v>9405</v>
      </c>
      <c r="H78" t="s">
        <v>9406</v>
      </c>
      <c r="I78" t="s">
        <v>27</v>
      </c>
      <c r="M78" t="s">
        <v>1686</v>
      </c>
      <c r="N78" t="s">
        <v>33</v>
      </c>
    </row>
    <row r="79" spans="1:14" x14ac:dyDescent="0.35">
      <c r="A79" t="s">
        <v>20</v>
      </c>
      <c r="B79">
        <v>17644</v>
      </c>
      <c r="C79" t="s">
        <v>21</v>
      </c>
      <c r="D79" t="s">
        <v>22</v>
      </c>
      <c r="E79" t="s">
        <v>9407</v>
      </c>
      <c r="F79" t="s">
        <v>9408</v>
      </c>
      <c r="G79" t="s">
        <v>9409</v>
      </c>
      <c r="H79" t="s">
        <v>9410</v>
      </c>
      <c r="I79" t="s">
        <v>27</v>
      </c>
      <c r="M79" t="s">
        <v>1686</v>
      </c>
      <c r="N79" t="s">
        <v>33</v>
      </c>
    </row>
    <row r="80" spans="1:14" x14ac:dyDescent="0.35">
      <c r="A80" t="s">
        <v>20</v>
      </c>
      <c r="B80">
        <v>17644</v>
      </c>
      <c r="C80" t="s">
        <v>21</v>
      </c>
      <c r="D80" t="s">
        <v>22</v>
      </c>
      <c r="E80" t="s">
        <v>9411</v>
      </c>
      <c r="F80" t="s">
        <v>9412</v>
      </c>
      <c r="G80" t="s">
        <v>9413</v>
      </c>
      <c r="H80" t="s">
        <v>9414</v>
      </c>
      <c r="I80" t="s">
        <v>27</v>
      </c>
      <c r="M80" t="s">
        <v>1686</v>
      </c>
      <c r="N80" t="s">
        <v>33</v>
      </c>
    </row>
    <row r="81" spans="1:14" x14ac:dyDescent="0.35">
      <c r="A81" t="s">
        <v>20</v>
      </c>
      <c r="B81">
        <v>17644</v>
      </c>
      <c r="C81" t="s">
        <v>21</v>
      </c>
      <c r="D81" t="s">
        <v>22</v>
      </c>
      <c r="E81" t="s">
        <v>9415</v>
      </c>
      <c r="F81" t="s">
        <v>9416</v>
      </c>
      <c r="G81" t="s">
        <v>9417</v>
      </c>
      <c r="H81" t="s">
        <v>9418</v>
      </c>
      <c r="I81" t="s">
        <v>27</v>
      </c>
      <c r="M81" t="s">
        <v>1686</v>
      </c>
      <c r="N81" t="s">
        <v>33</v>
      </c>
    </row>
    <row r="82" spans="1:14" x14ac:dyDescent="0.35">
      <c r="A82" t="s">
        <v>20</v>
      </c>
      <c r="B82">
        <v>17644</v>
      </c>
      <c r="C82" t="s">
        <v>21</v>
      </c>
      <c r="D82" t="s">
        <v>22</v>
      </c>
      <c r="E82" t="s">
        <v>9419</v>
      </c>
      <c r="F82" t="s">
        <v>9420</v>
      </c>
      <c r="G82" t="s">
        <v>9421</v>
      </c>
      <c r="H82" t="s">
        <v>9422</v>
      </c>
      <c r="I82" t="s">
        <v>27</v>
      </c>
      <c r="M82" t="s">
        <v>1686</v>
      </c>
      <c r="N82" t="s">
        <v>33</v>
      </c>
    </row>
    <row r="83" spans="1:14" x14ac:dyDescent="0.35">
      <c r="A83" t="s">
        <v>20</v>
      </c>
      <c r="B83">
        <v>17644</v>
      </c>
      <c r="C83" t="s">
        <v>21</v>
      </c>
      <c r="D83" t="s">
        <v>22</v>
      </c>
      <c r="E83" t="s">
        <v>9423</v>
      </c>
      <c r="F83" t="s">
        <v>9424</v>
      </c>
      <c r="G83" t="s">
        <v>9425</v>
      </c>
      <c r="H83" t="s">
        <v>9426</v>
      </c>
      <c r="I83" t="s">
        <v>27</v>
      </c>
      <c r="M83" t="s">
        <v>1686</v>
      </c>
      <c r="N83" t="s">
        <v>33</v>
      </c>
    </row>
    <row r="84" spans="1:14" x14ac:dyDescent="0.35">
      <c r="A84" t="s">
        <v>20</v>
      </c>
      <c r="B84">
        <v>17644</v>
      </c>
      <c r="C84" t="s">
        <v>21</v>
      </c>
      <c r="D84" t="s">
        <v>22</v>
      </c>
      <c r="E84" t="s">
        <v>9427</v>
      </c>
      <c r="F84" t="s">
        <v>2637</v>
      </c>
      <c r="G84" t="s">
        <v>9428</v>
      </c>
      <c r="H84" t="s">
        <v>9429</v>
      </c>
      <c r="I84" t="s">
        <v>27</v>
      </c>
      <c r="M84" t="s">
        <v>1686</v>
      </c>
      <c r="N84" t="s">
        <v>33</v>
      </c>
    </row>
    <row r="85" spans="1:14" x14ac:dyDescent="0.35">
      <c r="A85" t="s">
        <v>20</v>
      </c>
      <c r="B85">
        <v>17644</v>
      </c>
      <c r="C85" t="s">
        <v>21</v>
      </c>
      <c r="D85" t="s">
        <v>22</v>
      </c>
      <c r="E85" t="s">
        <v>9430</v>
      </c>
      <c r="F85" t="s">
        <v>9431</v>
      </c>
      <c r="G85" t="s">
        <v>9432</v>
      </c>
      <c r="H85" t="s">
        <v>9433</v>
      </c>
      <c r="I85" t="s">
        <v>27</v>
      </c>
      <c r="M85" t="s">
        <v>1686</v>
      </c>
      <c r="N85" t="s">
        <v>33</v>
      </c>
    </row>
    <row r="86" spans="1:14" x14ac:dyDescent="0.35">
      <c r="A86" t="s">
        <v>20</v>
      </c>
      <c r="B86">
        <v>17644</v>
      </c>
      <c r="C86" t="s">
        <v>21</v>
      </c>
      <c r="D86" t="s">
        <v>22</v>
      </c>
      <c r="E86" t="s">
        <v>9434</v>
      </c>
      <c r="F86" t="s">
        <v>9435</v>
      </c>
      <c r="G86" t="s">
        <v>9436</v>
      </c>
      <c r="H86" t="s">
        <v>9437</v>
      </c>
      <c r="I86" t="s">
        <v>27</v>
      </c>
      <c r="M86" t="s">
        <v>1686</v>
      </c>
      <c r="N86" t="s">
        <v>33</v>
      </c>
    </row>
    <row r="87" spans="1:14" x14ac:dyDescent="0.35">
      <c r="A87" t="s">
        <v>20</v>
      </c>
      <c r="B87">
        <v>17644</v>
      </c>
      <c r="C87" t="s">
        <v>21</v>
      </c>
      <c r="D87" t="s">
        <v>22</v>
      </c>
      <c r="E87" t="s">
        <v>9438</v>
      </c>
      <c r="F87" t="s">
        <v>9439</v>
      </c>
      <c r="G87" t="s">
        <v>9440</v>
      </c>
      <c r="H87" t="s">
        <v>9441</v>
      </c>
      <c r="I87" t="s">
        <v>27</v>
      </c>
      <c r="M87" t="s">
        <v>1686</v>
      </c>
      <c r="N87" t="s">
        <v>33</v>
      </c>
    </row>
    <row r="88" spans="1:14" x14ac:dyDescent="0.35">
      <c r="A88" t="s">
        <v>20</v>
      </c>
      <c r="B88">
        <v>17644</v>
      </c>
      <c r="C88" t="s">
        <v>21</v>
      </c>
      <c r="D88" t="s">
        <v>22</v>
      </c>
      <c r="E88" t="s">
        <v>9442</v>
      </c>
      <c r="F88" t="s">
        <v>9443</v>
      </c>
      <c r="G88" t="s">
        <v>9444</v>
      </c>
      <c r="H88" t="s">
        <v>9445</v>
      </c>
      <c r="I88" t="s">
        <v>27</v>
      </c>
      <c r="M88" t="s">
        <v>1681</v>
      </c>
      <c r="N88" t="s">
        <v>33</v>
      </c>
    </row>
    <row r="89" spans="1:14" x14ac:dyDescent="0.35">
      <c r="A89" t="s">
        <v>20</v>
      </c>
      <c r="B89">
        <v>17644</v>
      </c>
      <c r="C89" t="s">
        <v>21</v>
      </c>
      <c r="D89" t="s">
        <v>22</v>
      </c>
      <c r="E89" t="s">
        <v>9446</v>
      </c>
      <c r="F89" t="s">
        <v>9447</v>
      </c>
      <c r="G89" t="s">
        <v>9448</v>
      </c>
      <c r="H89" t="s">
        <v>9449</v>
      </c>
      <c r="I89" t="s">
        <v>27</v>
      </c>
      <c r="M89" t="s">
        <v>1686</v>
      </c>
      <c r="N89" t="s">
        <v>33</v>
      </c>
    </row>
    <row r="90" spans="1:14" x14ac:dyDescent="0.35">
      <c r="A90" t="s">
        <v>20</v>
      </c>
      <c r="B90">
        <v>17644</v>
      </c>
      <c r="C90" t="s">
        <v>21</v>
      </c>
      <c r="D90" t="s">
        <v>22</v>
      </c>
      <c r="E90" t="s">
        <v>9450</v>
      </c>
      <c r="F90" t="s">
        <v>9451</v>
      </c>
      <c r="G90" t="s">
        <v>9452</v>
      </c>
      <c r="H90" t="s">
        <v>9453</v>
      </c>
      <c r="I90" t="s">
        <v>27</v>
      </c>
      <c r="M90" t="s">
        <v>1681</v>
      </c>
      <c r="N90" t="s">
        <v>33</v>
      </c>
    </row>
    <row r="91" spans="1:14" x14ac:dyDescent="0.35">
      <c r="A91" t="s">
        <v>20</v>
      </c>
      <c r="B91">
        <v>17644</v>
      </c>
      <c r="C91" t="s">
        <v>21</v>
      </c>
      <c r="D91" t="s">
        <v>22</v>
      </c>
      <c r="E91" t="s">
        <v>9454</v>
      </c>
      <c r="F91" t="s">
        <v>9455</v>
      </c>
      <c r="G91" t="s">
        <v>9456</v>
      </c>
      <c r="H91" t="s">
        <v>9457</v>
      </c>
      <c r="I91" t="s">
        <v>27</v>
      </c>
      <c r="M91" t="s">
        <v>1686</v>
      </c>
      <c r="N91" t="s">
        <v>33</v>
      </c>
    </row>
    <row r="92" spans="1:14" x14ac:dyDescent="0.35">
      <c r="A92" t="s">
        <v>20</v>
      </c>
      <c r="B92">
        <v>17644</v>
      </c>
      <c r="C92" t="s">
        <v>21</v>
      </c>
      <c r="D92" t="s">
        <v>22</v>
      </c>
      <c r="E92" t="s">
        <v>9458</v>
      </c>
      <c r="F92" t="s">
        <v>9459</v>
      </c>
      <c r="G92" t="s">
        <v>9460</v>
      </c>
      <c r="H92" t="s">
        <v>9461</v>
      </c>
      <c r="I92" t="s">
        <v>27</v>
      </c>
      <c r="M92" t="s">
        <v>1686</v>
      </c>
      <c r="N92" t="s">
        <v>33</v>
      </c>
    </row>
    <row r="93" spans="1:14" x14ac:dyDescent="0.35">
      <c r="A93" t="s">
        <v>20</v>
      </c>
      <c r="B93">
        <v>17644</v>
      </c>
      <c r="C93" t="s">
        <v>21</v>
      </c>
      <c r="D93" t="s">
        <v>22</v>
      </c>
      <c r="E93" t="s">
        <v>9462</v>
      </c>
      <c r="F93" t="s">
        <v>9463</v>
      </c>
      <c r="G93" t="s">
        <v>9464</v>
      </c>
      <c r="H93" t="s">
        <v>9465</v>
      </c>
      <c r="I93" t="s">
        <v>27</v>
      </c>
      <c r="M93" t="s">
        <v>1686</v>
      </c>
      <c r="N93" t="s">
        <v>33</v>
      </c>
    </row>
    <row r="94" spans="1:14" x14ac:dyDescent="0.35">
      <c r="A94" t="s">
        <v>20</v>
      </c>
      <c r="B94">
        <v>17644</v>
      </c>
      <c r="C94" t="s">
        <v>21</v>
      </c>
      <c r="D94" t="s">
        <v>22</v>
      </c>
      <c r="E94" t="s">
        <v>9466</v>
      </c>
      <c r="F94" t="s">
        <v>9467</v>
      </c>
      <c r="G94" t="s">
        <v>9468</v>
      </c>
      <c r="H94" t="s">
        <v>9469</v>
      </c>
      <c r="I94" t="s">
        <v>27</v>
      </c>
      <c r="M94" t="s">
        <v>1686</v>
      </c>
      <c r="N94" t="s">
        <v>33</v>
      </c>
    </row>
    <row r="95" spans="1:14" x14ac:dyDescent="0.35">
      <c r="A95" t="s">
        <v>20</v>
      </c>
      <c r="B95">
        <v>17644</v>
      </c>
      <c r="C95" t="s">
        <v>21</v>
      </c>
      <c r="D95" t="s">
        <v>22</v>
      </c>
      <c r="E95" t="s">
        <v>9470</v>
      </c>
      <c r="F95" t="s">
        <v>9471</v>
      </c>
      <c r="G95" t="s">
        <v>9472</v>
      </c>
      <c r="H95" t="s">
        <v>9473</v>
      </c>
      <c r="I95" t="s">
        <v>27</v>
      </c>
      <c r="M95" t="s">
        <v>1686</v>
      </c>
      <c r="N95" t="s">
        <v>33</v>
      </c>
    </row>
    <row r="96" spans="1:14" x14ac:dyDescent="0.35">
      <c r="A96" t="s">
        <v>20</v>
      </c>
      <c r="B96">
        <v>17644</v>
      </c>
      <c r="C96" t="s">
        <v>21</v>
      </c>
      <c r="D96" t="s">
        <v>22</v>
      </c>
      <c r="E96" t="s">
        <v>9474</v>
      </c>
      <c r="F96" t="s">
        <v>9475</v>
      </c>
      <c r="G96" t="s">
        <v>9476</v>
      </c>
      <c r="H96" t="s">
        <v>9477</v>
      </c>
      <c r="I96" t="s">
        <v>27</v>
      </c>
      <c r="M96" t="s">
        <v>1686</v>
      </c>
      <c r="N96" t="s">
        <v>33</v>
      </c>
    </row>
    <row r="97" spans="1:14" x14ac:dyDescent="0.35">
      <c r="A97" t="s">
        <v>20</v>
      </c>
      <c r="B97">
        <v>17644</v>
      </c>
      <c r="C97" t="s">
        <v>21</v>
      </c>
      <c r="D97" t="s">
        <v>22</v>
      </c>
      <c r="E97" t="s">
        <v>9478</v>
      </c>
      <c r="F97" t="s">
        <v>9479</v>
      </c>
      <c r="G97" t="s">
        <v>9480</v>
      </c>
      <c r="H97" t="s">
        <v>9481</v>
      </c>
      <c r="I97" t="s">
        <v>27</v>
      </c>
      <c r="M97" t="s">
        <v>1686</v>
      </c>
      <c r="N97" t="s">
        <v>33</v>
      </c>
    </row>
    <row r="98" spans="1:14" x14ac:dyDescent="0.35">
      <c r="A98" t="s">
        <v>20</v>
      </c>
      <c r="B98">
        <v>17644</v>
      </c>
      <c r="C98" t="s">
        <v>21</v>
      </c>
      <c r="D98" t="s">
        <v>22</v>
      </c>
      <c r="E98" t="s">
        <v>9482</v>
      </c>
      <c r="F98" t="s">
        <v>9483</v>
      </c>
      <c r="G98" t="s">
        <v>9484</v>
      </c>
      <c r="H98" t="s">
        <v>9485</v>
      </c>
      <c r="I98" t="s">
        <v>27</v>
      </c>
      <c r="M98" t="s">
        <v>1686</v>
      </c>
      <c r="N98" t="s">
        <v>33</v>
      </c>
    </row>
    <row r="99" spans="1:14" x14ac:dyDescent="0.35">
      <c r="A99" t="s">
        <v>20</v>
      </c>
      <c r="B99">
        <v>17644</v>
      </c>
      <c r="C99" t="s">
        <v>21</v>
      </c>
      <c r="D99" t="s">
        <v>22</v>
      </c>
      <c r="E99" t="s">
        <v>9486</v>
      </c>
      <c r="F99" t="s">
        <v>9487</v>
      </c>
      <c r="G99" t="s">
        <v>9488</v>
      </c>
      <c r="H99" t="s">
        <v>9489</v>
      </c>
      <c r="I99" t="s">
        <v>27</v>
      </c>
      <c r="M99" t="s">
        <v>1686</v>
      </c>
      <c r="N99" t="s">
        <v>33</v>
      </c>
    </row>
    <row r="100" spans="1:14" x14ac:dyDescent="0.35">
      <c r="A100" t="s">
        <v>20</v>
      </c>
      <c r="B100">
        <v>17644</v>
      </c>
      <c r="C100" t="s">
        <v>21</v>
      </c>
      <c r="D100" t="s">
        <v>22</v>
      </c>
      <c r="E100" t="s">
        <v>9490</v>
      </c>
      <c r="F100" t="s">
        <v>9491</v>
      </c>
      <c r="G100" t="s">
        <v>9492</v>
      </c>
      <c r="H100" t="s">
        <v>9493</v>
      </c>
      <c r="I100" t="s">
        <v>27</v>
      </c>
      <c r="M100" t="s">
        <v>1681</v>
      </c>
      <c r="N100" t="s">
        <v>33</v>
      </c>
    </row>
    <row r="101" spans="1:14" x14ac:dyDescent="0.35">
      <c r="A101" t="s">
        <v>20</v>
      </c>
      <c r="B101">
        <v>17644</v>
      </c>
      <c r="C101" t="s">
        <v>21</v>
      </c>
      <c r="D101" t="s">
        <v>22</v>
      </c>
      <c r="E101" t="s">
        <v>9494</v>
      </c>
      <c r="F101" t="s">
        <v>9495</v>
      </c>
      <c r="G101" t="s">
        <v>9496</v>
      </c>
      <c r="H101" t="s">
        <v>9497</v>
      </c>
      <c r="I101" t="s">
        <v>27</v>
      </c>
      <c r="M101" t="s">
        <v>1686</v>
      </c>
      <c r="N101" t="s">
        <v>33</v>
      </c>
    </row>
    <row r="102" spans="1:14" x14ac:dyDescent="0.35">
      <c r="A102" t="s">
        <v>20</v>
      </c>
      <c r="B102">
        <v>17644</v>
      </c>
      <c r="C102" t="s">
        <v>21</v>
      </c>
      <c r="D102" t="s">
        <v>22</v>
      </c>
      <c r="E102" t="s">
        <v>9498</v>
      </c>
      <c r="F102" t="s">
        <v>9499</v>
      </c>
      <c r="G102" t="s">
        <v>9500</v>
      </c>
      <c r="H102" t="s">
        <v>9501</v>
      </c>
      <c r="I102" t="s">
        <v>27</v>
      </c>
      <c r="M102" t="s">
        <v>1686</v>
      </c>
      <c r="N102" t="s">
        <v>33</v>
      </c>
    </row>
    <row r="103" spans="1:14" x14ac:dyDescent="0.35">
      <c r="A103" t="s">
        <v>20</v>
      </c>
      <c r="B103">
        <v>17644</v>
      </c>
      <c r="C103" t="s">
        <v>21</v>
      </c>
      <c r="D103" t="s">
        <v>22</v>
      </c>
      <c r="E103" t="s">
        <v>9502</v>
      </c>
      <c r="F103" t="s">
        <v>9503</v>
      </c>
      <c r="G103" t="s">
        <v>9504</v>
      </c>
      <c r="H103" t="s">
        <v>9505</v>
      </c>
      <c r="I103" t="s">
        <v>27</v>
      </c>
      <c r="M103" t="s">
        <v>1686</v>
      </c>
      <c r="N103" t="s">
        <v>33</v>
      </c>
    </row>
    <row r="104" spans="1:14" x14ac:dyDescent="0.35">
      <c r="A104" t="s">
        <v>20</v>
      </c>
      <c r="B104">
        <v>17644</v>
      </c>
      <c r="C104" t="s">
        <v>21</v>
      </c>
      <c r="D104" t="s">
        <v>22</v>
      </c>
      <c r="E104" t="s">
        <v>9506</v>
      </c>
      <c r="F104" t="s">
        <v>9507</v>
      </c>
      <c r="G104" t="s">
        <v>9508</v>
      </c>
      <c r="H104" t="s">
        <v>9509</v>
      </c>
      <c r="I104" t="s">
        <v>27</v>
      </c>
      <c r="M104" t="s">
        <v>1686</v>
      </c>
      <c r="N104" t="s">
        <v>33</v>
      </c>
    </row>
    <row r="105" spans="1:14" x14ac:dyDescent="0.35">
      <c r="A105" t="s">
        <v>20</v>
      </c>
      <c r="B105">
        <v>17644</v>
      </c>
      <c r="C105" t="s">
        <v>21</v>
      </c>
      <c r="D105" t="s">
        <v>22</v>
      </c>
      <c r="E105" t="s">
        <v>9510</v>
      </c>
      <c r="F105" t="s">
        <v>9511</v>
      </c>
      <c r="G105" t="s">
        <v>9512</v>
      </c>
      <c r="H105" t="s">
        <v>9513</v>
      </c>
      <c r="I105" t="s">
        <v>27</v>
      </c>
      <c r="M105" t="s">
        <v>1686</v>
      </c>
      <c r="N105" t="s">
        <v>33</v>
      </c>
    </row>
    <row r="106" spans="1:14" x14ac:dyDescent="0.35">
      <c r="A106" t="s">
        <v>20</v>
      </c>
      <c r="B106">
        <v>17644</v>
      </c>
      <c r="C106" t="s">
        <v>21</v>
      </c>
      <c r="D106" t="s">
        <v>22</v>
      </c>
      <c r="E106" t="s">
        <v>9514</v>
      </c>
      <c r="F106" t="s">
        <v>9515</v>
      </c>
      <c r="G106" t="s">
        <v>9516</v>
      </c>
      <c r="H106" t="s">
        <v>9517</v>
      </c>
      <c r="I106" t="s">
        <v>27</v>
      </c>
      <c r="M106" t="s">
        <v>1686</v>
      </c>
      <c r="N106" t="s">
        <v>33</v>
      </c>
    </row>
    <row r="107" spans="1:14" x14ac:dyDescent="0.35">
      <c r="A107" t="s">
        <v>20</v>
      </c>
      <c r="B107">
        <v>17644</v>
      </c>
      <c r="C107" t="s">
        <v>21</v>
      </c>
      <c r="D107" t="s">
        <v>22</v>
      </c>
      <c r="E107" t="s">
        <v>9518</v>
      </c>
      <c r="F107" t="s">
        <v>9519</v>
      </c>
      <c r="G107" t="s">
        <v>9520</v>
      </c>
      <c r="H107" t="s">
        <v>9521</v>
      </c>
      <c r="I107" t="s">
        <v>27</v>
      </c>
      <c r="M107" t="s">
        <v>1686</v>
      </c>
      <c r="N107" t="s">
        <v>33</v>
      </c>
    </row>
    <row r="108" spans="1:14" x14ac:dyDescent="0.35">
      <c r="A108" t="s">
        <v>20</v>
      </c>
      <c r="B108">
        <v>17644</v>
      </c>
      <c r="C108" t="s">
        <v>21</v>
      </c>
      <c r="D108" t="s">
        <v>22</v>
      </c>
      <c r="E108" t="s">
        <v>9522</v>
      </c>
      <c r="F108" t="s">
        <v>9523</v>
      </c>
      <c r="G108" t="s">
        <v>9524</v>
      </c>
      <c r="H108" t="s">
        <v>9525</v>
      </c>
      <c r="I108" t="s">
        <v>27</v>
      </c>
      <c r="M108" t="s">
        <v>1686</v>
      </c>
      <c r="N108" t="s">
        <v>33</v>
      </c>
    </row>
    <row r="109" spans="1:14" x14ac:dyDescent="0.35">
      <c r="A109" t="s">
        <v>20</v>
      </c>
      <c r="B109">
        <v>17644</v>
      </c>
      <c r="C109" t="s">
        <v>21</v>
      </c>
      <c r="D109" t="s">
        <v>22</v>
      </c>
      <c r="E109" t="s">
        <v>9526</v>
      </c>
      <c r="F109" t="s">
        <v>9527</v>
      </c>
      <c r="G109" t="s">
        <v>9528</v>
      </c>
      <c r="H109" t="s">
        <v>9529</v>
      </c>
      <c r="I109" t="s">
        <v>27</v>
      </c>
      <c r="M109" t="s">
        <v>1686</v>
      </c>
      <c r="N109" t="s">
        <v>33</v>
      </c>
    </row>
    <row r="110" spans="1:14" x14ac:dyDescent="0.35">
      <c r="A110" t="s">
        <v>20</v>
      </c>
      <c r="B110">
        <v>17644</v>
      </c>
      <c r="C110" t="s">
        <v>21</v>
      </c>
      <c r="D110" t="s">
        <v>22</v>
      </c>
      <c r="E110" t="s">
        <v>9530</v>
      </c>
      <c r="F110" t="s">
        <v>9531</v>
      </c>
      <c r="G110" t="s">
        <v>9532</v>
      </c>
      <c r="H110" t="s">
        <v>9533</v>
      </c>
      <c r="I110" t="s">
        <v>27</v>
      </c>
      <c r="M110" t="s">
        <v>1686</v>
      </c>
      <c r="N110" t="s">
        <v>33</v>
      </c>
    </row>
    <row r="111" spans="1:14" x14ac:dyDescent="0.35">
      <c r="A111" t="s">
        <v>20</v>
      </c>
      <c r="B111">
        <v>17644</v>
      </c>
      <c r="C111" t="s">
        <v>21</v>
      </c>
      <c r="D111" t="s">
        <v>22</v>
      </c>
      <c r="E111" t="s">
        <v>9534</v>
      </c>
      <c r="F111" t="s">
        <v>9535</v>
      </c>
      <c r="G111" t="s">
        <v>9536</v>
      </c>
      <c r="H111" t="s">
        <v>9537</v>
      </c>
      <c r="I111" t="s">
        <v>27</v>
      </c>
      <c r="M111" t="s">
        <v>1686</v>
      </c>
      <c r="N111" t="s">
        <v>33</v>
      </c>
    </row>
    <row r="112" spans="1:14" x14ac:dyDescent="0.35">
      <c r="A112" t="s">
        <v>20</v>
      </c>
      <c r="B112">
        <v>17644</v>
      </c>
      <c r="C112" t="s">
        <v>21</v>
      </c>
      <c r="D112" t="s">
        <v>22</v>
      </c>
      <c r="E112" t="s">
        <v>9538</v>
      </c>
      <c r="F112" t="s">
        <v>9539</v>
      </c>
      <c r="G112" t="s">
        <v>9540</v>
      </c>
      <c r="H112" t="s">
        <v>9541</v>
      </c>
      <c r="I112" t="s">
        <v>27</v>
      </c>
      <c r="M112" t="s">
        <v>1686</v>
      </c>
      <c r="N112" t="s">
        <v>33</v>
      </c>
    </row>
    <row r="113" spans="1:14" x14ac:dyDescent="0.35">
      <c r="A113" t="s">
        <v>20</v>
      </c>
      <c r="B113">
        <v>17644</v>
      </c>
      <c r="C113" t="s">
        <v>21</v>
      </c>
      <c r="D113" t="s">
        <v>22</v>
      </c>
      <c r="E113" t="s">
        <v>9542</v>
      </c>
      <c r="F113" t="s">
        <v>9543</v>
      </c>
      <c r="G113" t="s">
        <v>9544</v>
      </c>
      <c r="H113" t="s">
        <v>9545</v>
      </c>
      <c r="I113" t="s">
        <v>27</v>
      </c>
      <c r="M113" t="s">
        <v>1686</v>
      </c>
      <c r="N113" t="s">
        <v>33</v>
      </c>
    </row>
    <row r="114" spans="1:14" x14ac:dyDescent="0.35">
      <c r="A114" t="s">
        <v>20</v>
      </c>
      <c r="B114">
        <v>17644</v>
      </c>
      <c r="C114" t="s">
        <v>21</v>
      </c>
      <c r="D114" t="s">
        <v>22</v>
      </c>
      <c r="E114" t="s">
        <v>9546</v>
      </c>
      <c r="F114" t="s">
        <v>9547</v>
      </c>
      <c r="G114" t="s">
        <v>9548</v>
      </c>
      <c r="H114" t="s">
        <v>9549</v>
      </c>
      <c r="I114" t="s">
        <v>27</v>
      </c>
      <c r="M114" t="s">
        <v>1686</v>
      </c>
      <c r="N114" t="s">
        <v>33</v>
      </c>
    </row>
    <row r="115" spans="1:14" x14ac:dyDescent="0.35">
      <c r="A115" t="s">
        <v>20</v>
      </c>
      <c r="B115">
        <v>17644</v>
      </c>
      <c r="C115" t="s">
        <v>21</v>
      </c>
      <c r="D115" t="s">
        <v>22</v>
      </c>
      <c r="E115" t="s">
        <v>9550</v>
      </c>
      <c r="F115" t="s">
        <v>9551</v>
      </c>
      <c r="G115" t="s">
        <v>9552</v>
      </c>
      <c r="H115" t="s">
        <v>9553</v>
      </c>
      <c r="I115" t="s">
        <v>27</v>
      </c>
      <c r="M115" t="s">
        <v>1686</v>
      </c>
      <c r="N115" t="s">
        <v>33</v>
      </c>
    </row>
    <row r="116" spans="1:14" x14ac:dyDescent="0.35">
      <c r="A116" t="s">
        <v>20</v>
      </c>
      <c r="B116">
        <v>17644</v>
      </c>
      <c r="C116" t="s">
        <v>21</v>
      </c>
      <c r="D116" t="s">
        <v>22</v>
      </c>
      <c r="E116" t="s">
        <v>9554</v>
      </c>
      <c r="F116" t="s">
        <v>9555</v>
      </c>
      <c r="G116" t="s">
        <v>9556</v>
      </c>
      <c r="H116" t="s">
        <v>9557</v>
      </c>
      <c r="I116" t="s">
        <v>238</v>
      </c>
      <c r="M116" t="s">
        <v>1686</v>
      </c>
      <c r="N116" t="s">
        <v>33</v>
      </c>
    </row>
    <row r="117" spans="1:14" x14ac:dyDescent="0.35">
      <c r="A117" t="s">
        <v>20</v>
      </c>
      <c r="B117">
        <v>17644</v>
      </c>
      <c r="C117" t="s">
        <v>21</v>
      </c>
      <c r="D117" t="s">
        <v>22</v>
      </c>
      <c r="E117" t="s">
        <v>9558</v>
      </c>
      <c r="F117" t="s">
        <v>9559</v>
      </c>
      <c r="G117" t="s">
        <v>9560</v>
      </c>
      <c r="H117" t="s">
        <v>9561</v>
      </c>
      <c r="I117" t="s">
        <v>238</v>
      </c>
      <c r="M117" t="s">
        <v>1686</v>
      </c>
      <c r="N117" t="s">
        <v>33</v>
      </c>
    </row>
    <row r="118" spans="1:14" x14ac:dyDescent="0.35">
      <c r="A118" t="s">
        <v>20</v>
      </c>
      <c r="B118">
        <v>17644</v>
      </c>
      <c r="C118" t="s">
        <v>21</v>
      </c>
      <c r="D118" t="s">
        <v>22</v>
      </c>
      <c r="E118" t="s">
        <v>9562</v>
      </c>
      <c r="F118" t="s">
        <v>9563</v>
      </c>
      <c r="G118" t="s">
        <v>9564</v>
      </c>
      <c r="H118" t="s">
        <v>9565</v>
      </c>
      <c r="I118" t="s">
        <v>238</v>
      </c>
      <c r="M118" t="s">
        <v>1681</v>
      </c>
      <c r="N118" t="s">
        <v>33</v>
      </c>
    </row>
    <row r="119" spans="1:14" x14ac:dyDescent="0.35">
      <c r="A119" t="s">
        <v>20</v>
      </c>
      <c r="B119">
        <v>17644</v>
      </c>
      <c r="C119" t="s">
        <v>21</v>
      </c>
      <c r="D119" t="s">
        <v>22</v>
      </c>
      <c r="E119" t="s">
        <v>9566</v>
      </c>
      <c r="F119" t="s">
        <v>9567</v>
      </c>
      <c r="G119" t="s">
        <v>9568</v>
      </c>
      <c r="H119" t="s">
        <v>9569</v>
      </c>
      <c r="I119" t="s">
        <v>238</v>
      </c>
      <c r="M119" t="s">
        <v>1686</v>
      </c>
      <c r="N119" t="s">
        <v>33</v>
      </c>
    </row>
    <row r="120" spans="1:14" x14ac:dyDescent="0.35">
      <c r="A120" t="s">
        <v>20</v>
      </c>
      <c r="B120">
        <v>17644</v>
      </c>
      <c r="C120" t="s">
        <v>21</v>
      </c>
      <c r="D120" t="s">
        <v>22</v>
      </c>
      <c r="E120" t="s">
        <v>9570</v>
      </c>
      <c r="F120" t="s">
        <v>9571</v>
      </c>
      <c r="G120" t="s">
        <v>9572</v>
      </c>
      <c r="H120" t="s">
        <v>9573</v>
      </c>
      <c r="I120" t="s">
        <v>238</v>
      </c>
      <c r="M120" t="s">
        <v>1686</v>
      </c>
      <c r="N120" t="s">
        <v>33</v>
      </c>
    </row>
    <row r="121" spans="1:14" x14ac:dyDescent="0.35">
      <c r="A121" t="s">
        <v>20</v>
      </c>
      <c r="B121">
        <v>17644</v>
      </c>
      <c r="C121" t="s">
        <v>21</v>
      </c>
      <c r="D121" t="s">
        <v>22</v>
      </c>
      <c r="E121" t="s">
        <v>9574</v>
      </c>
      <c r="F121" t="s">
        <v>9575</v>
      </c>
      <c r="G121" t="s">
        <v>9576</v>
      </c>
      <c r="H121" t="s">
        <v>9577</v>
      </c>
      <c r="I121" t="s">
        <v>238</v>
      </c>
      <c r="M121" t="s">
        <v>1686</v>
      </c>
      <c r="N121" t="s">
        <v>33</v>
      </c>
    </row>
    <row r="122" spans="1:14" x14ac:dyDescent="0.35">
      <c r="A122" t="s">
        <v>20</v>
      </c>
      <c r="B122">
        <v>17644</v>
      </c>
      <c r="C122" t="s">
        <v>21</v>
      </c>
      <c r="D122" t="s">
        <v>22</v>
      </c>
      <c r="E122" t="s">
        <v>9578</v>
      </c>
      <c r="F122" t="s">
        <v>9579</v>
      </c>
      <c r="G122" t="s">
        <v>9580</v>
      </c>
      <c r="H122" t="s">
        <v>9581</v>
      </c>
      <c r="I122" t="s">
        <v>238</v>
      </c>
      <c r="M122" t="s">
        <v>1686</v>
      </c>
      <c r="N122" t="s">
        <v>33</v>
      </c>
    </row>
    <row r="123" spans="1:14" x14ac:dyDescent="0.35">
      <c r="A123" t="s">
        <v>20</v>
      </c>
      <c r="B123">
        <v>17644</v>
      </c>
      <c r="C123" t="s">
        <v>21</v>
      </c>
      <c r="D123" t="s">
        <v>22</v>
      </c>
      <c r="E123" t="s">
        <v>9582</v>
      </c>
      <c r="F123" t="s">
        <v>9583</v>
      </c>
      <c r="G123" t="s">
        <v>9584</v>
      </c>
      <c r="H123" t="s">
        <v>9585</v>
      </c>
      <c r="I123" t="s">
        <v>238</v>
      </c>
      <c r="M123" t="s">
        <v>1686</v>
      </c>
      <c r="N123" t="s">
        <v>33</v>
      </c>
    </row>
    <row r="124" spans="1:14" x14ac:dyDescent="0.35">
      <c r="A124" t="s">
        <v>20</v>
      </c>
      <c r="B124">
        <v>17644</v>
      </c>
      <c r="C124" t="s">
        <v>21</v>
      </c>
      <c r="D124" t="s">
        <v>22</v>
      </c>
      <c r="E124" t="s">
        <v>9586</v>
      </c>
      <c r="F124" t="s">
        <v>9587</v>
      </c>
      <c r="G124" t="s">
        <v>9588</v>
      </c>
      <c r="H124" t="s">
        <v>9589</v>
      </c>
      <c r="I124" t="s">
        <v>238</v>
      </c>
      <c r="M124" t="s">
        <v>1686</v>
      </c>
      <c r="N124" t="s">
        <v>33</v>
      </c>
    </row>
    <row r="125" spans="1:14" x14ac:dyDescent="0.35">
      <c r="A125" t="s">
        <v>20</v>
      </c>
      <c r="B125">
        <v>17644</v>
      </c>
      <c r="C125" t="s">
        <v>21</v>
      </c>
      <c r="D125" t="s">
        <v>22</v>
      </c>
      <c r="E125" t="s">
        <v>9590</v>
      </c>
      <c r="F125" t="s">
        <v>9591</v>
      </c>
      <c r="G125" t="s">
        <v>9592</v>
      </c>
      <c r="H125" t="s">
        <v>9593</v>
      </c>
      <c r="I125" t="s">
        <v>238</v>
      </c>
      <c r="M125" t="s">
        <v>1686</v>
      </c>
      <c r="N125" t="s">
        <v>33</v>
      </c>
    </row>
    <row r="126" spans="1:14" x14ac:dyDescent="0.35">
      <c r="A126" t="s">
        <v>20</v>
      </c>
      <c r="B126">
        <v>17644</v>
      </c>
      <c r="C126" t="s">
        <v>21</v>
      </c>
      <c r="D126" t="s">
        <v>22</v>
      </c>
      <c r="E126" t="s">
        <v>9594</v>
      </c>
      <c r="F126" t="s">
        <v>9595</v>
      </c>
      <c r="G126" t="s">
        <v>9596</v>
      </c>
      <c r="H126" t="s">
        <v>9597</v>
      </c>
      <c r="I126" t="s">
        <v>238</v>
      </c>
      <c r="M126" t="s">
        <v>1686</v>
      </c>
      <c r="N126" t="s">
        <v>33</v>
      </c>
    </row>
    <row r="127" spans="1:14" x14ac:dyDescent="0.35">
      <c r="A127" t="s">
        <v>20</v>
      </c>
      <c r="B127">
        <v>17644</v>
      </c>
      <c r="C127" t="s">
        <v>21</v>
      </c>
      <c r="D127" t="s">
        <v>22</v>
      </c>
      <c r="E127" t="s">
        <v>9598</v>
      </c>
      <c r="F127" t="s">
        <v>9599</v>
      </c>
      <c r="G127" t="s">
        <v>9600</v>
      </c>
      <c r="H127" t="s">
        <v>9601</v>
      </c>
      <c r="I127" t="s">
        <v>238</v>
      </c>
      <c r="M127" t="s">
        <v>1686</v>
      </c>
      <c r="N127" t="s">
        <v>33</v>
      </c>
    </row>
    <row r="128" spans="1:14" x14ac:dyDescent="0.35">
      <c r="A128" t="s">
        <v>20</v>
      </c>
      <c r="B128">
        <v>17644</v>
      </c>
      <c r="C128" t="s">
        <v>21</v>
      </c>
      <c r="D128" t="s">
        <v>22</v>
      </c>
      <c r="E128" t="s">
        <v>9602</v>
      </c>
      <c r="F128" t="s">
        <v>9603</v>
      </c>
      <c r="G128" t="s">
        <v>9604</v>
      </c>
      <c r="H128" t="s">
        <v>9605</v>
      </c>
      <c r="I128" t="s">
        <v>238</v>
      </c>
      <c r="M128" t="s">
        <v>1686</v>
      </c>
      <c r="N128" t="s">
        <v>33</v>
      </c>
    </row>
    <row r="129" spans="1:14" x14ac:dyDescent="0.35">
      <c r="A129" t="s">
        <v>20</v>
      </c>
      <c r="B129">
        <v>17644</v>
      </c>
      <c r="C129" t="s">
        <v>21</v>
      </c>
      <c r="D129" t="s">
        <v>22</v>
      </c>
      <c r="E129" t="s">
        <v>9606</v>
      </c>
      <c r="F129" t="s">
        <v>9607</v>
      </c>
      <c r="G129" t="s">
        <v>9608</v>
      </c>
      <c r="H129" t="s">
        <v>9609</v>
      </c>
      <c r="I129" t="s">
        <v>238</v>
      </c>
      <c r="M129" t="s">
        <v>1686</v>
      </c>
      <c r="N129" t="s">
        <v>33</v>
      </c>
    </row>
    <row r="130" spans="1:14" x14ac:dyDescent="0.35">
      <c r="A130" t="s">
        <v>20</v>
      </c>
      <c r="B130">
        <v>17644</v>
      </c>
      <c r="C130" t="s">
        <v>21</v>
      </c>
      <c r="D130" t="s">
        <v>22</v>
      </c>
      <c r="E130" t="s">
        <v>9610</v>
      </c>
      <c r="F130" t="s">
        <v>9611</v>
      </c>
      <c r="G130" t="s">
        <v>9612</v>
      </c>
      <c r="H130" t="s">
        <v>9613</v>
      </c>
      <c r="I130" t="s">
        <v>238</v>
      </c>
      <c r="M130" t="s">
        <v>1686</v>
      </c>
      <c r="N130" t="s">
        <v>33</v>
      </c>
    </row>
    <row r="131" spans="1:14" x14ac:dyDescent="0.35">
      <c r="A131" t="s">
        <v>20</v>
      </c>
      <c r="B131">
        <v>17644</v>
      </c>
      <c r="C131" t="s">
        <v>21</v>
      </c>
      <c r="D131" t="s">
        <v>22</v>
      </c>
      <c r="E131" t="s">
        <v>9614</v>
      </c>
      <c r="F131" t="s">
        <v>9615</v>
      </c>
      <c r="G131" t="s">
        <v>8858</v>
      </c>
      <c r="H131" t="s">
        <v>9616</v>
      </c>
      <c r="I131" t="s">
        <v>238</v>
      </c>
      <c r="M131" t="s">
        <v>1686</v>
      </c>
      <c r="N131" t="s">
        <v>33</v>
      </c>
    </row>
    <row r="132" spans="1:14" x14ac:dyDescent="0.35">
      <c r="A132" t="s">
        <v>20</v>
      </c>
      <c r="B132">
        <v>17644</v>
      </c>
      <c r="C132" t="s">
        <v>21</v>
      </c>
      <c r="D132" t="s">
        <v>22</v>
      </c>
      <c r="E132" t="s">
        <v>9617</v>
      </c>
      <c r="F132" t="s">
        <v>9618</v>
      </c>
      <c r="G132" t="s">
        <v>9619</v>
      </c>
      <c r="H132" t="s">
        <v>9620</v>
      </c>
      <c r="I132" t="s">
        <v>238</v>
      </c>
      <c r="M132" t="s">
        <v>1686</v>
      </c>
      <c r="N132" t="s">
        <v>33</v>
      </c>
    </row>
    <row r="133" spans="1:14" x14ac:dyDescent="0.35">
      <c r="A133" t="s">
        <v>20</v>
      </c>
      <c r="B133">
        <v>17644</v>
      </c>
      <c r="C133" t="s">
        <v>21</v>
      </c>
      <c r="D133" t="s">
        <v>22</v>
      </c>
      <c r="E133" t="s">
        <v>9621</v>
      </c>
      <c r="F133" t="s">
        <v>9622</v>
      </c>
      <c r="G133" t="s">
        <v>9623</v>
      </c>
      <c r="H133" t="s">
        <v>9624</v>
      </c>
      <c r="I133" t="s">
        <v>238</v>
      </c>
      <c r="M133" t="s">
        <v>1686</v>
      </c>
      <c r="N133" t="s">
        <v>33</v>
      </c>
    </row>
    <row r="134" spans="1:14" x14ac:dyDescent="0.35">
      <c r="A134" t="s">
        <v>20</v>
      </c>
      <c r="B134">
        <v>17644</v>
      </c>
      <c r="C134" t="s">
        <v>21</v>
      </c>
      <c r="D134" t="s">
        <v>22</v>
      </c>
      <c r="E134" t="s">
        <v>9625</v>
      </c>
      <c r="F134" t="s">
        <v>9626</v>
      </c>
      <c r="G134" t="s">
        <v>9627</v>
      </c>
      <c r="H134" t="s">
        <v>9628</v>
      </c>
      <c r="I134" t="s">
        <v>238</v>
      </c>
      <c r="M134" t="s">
        <v>1686</v>
      </c>
      <c r="N134" t="s">
        <v>33</v>
      </c>
    </row>
    <row r="135" spans="1:14" x14ac:dyDescent="0.35">
      <c r="A135" t="s">
        <v>20</v>
      </c>
      <c r="B135">
        <v>17644</v>
      </c>
      <c r="C135" t="s">
        <v>21</v>
      </c>
      <c r="D135" t="s">
        <v>22</v>
      </c>
      <c r="E135" t="s">
        <v>9629</v>
      </c>
      <c r="F135" t="s">
        <v>9630</v>
      </c>
      <c r="G135" t="s">
        <v>9631</v>
      </c>
      <c r="H135" t="s">
        <v>9632</v>
      </c>
      <c r="I135" t="s">
        <v>238</v>
      </c>
      <c r="M135" t="s">
        <v>1686</v>
      </c>
      <c r="N135" t="s">
        <v>33</v>
      </c>
    </row>
    <row r="136" spans="1:14" x14ac:dyDescent="0.35">
      <c r="A136" t="s">
        <v>20</v>
      </c>
      <c r="B136">
        <v>17644</v>
      </c>
      <c r="C136" t="s">
        <v>21</v>
      </c>
      <c r="D136" t="s">
        <v>22</v>
      </c>
      <c r="E136" t="s">
        <v>9633</v>
      </c>
      <c r="F136" t="s">
        <v>9634</v>
      </c>
      <c r="G136" t="s">
        <v>9635</v>
      </c>
      <c r="H136" t="s">
        <v>9636</v>
      </c>
      <c r="I136" t="s">
        <v>238</v>
      </c>
      <c r="M136" t="s">
        <v>1686</v>
      </c>
      <c r="N136" t="s">
        <v>33</v>
      </c>
    </row>
    <row r="137" spans="1:14" x14ac:dyDescent="0.35">
      <c r="A137" t="s">
        <v>20</v>
      </c>
      <c r="B137">
        <v>17644</v>
      </c>
      <c r="C137" t="s">
        <v>21</v>
      </c>
      <c r="D137" t="s">
        <v>22</v>
      </c>
      <c r="E137" t="s">
        <v>9637</v>
      </c>
      <c r="F137" t="s">
        <v>9638</v>
      </c>
      <c r="G137" t="s">
        <v>9639</v>
      </c>
      <c r="H137" t="s">
        <v>9640</v>
      </c>
      <c r="I137" t="s">
        <v>238</v>
      </c>
      <c r="M137" t="s">
        <v>1686</v>
      </c>
      <c r="N137" t="s">
        <v>33</v>
      </c>
    </row>
    <row r="138" spans="1:14" x14ac:dyDescent="0.35">
      <c r="A138" t="s">
        <v>20</v>
      </c>
      <c r="B138">
        <v>17644</v>
      </c>
      <c r="C138" t="s">
        <v>21</v>
      </c>
      <c r="D138" t="s">
        <v>22</v>
      </c>
      <c r="E138" t="s">
        <v>9641</v>
      </c>
      <c r="F138" t="s">
        <v>9642</v>
      </c>
      <c r="G138" t="s">
        <v>9643</v>
      </c>
      <c r="H138" t="s">
        <v>9644</v>
      </c>
      <c r="I138" t="s">
        <v>238</v>
      </c>
      <c r="M138" t="s">
        <v>1681</v>
      </c>
      <c r="N138" t="s">
        <v>33</v>
      </c>
    </row>
    <row r="139" spans="1:14" x14ac:dyDescent="0.35">
      <c r="A139" t="s">
        <v>20</v>
      </c>
      <c r="B139">
        <v>17644</v>
      </c>
      <c r="C139" t="s">
        <v>21</v>
      </c>
      <c r="D139" t="s">
        <v>22</v>
      </c>
      <c r="E139" t="s">
        <v>9645</v>
      </c>
      <c r="F139" t="s">
        <v>9646</v>
      </c>
      <c r="G139" t="s">
        <v>9647</v>
      </c>
      <c r="H139" t="s">
        <v>9648</v>
      </c>
      <c r="I139" t="s">
        <v>238</v>
      </c>
      <c r="M139" t="s">
        <v>1686</v>
      </c>
      <c r="N139" t="s">
        <v>33</v>
      </c>
    </row>
    <row r="140" spans="1:14" x14ac:dyDescent="0.35">
      <c r="A140" t="s">
        <v>20</v>
      </c>
      <c r="B140">
        <v>17644</v>
      </c>
      <c r="C140" t="s">
        <v>21</v>
      </c>
      <c r="D140" t="s">
        <v>22</v>
      </c>
      <c r="E140" t="s">
        <v>9649</v>
      </c>
      <c r="F140" t="s">
        <v>9650</v>
      </c>
      <c r="G140" t="s">
        <v>9651</v>
      </c>
      <c r="H140" t="s">
        <v>9652</v>
      </c>
      <c r="I140" t="s">
        <v>238</v>
      </c>
      <c r="M140" t="s">
        <v>1686</v>
      </c>
      <c r="N140" t="s">
        <v>33</v>
      </c>
    </row>
    <row r="141" spans="1:14" x14ac:dyDescent="0.35">
      <c r="A141" t="s">
        <v>20</v>
      </c>
      <c r="B141">
        <v>17644</v>
      </c>
      <c r="C141" t="s">
        <v>21</v>
      </c>
      <c r="D141" t="s">
        <v>22</v>
      </c>
      <c r="E141" t="s">
        <v>9653</v>
      </c>
      <c r="F141" t="s">
        <v>9654</v>
      </c>
      <c r="G141" t="s">
        <v>9655</v>
      </c>
      <c r="H141" t="s">
        <v>9656</v>
      </c>
      <c r="I141" t="s">
        <v>238</v>
      </c>
      <c r="M141" t="s">
        <v>1686</v>
      </c>
      <c r="N141" t="s">
        <v>33</v>
      </c>
    </row>
    <row r="142" spans="1:14" x14ac:dyDescent="0.35">
      <c r="A142" t="s">
        <v>20</v>
      </c>
      <c r="B142">
        <v>17644</v>
      </c>
      <c r="C142" t="s">
        <v>21</v>
      </c>
      <c r="D142" t="s">
        <v>22</v>
      </c>
      <c r="E142" t="s">
        <v>9657</v>
      </c>
      <c r="F142" t="s">
        <v>9658</v>
      </c>
      <c r="G142" t="s">
        <v>9659</v>
      </c>
      <c r="H142" t="s">
        <v>9660</v>
      </c>
      <c r="I142" t="s">
        <v>238</v>
      </c>
      <c r="M142" t="s">
        <v>1686</v>
      </c>
      <c r="N142" t="s">
        <v>33</v>
      </c>
    </row>
    <row r="143" spans="1:14" x14ac:dyDescent="0.35">
      <c r="A143" t="s">
        <v>20</v>
      </c>
      <c r="B143">
        <v>17644</v>
      </c>
      <c r="C143" t="s">
        <v>21</v>
      </c>
      <c r="D143" t="s">
        <v>22</v>
      </c>
      <c r="E143" t="s">
        <v>9661</v>
      </c>
      <c r="F143" t="s">
        <v>9662</v>
      </c>
      <c r="G143" t="s">
        <v>9663</v>
      </c>
      <c r="H143" t="s">
        <v>9664</v>
      </c>
      <c r="I143" t="s">
        <v>238</v>
      </c>
      <c r="M143" t="s">
        <v>1681</v>
      </c>
      <c r="N143" t="s">
        <v>33</v>
      </c>
    </row>
    <row r="144" spans="1:14" x14ac:dyDescent="0.35">
      <c r="A144" t="s">
        <v>20</v>
      </c>
      <c r="B144">
        <v>17644</v>
      </c>
      <c r="C144" t="s">
        <v>21</v>
      </c>
      <c r="D144" t="s">
        <v>22</v>
      </c>
      <c r="E144" t="s">
        <v>9665</v>
      </c>
      <c r="F144" t="s">
        <v>9666</v>
      </c>
      <c r="G144" t="s">
        <v>9667</v>
      </c>
      <c r="H144" t="s">
        <v>9668</v>
      </c>
      <c r="I144" t="s">
        <v>238</v>
      </c>
      <c r="M144" t="s">
        <v>1686</v>
      </c>
      <c r="N144" t="s">
        <v>33</v>
      </c>
    </row>
    <row r="145" spans="1:14" x14ac:dyDescent="0.35">
      <c r="A145" t="s">
        <v>20</v>
      </c>
      <c r="B145">
        <v>17644</v>
      </c>
      <c r="C145" t="s">
        <v>21</v>
      </c>
      <c r="D145" t="s">
        <v>22</v>
      </c>
      <c r="E145" t="s">
        <v>9669</v>
      </c>
      <c r="F145" t="s">
        <v>9670</v>
      </c>
      <c r="G145" t="s">
        <v>9671</v>
      </c>
      <c r="H145" t="s">
        <v>9672</v>
      </c>
      <c r="I145" t="s">
        <v>238</v>
      </c>
      <c r="M145" t="s">
        <v>1686</v>
      </c>
      <c r="N145" t="s">
        <v>33</v>
      </c>
    </row>
    <row r="146" spans="1:14" x14ac:dyDescent="0.35">
      <c r="A146" t="s">
        <v>20</v>
      </c>
      <c r="B146">
        <v>17644</v>
      </c>
      <c r="C146" t="s">
        <v>21</v>
      </c>
      <c r="D146" t="s">
        <v>22</v>
      </c>
      <c r="E146" t="s">
        <v>9673</v>
      </c>
      <c r="F146" t="s">
        <v>9674</v>
      </c>
      <c r="G146" t="s">
        <v>9675</v>
      </c>
      <c r="H146" t="s">
        <v>9676</v>
      </c>
      <c r="I146" t="s">
        <v>238</v>
      </c>
      <c r="M146" t="s">
        <v>1686</v>
      </c>
      <c r="N146" t="s">
        <v>33</v>
      </c>
    </row>
    <row r="147" spans="1:14" x14ac:dyDescent="0.35">
      <c r="A147" t="s">
        <v>20</v>
      </c>
      <c r="B147">
        <v>17644</v>
      </c>
      <c r="C147" t="s">
        <v>21</v>
      </c>
      <c r="D147" t="s">
        <v>22</v>
      </c>
      <c r="E147" t="s">
        <v>9677</v>
      </c>
      <c r="F147" t="s">
        <v>9678</v>
      </c>
      <c r="G147" t="s">
        <v>9679</v>
      </c>
      <c r="H147" t="s">
        <v>9680</v>
      </c>
      <c r="I147" t="s">
        <v>238</v>
      </c>
      <c r="M147" t="s">
        <v>1686</v>
      </c>
      <c r="N147" t="s">
        <v>33</v>
      </c>
    </row>
    <row r="148" spans="1:14" x14ac:dyDescent="0.35">
      <c r="A148" t="s">
        <v>20</v>
      </c>
      <c r="B148">
        <v>17644</v>
      </c>
      <c r="C148" t="s">
        <v>21</v>
      </c>
      <c r="D148" t="s">
        <v>22</v>
      </c>
      <c r="E148" t="s">
        <v>9681</v>
      </c>
      <c r="F148" t="s">
        <v>9682</v>
      </c>
      <c r="G148" t="s">
        <v>9683</v>
      </c>
      <c r="H148" t="s">
        <v>9684</v>
      </c>
      <c r="I148" t="s">
        <v>238</v>
      </c>
      <c r="M148" t="s">
        <v>1686</v>
      </c>
      <c r="N148" t="s">
        <v>33</v>
      </c>
    </row>
    <row r="149" spans="1:14" x14ac:dyDescent="0.35">
      <c r="A149" t="s">
        <v>20</v>
      </c>
      <c r="B149">
        <v>17644</v>
      </c>
      <c r="C149" t="s">
        <v>21</v>
      </c>
      <c r="D149" t="s">
        <v>22</v>
      </c>
      <c r="E149" t="s">
        <v>9685</v>
      </c>
      <c r="F149" t="s">
        <v>9686</v>
      </c>
      <c r="G149" t="s">
        <v>9687</v>
      </c>
      <c r="H149" t="s">
        <v>9688</v>
      </c>
      <c r="I149" t="s">
        <v>238</v>
      </c>
      <c r="M149" t="s">
        <v>1686</v>
      </c>
      <c r="N149" t="s">
        <v>33</v>
      </c>
    </row>
    <row r="150" spans="1:14" x14ac:dyDescent="0.35">
      <c r="A150" t="s">
        <v>20</v>
      </c>
      <c r="B150">
        <v>17644</v>
      </c>
      <c r="C150" t="s">
        <v>21</v>
      </c>
      <c r="D150" t="s">
        <v>22</v>
      </c>
      <c r="E150" t="s">
        <v>9689</v>
      </c>
      <c r="F150" t="s">
        <v>9690</v>
      </c>
      <c r="G150" t="s">
        <v>9691</v>
      </c>
      <c r="H150" t="s">
        <v>9692</v>
      </c>
      <c r="I150" t="s">
        <v>238</v>
      </c>
      <c r="M150" t="s">
        <v>1686</v>
      </c>
      <c r="N150" t="s">
        <v>33</v>
      </c>
    </row>
    <row r="151" spans="1:14" x14ac:dyDescent="0.35">
      <c r="A151" t="s">
        <v>20</v>
      </c>
      <c r="B151">
        <v>17644</v>
      </c>
      <c r="C151" t="s">
        <v>21</v>
      </c>
      <c r="D151" t="s">
        <v>22</v>
      </c>
      <c r="E151" t="s">
        <v>9693</v>
      </c>
      <c r="F151" t="s">
        <v>9694</v>
      </c>
      <c r="G151" t="s">
        <v>9695</v>
      </c>
      <c r="H151" t="s">
        <v>9696</v>
      </c>
      <c r="I151" t="s">
        <v>238</v>
      </c>
      <c r="M151" t="s">
        <v>1686</v>
      </c>
      <c r="N151" t="s">
        <v>33</v>
      </c>
    </row>
    <row r="152" spans="1:14" x14ac:dyDescent="0.35">
      <c r="A152" t="s">
        <v>20</v>
      </c>
      <c r="B152">
        <v>17644</v>
      </c>
      <c r="C152" t="s">
        <v>21</v>
      </c>
      <c r="D152" t="s">
        <v>22</v>
      </c>
      <c r="E152" t="s">
        <v>9697</v>
      </c>
      <c r="F152" t="s">
        <v>9698</v>
      </c>
      <c r="G152" t="s">
        <v>9699</v>
      </c>
      <c r="H152" t="s">
        <v>9700</v>
      </c>
      <c r="I152" t="s">
        <v>238</v>
      </c>
      <c r="M152" t="s">
        <v>1686</v>
      </c>
      <c r="N152" t="s">
        <v>33</v>
      </c>
    </row>
    <row r="153" spans="1:14" x14ac:dyDescent="0.35">
      <c r="A153" t="s">
        <v>20</v>
      </c>
      <c r="B153">
        <v>17644</v>
      </c>
      <c r="C153" t="s">
        <v>21</v>
      </c>
      <c r="D153" t="s">
        <v>22</v>
      </c>
      <c r="E153" t="s">
        <v>9701</v>
      </c>
      <c r="F153" t="s">
        <v>9702</v>
      </c>
      <c r="G153" t="s">
        <v>9703</v>
      </c>
      <c r="H153" t="s">
        <v>9704</v>
      </c>
      <c r="I153" t="s">
        <v>238</v>
      </c>
      <c r="M153" t="s">
        <v>1686</v>
      </c>
      <c r="N153" t="s">
        <v>33</v>
      </c>
    </row>
    <row r="154" spans="1:14" x14ac:dyDescent="0.35">
      <c r="A154" t="s">
        <v>20</v>
      </c>
      <c r="B154">
        <v>17644</v>
      </c>
      <c r="C154" t="s">
        <v>21</v>
      </c>
      <c r="D154" t="s">
        <v>22</v>
      </c>
      <c r="E154" t="s">
        <v>9705</v>
      </c>
      <c r="F154" t="s">
        <v>9706</v>
      </c>
      <c r="G154" t="s">
        <v>9707</v>
      </c>
      <c r="H154" t="s">
        <v>9708</v>
      </c>
      <c r="I154" t="s">
        <v>238</v>
      </c>
      <c r="M154" t="s">
        <v>1686</v>
      </c>
      <c r="N154" t="s">
        <v>33</v>
      </c>
    </row>
    <row r="155" spans="1:14" x14ac:dyDescent="0.35">
      <c r="A155" t="s">
        <v>20</v>
      </c>
      <c r="B155">
        <v>17644</v>
      </c>
      <c r="C155" t="s">
        <v>21</v>
      </c>
      <c r="D155" t="s">
        <v>22</v>
      </c>
      <c r="E155" t="s">
        <v>9709</v>
      </c>
      <c r="F155" t="s">
        <v>9710</v>
      </c>
      <c r="G155" t="s">
        <v>9711</v>
      </c>
      <c r="H155" t="s">
        <v>2468</v>
      </c>
      <c r="I155" t="s">
        <v>238</v>
      </c>
      <c r="M155" t="s">
        <v>1686</v>
      </c>
      <c r="N155" t="s">
        <v>33</v>
      </c>
    </row>
    <row r="156" spans="1:14" x14ac:dyDescent="0.35">
      <c r="A156" t="s">
        <v>20</v>
      </c>
      <c r="B156">
        <v>17644</v>
      </c>
      <c r="C156" t="s">
        <v>21</v>
      </c>
      <c r="D156" t="s">
        <v>22</v>
      </c>
      <c r="E156" t="s">
        <v>9712</v>
      </c>
      <c r="F156" t="s">
        <v>9713</v>
      </c>
      <c r="G156" t="s">
        <v>9714</v>
      </c>
      <c r="H156" t="s">
        <v>9715</v>
      </c>
      <c r="I156" t="s">
        <v>238</v>
      </c>
      <c r="M156" t="s">
        <v>1686</v>
      </c>
      <c r="N156" t="s">
        <v>33</v>
      </c>
    </row>
    <row r="157" spans="1:14" x14ac:dyDescent="0.35">
      <c r="A157" t="s">
        <v>20</v>
      </c>
      <c r="B157">
        <v>17644</v>
      </c>
      <c r="C157" t="s">
        <v>21</v>
      </c>
      <c r="D157" t="s">
        <v>22</v>
      </c>
      <c r="E157" t="s">
        <v>9716</v>
      </c>
      <c r="F157" t="s">
        <v>9717</v>
      </c>
      <c r="G157" t="s">
        <v>9718</v>
      </c>
      <c r="H157" t="s">
        <v>9719</v>
      </c>
      <c r="I157" t="s">
        <v>238</v>
      </c>
      <c r="M157" t="s">
        <v>1686</v>
      </c>
      <c r="N157" t="s">
        <v>33</v>
      </c>
    </row>
    <row r="158" spans="1:14" x14ac:dyDescent="0.35">
      <c r="A158" t="s">
        <v>20</v>
      </c>
      <c r="B158">
        <v>17644</v>
      </c>
      <c r="C158" t="s">
        <v>21</v>
      </c>
      <c r="D158" t="s">
        <v>22</v>
      </c>
      <c r="E158" t="s">
        <v>9720</v>
      </c>
      <c r="F158" t="s">
        <v>9721</v>
      </c>
      <c r="G158" t="s">
        <v>9722</v>
      </c>
      <c r="H158" t="s">
        <v>9723</v>
      </c>
      <c r="I158" t="s">
        <v>238</v>
      </c>
      <c r="M158" t="s">
        <v>1686</v>
      </c>
      <c r="N158" t="s">
        <v>33</v>
      </c>
    </row>
    <row r="159" spans="1:14" x14ac:dyDescent="0.35">
      <c r="A159" t="s">
        <v>20</v>
      </c>
      <c r="B159">
        <v>17644</v>
      </c>
      <c r="C159" t="s">
        <v>21</v>
      </c>
      <c r="D159" t="s">
        <v>22</v>
      </c>
      <c r="E159" t="s">
        <v>9724</v>
      </c>
      <c r="F159" t="s">
        <v>9725</v>
      </c>
      <c r="G159" t="s">
        <v>9726</v>
      </c>
      <c r="H159" t="s">
        <v>9727</v>
      </c>
      <c r="I159" t="s">
        <v>238</v>
      </c>
      <c r="M159" t="s">
        <v>1686</v>
      </c>
      <c r="N159" t="s">
        <v>33</v>
      </c>
    </row>
    <row r="160" spans="1:14" x14ac:dyDescent="0.35">
      <c r="A160" t="s">
        <v>20</v>
      </c>
      <c r="B160">
        <v>17644</v>
      </c>
      <c r="C160" t="s">
        <v>21</v>
      </c>
      <c r="D160" t="s">
        <v>22</v>
      </c>
      <c r="E160" t="s">
        <v>9728</v>
      </c>
      <c r="F160" t="s">
        <v>9729</v>
      </c>
      <c r="G160" t="s">
        <v>9730</v>
      </c>
      <c r="H160" t="s">
        <v>9731</v>
      </c>
      <c r="I160" t="s">
        <v>238</v>
      </c>
      <c r="M160" t="s">
        <v>1686</v>
      </c>
      <c r="N160" t="s">
        <v>33</v>
      </c>
    </row>
    <row r="161" spans="1:14" x14ac:dyDescent="0.35">
      <c r="A161" t="s">
        <v>20</v>
      </c>
      <c r="B161">
        <v>17644</v>
      </c>
      <c r="C161" t="s">
        <v>21</v>
      </c>
      <c r="D161" t="s">
        <v>22</v>
      </c>
      <c r="E161" t="s">
        <v>9732</v>
      </c>
      <c r="F161" t="s">
        <v>9733</v>
      </c>
      <c r="G161" t="s">
        <v>9734</v>
      </c>
      <c r="H161" t="s">
        <v>9735</v>
      </c>
      <c r="I161" t="s">
        <v>238</v>
      </c>
      <c r="M161" t="s">
        <v>1686</v>
      </c>
      <c r="N161" t="s">
        <v>33</v>
      </c>
    </row>
    <row r="162" spans="1:14" x14ac:dyDescent="0.35">
      <c r="A162" t="s">
        <v>20</v>
      </c>
      <c r="B162">
        <v>17644</v>
      </c>
      <c r="C162" t="s">
        <v>21</v>
      </c>
      <c r="D162" t="s">
        <v>22</v>
      </c>
      <c r="E162" t="s">
        <v>9736</v>
      </c>
      <c r="F162" t="s">
        <v>9737</v>
      </c>
      <c r="G162" t="s">
        <v>9738</v>
      </c>
      <c r="H162" t="s">
        <v>9739</v>
      </c>
      <c r="I162" t="s">
        <v>238</v>
      </c>
      <c r="M162" t="s">
        <v>1686</v>
      </c>
      <c r="N162" t="s">
        <v>33</v>
      </c>
    </row>
    <row r="163" spans="1:14" x14ac:dyDescent="0.35">
      <c r="A163" t="s">
        <v>20</v>
      </c>
      <c r="B163">
        <v>17644</v>
      </c>
      <c r="C163" t="s">
        <v>21</v>
      </c>
      <c r="D163" t="s">
        <v>22</v>
      </c>
      <c r="E163" t="s">
        <v>9740</v>
      </c>
      <c r="F163" t="s">
        <v>9741</v>
      </c>
      <c r="G163" t="s">
        <v>9742</v>
      </c>
      <c r="H163" t="s">
        <v>9743</v>
      </c>
      <c r="I163" t="s">
        <v>238</v>
      </c>
      <c r="M163" t="s">
        <v>1686</v>
      </c>
      <c r="N163" t="s">
        <v>33</v>
      </c>
    </row>
    <row r="164" spans="1:14" x14ac:dyDescent="0.35">
      <c r="A164" t="s">
        <v>20</v>
      </c>
      <c r="B164">
        <v>17644</v>
      </c>
      <c r="C164" t="s">
        <v>21</v>
      </c>
      <c r="D164" t="s">
        <v>22</v>
      </c>
      <c r="E164" t="s">
        <v>9744</v>
      </c>
      <c r="F164" t="s">
        <v>9745</v>
      </c>
      <c r="G164" t="s">
        <v>9746</v>
      </c>
      <c r="H164" t="s">
        <v>9747</v>
      </c>
      <c r="I164" t="s">
        <v>238</v>
      </c>
      <c r="M164" t="s">
        <v>1686</v>
      </c>
      <c r="N164" t="s">
        <v>33</v>
      </c>
    </row>
    <row r="165" spans="1:14" x14ac:dyDescent="0.35">
      <c r="A165" t="s">
        <v>20</v>
      </c>
      <c r="B165">
        <v>17644</v>
      </c>
      <c r="C165" t="s">
        <v>21</v>
      </c>
      <c r="D165" t="s">
        <v>22</v>
      </c>
      <c r="E165" t="s">
        <v>9748</v>
      </c>
      <c r="F165" t="s">
        <v>9749</v>
      </c>
      <c r="G165" t="s">
        <v>9750</v>
      </c>
      <c r="H165" t="s">
        <v>9751</v>
      </c>
      <c r="I165" t="s">
        <v>238</v>
      </c>
      <c r="M165" t="s">
        <v>1686</v>
      </c>
      <c r="N165" t="s">
        <v>33</v>
      </c>
    </row>
    <row r="166" spans="1:14" x14ac:dyDescent="0.35">
      <c r="A166" t="s">
        <v>20</v>
      </c>
      <c r="B166">
        <v>17644</v>
      </c>
      <c r="C166" t="s">
        <v>21</v>
      </c>
      <c r="D166" t="s">
        <v>22</v>
      </c>
      <c r="E166" t="s">
        <v>9752</v>
      </c>
      <c r="F166" t="s">
        <v>9753</v>
      </c>
      <c r="G166" t="s">
        <v>9754</v>
      </c>
      <c r="H166" t="s">
        <v>9755</v>
      </c>
      <c r="I166" t="s">
        <v>238</v>
      </c>
      <c r="M166" t="s">
        <v>1686</v>
      </c>
      <c r="N166" t="s">
        <v>33</v>
      </c>
    </row>
    <row r="167" spans="1:14" x14ac:dyDescent="0.35">
      <c r="A167" t="s">
        <v>20</v>
      </c>
      <c r="B167">
        <v>17644</v>
      </c>
      <c r="C167" t="s">
        <v>21</v>
      </c>
      <c r="D167" t="s">
        <v>22</v>
      </c>
      <c r="E167" t="s">
        <v>9756</v>
      </c>
      <c r="F167" t="s">
        <v>9757</v>
      </c>
      <c r="G167" t="s">
        <v>9758</v>
      </c>
      <c r="H167" t="s">
        <v>9759</v>
      </c>
      <c r="I167" t="s">
        <v>238</v>
      </c>
      <c r="M167" t="s">
        <v>1686</v>
      </c>
      <c r="N167" t="s">
        <v>33</v>
      </c>
    </row>
    <row r="168" spans="1:14" x14ac:dyDescent="0.35">
      <c r="A168" t="s">
        <v>20</v>
      </c>
      <c r="B168">
        <v>17644</v>
      </c>
      <c r="C168" t="s">
        <v>21</v>
      </c>
      <c r="D168" t="s">
        <v>22</v>
      </c>
      <c r="E168" t="s">
        <v>9760</v>
      </c>
      <c r="F168" t="s">
        <v>9761</v>
      </c>
      <c r="G168" t="s">
        <v>9762</v>
      </c>
      <c r="H168" t="s">
        <v>9763</v>
      </c>
      <c r="I168" t="s">
        <v>238</v>
      </c>
      <c r="M168" t="s">
        <v>1686</v>
      </c>
      <c r="N168" t="s">
        <v>33</v>
      </c>
    </row>
    <row r="169" spans="1:14" x14ac:dyDescent="0.35">
      <c r="A169" t="s">
        <v>20</v>
      </c>
      <c r="B169">
        <v>17644</v>
      </c>
      <c r="C169" t="s">
        <v>21</v>
      </c>
      <c r="D169" t="s">
        <v>22</v>
      </c>
      <c r="E169" t="s">
        <v>9764</v>
      </c>
      <c r="F169" t="s">
        <v>9765</v>
      </c>
      <c r="G169" t="s">
        <v>9766</v>
      </c>
      <c r="H169" t="s">
        <v>9767</v>
      </c>
      <c r="I169" t="s">
        <v>238</v>
      </c>
      <c r="M169" t="s">
        <v>1686</v>
      </c>
      <c r="N169" t="s">
        <v>33</v>
      </c>
    </row>
    <row r="170" spans="1:14" x14ac:dyDescent="0.35">
      <c r="A170" t="s">
        <v>20</v>
      </c>
      <c r="B170">
        <v>17644</v>
      </c>
      <c r="C170" t="s">
        <v>21</v>
      </c>
      <c r="D170" t="s">
        <v>22</v>
      </c>
      <c r="E170" t="s">
        <v>9768</v>
      </c>
      <c r="F170" t="s">
        <v>9769</v>
      </c>
      <c r="G170" t="s">
        <v>9770</v>
      </c>
      <c r="H170" t="s">
        <v>9771</v>
      </c>
      <c r="I170" t="s">
        <v>238</v>
      </c>
      <c r="M170" t="s">
        <v>1686</v>
      </c>
      <c r="N170" t="s">
        <v>33</v>
      </c>
    </row>
    <row r="171" spans="1:14" x14ac:dyDescent="0.35">
      <c r="A171" t="s">
        <v>20</v>
      </c>
      <c r="B171">
        <v>17644</v>
      </c>
      <c r="C171" t="s">
        <v>21</v>
      </c>
      <c r="D171" t="s">
        <v>22</v>
      </c>
      <c r="E171" t="s">
        <v>9772</v>
      </c>
      <c r="F171" t="s">
        <v>9773</v>
      </c>
      <c r="G171" t="s">
        <v>9774</v>
      </c>
      <c r="H171" t="s">
        <v>9775</v>
      </c>
      <c r="I171" t="s">
        <v>238</v>
      </c>
      <c r="M171" t="s">
        <v>1686</v>
      </c>
      <c r="N171" t="s">
        <v>33</v>
      </c>
    </row>
    <row r="172" spans="1:14" x14ac:dyDescent="0.35">
      <c r="A172" t="s">
        <v>20</v>
      </c>
      <c r="B172">
        <v>17644</v>
      </c>
      <c r="C172" t="s">
        <v>21</v>
      </c>
      <c r="D172" t="s">
        <v>22</v>
      </c>
      <c r="E172" t="s">
        <v>9776</v>
      </c>
      <c r="F172" t="s">
        <v>9777</v>
      </c>
      <c r="G172" t="s">
        <v>9778</v>
      </c>
      <c r="H172" t="s">
        <v>9779</v>
      </c>
      <c r="I172" t="s">
        <v>238</v>
      </c>
      <c r="M172" t="s">
        <v>1686</v>
      </c>
      <c r="N172" t="s">
        <v>33</v>
      </c>
    </row>
    <row r="173" spans="1:14" x14ac:dyDescent="0.35">
      <c r="A173" t="s">
        <v>20</v>
      </c>
      <c r="B173">
        <v>17644</v>
      </c>
      <c r="C173" t="s">
        <v>21</v>
      </c>
      <c r="D173" t="s">
        <v>22</v>
      </c>
      <c r="E173" t="s">
        <v>9780</v>
      </c>
      <c r="F173" t="s">
        <v>9781</v>
      </c>
      <c r="G173" t="s">
        <v>9782</v>
      </c>
      <c r="H173" t="s">
        <v>9783</v>
      </c>
      <c r="I173" t="s">
        <v>238</v>
      </c>
      <c r="M173" t="s">
        <v>1686</v>
      </c>
      <c r="N173" t="s">
        <v>33</v>
      </c>
    </row>
    <row r="174" spans="1:14" x14ac:dyDescent="0.35">
      <c r="A174" t="s">
        <v>20</v>
      </c>
      <c r="B174">
        <v>17644</v>
      </c>
      <c r="C174" t="s">
        <v>21</v>
      </c>
      <c r="D174" t="s">
        <v>22</v>
      </c>
      <c r="E174" t="s">
        <v>9784</v>
      </c>
      <c r="F174" t="s">
        <v>9785</v>
      </c>
      <c r="G174" t="s">
        <v>9786</v>
      </c>
      <c r="H174" t="s">
        <v>9787</v>
      </c>
      <c r="I174" t="s">
        <v>238</v>
      </c>
      <c r="M174" t="s">
        <v>1686</v>
      </c>
      <c r="N174" t="s">
        <v>33</v>
      </c>
    </row>
    <row r="175" spans="1:14" x14ac:dyDescent="0.35">
      <c r="A175" t="s">
        <v>20</v>
      </c>
      <c r="B175">
        <v>17644</v>
      </c>
      <c r="C175" t="s">
        <v>21</v>
      </c>
      <c r="D175" t="s">
        <v>22</v>
      </c>
      <c r="E175" t="s">
        <v>9788</v>
      </c>
      <c r="F175" t="s">
        <v>9789</v>
      </c>
      <c r="G175" t="s">
        <v>9790</v>
      </c>
      <c r="H175" t="s">
        <v>9791</v>
      </c>
      <c r="I175" t="s">
        <v>238</v>
      </c>
      <c r="M175" t="s">
        <v>1686</v>
      </c>
      <c r="N175" t="s">
        <v>33</v>
      </c>
    </row>
    <row r="176" spans="1:14" x14ac:dyDescent="0.35">
      <c r="A176" t="s">
        <v>20</v>
      </c>
      <c r="B176">
        <v>17644</v>
      </c>
      <c r="C176" t="s">
        <v>21</v>
      </c>
      <c r="D176" t="s">
        <v>22</v>
      </c>
      <c r="E176" t="s">
        <v>9792</v>
      </c>
      <c r="F176" t="s">
        <v>9793</v>
      </c>
      <c r="G176" t="s">
        <v>9794</v>
      </c>
      <c r="H176" t="s">
        <v>9795</v>
      </c>
      <c r="I176" t="s">
        <v>238</v>
      </c>
      <c r="M176" t="s">
        <v>1686</v>
      </c>
      <c r="N176" t="s">
        <v>33</v>
      </c>
    </row>
    <row r="177" spans="1:14" x14ac:dyDescent="0.35">
      <c r="A177" t="s">
        <v>20</v>
      </c>
      <c r="B177">
        <v>17644</v>
      </c>
      <c r="C177" t="s">
        <v>21</v>
      </c>
      <c r="D177" t="s">
        <v>22</v>
      </c>
      <c r="E177" t="s">
        <v>9796</v>
      </c>
      <c r="F177" t="s">
        <v>9797</v>
      </c>
      <c r="G177" t="s">
        <v>9798</v>
      </c>
      <c r="H177" t="s">
        <v>9799</v>
      </c>
      <c r="I177" t="s">
        <v>238</v>
      </c>
      <c r="M177" t="s">
        <v>1686</v>
      </c>
      <c r="N177" t="s">
        <v>33</v>
      </c>
    </row>
    <row r="178" spans="1:14" x14ac:dyDescent="0.35">
      <c r="A178" t="s">
        <v>20</v>
      </c>
      <c r="B178">
        <v>17644</v>
      </c>
      <c r="C178" t="s">
        <v>21</v>
      </c>
      <c r="D178" t="s">
        <v>22</v>
      </c>
      <c r="E178" t="s">
        <v>9800</v>
      </c>
      <c r="F178" t="s">
        <v>9801</v>
      </c>
      <c r="G178" t="s">
        <v>9802</v>
      </c>
      <c r="H178" t="s">
        <v>9803</v>
      </c>
      <c r="I178" t="s">
        <v>238</v>
      </c>
      <c r="M178" t="s">
        <v>1686</v>
      </c>
      <c r="N178" t="s">
        <v>33</v>
      </c>
    </row>
    <row r="179" spans="1:14" x14ac:dyDescent="0.35">
      <c r="A179" t="s">
        <v>20</v>
      </c>
      <c r="B179">
        <v>17644</v>
      </c>
      <c r="C179" t="s">
        <v>21</v>
      </c>
      <c r="D179" t="s">
        <v>22</v>
      </c>
      <c r="E179" t="s">
        <v>9804</v>
      </c>
      <c r="F179" t="s">
        <v>9805</v>
      </c>
      <c r="G179" t="s">
        <v>9806</v>
      </c>
      <c r="H179" t="s">
        <v>9807</v>
      </c>
      <c r="I179" t="s">
        <v>238</v>
      </c>
      <c r="M179" t="s">
        <v>1686</v>
      </c>
      <c r="N179" t="s">
        <v>33</v>
      </c>
    </row>
    <row r="180" spans="1:14" x14ac:dyDescent="0.35">
      <c r="A180" t="s">
        <v>20</v>
      </c>
      <c r="B180">
        <v>17644</v>
      </c>
      <c r="C180" t="s">
        <v>21</v>
      </c>
      <c r="D180" t="s">
        <v>22</v>
      </c>
      <c r="E180" t="s">
        <v>9808</v>
      </c>
      <c r="F180" t="s">
        <v>9809</v>
      </c>
      <c r="G180" t="s">
        <v>9810</v>
      </c>
      <c r="H180" t="s">
        <v>9811</v>
      </c>
      <c r="I180" t="s">
        <v>238</v>
      </c>
      <c r="M180" t="s">
        <v>1686</v>
      </c>
      <c r="N180" t="s">
        <v>33</v>
      </c>
    </row>
    <row r="181" spans="1:14" x14ac:dyDescent="0.35">
      <c r="A181" t="s">
        <v>20</v>
      </c>
      <c r="B181">
        <v>17644</v>
      </c>
      <c r="C181" t="s">
        <v>21</v>
      </c>
      <c r="D181" t="s">
        <v>22</v>
      </c>
      <c r="E181" t="s">
        <v>9812</v>
      </c>
      <c r="F181" t="s">
        <v>9813</v>
      </c>
      <c r="G181" t="s">
        <v>9814</v>
      </c>
      <c r="H181" t="s">
        <v>9815</v>
      </c>
      <c r="I181" t="s">
        <v>238</v>
      </c>
      <c r="M181" t="s">
        <v>1686</v>
      </c>
      <c r="N181" t="s">
        <v>33</v>
      </c>
    </row>
    <row r="182" spans="1:14" x14ac:dyDescent="0.35">
      <c r="A182" t="s">
        <v>20</v>
      </c>
      <c r="B182">
        <v>17644</v>
      </c>
      <c r="C182" t="s">
        <v>21</v>
      </c>
      <c r="D182" t="s">
        <v>22</v>
      </c>
      <c r="E182" t="s">
        <v>9816</v>
      </c>
      <c r="F182" t="s">
        <v>9817</v>
      </c>
      <c r="G182" t="s">
        <v>9818</v>
      </c>
      <c r="H182" t="s">
        <v>9819</v>
      </c>
      <c r="I182" t="s">
        <v>238</v>
      </c>
      <c r="M182" t="s">
        <v>1686</v>
      </c>
      <c r="N182" t="s">
        <v>33</v>
      </c>
    </row>
    <row r="183" spans="1:14" x14ac:dyDescent="0.35">
      <c r="A183" t="s">
        <v>20</v>
      </c>
      <c r="B183">
        <v>17644</v>
      </c>
      <c r="C183" t="s">
        <v>21</v>
      </c>
      <c r="D183" t="s">
        <v>22</v>
      </c>
      <c r="E183" t="s">
        <v>9820</v>
      </c>
      <c r="F183" t="s">
        <v>9821</v>
      </c>
      <c r="G183" t="s">
        <v>9822</v>
      </c>
      <c r="H183" t="s">
        <v>9823</v>
      </c>
      <c r="I183" t="s">
        <v>238</v>
      </c>
      <c r="M183" t="s">
        <v>1686</v>
      </c>
      <c r="N183" t="s">
        <v>33</v>
      </c>
    </row>
    <row r="184" spans="1:14" x14ac:dyDescent="0.35">
      <c r="A184" t="s">
        <v>20</v>
      </c>
      <c r="B184">
        <v>17644</v>
      </c>
      <c r="C184" t="s">
        <v>21</v>
      </c>
      <c r="D184" t="s">
        <v>22</v>
      </c>
      <c r="E184" t="s">
        <v>9824</v>
      </c>
      <c r="F184" t="s">
        <v>9825</v>
      </c>
      <c r="G184" t="s">
        <v>9826</v>
      </c>
      <c r="H184" t="s">
        <v>9827</v>
      </c>
      <c r="I184" t="s">
        <v>238</v>
      </c>
      <c r="M184" t="s">
        <v>1686</v>
      </c>
      <c r="N184" t="s">
        <v>33</v>
      </c>
    </row>
    <row r="185" spans="1:14" x14ac:dyDescent="0.35">
      <c r="A185" t="s">
        <v>20</v>
      </c>
      <c r="B185">
        <v>17644</v>
      </c>
      <c r="C185" t="s">
        <v>21</v>
      </c>
      <c r="D185" t="s">
        <v>22</v>
      </c>
      <c r="E185" t="s">
        <v>9828</v>
      </c>
      <c r="F185" t="s">
        <v>9829</v>
      </c>
      <c r="G185" t="s">
        <v>9830</v>
      </c>
      <c r="H185" t="s">
        <v>9831</v>
      </c>
      <c r="I185" t="s">
        <v>238</v>
      </c>
      <c r="M185" t="s">
        <v>1686</v>
      </c>
      <c r="N185" t="s">
        <v>33</v>
      </c>
    </row>
    <row r="186" spans="1:14" x14ac:dyDescent="0.35">
      <c r="A186" t="s">
        <v>20</v>
      </c>
      <c r="B186">
        <v>17644</v>
      </c>
      <c r="C186" t="s">
        <v>21</v>
      </c>
      <c r="D186" t="s">
        <v>22</v>
      </c>
      <c r="E186" t="s">
        <v>9832</v>
      </c>
      <c r="F186" t="s">
        <v>9833</v>
      </c>
      <c r="G186" t="s">
        <v>9834</v>
      </c>
      <c r="H186" t="s">
        <v>9835</v>
      </c>
      <c r="I186" t="s">
        <v>238</v>
      </c>
      <c r="M186" t="s">
        <v>1686</v>
      </c>
      <c r="N186" t="s">
        <v>33</v>
      </c>
    </row>
    <row r="187" spans="1:14" x14ac:dyDescent="0.35">
      <c r="A187" t="s">
        <v>20</v>
      </c>
      <c r="B187">
        <v>17644</v>
      </c>
      <c r="C187" t="s">
        <v>21</v>
      </c>
      <c r="D187" t="s">
        <v>22</v>
      </c>
      <c r="E187" t="s">
        <v>9836</v>
      </c>
      <c r="F187" t="s">
        <v>9837</v>
      </c>
      <c r="G187" t="s">
        <v>9838</v>
      </c>
      <c r="H187" t="s">
        <v>9839</v>
      </c>
      <c r="I187" t="s">
        <v>238</v>
      </c>
      <c r="M187" t="s">
        <v>1686</v>
      </c>
      <c r="N187" t="s">
        <v>33</v>
      </c>
    </row>
    <row r="188" spans="1:14" x14ac:dyDescent="0.35">
      <c r="A188" t="s">
        <v>20</v>
      </c>
      <c r="B188">
        <v>17644</v>
      </c>
      <c r="C188" t="s">
        <v>21</v>
      </c>
      <c r="D188" t="s">
        <v>22</v>
      </c>
      <c r="E188" t="s">
        <v>9840</v>
      </c>
      <c r="F188" t="s">
        <v>9841</v>
      </c>
      <c r="G188" t="s">
        <v>9842</v>
      </c>
      <c r="H188" t="s">
        <v>9843</v>
      </c>
      <c r="I188" t="s">
        <v>238</v>
      </c>
      <c r="M188" t="s">
        <v>1686</v>
      </c>
      <c r="N188" t="s">
        <v>33</v>
      </c>
    </row>
    <row r="189" spans="1:14" x14ac:dyDescent="0.35">
      <c r="A189" t="s">
        <v>20</v>
      </c>
      <c r="B189">
        <v>17644</v>
      </c>
      <c r="C189" t="s">
        <v>21</v>
      </c>
      <c r="D189" t="s">
        <v>22</v>
      </c>
      <c r="E189" t="s">
        <v>9844</v>
      </c>
      <c r="F189" t="s">
        <v>9845</v>
      </c>
      <c r="G189" t="s">
        <v>9846</v>
      </c>
      <c r="H189" t="s">
        <v>9847</v>
      </c>
      <c r="I189" t="s">
        <v>238</v>
      </c>
      <c r="M189" t="s">
        <v>1686</v>
      </c>
      <c r="N189" t="s">
        <v>33</v>
      </c>
    </row>
    <row r="190" spans="1:14" x14ac:dyDescent="0.35">
      <c r="A190" t="s">
        <v>20</v>
      </c>
      <c r="B190">
        <v>17644</v>
      </c>
      <c r="C190" t="s">
        <v>21</v>
      </c>
      <c r="D190" t="s">
        <v>22</v>
      </c>
      <c r="E190" t="s">
        <v>9848</v>
      </c>
      <c r="F190" t="s">
        <v>9849</v>
      </c>
      <c r="G190" t="s">
        <v>9850</v>
      </c>
      <c r="H190" t="s">
        <v>9851</v>
      </c>
      <c r="I190" t="s">
        <v>238</v>
      </c>
      <c r="M190" t="s">
        <v>1686</v>
      </c>
      <c r="N190" t="s">
        <v>33</v>
      </c>
    </row>
    <row r="191" spans="1:14" x14ac:dyDescent="0.35">
      <c r="A191" t="s">
        <v>20</v>
      </c>
      <c r="B191">
        <v>17644</v>
      </c>
      <c r="C191" t="s">
        <v>21</v>
      </c>
      <c r="D191" t="s">
        <v>22</v>
      </c>
      <c r="E191" t="s">
        <v>9852</v>
      </c>
      <c r="F191" t="s">
        <v>9853</v>
      </c>
      <c r="G191" t="s">
        <v>9854</v>
      </c>
      <c r="H191" t="s">
        <v>9855</v>
      </c>
      <c r="I191" t="s">
        <v>238</v>
      </c>
      <c r="M191" t="s">
        <v>1686</v>
      </c>
      <c r="N191" t="s">
        <v>33</v>
      </c>
    </row>
    <row r="192" spans="1:14" x14ac:dyDescent="0.35">
      <c r="A192" t="s">
        <v>20</v>
      </c>
      <c r="B192">
        <v>17644</v>
      </c>
      <c r="C192" t="s">
        <v>21</v>
      </c>
      <c r="D192" t="s">
        <v>22</v>
      </c>
      <c r="E192" t="s">
        <v>9856</v>
      </c>
      <c r="F192" t="s">
        <v>9857</v>
      </c>
      <c r="G192" t="s">
        <v>9858</v>
      </c>
      <c r="H192" t="s">
        <v>9859</v>
      </c>
      <c r="I192" t="s">
        <v>238</v>
      </c>
      <c r="M192" t="s">
        <v>1686</v>
      </c>
      <c r="N192" t="s">
        <v>33</v>
      </c>
    </row>
    <row r="193" spans="1:14" x14ac:dyDescent="0.35">
      <c r="A193" t="s">
        <v>20</v>
      </c>
      <c r="B193">
        <v>17644</v>
      </c>
      <c r="C193" t="s">
        <v>21</v>
      </c>
      <c r="D193" t="s">
        <v>22</v>
      </c>
      <c r="E193" t="s">
        <v>9860</v>
      </c>
      <c r="F193" t="s">
        <v>9861</v>
      </c>
      <c r="G193" t="s">
        <v>9862</v>
      </c>
      <c r="H193" t="s">
        <v>9863</v>
      </c>
      <c r="I193" t="s">
        <v>238</v>
      </c>
      <c r="M193" t="s">
        <v>1686</v>
      </c>
      <c r="N193" t="s">
        <v>33</v>
      </c>
    </row>
    <row r="194" spans="1:14" x14ac:dyDescent="0.35">
      <c r="A194" t="s">
        <v>20</v>
      </c>
      <c r="B194">
        <v>17644</v>
      </c>
      <c r="C194" t="s">
        <v>21</v>
      </c>
      <c r="D194" t="s">
        <v>22</v>
      </c>
      <c r="E194" t="s">
        <v>9864</v>
      </c>
      <c r="F194" t="s">
        <v>9865</v>
      </c>
      <c r="G194" t="s">
        <v>9866</v>
      </c>
      <c r="H194" t="s">
        <v>9867</v>
      </c>
      <c r="I194" t="s">
        <v>238</v>
      </c>
      <c r="M194" t="s">
        <v>1686</v>
      </c>
      <c r="N194" t="s">
        <v>33</v>
      </c>
    </row>
    <row r="195" spans="1:14" x14ac:dyDescent="0.35">
      <c r="A195" t="s">
        <v>20</v>
      </c>
      <c r="B195">
        <v>17644</v>
      </c>
      <c r="C195" t="s">
        <v>21</v>
      </c>
      <c r="D195" t="s">
        <v>22</v>
      </c>
      <c r="E195" t="s">
        <v>9868</v>
      </c>
      <c r="F195" t="s">
        <v>9869</v>
      </c>
      <c r="G195" t="s">
        <v>9870</v>
      </c>
      <c r="H195" t="s">
        <v>9871</v>
      </c>
      <c r="I195" t="s">
        <v>238</v>
      </c>
      <c r="M195" t="s">
        <v>1686</v>
      </c>
      <c r="N195" t="s">
        <v>33</v>
      </c>
    </row>
    <row r="196" spans="1:14" x14ac:dyDescent="0.35">
      <c r="A196" t="s">
        <v>20</v>
      </c>
      <c r="B196">
        <v>17644</v>
      </c>
      <c r="C196" t="s">
        <v>21</v>
      </c>
      <c r="D196" t="s">
        <v>22</v>
      </c>
      <c r="E196" t="s">
        <v>9872</v>
      </c>
      <c r="F196" t="s">
        <v>9873</v>
      </c>
      <c r="G196" t="s">
        <v>9874</v>
      </c>
      <c r="H196" t="s">
        <v>9875</v>
      </c>
      <c r="I196" t="s">
        <v>238</v>
      </c>
      <c r="M196" t="s">
        <v>1686</v>
      </c>
      <c r="N196" t="s">
        <v>33</v>
      </c>
    </row>
    <row r="197" spans="1:14" x14ac:dyDescent="0.35">
      <c r="A197" t="s">
        <v>20</v>
      </c>
      <c r="B197">
        <v>17644</v>
      </c>
      <c r="C197" t="s">
        <v>21</v>
      </c>
      <c r="D197" t="s">
        <v>22</v>
      </c>
      <c r="E197" t="s">
        <v>9876</v>
      </c>
      <c r="F197" t="s">
        <v>9877</v>
      </c>
      <c r="G197" t="s">
        <v>9878</v>
      </c>
      <c r="H197" t="s">
        <v>9879</v>
      </c>
      <c r="I197" t="s">
        <v>238</v>
      </c>
      <c r="M197" t="s">
        <v>1686</v>
      </c>
      <c r="N197" t="s">
        <v>33</v>
      </c>
    </row>
    <row r="198" spans="1:14" x14ac:dyDescent="0.35">
      <c r="A198" t="s">
        <v>20</v>
      </c>
      <c r="B198">
        <v>17644</v>
      </c>
      <c r="C198" t="s">
        <v>21</v>
      </c>
      <c r="D198" t="s">
        <v>22</v>
      </c>
      <c r="E198" t="s">
        <v>9880</v>
      </c>
      <c r="F198" t="s">
        <v>9881</v>
      </c>
      <c r="G198" t="s">
        <v>9882</v>
      </c>
      <c r="H198" t="s">
        <v>9883</v>
      </c>
      <c r="I198" t="s">
        <v>238</v>
      </c>
      <c r="M198" t="s">
        <v>1686</v>
      </c>
      <c r="N198" t="s">
        <v>33</v>
      </c>
    </row>
    <row r="199" spans="1:14" x14ac:dyDescent="0.35">
      <c r="A199" t="s">
        <v>20</v>
      </c>
      <c r="B199">
        <v>17644</v>
      </c>
      <c r="C199" t="s">
        <v>21</v>
      </c>
      <c r="D199" t="s">
        <v>22</v>
      </c>
      <c r="E199" t="s">
        <v>9884</v>
      </c>
      <c r="F199" t="s">
        <v>9885</v>
      </c>
      <c r="G199" t="s">
        <v>9886</v>
      </c>
      <c r="H199" t="s">
        <v>9887</v>
      </c>
      <c r="I199" t="s">
        <v>238</v>
      </c>
      <c r="M199" t="s">
        <v>1686</v>
      </c>
      <c r="N199" t="s">
        <v>33</v>
      </c>
    </row>
    <row r="200" spans="1:14" x14ac:dyDescent="0.35">
      <c r="A200" t="s">
        <v>20</v>
      </c>
      <c r="B200">
        <v>17644</v>
      </c>
      <c r="C200" t="s">
        <v>21</v>
      </c>
      <c r="D200" t="s">
        <v>22</v>
      </c>
      <c r="E200" t="s">
        <v>9888</v>
      </c>
      <c r="F200" t="s">
        <v>9889</v>
      </c>
      <c r="G200" t="s">
        <v>9890</v>
      </c>
      <c r="H200" t="s">
        <v>9891</v>
      </c>
      <c r="I200" t="s">
        <v>238</v>
      </c>
      <c r="M200" t="s">
        <v>1686</v>
      </c>
      <c r="N200" t="s">
        <v>33</v>
      </c>
    </row>
    <row r="201" spans="1:14" x14ac:dyDescent="0.35">
      <c r="A201" t="s">
        <v>20</v>
      </c>
      <c r="B201">
        <v>17644</v>
      </c>
      <c r="C201" t="s">
        <v>21</v>
      </c>
      <c r="D201" t="s">
        <v>22</v>
      </c>
      <c r="E201" t="s">
        <v>9892</v>
      </c>
      <c r="F201" t="s">
        <v>9893</v>
      </c>
      <c r="G201" t="s">
        <v>9894</v>
      </c>
      <c r="H201" t="s">
        <v>9895</v>
      </c>
      <c r="I201" t="s">
        <v>238</v>
      </c>
      <c r="M201" t="s">
        <v>1686</v>
      </c>
      <c r="N201" t="s">
        <v>33</v>
      </c>
    </row>
    <row r="202" spans="1:14" x14ac:dyDescent="0.35">
      <c r="A202" t="s">
        <v>20</v>
      </c>
      <c r="B202">
        <v>17644</v>
      </c>
      <c r="C202" t="s">
        <v>21</v>
      </c>
      <c r="D202" t="s">
        <v>22</v>
      </c>
      <c r="E202" t="s">
        <v>9896</v>
      </c>
      <c r="F202" t="s">
        <v>9897</v>
      </c>
      <c r="G202" t="s">
        <v>9898</v>
      </c>
      <c r="H202" t="s">
        <v>9899</v>
      </c>
      <c r="I202" t="s">
        <v>238</v>
      </c>
      <c r="M202" t="s">
        <v>1686</v>
      </c>
      <c r="N202" t="s">
        <v>33</v>
      </c>
    </row>
    <row r="203" spans="1:14" x14ac:dyDescent="0.35">
      <c r="A203" t="s">
        <v>20</v>
      </c>
      <c r="B203">
        <v>17644</v>
      </c>
      <c r="C203" t="s">
        <v>21</v>
      </c>
      <c r="D203" t="s">
        <v>22</v>
      </c>
      <c r="E203" t="s">
        <v>9900</v>
      </c>
      <c r="F203" t="s">
        <v>9901</v>
      </c>
      <c r="G203" t="s">
        <v>9902</v>
      </c>
      <c r="H203" t="s">
        <v>9903</v>
      </c>
      <c r="I203" t="s">
        <v>238</v>
      </c>
      <c r="M203" t="s">
        <v>1686</v>
      </c>
      <c r="N203" t="s">
        <v>33</v>
      </c>
    </row>
    <row r="204" spans="1:14" x14ac:dyDescent="0.35">
      <c r="A204" t="s">
        <v>20</v>
      </c>
      <c r="B204">
        <v>17644</v>
      </c>
      <c r="C204" t="s">
        <v>21</v>
      </c>
      <c r="D204" t="s">
        <v>22</v>
      </c>
      <c r="E204" t="s">
        <v>9904</v>
      </c>
      <c r="F204" t="s">
        <v>9905</v>
      </c>
      <c r="G204" t="s">
        <v>9906</v>
      </c>
      <c r="H204" t="s">
        <v>9907</v>
      </c>
      <c r="I204" t="s">
        <v>238</v>
      </c>
      <c r="M204" t="s">
        <v>1686</v>
      </c>
      <c r="N204" t="s">
        <v>33</v>
      </c>
    </row>
    <row r="205" spans="1:14" x14ac:dyDescent="0.35">
      <c r="A205" t="s">
        <v>20</v>
      </c>
      <c r="B205">
        <v>17644</v>
      </c>
      <c r="C205" t="s">
        <v>21</v>
      </c>
      <c r="D205" t="s">
        <v>22</v>
      </c>
      <c r="E205" t="s">
        <v>9908</v>
      </c>
      <c r="F205" t="s">
        <v>9909</v>
      </c>
      <c r="G205" t="s">
        <v>1480</v>
      </c>
      <c r="H205" t="s">
        <v>9910</v>
      </c>
      <c r="I205" t="s">
        <v>238</v>
      </c>
      <c r="M205" t="s">
        <v>1686</v>
      </c>
      <c r="N205" t="s">
        <v>33</v>
      </c>
    </row>
    <row r="206" spans="1:14" x14ac:dyDescent="0.35">
      <c r="A206" t="s">
        <v>20</v>
      </c>
      <c r="B206">
        <v>17644</v>
      </c>
      <c r="C206" t="s">
        <v>21</v>
      </c>
      <c r="D206" t="s">
        <v>22</v>
      </c>
      <c r="E206" t="s">
        <v>9911</v>
      </c>
      <c r="F206" t="s">
        <v>9912</v>
      </c>
      <c r="G206" t="s">
        <v>9913</v>
      </c>
      <c r="H206" t="s">
        <v>9914</v>
      </c>
      <c r="I206" t="s">
        <v>238</v>
      </c>
      <c r="M206" t="s">
        <v>1686</v>
      </c>
      <c r="N206" t="s">
        <v>33</v>
      </c>
    </row>
    <row r="207" spans="1:14" x14ac:dyDescent="0.35">
      <c r="A207" t="s">
        <v>20</v>
      </c>
      <c r="B207">
        <v>17644</v>
      </c>
      <c r="C207" t="s">
        <v>21</v>
      </c>
      <c r="D207" t="s">
        <v>22</v>
      </c>
      <c r="E207" t="s">
        <v>9915</v>
      </c>
      <c r="F207" t="s">
        <v>9916</v>
      </c>
      <c r="G207" t="s">
        <v>9917</v>
      </c>
      <c r="H207" t="s">
        <v>9918</v>
      </c>
      <c r="I207" t="s">
        <v>238</v>
      </c>
      <c r="M207" t="s">
        <v>1686</v>
      </c>
      <c r="N207" t="s">
        <v>33</v>
      </c>
    </row>
    <row r="208" spans="1:14" x14ac:dyDescent="0.35">
      <c r="A208" t="s">
        <v>20</v>
      </c>
      <c r="B208">
        <v>17644</v>
      </c>
      <c r="C208" t="s">
        <v>21</v>
      </c>
      <c r="D208" t="s">
        <v>22</v>
      </c>
      <c r="E208" t="s">
        <v>9919</v>
      </c>
      <c r="F208" t="s">
        <v>9920</v>
      </c>
      <c r="G208" t="s">
        <v>9921</v>
      </c>
      <c r="H208" t="s">
        <v>9922</v>
      </c>
      <c r="I208" t="s">
        <v>238</v>
      </c>
      <c r="M208" t="s">
        <v>1686</v>
      </c>
      <c r="N208" t="s">
        <v>33</v>
      </c>
    </row>
    <row r="209" spans="1:14" x14ac:dyDescent="0.35">
      <c r="A209" t="s">
        <v>20</v>
      </c>
      <c r="B209">
        <v>17644</v>
      </c>
      <c r="C209" t="s">
        <v>21</v>
      </c>
      <c r="D209" t="s">
        <v>22</v>
      </c>
      <c r="E209" t="s">
        <v>9923</v>
      </c>
      <c r="F209" t="s">
        <v>9924</v>
      </c>
      <c r="G209" t="s">
        <v>9925</v>
      </c>
      <c r="H209" t="s">
        <v>9926</v>
      </c>
      <c r="I209" t="s">
        <v>238</v>
      </c>
      <c r="M209" t="s">
        <v>1686</v>
      </c>
      <c r="N209" t="s">
        <v>33</v>
      </c>
    </row>
    <row r="210" spans="1:14" x14ac:dyDescent="0.35">
      <c r="A210" t="s">
        <v>20</v>
      </c>
      <c r="B210">
        <v>17644</v>
      </c>
      <c r="C210" t="s">
        <v>21</v>
      </c>
      <c r="D210" t="s">
        <v>22</v>
      </c>
      <c r="E210" t="s">
        <v>9927</v>
      </c>
      <c r="F210" t="s">
        <v>9928</v>
      </c>
      <c r="G210" t="s">
        <v>9929</v>
      </c>
      <c r="H210" t="s">
        <v>9930</v>
      </c>
      <c r="I210" t="s">
        <v>238</v>
      </c>
      <c r="M210" t="s">
        <v>1686</v>
      </c>
      <c r="N210" t="s">
        <v>33</v>
      </c>
    </row>
    <row r="211" spans="1:14" x14ac:dyDescent="0.35">
      <c r="A211" t="s">
        <v>20</v>
      </c>
      <c r="B211">
        <v>17644</v>
      </c>
      <c r="C211" t="s">
        <v>21</v>
      </c>
      <c r="D211" t="s">
        <v>22</v>
      </c>
      <c r="E211" t="s">
        <v>9931</v>
      </c>
      <c r="F211" t="s">
        <v>9932</v>
      </c>
      <c r="G211" t="s">
        <v>9933</v>
      </c>
      <c r="H211" t="s">
        <v>9934</v>
      </c>
      <c r="I211" t="s">
        <v>238</v>
      </c>
      <c r="M211" t="s">
        <v>1686</v>
      </c>
      <c r="N211" t="s">
        <v>33</v>
      </c>
    </row>
    <row r="212" spans="1:14" x14ac:dyDescent="0.35">
      <c r="A212" t="s">
        <v>20</v>
      </c>
      <c r="B212">
        <v>17644</v>
      </c>
      <c r="C212" t="s">
        <v>21</v>
      </c>
      <c r="D212" t="s">
        <v>22</v>
      </c>
      <c r="E212" t="s">
        <v>9935</v>
      </c>
      <c r="F212" t="s">
        <v>9936</v>
      </c>
      <c r="G212" t="s">
        <v>9937</v>
      </c>
      <c r="H212" t="s">
        <v>9938</v>
      </c>
      <c r="I212" t="s">
        <v>238</v>
      </c>
      <c r="M212" t="s">
        <v>1686</v>
      </c>
      <c r="N212" t="s">
        <v>33</v>
      </c>
    </row>
    <row r="213" spans="1:14" x14ac:dyDescent="0.35">
      <c r="A213" t="s">
        <v>20</v>
      </c>
      <c r="B213">
        <v>17644</v>
      </c>
      <c r="C213" t="s">
        <v>21</v>
      </c>
      <c r="D213" t="s">
        <v>22</v>
      </c>
      <c r="E213" t="s">
        <v>9939</v>
      </c>
      <c r="F213" t="s">
        <v>9940</v>
      </c>
      <c r="G213" t="s">
        <v>9941</v>
      </c>
      <c r="H213" t="s">
        <v>9942</v>
      </c>
      <c r="I213" t="s">
        <v>238</v>
      </c>
      <c r="M213" t="s">
        <v>1686</v>
      </c>
      <c r="N213" t="s">
        <v>33</v>
      </c>
    </row>
    <row r="214" spans="1:14" x14ac:dyDescent="0.35">
      <c r="A214" t="s">
        <v>20</v>
      </c>
      <c r="B214">
        <v>17644</v>
      </c>
      <c r="C214" t="s">
        <v>21</v>
      </c>
      <c r="D214" t="s">
        <v>22</v>
      </c>
      <c r="E214" t="s">
        <v>9943</v>
      </c>
      <c r="F214" t="s">
        <v>9944</v>
      </c>
      <c r="G214" t="s">
        <v>9945</v>
      </c>
      <c r="H214" t="s">
        <v>9946</v>
      </c>
      <c r="I214" t="s">
        <v>238</v>
      </c>
      <c r="M214" t="s">
        <v>1686</v>
      </c>
      <c r="N214" t="s">
        <v>33</v>
      </c>
    </row>
    <row r="215" spans="1:14" x14ac:dyDescent="0.35">
      <c r="A215" t="s">
        <v>20</v>
      </c>
      <c r="B215">
        <v>17644</v>
      </c>
      <c r="C215" t="s">
        <v>21</v>
      </c>
      <c r="D215" t="s">
        <v>22</v>
      </c>
      <c r="E215" t="s">
        <v>9947</v>
      </c>
      <c r="F215" t="s">
        <v>9948</v>
      </c>
      <c r="G215" t="s">
        <v>9949</v>
      </c>
      <c r="H215" t="s">
        <v>9950</v>
      </c>
      <c r="I215" t="s">
        <v>238</v>
      </c>
      <c r="M215" t="s">
        <v>1686</v>
      </c>
      <c r="N215" t="s">
        <v>33</v>
      </c>
    </row>
    <row r="216" spans="1:14" x14ac:dyDescent="0.35">
      <c r="A216" t="s">
        <v>20</v>
      </c>
      <c r="B216">
        <v>17644</v>
      </c>
      <c r="C216" t="s">
        <v>21</v>
      </c>
      <c r="D216" t="s">
        <v>22</v>
      </c>
      <c r="E216" t="s">
        <v>9951</v>
      </c>
      <c r="F216" t="s">
        <v>9952</v>
      </c>
      <c r="G216" t="s">
        <v>9953</v>
      </c>
      <c r="H216" t="s">
        <v>9954</v>
      </c>
      <c r="I216" t="s">
        <v>238</v>
      </c>
      <c r="M216" t="s">
        <v>1686</v>
      </c>
      <c r="N216" t="s">
        <v>33</v>
      </c>
    </row>
    <row r="217" spans="1:14" x14ac:dyDescent="0.35">
      <c r="A217" t="s">
        <v>20</v>
      </c>
      <c r="B217">
        <v>17644</v>
      </c>
      <c r="C217" t="s">
        <v>21</v>
      </c>
      <c r="D217" t="s">
        <v>22</v>
      </c>
      <c r="E217" t="s">
        <v>9955</v>
      </c>
      <c r="F217" t="s">
        <v>9956</v>
      </c>
      <c r="G217" t="s">
        <v>9957</v>
      </c>
      <c r="H217" t="s">
        <v>9958</v>
      </c>
      <c r="I217" t="s">
        <v>238</v>
      </c>
      <c r="M217" t="s">
        <v>1686</v>
      </c>
      <c r="N217" t="s">
        <v>33</v>
      </c>
    </row>
    <row r="218" spans="1:14" x14ac:dyDescent="0.35">
      <c r="A218" t="s">
        <v>20</v>
      </c>
      <c r="B218">
        <v>17644</v>
      </c>
      <c r="C218" t="s">
        <v>21</v>
      </c>
      <c r="D218" t="s">
        <v>22</v>
      </c>
      <c r="E218" t="s">
        <v>9959</v>
      </c>
      <c r="F218" t="s">
        <v>9960</v>
      </c>
      <c r="G218" t="s">
        <v>9961</v>
      </c>
      <c r="H218" t="s">
        <v>9962</v>
      </c>
      <c r="I218" t="s">
        <v>238</v>
      </c>
      <c r="M218" t="s">
        <v>1686</v>
      </c>
      <c r="N218" t="s">
        <v>33</v>
      </c>
    </row>
    <row r="219" spans="1:14" x14ac:dyDescent="0.35">
      <c r="A219" t="s">
        <v>20</v>
      </c>
      <c r="B219">
        <v>17644</v>
      </c>
      <c r="C219" t="s">
        <v>21</v>
      </c>
      <c r="D219" t="s">
        <v>22</v>
      </c>
      <c r="E219" t="s">
        <v>9963</v>
      </c>
      <c r="F219" t="s">
        <v>9964</v>
      </c>
      <c r="G219" t="s">
        <v>9965</v>
      </c>
      <c r="H219" t="s">
        <v>9966</v>
      </c>
      <c r="I219" t="s">
        <v>238</v>
      </c>
      <c r="M219" t="s">
        <v>1686</v>
      </c>
      <c r="N219" t="s">
        <v>33</v>
      </c>
    </row>
    <row r="220" spans="1:14" x14ac:dyDescent="0.35">
      <c r="A220" t="s">
        <v>20</v>
      </c>
      <c r="B220">
        <v>17644</v>
      </c>
      <c r="C220" t="s">
        <v>21</v>
      </c>
      <c r="D220" t="s">
        <v>22</v>
      </c>
      <c r="E220" t="s">
        <v>9967</v>
      </c>
      <c r="F220" t="s">
        <v>9968</v>
      </c>
      <c r="G220" t="s">
        <v>9969</v>
      </c>
      <c r="H220" t="s">
        <v>9970</v>
      </c>
      <c r="I220" t="s">
        <v>238</v>
      </c>
      <c r="M220" t="s">
        <v>1686</v>
      </c>
      <c r="N220" t="s">
        <v>33</v>
      </c>
    </row>
    <row r="221" spans="1:14" x14ac:dyDescent="0.35">
      <c r="A221" t="s">
        <v>20</v>
      </c>
      <c r="B221">
        <v>17644</v>
      </c>
      <c r="C221" t="s">
        <v>21</v>
      </c>
      <c r="D221" t="s">
        <v>22</v>
      </c>
      <c r="E221" t="s">
        <v>9971</v>
      </c>
      <c r="F221" t="s">
        <v>9972</v>
      </c>
      <c r="G221" t="s">
        <v>9973</v>
      </c>
      <c r="H221" t="s">
        <v>9974</v>
      </c>
      <c r="I221" t="s">
        <v>238</v>
      </c>
      <c r="M221" t="s">
        <v>1686</v>
      </c>
      <c r="N221" t="s">
        <v>33</v>
      </c>
    </row>
    <row r="222" spans="1:14" x14ac:dyDescent="0.35">
      <c r="A222" t="s">
        <v>20</v>
      </c>
      <c r="B222">
        <v>17644</v>
      </c>
      <c r="C222" t="s">
        <v>21</v>
      </c>
      <c r="D222" t="s">
        <v>22</v>
      </c>
      <c r="E222" t="s">
        <v>9975</v>
      </c>
      <c r="F222" t="s">
        <v>9976</v>
      </c>
      <c r="G222" t="s">
        <v>9977</v>
      </c>
      <c r="H222" t="s">
        <v>9978</v>
      </c>
      <c r="I222" t="s">
        <v>238</v>
      </c>
      <c r="M222" t="s">
        <v>1686</v>
      </c>
      <c r="N222" t="s">
        <v>33</v>
      </c>
    </row>
    <row r="223" spans="1:14" x14ac:dyDescent="0.35">
      <c r="A223" t="s">
        <v>20</v>
      </c>
      <c r="B223">
        <v>17644</v>
      </c>
      <c r="C223" t="s">
        <v>21</v>
      </c>
      <c r="D223" t="s">
        <v>22</v>
      </c>
      <c r="E223" t="s">
        <v>9979</v>
      </c>
      <c r="F223" t="s">
        <v>9980</v>
      </c>
      <c r="G223" t="s">
        <v>9981</v>
      </c>
      <c r="H223" t="s">
        <v>9982</v>
      </c>
      <c r="I223" t="s">
        <v>238</v>
      </c>
      <c r="M223" t="s">
        <v>1686</v>
      </c>
      <c r="N223" t="s">
        <v>33</v>
      </c>
    </row>
    <row r="224" spans="1:14" x14ac:dyDescent="0.35">
      <c r="A224" t="s">
        <v>20</v>
      </c>
      <c r="B224">
        <v>17644</v>
      </c>
      <c r="C224" t="s">
        <v>21</v>
      </c>
      <c r="D224" t="s">
        <v>22</v>
      </c>
      <c r="E224" t="s">
        <v>9983</v>
      </c>
      <c r="F224" t="s">
        <v>9984</v>
      </c>
      <c r="G224" t="s">
        <v>9985</v>
      </c>
      <c r="H224" t="s">
        <v>9986</v>
      </c>
      <c r="I224" t="s">
        <v>238</v>
      </c>
      <c r="M224" t="s">
        <v>1686</v>
      </c>
      <c r="N224" t="s">
        <v>33</v>
      </c>
    </row>
    <row r="225" spans="1:15" x14ac:dyDescent="0.35">
      <c r="A225" t="s">
        <v>20</v>
      </c>
      <c r="B225">
        <v>17644</v>
      </c>
      <c r="C225" t="s">
        <v>21</v>
      </c>
      <c r="D225" t="s">
        <v>22</v>
      </c>
      <c r="E225" t="s">
        <v>9987</v>
      </c>
      <c r="F225" t="s">
        <v>9988</v>
      </c>
      <c r="G225" t="s">
        <v>9989</v>
      </c>
      <c r="H225" t="s">
        <v>9990</v>
      </c>
      <c r="I225" t="s">
        <v>238</v>
      </c>
      <c r="M225" t="s">
        <v>1686</v>
      </c>
      <c r="N225" t="s">
        <v>33</v>
      </c>
    </row>
    <row r="226" spans="1:15" x14ac:dyDescent="0.35">
      <c r="A226" t="s">
        <v>20</v>
      </c>
      <c r="B226">
        <v>17644</v>
      </c>
      <c r="C226" t="s">
        <v>21</v>
      </c>
      <c r="D226" t="s">
        <v>22</v>
      </c>
      <c r="E226" t="s">
        <v>9991</v>
      </c>
      <c r="F226" t="s">
        <v>9992</v>
      </c>
      <c r="G226" t="s">
        <v>9993</v>
      </c>
      <c r="H226" t="s">
        <v>9994</v>
      </c>
      <c r="I226" t="s">
        <v>238</v>
      </c>
      <c r="M226" t="s">
        <v>1686</v>
      </c>
      <c r="N226" t="s">
        <v>33</v>
      </c>
    </row>
    <row r="227" spans="1:15" x14ac:dyDescent="0.35">
      <c r="A227" t="s">
        <v>20</v>
      </c>
      <c r="B227">
        <v>17644</v>
      </c>
      <c r="C227" t="s">
        <v>21</v>
      </c>
      <c r="D227" t="s">
        <v>22</v>
      </c>
      <c r="E227" t="s">
        <v>9995</v>
      </c>
      <c r="F227" t="s">
        <v>9996</v>
      </c>
      <c r="G227" t="s">
        <v>9997</v>
      </c>
      <c r="H227" t="s">
        <v>9998</v>
      </c>
      <c r="I227" t="s">
        <v>238</v>
      </c>
      <c r="M227" t="s">
        <v>1686</v>
      </c>
      <c r="N227" t="s">
        <v>33</v>
      </c>
    </row>
    <row r="228" spans="1:15" x14ac:dyDescent="0.35">
      <c r="A228" t="s">
        <v>20</v>
      </c>
      <c r="B228">
        <v>17644</v>
      </c>
      <c r="C228" t="s">
        <v>21</v>
      </c>
      <c r="D228" t="s">
        <v>22</v>
      </c>
      <c r="E228" t="s">
        <v>9999</v>
      </c>
      <c r="F228" t="s">
        <v>10000</v>
      </c>
      <c r="G228" t="s">
        <v>10001</v>
      </c>
      <c r="H228" t="s">
        <v>10002</v>
      </c>
      <c r="I228" t="s">
        <v>238</v>
      </c>
      <c r="M228" t="s">
        <v>1686</v>
      </c>
      <c r="N228" t="s">
        <v>33</v>
      </c>
    </row>
    <row r="229" spans="1:15" x14ac:dyDescent="0.35">
      <c r="A229" t="s">
        <v>20</v>
      </c>
      <c r="B229">
        <v>17644</v>
      </c>
      <c r="C229" t="s">
        <v>21</v>
      </c>
      <c r="D229" t="s">
        <v>22</v>
      </c>
      <c r="E229" t="s">
        <v>10003</v>
      </c>
      <c r="F229" t="s">
        <v>10004</v>
      </c>
      <c r="G229" t="s">
        <v>10005</v>
      </c>
      <c r="H229" t="s">
        <v>10006</v>
      </c>
      <c r="I229" t="s">
        <v>238</v>
      </c>
      <c r="M229" t="s">
        <v>1686</v>
      </c>
      <c r="N229" t="s">
        <v>33</v>
      </c>
    </row>
    <row r="230" spans="1:15" x14ac:dyDescent="0.35">
      <c r="A230" t="s">
        <v>20</v>
      </c>
      <c r="B230">
        <v>17644</v>
      </c>
      <c r="C230" t="s">
        <v>21</v>
      </c>
      <c r="D230" t="s">
        <v>22</v>
      </c>
      <c r="E230" t="s">
        <v>10007</v>
      </c>
      <c r="F230" t="s">
        <v>10008</v>
      </c>
      <c r="G230" t="s">
        <v>10009</v>
      </c>
      <c r="H230" t="s">
        <v>10010</v>
      </c>
      <c r="I230" t="s">
        <v>238</v>
      </c>
      <c r="M230" t="s">
        <v>1686</v>
      </c>
      <c r="N230" t="s">
        <v>33</v>
      </c>
    </row>
    <row r="231" spans="1:15" x14ac:dyDescent="0.35">
      <c r="A231" t="s">
        <v>20</v>
      </c>
      <c r="B231">
        <v>17644</v>
      </c>
      <c r="C231" t="s">
        <v>21</v>
      </c>
      <c r="D231" t="s">
        <v>22</v>
      </c>
      <c r="E231" t="s">
        <v>10011</v>
      </c>
      <c r="F231" t="s">
        <v>10012</v>
      </c>
      <c r="G231" t="s">
        <v>10013</v>
      </c>
      <c r="H231" t="s">
        <v>10014</v>
      </c>
      <c r="I231" t="s">
        <v>238</v>
      </c>
      <c r="M231" t="s">
        <v>1686</v>
      </c>
      <c r="N231" t="s">
        <v>33</v>
      </c>
    </row>
    <row r="232" spans="1:15" x14ac:dyDescent="0.35">
      <c r="A232" t="s">
        <v>20</v>
      </c>
      <c r="B232">
        <v>17644</v>
      </c>
      <c r="C232" t="s">
        <v>21</v>
      </c>
      <c r="D232" t="s">
        <v>22</v>
      </c>
      <c r="E232" t="s">
        <v>10015</v>
      </c>
      <c r="F232" t="s">
        <v>10016</v>
      </c>
      <c r="G232" t="s">
        <v>10017</v>
      </c>
      <c r="H232" t="s">
        <v>10018</v>
      </c>
      <c r="I232" t="s">
        <v>238</v>
      </c>
      <c r="M232" t="s">
        <v>1686</v>
      </c>
      <c r="N232" t="s">
        <v>33</v>
      </c>
    </row>
    <row r="233" spans="1:15" x14ac:dyDescent="0.35">
      <c r="A233" t="s">
        <v>20</v>
      </c>
      <c r="B233">
        <v>17644</v>
      </c>
      <c r="C233" t="s">
        <v>21</v>
      </c>
      <c r="D233" t="s">
        <v>22</v>
      </c>
      <c r="E233" t="s">
        <v>10019</v>
      </c>
      <c r="F233" t="s">
        <v>10020</v>
      </c>
      <c r="G233" t="s">
        <v>10021</v>
      </c>
      <c r="H233" t="s">
        <v>10022</v>
      </c>
      <c r="I233" t="s">
        <v>238</v>
      </c>
      <c r="M233" t="s">
        <v>1686</v>
      </c>
      <c r="N233" t="s">
        <v>33</v>
      </c>
    </row>
    <row r="234" spans="1:15" x14ac:dyDescent="0.35">
      <c r="A234" t="s">
        <v>20</v>
      </c>
      <c r="B234">
        <v>17644</v>
      </c>
      <c r="C234" t="s">
        <v>21</v>
      </c>
      <c r="D234" t="s">
        <v>22</v>
      </c>
      <c r="E234" t="s">
        <v>10023</v>
      </c>
      <c r="F234" t="s">
        <v>10024</v>
      </c>
      <c r="G234" t="s">
        <v>10025</v>
      </c>
      <c r="H234" t="s">
        <v>10026</v>
      </c>
      <c r="I234" t="s">
        <v>238</v>
      </c>
      <c r="M234" t="s">
        <v>1686</v>
      </c>
      <c r="N234" t="s">
        <v>33</v>
      </c>
    </row>
    <row r="235" spans="1:15" x14ac:dyDescent="0.35">
      <c r="A235" t="s">
        <v>20</v>
      </c>
      <c r="B235">
        <v>17644</v>
      </c>
      <c r="C235" t="s">
        <v>21</v>
      </c>
      <c r="D235" t="s">
        <v>22</v>
      </c>
      <c r="E235" t="s">
        <v>10027</v>
      </c>
      <c r="F235" t="s">
        <v>10028</v>
      </c>
      <c r="G235" t="s">
        <v>10029</v>
      </c>
      <c r="H235" t="s">
        <v>10030</v>
      </c>
      <c r="I235" t="s">
        <v>238</v>
      </c>
      <c r="M235" t="s">
        <v>1686</v>
      </c>
      <c r="N235" t="s">
        <v>33</v>
      </c>
    </row>
    <row r="236" spans="1:15" x14ac:dyDescent="0.35">
      <c r="A236" t="s">
        <v>20</v>
      </c>
      <c r="B236">
        <v>17644</v>
      </c>
      <c r="C236" t="s">
        <v>21</v>
      </c>
      <c r="D236" t="s">
        <v>22</v>
      </c>
      <c r="E236" t="s">
        <v>10031</v>
      </c>
      <c r="F236" t="s">
        <v>10032</v>
      </c>
      <c r="G236" t="s">
        <v>10033</v>
      </c>
      <c r="H236" t="s">
        <v>10034</v>
      </c>
      <c r="I236" t="s">
        <v>238</v>
      </c>
      <c r="M236" t="s">
        <v>1686</v>
      </c>
      <c r="N236" t="s">
        <v>33</v>
      </c>
    </row>
    <row r="237" spans="1:15" x14ac:dyDescent="0.35">
      <c r="A237" t="s">
        <v>20</v>
      </c>
      <c r="B237">
        <v>17644</v>
      </c>
      <c r="C237" t="s">
        <v>21</v>
      </c>
      <c r="D237" t="s">
        <v>22</v>
      </c>
      <c r="E237" t="s">
        <v>10035</v>
      </c>
      <c r="F237" t="s">
        <v>10036</v>
      </c>
      <c r="G237" t="s">
        <v>10037</v>
      </c>
      <c r="H237" t="s">
        <v>10038</v>
      </c>
      <c r="I237" t="s">
        <v>238</v>
      </c>
      <c r="M237" t="s">
        <v>1686</v>
      </c>
      <c r="N237" t="s">
        <v>33</v>
      </c>
    </row>
    <row r="238" spans="1:15" x14ac:dyDescent="0.35">
      <c r="A238" t="s">
        <v>20</v>
      </c>
      <c r="B238">
        <v>17643</v>
      </c>
      <c r="C238" t="s">
        <v>426</v>
      </c>
      <c r="D238" t="s">
        <v>427</v>
      </c>
      <c r="E238" t="s">
        <v>9099</v>
      </c>
      <c r="F238" t="s">
        <v>10039</v>
      </c>
      <c r="G238" t="s">
        <v>10040</v>
      </c>
      <c r="H238" t="s">
        <v>10041</v>
      </c>
      <c r="I238" t="s">
        <v>557</v>
      </c>
      <c r="N238" t="s">
        <v>33</v>
      </c>
      <c r="O238" t="s">
        <v>432</v>
      </c>
    </row>
    <row r="239" spans="1:15" x14ac:dyDescent="0.35">
      <c r="A239" t="s">
        <v>20</v>
      </c>
      <c r="B239">
        <v>17643</v>
      </c>
      <c r="C239" t="s">
        <v>426</v>
      </c>
      <c r="D239" t="s">
        <v>427</v>
      </c>
      <c r="E239" t="s">
        <v>9103</v>
      </c>
      <c r="F239" t="s">
        <v>10042</v>
      </c>
      <c r="G239" t="s">
        <v>10043</v>
      </c>
      <c r="H239" t="s">
        <v>10044</v>
      </c>
      <c r="I239" t="s">
        <v>557</v>
      </c>
      <c r="N239" t="s">
        <v>33</v>
      </c>
      <c r="O239" t="s">
        <v>432</v>
      </c>
    </row>
    <row r="240" spans="1:15" x14ac:dyDescent="0.35">
      <c r="A240" t="s">
        <v>20</v>
      </c>
      <c r="B240">
        <v>17643</v>
      </c>
      <c r="C240" t="s">
        <v>426</v>
      </c>
      <c r="D240" t="s">
        <v>427</v>
      </c>
      <c r="E240" t="s">
        <v>9107</v>
      </c>
      <c r="F240" t="s">
        <v>10045</v>
      </c>
      <c r="G240" t="s">
        <v>10046</v>
      </c>
      <c r="H240" t="s">
        <v>10047</v>
      </c>
      <c r="I240" t="s">
        <v>557</v>
      </c>
      <c r="N240" t="s">
        <v>33</v>
      </c>
      <c r="O240" t="s">
        <v>432</v>
      </c>
    </row>
    <row r="241" spans="1:15" x14ac:dyDescent="0.35">
      <c r="A241" t="s">
        <v>20</v>
      </c>
      <c r="B241">
        <v>17643</v>
      </c>
      <c r="C241" t="s">
        <v>426</v>
      </c>
      <c r="D241" t="s">
        <v>427</v>
      </c>
      <c r="E241" t="s">
        <v>9111</v>
      </c>
      <c r="F241" t="s">
        <v>10048</v>
      </c>
      <c r="G241" t="s">
        <v>10049</v>
      </c>
      <c r="H241" t="s">
        <v>10050</v>
      </c>
      <c r="I241" t="s">
        <v>557</v>
      </c>
      <c r="N241" t="s">
        <v>33</v>
      </c>
      <c r="O241" t="s">
        <v>432</v>
      </c>
    </row>
    <row r="242" spans="1:15" x14ac:dyDescent="0.35">
      <c r="A242" t="s">
        <v>20</v>
      </c>
      <c r="B242">
        <v>17643</v>
      </c>
      <c r="C242" t="s">
        <v>426</v>
      </c>
      <c r="D242" t="s">
        <v>427</v>
      </c>
      <c r="E242" t="s">
        <v>9115</v>
      </c>
      <c r="F242" t="s">
        <v>10051</v>
      </c>
      <c r="G242" t="s">
        <v>10052</v>
      </c>
      <c r="H242" t="s">
        <v>10053</v>
      </c>
      <c r="I242" t="s">
        <v>557</v>
      </c>
      <c r="N242" t="s">
        <v>33</v>
      </c>
      <c r="O242" t="s">
        <v>432</v>
      </c>
    </row>
    <row r="243" spans="1:15" x14ac:dyDescent="0.35">
      <c r="A243" t="s">
        <v>20</v>
      </c>
      <c r="B243">
        <v>17643</v>
      </c>
      <c r="C243" t="s">
        <v>426</v>
      </c>
      <c r="D243" t="s">
        <v>427</v>
      </c>
      <c r="E243" t="s">
        <v>9119</v>
      </c>
      <c r="F243" t="s">
        <v>10054</v>
      </c>
      <c r="G243" t="s">
        <v>10055</v>
      </c>
      <c r="H243" t="s">
        <v>10056</v>
      </c>
      <c r="I243" t="s">
        <v>557</v>
      </c>
      <c r="N243" t="s">
        <v>33</v>
      </c>
      <c r="O243" t="s">
        <v>432</v>
      </c>
    </row>
    <row r="244" spans="1:15" x14ac:dyDescent="0.35">
      <c r="A244" t="s">
        <v>20</v>
      </c>
      <c r="B244">
        <v>17643</v>
      </c>
      <c r="C244" t="s">
        <v>426</v>
      </c>
      <c r="D244" t="s">
        <v>427</v>
      </c>
      <c r="E244" t="s">
        <v>9123</v>
      </c>
      <c r="F244" t="s">
        <v>10057</v>
      </c>
      <c r="G244" t="s">
        <v>10058</v>
      </c>
      <c r="H244" t="s">
        <v>10059</v>
      </c>
      <c r="I244" t="s">
        <v>557</v>
      </c>
      <c r="N244" t="s">
        <v>33</v>
      </c>
      <c r="O244" t="s">
        <v>432</v>
      </c>
    </row>
    <row r="245" spans="1:15" x14ac:dyDescent="0.35">
      <c r="A245" t="s">
        <v>20</v>
      </c>
      <c r="B245">
        <v>17643</v>
      </c>
      <c r="C245" t="s">
        <v>426</v>
      </c>
      <c r="D245" t="s">
        <v>427</v>
      </c>
      <c r="E245" t="s">
        <v>9127</v>
      </c>
      <c r="F245" t="s">
        <v>10060</v>
      </c>
      <c r="G245" t="s">
        <v>10061</v>
      </c>
      <c r="H245" t="s">
        <v>10062</v>
      </c>
      <c r="I245" t="s">
        <v>557</v>
      </c>
      <c r="N245" t="s">
        <v>33</v>
      </c>
      <c r="O245" t="s">
        <v>432</v>
      </c>
    </row>
    <row r="246" spans="1:15" x14ac:dyDescent="0.35">
      <c r="A246" t="s">
        <v>20</v>
      </c>
      <c r="B246">
        <v>17643</v>
      </c>
      <c r="C246" t="s">
        <v>426</v>
      </c>
      <c r="D246" t="s">
        <v>427</v>
      </c>
      <c r="E246" t="s">
        <v>9131</v>
      </c>
      <c r="F246" t="s">
        <v>10063</v>
      </c>
      <c r="G246" t="s">
        <v>10064</v>
      </c>
      <c r="H246" t="s">
        <v>10065</v>
      </c>
      <c r="I246" t="s">
        <v>557</v>
      </c>
      <c r="N246" t="s">
        <v>33</v>
      </c>
      <c r="O246" t="s">
        <v>432</v>
      </c>
    </row>
    <row r="247" spans="1:15" x14ac:dyDescent="0.35">
      <c r="A247" t="s">
        <v>20</v>
      </c>
      <c r="B247">
        <v>17643</v>
      </c>
      <c r="C247" t="s">
        <v>426</v>
      </c>
      <c r="D247" t="s">
        <v>427</v>
      </c>
      <c r="E247" t="s">
        <v>9135</v>
      </c>
      <c r="F247" t="s">
        <v>10066</v>
      </c>
      <c r="G247" t="s">
        <v>10067</v>
      </c>
      <c r="H247" t="s">
        <v>10068</v>
      </c>
      <c r="I247" t="s">
        <v>557</v>
      </c>
      <c r="N247" t="s">
        <v>33</v>
      </c>
      <c r="O247" t="s">
        <v>432</v>
      </c>
    </row>
    <row r="248" spans="1:15" x14ac:dyDescent="0.35">
      <c r="A248" t="s">
        <v>20</v>
      </c>
      <c r="B248">
        <v>17643</v>
      </c>
      <c r="C248" t="s">
        <v>426</v>
      </c>
      <c r="D248" t="s">
        <v>427</v>
      </c>
      <c r="E248" t="s">
        <v>9139</v>
      </c>
      <c r="F248" t="s">
        <v>10069</v>
      </c>
      <c r="G248" t="s">
        <v>10070</v>
      </c>
      <c r="H248" t="s">
        <v>10071</v>
      </c>
      <c r="I248" t="s">
        <v>557</v>
      </c>
      <c r="N248" t="s">
        <v>33</v>
      </c>
      <c r="O248" t="s">
        <v>432</v>
      </c>
    </row>
    <row r="249" spans="1:15" x14ac:dyDescent="0.35">
      <c r="A249" t="s">
        <v>20</v>
      </c>
      <c r="B249">
        <v>17643</v>
      </c>
      <c r="C249" t="s">
        <v>426</v>
      </c>
      <c r="D249" t="s">
        <v>427</v>
      </c>
      <c r="E249" t="s">
        <v>9143</v>
      </c>
      <c r="F249" t="s">
        <v>10072</v>
      </c>
      <c r="G249" t="s">
        <v>10073</v>
      </c>
      <c r="H249" t="s">
        <v>10074</v>
      </c>
      <c r="I249" t="s">
        <v>557</v>
      </c>
      <c r="N249" t="s">
        <v>33</v>
      </c>
      <c r="O249" t="s">
        <v>432</v>
      </c>
    </row>
    <row r="250" spans="1:15" x14ac:dyDescent="0.35">
      <c r="A250" t="s">
        <v>20</v>
      </c>
      <c r="B250">
        <v>17643</v>
      </c>
      <c r="C250" t="s">
        <v>426</v>
      </c>
      <c r="D250" t="s">
        <v>427</v>
      </c>
      <c r="E250" t="s">
        <v>9147</v>
      </c>
      <c r="F250" t="s">
        <v>10075</v>
      </c>
      <c r="G250" t="s">
        <v>10076</v>
      </c>
      <c r="H250" t="s">
        <v>10077</v>
      </c>
      <c r="I250" t="s">
        <v>557</v>
      </c>
      <c r="N250" t="s">
        <v>33</v>
      </c>
      <c r="O250" t="s">
        <v>432</v>
      </c>
    </row>
    <row r="251" spans="1:15" x14ac:dyDescent="0.35">
      <c r="A251" t="s">
        <v>20</v>
      </c>
      <c r="B251">
        <v>17643</v>
      </c>
      <c r="C251" t="s">
        <v>426</v>
      </c>
      <c r="D251" t="s">
        <v>427</v>
      </c>
      <c r="E251" t="s">
        <v>9151</v>
      </c>
      <c r="F251" t="s">
        <v>10078</v>
      </c>
      <c r="G251" t="s">
        <v>10079</v>
      </c>
      <c r="H251" t="s">
        <v>10080</v>
      </c>
      <c r="I251" t="s">
        <v>557</v>
      </c>
      <c r="N251" t="s">
        <v>33</v>
      </c>
      <c r="O251" t="s">
        <v>432</v>
      </c>
    </row>
    <row r="252" spans="1:15" x14ac:dyDescent="0.35">
      <c r="A252" t="s">
        <v>20</v>
      </c>
      <c r="B252">
        <v>17643</v>
      </c>
      <c r="C252" t="s">
        <v>426</v>
      </c>
      <c r="D252" t="s">
        <v>427</v>
      </c>
      <c r="E252" t="s">
        <v>9155</v>
      </c>
      <c r="F252" t="s">
        <v>10081</v>
      </c>
      <c r="G252" t="s">
        <v>10082</v>
      </c>
      <c r="H252" t="s">
        <v>10083</v>
      </c>
      <c r="I252" t="s">
        <v>557</v>
      </c>
      <c r="N252" t="s">
        <v>33</v>
      </c>
      <c r="O252" t="s">
        <v>432</v>
      </c>
    </row>
    <row r="253" spans="1:15" x14ac:dyDescent="0.35">
      <c r="A253" t="s">
        <v>20</v>
      </c>
      <c r="B253">
        <v>17643</v>
      </c>
      <c r="C253" t="s">
        <v>426</v>
      </c>
      <c r="D253" t="s">
        <v>427</v>
      </c>
      <c r="E253" t="s">
        <v>9159</v>
      </c>
      <c r="F253" t="s">
        <v>10084</v>
      </c>
      <c r="G253" t="s">
        <v>10085</v>
      </c>
      <c r="H253" t="s">
        <v>10086</v>
      </c>
      <c r="I253" t="s">
        <v>557</v>
      </c>
      <c r="N253" t="s">
        <v>33</v>
      </c>
      <c r="O253" t="s">
        <v>432</v>
      </c>
    </row>
    <row r="254" spans="1:15" x14ac:dyDescent="0.35">
      <c r="A254" t="s">
        <v>20</v>
      </c>
      <c r="B254">
        <v>17643</v>
      </c>
      <c r="C254" t="s">
        <v>426</v>
      </c>
      <c r="D254" t="s">
        <v>427</v>
      </c>
      <c r="E254" t="s">
        <v>9163</v>
      </c>
      <c r="F254" t="s">
        <v>10087</v>
      </c>
      <c r="G254" t="s">
        <v>10088</v>
      </c>
      <c r="H254" t="s">
        <v>10089</v>
      </c>
      <c r="I254" t="s">
        <v>557</v>
      </c>
      <c r="N254" t="s">
        <v>33</v>
      </c>
      <c r="O254" t="s">
        <v>432</v>
      </c>
    </row>
    <row r="255" spans="1:15" x14ac:dyDescent="0.35">
      <c r="A255" t="s">
        <v>20</v>
      </c>
      <c r="B255">
        <v>17643</v>
      </c>
      <c r="C255" t="s">
        <v>426</v>
      </c>
      <c r="D255" t="s">
        <v>427</v>
      </c>
      <c r="E255" t="s">
        <v>9167</v>
      </c>
      <c r="F255" t="s">
        <v>10090</v>
      </c>
      <c r="G255" t="s">
        <v>10091</v>
      </c>
      <c r="H255" t="s">
        <v>10092</v>
      </c>
      <c r="I255" t="s">
        <v>557</v>
      </c>
      <c r="N255" t="s">
        <v>33</v>
      </c>
      <c r="O255" t="s">
        <v>432</v>
      </c>
    </row>
    <row r="256" spans="1:15" x14ac:dyDescent="0.35">
      <c r="A256" t="s">
        <v>20</v>
      </c>
      <c r="B256">
        <v>17643</v>
      </c>
      <c r="C256" t="s">
        <v>426</v>
      </c>
      <c r="D256" t="s">
        <v>427</v>
      </c>
      <c r="E256" t="s">
        <v>9171</v>
      </c>
      <c r="F256" t="s">
        <v>10093</v>
      </c>
      <c r="G256" t="s">
        <v>10094</v>
      </c>
      <c r="H256" t="s">
        <v>10095</v>
      </c>
      <c r="I256" t="s">
        <v>557</v>
      </c>
      <c r="M256" t="s">
        <v>1681</v>
      </c>
      <c r="N256" t="s">
        <v>33</v>
      </c>
      <c r="O256" t="s">
        <v>432</v>
      </c>
    </row>
    <row r="257" spans="1:15" x14ac:dyDescent="0.35">
      <c r="A257" t="s">
        <v>20</v>
      </c>
      <c r="B257">
        <v>17643</v>
      </c>
      <c r="C257" t="s">
        <v>426</v>
      </c>
      <c r="D257" t="s">
        <v>427</v>
      </c>
      <c r="E257" t="s">
        <v>9175</v>
      </c>
      <c r="F257" t="s">
        <v>10096</v>
      </c>
      <c r="G257" t="s">
        <v>10097</v>
      </c>
      <c r="H257" t="s">
        <v>10098</v>
      </c>
      <c r="I257" t="s">
        <v>557</v>
      </c>
      <c r="N257" t="s">
        <v>33</v>
      </c>
      <c r="O257" t="s">
        <v>432</v>
      </c>
    </row>
    <row r="258" spans="1:15" x14ac:dyDescent="0.35">
      <c r="A258" t="s">
        <v>20</v>
      </c>
      <c r="B258">
        <v>17643</v>
      </c>
      <c r="C258" t="s">
        <v>426</v>
      </c>
      <c r="D258" t="s">
        <v>427</v>
      </c>
      <c r="E258" t="s">
        <v>9179</v>
      </c>
      <c r="F258" t="s">
        <v>10099</v>
      </c>
      <c r="G258" t="s">
        <v>10100</v>
      </c>
      <c r="H258" t="s">
        <v>10101</v>
      </c>
      <c r="I258" t="s">
        <v>557</v>
      </c>
      <c r="N258" t="s">
        <v>33</v>
      </c>
      <c r="O258" t="s">
        <v>432</v>
      </c>
    </row>
    <row r="259" spans="1:15" x14ac:dyDescent="0.35">
      <c r="A259" t="s">
        <v>20</v>
      </c>
      <c r="B259">
        <v>17643</v>
      </c>
      <c r="C259" t="s">
        <v>426</v>
      </c>
      <c r="D259" t="s">
        <v>427</v>
      </c>
      <c r="E259" t="s">
        <v>9183</v>
      </c>
      <c r="F259" t="s">
        <v>10102</v>
      </c>
      <c r="G259" t="s">
        <v>10103</v>
      </c>
      <c r="H259" t="s">
        <v>10104</v>
      </c>
      <c r="I259" t="s">
        <v>557</v>
      </c>
      <c r="N259" t="s">
        <v>33</v>
      </c>
      <c r="O259" t="s">
        <v>432</v>
      </c>
    </row>
    <row r="260" spans="1:15" x14ac:dyDescent="0.35">
      <c r="A260" t="s">
        <v>20</v>
      </c>
      <c r="B260">
        <v>17643</v>
      </c>
      <c r="C260" t="s">
        <v>426</v>
      </c>
      <c r="D260" t="s">
        <v>427</v>
      </c>
      <c r="E260" t="s">
        <v>9187</v>
      </c>
      <c r="F260" t="s">
        <v>10105</v>
      </c>
      <c r="G260" t="s">
        <v>10106</v>
      </c>
      <c r="H260" t="s">
        <v>10107</v>
      </c>
      <c r="I260" t="s">
        <v>557</v>
      </c>
      <c r="N260" t="s">
        <v>33</v>
      </c>
      <c r="O260" t="s">
        <v>432</v>
      </c>
    </row>
    <row r="261" spans="1:15" x14ac:dyDescent="0.35">
      <c r="A261" t="s">
        <v>20</v>
      </c>
      <c r="B261">
        <v>17643</v>
      </c>
      <c r="C261" t="s">
        <v>426</v>
      </c>
      <c r="D261" t="s">
        <v>427</v>
      </c>
      <c r="E261" t="s">
        <v>9191</v>
      </c>
      <c r="F261" t="s">
        <v>10108</v>
      </c>
      <c r="G261" t="s">
        <v>10109</v>
      </c>
      <c r="H261" t="s">
        <v>10110</v>
      </c>
      <c r="I261" t="s">
        <v>557</v>
      </c>
      <c r="M261" t="s">
        <v>1681</v>
      </c>
      <c r="N261" t="s">
        <v>33</v>
      </c>
      <c r="O261" t="s">
        <v>432</v>
      </c>
    </row>
    <row r="262" spans="1:15" x14ac:dyDescent="0.35">
      <c r="A262" t="s">
        <v>20</v>
      </c>
      <c r="B262">
        <v>17643</v>
      </c>
      <c r="C262" t="s">
        <v>426</v>
      </c>
      <c r="D262" t="s">
        <v>427</v>
      </c>
      <c r="E262" t="s">
        <v>9195</v>
      </c>
      <c r="F262" t="s">
        <v>10111</v>
      </c>
      <c r="G262" t="s">
        <v>10112</v>
      </c>
      <c r="H262" t="s">
        <v>10113</v>
      </c>
      <c r="I262" t="s">
        <v>557</v>
      </c>
      <c r="M262" t="s">
        <v>1681</v>
      </c>
      <c r="N262" t="s">
        <v>33</v>
      </c>
      <c r="O262" t="s">
        <v>432</v>
      </c>
    </row>
    <row r="263" spans="1:15" x14ac:dyDescent="0.35">
      <c r="A263" t="s">
        <v>20</v>
      </c>
      <c r="B263">
        <v>17643</v>
      </c>
      <c r="C263" t="s">
        <v>426</v>
      </c>
      <c r="D263" t="s">
        <v>427</v>
      </c>
      <c r="E263" t="s">
        <v>9199</v>
      </c>
      <c r="F263" t="s">
        <v>10114</v>
      </c>
      <c r="G263" t="s">
        <v>10115</v>
      </c>
      <c r="H263" t="s">
        <v>10116</v>
      </c>
      <c r="I263" t="s">
        <v>557</v>
      </c>
      <c r="M263" t="s">
        <v>1681</v>
      </c>
      <c r="N263" t="s">
        <v>33</v>
      </c>
      <c r="O263" t="s">
        <v>432</v>
      </c>
    </row>
    <row r="264" spans="1:15" x14ac:dyDescent="0.35">
      <c r="A264" t="s">
        <v>20</v>
      </c>
      <c r="B264">
        <v>17643</v>
      </c>
      <c r="C264" t="s">
        <v>426</v>
      </c>
      <c r="D264" t="s">
        <v>427</v>
      </c>
      <c r="E264" t="s">
        <v>9203</v>
      </c>
      <c r="F264" t="s">
        <v>10117</v>
      </c>
      <c r="G264" t="s">
        <v>10118</v>
      </c>
      <c r="H264" t="s">
        <v>10119</v>
      </c>
      <c r="I264" t="s">
        <v>557</v>
      </c>
      <c r="M264" t="s">
        <v>1681</v>
      </c>
      <c r="N264" t="s">
        <v>33</v>
      </c>
      <c r="O264" t="s">
        <v>432</v>
      </c>
    </row>
    <row r="265" spans="1:15" x14ac:dyDescent="0.35">
      <c r="A265" t="s">
        <v>20</v>
      </c>
      <c r="B265">
        <v>17643</v>
      </c>
      <c r="C265" t="s">
        <v>426</v>
      </c>
      <c r="D265" t="s">
        <v>427</v>
      </c>
      <c r="E265" t="s">
        <v>9207</v>
      </c>
      <c r="F265" t="s">
        <v>10120</v>
      </c>
      <c r="G265" t="s">
        <v>10121</v>
      </c>
      <c r="H265" t="s">
        <v>10122</v>
      </c>
      <c r="I265" t="s">
        <v>557</v>
      </c>
      <c r="N265" t="s">
        <v>33</v>
      </c>
      <c r="O265" t="s">
        <v>432</v>
      </c>
    </row>
    <row r="266" spans="1:15" x14ac:dyDescent="0.35">
      <c r="A266" t="s">
        <v>20</v>
      </c>
      <c r="B266">
        <v>17643</v>
      </c>
      <c r="C266" t="s">
        <v>426</v>
      </c>
      <c r="D266" t="s">
        <v>427</v>
      </c>
      <c r="E266" t="s">
        <v>9211</v>
      </c>
      <c r="F266" t="s">
        <v>10123</v>
      </c>
      <c r="G266" t="s">
        <v>10124</v>
      </c>
      <c r="H266" t="s">
        <v>10125</v>
      </c>
      <c r="I266" t="s">
        <v>557</v>
      </c>
      <c r="N266" t="s">
        <v>33</v>
      </c>
      <c r="O266" t="s">
        <v>432</v>
      </c>
    </row>
    <row r="267" spans="1:15" x14ac:dyDescent="0.35">
      <c r="A267" t="s">
        <v>20</v>
      </c>
      <c r="B267">
        <v>17643</v>
      </c>
      <c r="C267" t="s">
        <v>426</v>
      </c>
      <c r="D267" t="s">
        <v>427</v>
      </c>
      <c r="E267" t="s">
        <v>9215</v>
      </c>
      <c r="F267" t="s">
        <v>10126</v>
      </c>
      <c r="G267" t="s">
        <v>10127</v>
      </c>
      <c r="H267" t="s">
        <v>10128</v>
      </c>
      <c r="I267" t="s">
        <v>557</v>
      </c>
      <c r="N267" t="s">
        <v>33</v>
      </c>
      <c r="O267" t="s">
        <v>432</v>
      </c>
    </row>
    <row r="268" spans="1:15" x14ac:dyDescent="0.35">
      <c r="A268" t="s">
        <v>20</v>
      </c>
      <c r="B268">
        <v>17643</v>
      </c>
      <c r="C268" t="s">
        <v>426</v>
      </c>
      <c r="D268" t="s">
        <v>427</v>
      </c>
      <c r="E268" t="s">
        <v>9219</v>
      </c>
      <c r="F268" t="s">
        <v>10129</v>
      </c>
      <c r="G268" t="s">
        <v>10130</v>
      </c>
      <c r="H268" t="s">
        <v>10131</v>
      </c>
      <c r="I268" t="s">
        <v>557</v>
      </c>
      <c r="N268" t="s">
        <v>33</v>
      </c>
      <c r="O268" t="s">
        <v>432</v>
      </c>
    </row>
    <row r="269" spans="1:15" x14ac:dyDescent="0.35">
      <c r="A269" t="s">
        <v>20</v>
      </c>
      <c r="B269">
        <v>17643</v>
      </c>
      <c r="C269" t="s">
        <v>426</v>
      </c>
      <c r="D269" t="s">
        <v>427</v>
      </c>
      <c r="E269" t="s">
        <v>9223</v>
      </c>
      <c r="F269" t="s">
        <v>10132</v>
      </c>
      <c r="G269" t="s">
        <v>10133</v>
      </c>
      <c r="H269" t="s">
        <v>10134</v>
      </c>
      <c r="I269" t="s">
        <v>557</v>
      </c>
      <c r="N269" t="s">
        <v>33</v>
      </c>
      <c r="O269" t="s">
        <v>432</v>
      </c>
    </row>
    <row r="270" spans="1:15" x14ac:dyDescent="0.35">
      <c r="A270" t="s">
        <v>20</v>
      </c>
      <c r="B270">
        <v>17643</v>
      </c>
      <c r="C270" t="s">
        <v>426</v>
      </c>
      <c r="D270" t="s">
        <v>427</v>
      </c>
      <c r="E270" t="s">
        <v>9227</v>
      </c>
      <c r="F270" t="s">
        <v>10135</v>
      </c>
      <c r="G270" t="s">
        <v>10136</v>
      </c>
      <c r="H270" t="s">
        <v>10137</v>
      </c>
      <c r="I270" t="s">
        <v>557</v>
      </c>
      <c r="N270" t="s">
        <v>33</v>
      </c>
      <c r="O270" t="s">
        <v>432</v>
      </c>
    </row>
    <row r="271" spans="1:15" x14ac:dyDescent="0.35">
      <c r="A271" t="s">
        <v>20</v>
      </c>
      <c r="B271">
        <v>17643</v>
      </c>
      <c r="C271" t="s">
        <v>426</v>
      </c>
      <c r="D271" t="s">
        <v>427</v>
      </c>
      <c r="E271" t="s">
        <v>9231</v>
      </c>
      <c r="F271" t="s">
        <v>10138</v>
      </c>
      <c r="G271" t="s">
        <v>10139</v>
      </c>
      <c r="H271" t="s">
        <v>10140</v>
      </c>
      <c r="I271" t="s">
        <v>557</v>
      </c>
      <c r="N271" t="s">
        <v>33</v>
      </c>
      <c r="O271" t="s">
        <v>432</v>
      </c>
    </row>
    <row r="272" spans="1:15" x14ac:dyDescent="0.35">
      <c r="A272" t="s">
        <v>20</v>
      </c>
      <c r="B272">
        <v>17643</v>
      </c>
      <c r="C272" t="s">
        <v>426</v>
      </c>
      <c r="D272" t="s">
        <v>427</v>
      </c>
      <c r="E272" t="s">
        <v>9235</v>
      </c>
      <c r="F272" t="s">
        <v>10141</v>
      </c>
      <c r="G272" t="s">
        <v>10142</v>
      </c>
      <c r="H272" t="s">
        <v>10143</v>
      </c>
      <c r="I272" t="s">
        <v>557</v>
      </c>
      <c r="N272" t="s">
        <v>33</v>
      </c>
      <c r="O272" t="s">
        <v>432</v>
      </c>
    </row>
    <row r="273" spans="1:15" x14ac:dyDescent="0.35">
      <c r="A273" t="s">
        <v>20</v>
      </c>
      <c r="B273">
        <v>17643</v>
      </c>
      <c r="C273" t="s">
        <v>426</v>
      </c>
      <c r="D273" t="s">
        <v>427</v>
      </c>
      <c r="E273" t="s">
        <v>9239</v>
      </c>
      <c r="F273" t="s">
        <v>10144</v>
      </c>
      <c r="G273" t="s">
        <v>10145</v>
      </c>
      <c r="H273" t="s">
        <v>10146</v>
      </c>
      <c r="I273" t="s">
        <v>557</v>
      </c>
      <c r="N273" t="s">
        <v>33</v>
      </c>
      <c r="O273" t="s">
        <v>432</v>
      </c>
    </row>
    <row r="274" spans="1:15" x14ac:dyDescent="0.35">
      <c r="A274" t="s">
        <v>20</v>
      </c>
      <c r="B274">
        <v>17643</v>
      </c>
      <c r="C274" t="s">
        <v>426</v>
      </c>
      <c r="D274" t="s">
        <v>427</v>
      </c>
      <c r="E274" t="s">
        <v>9243</v>
      </c>
      <c r="F274" t="s">
        <v>10147</v>
      </c>
      <c r="G274" t="s">
        <v>10148</v>
      </c>
      <c r="H274" t="s">
        <v>10149</v>
      </c>
      <c r="I274" t="s">
        <v>557</v>
      </c>
      <c r="N274" t="s">
        <v>33</v>
      </c>
      <c r="O274" t="s">
        <v>432</v>
      </c>
    </row>
    <row r="275" spans="1:15" x14ac:dyDescent="0.35">
      <c r="A275" t="s">
        <v>20</v>
      </c>
      <c r="B275">
        <v>17643</v>
      </c>
      <c r="C275" t="s">
        <v>426</v>
      </c>
      <c r="D275" t="s">
        <v>427</v>
      </c>
      <c r="E275" t="s">
        <v>9247</v>
      </c>
      <c r="F275" t="s">
        <v>10150</v>
      </c>
      <c r="G275" t="s">
        <v>10151</v>
      </c>
      <c r="H275" t="s">
        <v>10152</v>
      </c>
      <c r="I275" t="s">
        <v>557</v>
      </c>
      <c r="N275" t="s">
        <v>33</v>
      </c>
      <c r="O275" t="s">
        <v>432</v>
      </c>
    </row>
    <row r="276" spans="1:15" x14ac:dyDescent="0.35">
      <c r="A276" t="s">
        <v>20</v>
      </c>
      <c r="B276">
        <v>17643</v>
      </c>
      <c r="C276" t="s">
        <v>426</v>
      </c>
      <c r="D276" t="s">
        <v>427</v>
      </c>
      <c r="E276" t="s">
        <v>9251</v>
      </c>
      <c r="F276" t="s">
        <v>10153</v>
      </c>
      <c r="G276" t="s">
        <v>10154</v>
      </c>
      <c r="H276" t="s">
        <v>10155</v>
      </c>
      <c r="I276" t="s">
        <v>557</v>
      </c>
      <c r="N276" t="s">
        <v>33</v>
      </c>
      <c r="O276" t="s">
        <v>432</v>
      </c>
    </row>
    <row r="277" spans="1:15" x14ac:dyDescent="0.35">
      <c r="A277" t="s">
        <v>20</v>
      </c>
      <c r="B277">
        <v>17643</v>
      </c>
      <c r="C277" t="s">
        <v>426</v>
      </c>
      <c r="D277" t="s">
        <v>427</v>
      </c>
      <c r="E277" t="s">
        <v>9255</v>
      </c>
      <c r="F277" t="s">
        <v>10156</v>
      </c>
      <c r="G277" t="s">
        <v>10157</v>
      </c>
      <c r="H277" t="s">
        <v>10158</v>
      </c>
      <c r="I277" t="s">
        <v>557</v>
      </c>
      <c r="N277" t="s">
        <v>33</v>
      </c>
      <c r="O277" t="s">
        <v>432</v>
      </c>
    </row>
    <row r="278" spans="1:15" x14ac:dyDescent="0.35">
      <c r="A278" t="s">
        <v>20</v>
      </c>
      <c r="B278">
        <v>17643</v>
      </c>
      <c r="C278" t="s">
        <v>426</v>
      </c>
      <c r="D278" t="s">
        <v>427</v>
      </c>
      <c r="E278" t="s">
        <v>9259</v>
      </c>
      <c r="F278" t="s">
        <v>10159</v>
      </c>
      <c r="G278" t="s">
        <v>10160</v>
      </c>
      <c r="H278" t="s">
        <v>10161</v>
      </c>
      <c r="I278" t="s">
        <v>557</v>
      </c>
      <c r="N278" t="s">
        <v>33</v>
      </c>
      <c r="O278" t="s">
        <v>432</v>
      </c>
    </row>
    <row r="279" spans="1:15" x14ac:dyDescent="0.35">
      <c r="A279" t="s">
        <v>20</v>
      </c>
      <c r="B279">
        <v>17643</v>
      </c>
      <c r="C279" t="s">
        <v>426</v>
      </c>
      <c r="D279" t="s">
        <v>427</v>
      </c>
      <c r="E279" t="s">
        <v>9263</v>
      </c>
      <c r="F279" t="s">
        <v>10162</v>
      </c>
      <c r="G279" t="s">
        <v>10163</v>
      </c>
      <c r="H279" t="s">
        <v>10164</v>
      </c>
      <c r="I279" t="s">
        <v>557</v>
      </c>
      <c r="N279" t="s">
        <v>33</v>
      </c>
      <c r="O279" t="s">
        <v>432</v>
      </c>
    </row>
    <row r="280" spans="1:15" x14ac:dyDescent="0.35">
      <c r="A280" t="s">
        <v>20</v>
      </c>
      <c r="B280">
        <v>17643</v>
      </c>
      <c r="C280" t="s">
        <v>426</v>
      </c>
      <c r="D280" t="s">
        <v>427</v>
      </c>
      <c r="E280" t="s">
        <v>9267</v>
      </c>
      <c r="F280" t="s">
        <v>10165</v>
      </c>
      <c r="G280" t="s">
        <v>10166</v>
      </c>
      <c r="H280" t="s">
        <v>10167</v>
      </c>
      <c r="I280" t="s">
        <v>557</v>
      </c>
      <c r="N280" t="s">
        <v>33</v>
      </c>
      <c r="O280" t="s">
        <v>432</v>
      </c>
    </row>
    <row r="281" spans="1:15" x14ac:dyDescent="0.35">
      <c r="A281" t="s">
        <v>20</v>
      </c>
      <c r="B281">
        <v>17643</v>
      </c>
      <c r="C281" t="s">
        <v>426</v>
      </c>
      <c r="D281" t="s">
        <v>427</v>
      </c>
      <c r="E281" t="s">
        <v>9271</v>
      </c>
      <c r="F281" t="s">
        <v>10168</v>
      </c>
      <c r="G281" t="s">
        <v>10169</v>
      </c>
      <c r="H281" t="s">
        <v>10170</v>
      </c>
      <c r="I281" t="s">
        <v>557</v>
      </c>
      <c r="N281" t="s">
        <v>33</v>
      </c>
      <c r="O281" t="s">
        <v>432</v>
      </c>
    </row>
    <row r="282" spans="1:15" x14ac:dyDescent="0.35">
      <c r="A282" t="s">
        <v>20</v>
      </c>
      <c r="B282">
        <v>17643</v>
      </c>
      <c r="C282" t="s">
        <v>426</v>
      </c>
      <c r="D282" t="s">
        <v>427</v>
      </c>
      <c r="E282" t="s">
        <v>9275</v>
      </c>
      <c r="F282" t="s">
        <v>10171</v>
      </c>
      <c r="G282" t="s">
        <v>10172</v>
      </c>
      <c r="H282" t="s">
        <v>10173</v>
      </c>
      <c r="I282" t="s">
        <v>557</v>
      </c>
      <c r="N282" t="s">
        <v>33</v>
      </c>
      <c r="O282" t="s">
        <v>432</v>
      </c>
    </row>
    <row r="283" spans="1:15" x14ac:dyDescent="0.35">
      <c r="A283" t="s">
        <v>20</v>
      </c>
      <c r="B283">
        <v>17643</v>
      </c>
      <c r="C283" t="s">
        <v>426</v>
      </c>
      <c r="D283" t="s">
        <v>427</v>
      </c>
      <c r="E283" t="s">
        <v>9279</v>
      </c>
      <c r="F283" t="s">
        <v>10174</v>
      </c>
      <c r="G283" t="s">
        <v>10175</v>
      </c>
      <c r="H283" t="s">
        <v>10176</v>
      </c>
      <c r="I283" t="s">
        <v>557</v>
      </c>
      <c r="N283" t="s">
        <v>33</v>
      </c>
      <c r="O283" t="s">
        <v>432</v>
      </c>
    </row>
    <row r="284" spans="1:15" x14ac:dyDescent="0.35">
      <c r="A284" t="s">
        <v>20</v>
      </c>
      <c r="B284">
        <v>17643</v>
      </c>
      <c r="C284" t="s">
        <v>426</v>
      </c>
      <c r="D284" t="s">
        <v>427</v>
      </c>
      <c r="E284" t="s">
        <v>9283</v>
      </c>
      <c r="F284" t="s">
        <v>10177</v>
      </c>
      <c r="G284" t="s">
        <v>10178</v>
      </c>
      <c r="H284" t="s">
        <v>10179</v>
      </c>
      <c r="I284" t="s">
        <v>557</v>
      </c>
      <c r="N284" t="s">
        <v>33</v>
      </c>
      <c r="O284" t="s">
        <v>432</v>
      </c>
    </row>
    <row r="285" spans="1:15" x14ac:dyDescent="0.35">
      <c r="A285" t="s">
        <v>20</v>
      </c>
      <c r="B285">
        <v>17643</v>
      </c>
      <c r="C285" t="s">
        <v>426</v>
      </c>
      <c r="D285" t="s">
        <v>427</v>
      </c>
      <c r="E285" t="s">
        <v>9287</v>
      </c>
      <c r="F285" t="s">
        <v>10180</v>
      </c>
      <c r="G285" t="s">
        <v>10181</v>
      </c>
      <c r="H285" t="s">
        <v>10182</v>
      </c>
      <c r="I285" t="s">
        <v>557</v>
      </c>
      <c r="N285" t="s">
        <v>33</v>
      </c>
      <c r="O285" t="s">
        <v>432</v>
      </c>
    </row>
    <row r="286" spans="1:15" x14ac:dyDescent="0.35">
      <c r="A286" t="s">
        <v>20</v>
      </c>
      <c r="B286">
        <v>17643</v>
      </c>
      <c r="C286" t="s">
        <v>426</v>
      </c>
      <c r="D286" t="s">
        <v>427</v>
      </c>
      <c r="E286" t="s">
        <v>9291</v>
      </c>
      <c r="F286" t="s">
        <v>10183</v>
      </c>
      <c r="G286" t="s">
        <v>10184</v>
      </c>
      <c r="H286" t="s">
        <v>10185</v>
      </c>
      <c r="I286" t="s">
        <v>557</v>
      </c>
      <c r="N286" t="s">
        <v>33</v>
      </c>
      <c r="O286" t="s">
        <v>432</v>
      </c>
    </row>
    <row r="287" spans="1:15" x14ac:dyDescent="0.35">
      <c r="A287" t="s">
        <v>20</v>
      </c>
      <c r="B287">
        <v>17643</v>
      </c>
      <c r="C287" t="s">
        <v>426</v>
      </c>
      <c r="D287" t="s">
        <v>427</v>
      </c>
      <c r="E287" t="s">
        <v>9295</v>
      </c>
      <c r="F287" t="s">
        <v>10186</v>
      </c>
      <c r="G287" t="s">
        <v>10187</v>
      </c>
      <c r="H287" t="s">
        <v>10188</v>
      </c>
      <c r="I287" t="s">
        <v>557</v>
      </c>
      <c r="N287" t="s">
        <v>33</v>
      </c>
      <c r="O287" t="s">
        <v>432</v>
      </c>
    </row>
    <row r="288" spans="1:15" x14ac:dyDescent="0.35">
      <c r="A288" t="s">
        <v>20</v>
      </c>
      <c r="B288">
        <v>17643</v>
      </c>
      <c r="C288" t="s">
        <v>426</v>
      </c>
      <c r="D288" t="s">
        <v>427</v>
      </c>
      <c r="E288" t="s">
        <v>9299</v>
      </c>
      <c r="F288" t="s">
        <v>10189</v>
      </c>
      <c r="G288" t="s">
        <v>10190</v>
      </c>
      <c r="H288" t="s">
        <v>10191</v>
      </c>
      <c r="I288" t="s">
        <v>557</v>
      </c>
      <c r="N288" t="s">
        <v>33</v>
      </c>
      <c r="O288" t="s">
        <v>432</v>
      </c>
    </row>
    <row r="289" spans="1:15" x14ac:dyDescent="0.35">
      <c r="A289" t="s">
        <v>20</v>
      </c>
      <c r="B289">
        <v>17643</v>
      </c>
      <c r="C289" t="s">
        <v>426</v>
      </c>
      <c r="D289" t="s">
        <v>427</v>
      </c>
      <c r="E289" t="s">
        <v>9303</v>
      </c>
      <c r="F289" t="s">
        <v>10192</v>
      </c>
      <c r="G289" t="s">
        <v>10193</v>
      </c>
      <c r="H289" t="s">
        <v>10194</v>
      </c>
      <c r="I289" t="s">
        <v>557</v>
      </c>
      <c r="N289" t="s">
        <v>33</v>
      </c>
      <c r="O289" t="s">
        <v>432</v>
      </c>
    </row>
    <row r="290" spans="1:15" x14ac:dyDescent="0.35">
      <c r="A290" t="s">
        <v>20</v>
      </c>
      <c r="B290">
        <v>17643</v>
      </c>
      <c r="C290" t="s">
        <v>426</v>
      </c>
      <c r="D290" t="s">
        <v>427</v>
      </c>
      <c r="E290" t="s">
        <v>9307</v>
      </c>
      <c r="F290" t="s">
        <v>10195</v>
      </c>
      <c r="G290" t="s">
        <v>10196</v>
      </c>
      <c r="H290" t="s">
        <v>10197</v>
      </c>
      <c r="I290" t="s">
        <v>557</v>
      </c>
      <c r="N290" t="s">
        <v>33</v>
      </c>
      <c r="O290" t="s">
        <v>432</v>
      </c>
    </row>
    <row r="291" spans="1:15" x14ac:dyDescent="0.35">
      <c r="A291" t="s">
        <v>20</v>
      </c>
      <c r="B291">
        <v>17643</v>
      </c>
      <c r="C291" t="s">
        <v>426</v>
      </c>
      <c r="D291" t="s">
        <v>427</v>
      </c>
      <c r="E291" t="s">
        <v>9311</v>
      </c>
      <c r="F291" t="s">
        <v>10198</v>
      </c>
      <c r="G291" t="s">
        <v>10199</v>
      </c>
      <c r="H291" t="s">
        <v>10200</v>
      </c>
      <c r="I291" t="s">
        <v>557</v>
      </c>
      <c r="N291" t="s">
        <v>33</v>
      </c>
      <c r="O291" t="s">
        <v>432</v>
      </c>
    </row>
    <row r="292" spans="1:15" x14ac:dyDescent="0.35">
      <c r="A292" t="s">
        <v>20</v>
      </c>
      <c r="B292">
        <v>17643</v>
      </c>
      <c r="C292" t="s">
        <v>426</v>
      </c>
      <c r="D292" t="s">
        <v>427</v>
      </c>
      <c r="E292" t="s">
        <v>9315</v>
      </c>
      <c r="F292" t="s">
        <v>10201</v>
      </c>
      <c r="G292" t="s">
        <v>10202</v>
      </c>
      <c r="H292" t="s">
        <v>10203</v>
      </c>
      <c r="I292" t="s">
        <v>557</v>
      </c>
      <c r="N292" t="s">
        <v>33</v>
      </c>
      <c r="O292" t="s">
        <v>432</v>
      </c>
    </row>
    <row r="293" spans="1:15" x14ac:dyDescent="0.35">
      <c r="A293" t="s">
        <v>20</v>
      </c>
      <c r="B293">
        <v>17643</v>
      </c>
      <c r="C293" t="s">
        <v>426</v>
      </c>
      <c r="D293" t="s">
        <v>427</v>
      </c>
      <c r="E293" t="s">
        <v>9319</v>
      </c>
      <c r="F293" t="s">
        <v>10204</v>
      </c>
      <c r="G293" t="s">
        <v>10205</v>
      </c>
      <c r="H293" t="s">
        <v>10206</v>
      </c>
      <c r="I293" t="s">
        <v>557</v>
      </c>
      <c r="N293" t="s">
        <v>33</v>
      </c>
      <c r="O293" t="s">
        <v>432</v>
      </c>
    </row>
    <row r="294" spans="1:15" x14ac:dyDescent="0.35">
      <c r="A294" t="s">
        <v>20</v>
      </c>
      <c r="B294">
        <v>17643</v>
      </c>
      <c r="C294" t="s">
        <v>426</v>
      </c>
      <c r="D294" t="s">
        <v>427</v>
      </c>
      <c r="E294" t="s">
        <v>9323</v>
      </c>
      <c r="F294" t="s">
        <v>10207</v>
      </c>
      <c r="G294" t="s">
        <v>10208</v>
      </c>
      <c r="H294" t="s">
        <v>10209</v>
      </c>
      <c r="I294" t="s">
        <v>557</v>
      </c>
      <c r="N294" t="s">
        <v>33</v>
      </c>
      <c r="O294" t="s">
        <v>432</v>
      </c>
    </row>
    <row r="295" spans="1:15" x14ac:dyDescent="0.35">
      <c r="A295" t="s">
        <v>20</v>
      </c>
      <c r="B295">
        <v>17643</v>
      </c>
      <c r="C295" t="s">
        <v>426</v>
      </c>
      <c r="D295" t="s">
        <v>427</v>
      </c>
      <c r="E295" t="s">
        <v>9327</v>
      </c>
      <c r="F295" t="s">
        <v>10210</v>
      </c>
      <c r="G295" t="s">
        <v>10211</v>
      </c>
      <c r="H295" t="s">
        <v>10212</v>
      </c>
      <c r="I295" t="s">
        <v>557</v>
      </c>
      <c r="N295" t="s">
        <v>33</v>
      </c>
      <c r="O295" t="s">
        <v>432</v>
      </c>
    </row>
    <row r="296" spans="1:15" x14ac:dyDescent="0.35">
      <c r="A296" t="s">
        <v>20</v>
      </c>
      <c r="B296">
        <v>17643</v>
      </c>
      <c r="C296" t="s">
        <v>426</v>
      </c>
      <c r="D296" t="s">
        <v>427</v>
      </c>
      <c r="E296" t="s">
        <v>9331</v>
      </c>
      <c r="F296" t="s">
        <v>10213</v>
      </c>
      <c r="G296" t="s">
        <v>10214</v>
      </c>
      <c r="H296" t="s">
        <v>10215</v>
      </c>
      <c r="I296" t="s">
        <v>557</v>
      </c>
      <c r="N296" t="s">
        <v>33</v>
      </c>
      <c r="O296" t="s">
        <v>432</v>
      </c>
    </row>
    <row r="297" spans="1:15" x14ac:dyDescent="0.35">
      <c r="A297" t="s">
        <v>20</v>
      </c>
      <c r="B297">
        <v>17643</v>
      </c>
      <c r="C297" t="s">
        <v>426</v>
      </c>
      <c r="D297" t="s">
        <v>427</v>
      </c>
      <c r="E297" t="s">
        <v>9335</v>
      </c>
      <c r="F297" t="s">
        <v>10216</v>
      </c>
      <c r="G297" t="s">
        <v>10217</v>
      </c>
      <c r="H297" t="s">
        <v>10218</v>
      </c>
      <c r="I297" t="s">
        <v>557</v>
      </c>
      <c r="N297" t="s">
        <v>33</v>
      </c>
      <c r="O297" t="s">
        <v>432</v>
      </c>
    </row>
    <row r="298" spans="1:15" x14ac:dyDescent="0.35">
      <c r="A298" t="s">
        <v>20</v>
      </c>
      <c r="B298">
        <v>17643</v>
      </c>
      <c r="C298" t="s">
        <v>426</v>
      </c>
      <c r="D298" t="s">
        <v>427</v>
      </c>
      <c r="E298" t="s">
        <v>9339</v>
      </c>
      <c r="F298" t="s">
        <v>10219</v>
      </c>
      <c r="G298" t="s">
        <v>10220</v>
      </c>
      <c r="H298" t="s">
        <v>10221</v>
      </c>
      <c r="I298" t="s">
        <v>557</v>
      </c>
      <c r="N298" t="s">
        <v>33</v>
      </c>
      <c r="O298" t="s">
        <v>432</v>
      </c>
    </row>
    <row r="299" spans="1:15" x14ac:dyDescent="0.35">
      <c r="A299" t="s">
        <v>20</v>
      </c>
      <c r="B299">
        <v>17643</v>
      </c>
      <c r="C299" t="s">
        <v>426</v>
      </c>
      <c r="D299" t="s">
        <v>427</v>
      </c>
      <c r="E299" t="s">
        <v>9343</v>
      </c>
      <c r="F299" t="s">
        <v>10222</v>
      </c>
      <c r="G299" t="s">
        <v>10223</v>
      </c>
      <c r="H299" t="s">
        <v>10224</v>
      </c>
      <c r="I299" t="s">
        <v>557</v>
      </c>
      <c r="N299" t="s">
        <v>33</v>
      </c>
      <c r="O299" t="s">
        <v>432</v>
      </c>
    </row>
    <row r="300" spans="1:15" x14ac:dyDescent="0.35">
      <c r="A300" t="s">
        <v>20</v>
      </c>
      <c r="B300">
        <v>17643</v>
      </c>
      <c r="C300" t="s">
        <v>426</v>
      </c>
      <c r="D300" t="s">
        <v>427</v>
      </c>
      <c r="E300" t="s">
        <v>9347</v>
      </c>
      <c r="F300" t="s">
        <v>10225</v>
      </c>
      <c r="G300" t="s">
        <v>10226</v>
      </c>
      <c r="H300" t="s">
        <v>10227</v>
      </c>
      <c r="I300" t="s">
        <v>557</v>
      </c>
      <c r="N300" t="s">
        <v>33</v>
      </c>
      <c r="O300" t="s">
        <v>432</v>
      </c>
    </row>
    <row r="301" spans="1:15" x14ac:dyDescent="0.35">
      <c r="A301" t="s">
        <v>20</v>
      </c>
      <c r="B301">
        <v>17643</v>
      </c>
      <c r="C301" t="s">
        <v>426</v>
      </c>
      <c r="D301" t="s">
        <v>427</v>
      </c>
      <c r="E301" t="s">
        <v>9351</v>
      </c>
      <c r="F301" t="s">
        <v>10228</v>
      </c>
      <c r="G301" t="s">
        <v>10229</v>
      </c>
      <c r="H301" t="s">
        <v>10230</v>
      </c>
      <c r="I301" t="s">
        <v>557</v>
      </c>
      <c r="N301" t="s">
        <v>33</v>
      </c>
      <c r="O301" t="s">
        <v>432</v>
      </c>
    </row>
    <row r="302" spans="1:15" x14ac:dyDescent="0.35">
      <c r="A302" t="s">
        <v>20</v>
      </c>
      <c r="B302">
        <v>17643</v>
      </c>
      <c r="C302" t="s">
        <v>426</v>
      </c>
      <c r="D302" t="s">
        <v>427</v>
      </c>
      <c r="E302" t="s">
        <v>9355</v>
      </c>
      <c r="F302" t="s">
        <v>10231</v>
      </c>
      <c r="G302" t="s">
        <v>10232</v>
      </c>
      <c r="H302" t="s">
        <v>10233</v>
      </c>
      <c r="I302" t="s">
        <v>557</v>
      </c>
      <c r="N302" t="s">
        <v>33</v>
      </c>
      <c r="O302" t="s">
        <v>432</v>
      </c>
    </row>
    <row r="303" spans="1:15" x14ac:dyDescent="0.35">
      <c r="A303" t="s">
        <v>20</v>
      </c>
      <c r="B303">
        <v>17643</v>
      </c>
      <c r="C303" t="s">
        <v>426</v>
      </c>
      <c r="D303" t="s">
        <v>427</v>
      </c>
      <c r="E303" t="s">
        <v>9359</v>
      </c>
      <c r="F303" t="s">
        <v>10234</v>
      </c>
      <c r="G303" t="s">
        <v>10235</v>
      </c>
      <c r="H303" t="s">
        <v>10236</v>
      </c>
      <c r="I303" t="s">
        <v>557</v>
      </c>
      <c r="N303" t="s">
        <v>33</v>
      </c>
      <c r="O303" t="s">
        <v>432</v>
      </c>
    </row>
    <row r="304" spans="1:15" x14ac:dyDescent="0.35">
      <c r="A304" t="s">
        <v>20</v>
      </c>
      <c r="B304">
        <v>17643</v>
      </c>
      <c r="C304" t="s">
        <v>426</v>
      </c>
      <c r="D304" t="s">
        <v>427</v>
      </c>
      <c r="E304" t="s">
        <v>9363</v>
      </c>
      <c r="F304" t="s">
        <v>10237</v>
      </c>
      <c r="G304" t="s">
        <v>10238</v>
      </c>
      <c r="H304" t="s">
        <v>10239</v>
      </c>
      <c r="I304" t="s">
        <v>557</v>
      </c>
      <c r="N304" t="s">
        <v>33</v>
      </c>
      <c r="O304" t="s">
        <v>432</v>
      </c>
    </row>
    <row r="305" spans="1:15" x14ac:dyDescent="0.35">
      <c r="A305" t="s">
        <v>20</v>
      </c>
      <c r="B305">
        <v>17643</v>
      </c>
      <c r="C305" t="s">
        <v>426</v>
      </c>
      <c r="D305" t="s">
        <v>427</v>
      </c>
      <c r="E305" t="s">
        <v>9367</v>
      </c>
      <c r="F305" t="s">
        <v>10240</v>
      </c>
      <c r="G305" t="s">
        <v>10241</v>
      </c>
      <c r="H305" t="s">
        <v>10242</v>
      </c>
      <c r="I305" t="s">
        <v>557</v>
      </c>
      <c r="N305" t="s">
        <v>33</v>
      </c>
      <c r="O305" t="s">
        <v>432</v>
      </c>
    </row>
    <row r="306" spans="1:15" x14ac:dyDescent="0.35">
      <c r="A306" t="s">
        <v>20</v>
      </c>
      <c r="B306">
        <v>17643</v>
      </c>
      <c r="C306" t="s">
        <v>426</v>
      </c>
      <c r="D306" t="s">
        <v>427</v>
      </c>
      <c r="E306" t="s">
        <v>9371</v>
      </c>
      <c r="F306" t="s">
        <v>10243</v>
      </c>
      <c r="G306" t="s">
        <v>10244</v>
      </c>
      <c r="H306" t="s">
        <v>10245</v>
      </c>
      <c r="I306" t="s">
        <v>557</v>
      </c>
      <c r="N306" t="s">
        <v>33</v>
      </c>
      <c r="O306" t="s">
        <v>432</v>
      </c>
    </row>
    <row r="307" spans="1:15" x14ac:dyDescent="0.35">
      <c r="A307" t="s">
        <v>20</v>
      </c>
      <c r="B307">
        <v>17643</v>
      </c>
      <c r="C307" t="s">
        <v>426</v>
      </c>
      <c r="D307" t="s">
        <v>427</v>
      </c>
      <c r="E307" t="s">
        <v>9375</v>
      </c>
      <c r="F307" t="s">
        <v>10246</v>
      </c>
      <c r="G307" t="s">
        <v>10247</v>
      </c>
      <c r="H307" t="s">
        <v>10248</v>
      </c>
      <c r="I307" t="s">
        <v>557</v>
      </c>
      <c r="N307" t="s">
        <v>33</v>
      </c>
      <c r="O307" t="s">
        <v>432</v>
      </c>
    </row>
    <row r="308" spans="1:15" x14ac:dyDescent="0.35">
      <c r="A308" t="s">
        <v>20</v>
      </c>
      <c r="B308">
        <v>17643</v>
      </c>
      <c r="C308" t="s">
        <v>426</v>
      </c>
      <c r="D308" t="s">
        <v>427</v>
      </c>
      <c r="E308" t="s">
        <v>9379</v>
      </c>
      <c r="F308" t="s">
        <v>10249</v>
      </c>
      <c r="G308" t="s">
        <v>10250</v>
      </c>
      <c r="H308" t="s">
        <v>10251</v>
      </c>
      <c r="I308" t="s">
        <v>557</v>
      </c>
      <c r="N308" t="s">
        <v>33</v>
      </c>
      <c r="O308" t="s">
        <v>432</v>
      </c>
    </row>
    <row r="309" spans="1:15" x14ac:dyDescent="0.35">
      <c r="A309" t="s">
        <v>20</v>
      </c>
      <c r="B309">
        <v>17643</v>
      </c>
      <c r="C309" t="s">
        <v>426</v>
      </c>
      <c r="D309" t="s">
        <v>427</v>
      </c>
      <c r="E309" t="s">
        <v>9383</v>
      </c>
      <c r="F309" t="s">
        <v>10252</v>
      </c>
      <c r="G309" t="s">
        <v>10253</v>
      </c>
      <c r="H309" t="s">
        <v>10254</v>
      </c>
      <c r="I309" t="s">
        <v>557</v>
      </c>
      <c r="N309" t="s">
        <v>33</v>
      </c>
      <c r="O309" t="s">
        <v>432</v>
      </c>
    </row>
    <row r="310" spans="1:15" x14ac:dyDescent="0.35">
      <c r="A310" t="s">
        <v>20</v>
      </c>
      <c r="B310">
        <v>17643</v>
      </c>
      <c r="C310" t="s">
        <v>426</v>
      </c>
      <c r="D310" t="s">
        <v>427</v>
      </c>
      <c r="E310" t="s">
        <v>9387</v>
      </c>
      <c r="F310" t="s">
        <v>10255</v>
      </c>
      <c r="G310" t="s">
        <v>10256</v>
      </c>
      <c r="H310" t="s">
        <v>10257</v>
      </c>
      <c r="I310" t="s">
        <v>557</v>
      </c>
      <c r="N310" t="s">
        <v>33</v>
      </c>
      <c r="O310" t="s">
        <v>432</v>
      </c>
    </row>
    <row r="311" spans="1:15" x14ac:dyDescent="0.35">
      <c r="A311" t="s">
        <v>20</v>
      </c>
      <c r="B311">
        <v>17643</v>
      </c>
      <c r="C311" t="s">
        <v>426</v>
      </c>
      <c r="D311" t="s">
        <v>427</v>
      </c>
      <c r="E311" t="s">
        <v>9391</v>
      </c>
      <c r="F311" t="s">
        <v>10258</v>
      </c>
      <c r="G311" t="s">
        <v>10259</v>
      </c>
      <c r="H311" t="s">
        <v>10260</v>
      </c>
      <c r="I311" t="s">
        <v>557</v>
      </c>
      <c r="N311" t="s">
        <v>33</v>
      </c>
      <c r="O311" t="s">
        <v>432</v>
      </c>
    </row>
    <row r="312" spans="1:15" x14ac:dyDescent="0.35">
      <c r="A312" t="s">
        <v>20</v>
      </c>
      <c r="B312">
        <v>17643</v>
      </c>
      <c r="C312" t="s">
        <v>426</v>
      </c>
      <c r="D312" t="s">
        <v>427</v>
      </c>
      <c r="E312" t="s">
        <v>9395</v>
      </c>
      <c r="F312" t="s">
        <v>10261</v>
      </c>
      <c r="G312" t="s">
        <v>10262</v>
      </c>
      <c r="H312" t="s">
        <v>10263</v>
      </c>
      <c r="I312" t="s">
        <v>557</v>
      </c>
      <c r="N312" t="s">
        <v>33</v>
      </c>
      <c r="O312" t="s">
        <v>432</v>
      </c>
    </row>
    <row r="313" spans="1:15" x14ac:dyDescent="0.35">
      <c r="A313" t="s">
        <v>20</v>
      </c>
      <c r="B313">
        <v>17643</v>
      </c>
      <c r="C313" t="s">
        <v>426</v>
      </c>
      <c r="D313" t="s">
        <v>427</v>
      </c>
      <c r="E313" t="s">
        <v>9399</v>
      </c>
      <c r="F313" t="s">
        <v>10264</v>
      </c>
      <c r="G313" t="s">
        <v>10265</v>
      </c>
      <c r="H313" t="s">
        <v>10266</v>
      </c>
      <c r="I313" t="s">
        <v>557</v>
      </c>
      <c r="N313" t="s">
        <v>33</v>
      </c>
      <c r="O313" t="s">
        <v>432</v>
      </c>
    </row>
    <row r="314" spans="1:15" x14ac:dyDescent="0.35">
      <c r="A314" t="s">
        <v>20</v>
      </c>
      <c r="B314">
        <v>17643</v>
      </c>
      <c r="C314" t="s">
        <v>426</v>
      </c>
      <c r="D314" t="s">
        <v>427</v>
      </c>
      <c r="E314" t="s">
        <v>9403</v>
      </c>
      <c r="F314" t="s">
        <v>10267</v>
      </c>
      <c r="G314" t="s">
        <v>10268</v>
      </c>
      <c r="H314" t="s">
        <v>10269</v>
      </c>
      <c r="I314" t="s">
        <v>557</v>
      </c>
      <c r="N314" t="s">
        <v>33</v>
      </c>
      <c r="O314" t="s">
        <v>432</v>
      </c>
    </row>
    <row r="315" spans="1:15" x14ac:dyDescent="0.35">
      <c r="A315" t="s">
        <v>20</v>
      </c>
      <c r="B315">
        <v>17643</v>
      </c>
      <c r="C315" t="s">
        <v>426</v>
      </c>
      <c r="D315" t="s">
        <v>427</v>
      </c>
      <c r="E315" t="s">
        <v>9407</v>
      </c>
      <c r="F315" t="s">
        <v>10270</v>
      </c>
      <c r="G315" t="s">
        <v>10271</v>
      </c>
      <c r="H315" t="s">
        <v>10272</v>
      </c>
      <c r="I315" t="s">
        <v>557</v>
      </c>
      <c r="N315" t="s">
        <v>33</v>
      </c>
      <c r="O315" t="s">
        <v>432</v>
      </c>
    </row>
    <row r="316" spans="1:15" x14ac:dyDescent="0.35">
      <c r="A316" t="s">
        <v>20</v>
      </c>
      <c r="B316">
        <v>17643</v>
      </c>
      <c r="C316" t="s">
        <v>426</v>
      </c>
      <c r="D316" t="s">
        <v>427</v>
      </c>
      <c r="E316" t="s">
        <v>9411</v>
      </c>
      <c r="F316" t="s">
        <v>10273</v>
      </c>
      <c r="G316" t="s">
        <v>10274</v>
      </c>
      <c r="H316" t="s">
        <v>10275</v>
      </c>
      <c r="I316" t="s">
        <v>557</v>
      </c>
      <c r="N316" t="s">
        <v>33</v>
      </c>
      <c r="O316" t="s">
        <v>432</v>
      </c>
    </row>
    <row r="317" spans="1:15" x14ac:dyDescent="0.35">
      <c r="A317" t="s">
        <v>20</v>
      </c>
      <c r="B317">
        <v>17643</v>
      </c>
      <c r="C317" t="s">
        <v>426</v>
      </c>
      <c r="D317" t="s">
        <v>427</v>
      </c>
      <c r="E317" t="s">
        <v>9415</v>
      </c>
      <c r="F317" t="s">
        <v>10276</v>
      </c>
      <c r="G317" t="s">
        <v>10277</v>
      </c>
      <c r="H317" t="s">
        <v>10278</v>
      </c>
      <c r="I317" t="s">
        <v>557</v>
      </c>
      <c r="N317" t="s">
        <v>33</v>
      </c>
      <c r="O317" t="s">
        <v>432</v>
      </c>
    </row>
    <row r="318" spans="1:15" x14ac:dyDescent="0.35">
      <c r="A318" t="s">
        <v>20</v>
      </c>
      <c r="B318">
        <v>17643</v>
      </c>
      <c r="C318" t="s">
        <v>426</v>
      </c>
      <c r="D318" t="s">
        <v>427</v>
      </c>
      <c r="E318" t="s">
        <v>9419</v>
      </c>
      <c r="F318" t="s">
        <v>10279</v>
      </c>
      <c r="G318" t="s">
        <v>10280</v>
      </c>
      <c r="H318" t="s">
        <v>10281</v>
      </c>
      <c r="I318" t="s">
        <v>557</v>
      </c>
      <c r="N318" t="s">
        <v>33</v>
      </c>
      <c r="O318" t="s">
        <v>432</v>
      </c>
    </row>
    <row r="319" spans="1:15" x14ac:dyDescent="0.35">
      <c r="A319" t="s">
        <v>20</v>
      </c>
      <c r="B319">
        <v>17643</v>
      </c>
      <c r="C319" t="s">
        <v>426</v>
      </c>
      <c r="D319" t="s">
        <v>427</v>
      </c>
      <c r="E319" t="s">
        <v>9423</v>
      </c>
      <c r="F319" t="s">
        <v>10282</v>
      </c>
      <c r="G319" t="s">
        <v>10283</v>
      </c>
      <c r="H319" t="s">
        <v>10284</v>
      </c>
      <c r="I319" t="s">
        <v>557</v>
      </c>
      <c r="N319" t="s">
        <v>33</v>
      </c>
      <c r="O319" t="s">
        <v>432</v>
      </c>
    </row>
    <row r="320" spans="1:15" x14ac:dyDescent="0.35">
      <c r="A320" t="s">
        <v>20</v>
      </c>
      <c r="B320">
        <v>17643</v>
      </c>
      <c r="C320" t="s">
        <v>426</v>
      </c>
      <c r="D320" t="s">
        <v>427</v>
      </c>
      <c r="E320" t="s">
        <v>9427</v>
      </c>
      <c r="F320" t="s">
        <v>10285</v>
      </c>
      <c r="G320" t="s">
        <v>10286</v>
      </c>
      <c r="H320" t="s">
        <v>10287</v>
      </c>
      <c r="I320" t="s">
        <v>557</v>
      </c>
      <c r="N320" t="s">
        <v>33</v>
      </c>
      <c r="O320" t="s">
        <v>432</v>
      </c>
    </row>
    <row r="321" spans="1:15" x14ac:dyDescent="0.35">
      <c r="A321" t="s">
        <v>20</v>
      </c>
      <c r="B321">
        <v>17643</v>
      </c>
      <c r="C321" t="s">
        <v>426</v>
      </c>
      <c r="D321" t="s">
        <v>427</v>
      </c>
      <c r="E321" t="s">
        <v>9430</v>
      </c>
      <c r="F321" t="s">
        <v>10288</v>
      </c>
      <c r="G321" t="s">
        <v>10289</v>
      </c>
      <c r="H321" t="s">
        <v>10290</v>
      </c>
      <c r="I321" t="s">
        <v>557</v>
      </c>
      <c r="N321" t="s">
        <v>33</v>
      </c>
      <c r="O321" t="s">
        <v>432</v>
      </c>
    </row>
    <row r="322" spans="1:15" x14ac:dyDescent="0.35">
      <c r="A322" t="s">
        <v>20</v>
      </c>
      <c r="B322">
        <v>17643</v>
      </c>
      <c r="C322" t="s">
        <v>426</v>
      </c>
      <c r="D322" t="s">
        <v>427</v>
      </c>
      <c r="E322" t="s">
        <v>9434</v>
      </c>
      <c r="F322" t="s">
        <v>10291</v>
      </c>
      <c r="G322" t="s">
        <v>10292</v>
      </c>
      <c r="H322" t="s">
        <v>10293</v>
      </c>
      <c r="I322" t="s">
        <v>557</v>
      </c>
      <c r="N322" t="s">
        <v>33</v>
      </c>
      <c r="O322" t="s">
        <v>432</v>
      </c>
    </row>
    <row r="323" spans="1:15" x14ac:dyDescent="0.35">
      <c r="A323" t="s">
        <v>20</v>
      </c>
      <c r="B323">
        <v>17643</v>
      </c>
      <c r="C323" t="s">
        <v>426</v>
      </c>
      <c r="D323" t="s">
        <v>427</v>
      </c>
      <c r="E323" t="s">
        <v>9438</v>
      </c>
      <c r="F323" t="s">
        <v>10294</v>
      </c>
      <c r="G323" t="s">
        <v>10295</v>
      </c>
      <c r="H323" t="s">
        <v>10296</v>
      </c>
      <c r="I323" t="s">
        <v>557</v>
      </c>
      <c r="N323" t="s">
        <v>33</v>
      </c>
      <c r="O323" t="s">
        <v>432</v>
      </c>
    </row>
    <row r="324" spans="1:15" x14ac:dyDescent="0.35">
      <c r="A324" t="s">
        <v>20</v>
      </c>
      <c r="B324">
        <v>17643</v>
      </c>
      <c r="C324" t="s">
        <v>426</v>
      </c>
      <c r="D324" t="s">
        <v>427</v>
      </c>
      <c r="E324" t="s">
        <v>9442</v>
      </c>
      <c r="F324" t="s">
        <v>10297</v>
      </c>
      <c r="G324" t="s">
        <v>10298</v>
      </c>
      <c r="H324" t="s">
        <v>10299</v>
      </c>
      <c r="I324" t="s">
        <v>557</v>
      </c>
      <c r="M324" t="s">
        <v>1681</v>
      </c>
      <c r="N324" t="s">
        <v>33</v>
      </c>
      <c r="O324" t="s">
        <v>432</v>
      </c>
    </row>
    <row r="325" spans="1:15" x14ac:dyDescent="0.35">
      <c r="A325" t="s">
        <v>20</v>
      </c>
      <c r="B325">
        <v>17643</v>
      </c>
      <c r="C325" t="s">
        <v>426</v>
      </c>
      <c r="D325" t="s">
        <v>427</v>
      </c>
      <c r="E325" t="s">
        <v>9446</v>
      </c>
      <c r="F325" t="s">
        <v>10300</v>
      </c>
      <c r="G325" t="s">
        <v>10301</v>
      </c>
      <c r="H325" t="s">
        <v>10302</v>
      </c>
      <c r="I325" t="s">
        <v>557</v>
      </c>
      <c r="N325" t="s">
        <v>33</v>
      </c>
      <c r="O325" t="s">
        <v>432</v>
      </c>
    </row>
    <row r="326" spans="1:15" x14ac:dyDescent="0.35">
      <c r="A326" t="s">
        <v>20</v>
      </c>
      <c r="B326">
        <v>17643</v>
      </c>
      <c r="C326" t="s">
        <v>426</v>
      </c>
      <c r="D326" t="s">
        <v>427</v>
      </c>
      <c r="E326" t="s">
        <v>9450</v>
      </c>
      <c r="F326" t="s">
        <v>10303</v>
      </c>
      <c r="G326" t="s">
        <v>10304</v>
      </c>
      <c r="H326" t="s">
        <v>10305</v>
      </c>
      <c r="I326" t="s">
        <v>557</v>
      </c>
      <c r="N326" t="s">
        <v>33</v>
      </c>
      <c r="O326" t="s">
        <v>432</v>
      </c>
    </row>
    <row r="327" spans="1:15" x14ac:dyDescent="0.35">
      <c r="A327" t="s">
        <v>20</v>
      </c>
      <c r="B327">
        <v>17643</v>
      </c>
      <c r="C327" t="s">
        <v>426</v>
      </c>
      <c r="D327" t="s">
        <v>427</v>
      </c>
      <c r="E327" t="s">
        <v>9454</v>
      </c>
      <c r="F327" t="s">
        <v>10306</v>
      </c>
      <c r="G327" t="s">
        <v>10307</v>
      </c>
      <c r="H327" t="s">
        <v>10308</v>
      </c>
      <c r="I327" t="s">
        <v>557</v>
      </c>
      <c r="N327" t="s">
        <v>33</v>
      </c>
      <c r="O327" t="s">
        <v>432</v>
      </c>
    </row>
    <row r="328" spans="1:15" x14ac:dyDescent="0.35">
      <c r="A328" t="s">
        <v>20</v>
      </c>
      <c r="B328">
        <v>17643</v>
      </c>
      <c r="C328" t="s">
        <v>426</v>
      </c>
      <c r="D328" t="s">
        <v>427</v>
      </c>
      <c r="E328" t="s">
        <v>9458</v>
      </c>
      <c r="F328" t="s">
        <v>10309</v>
      </c>
      <c r="G328" t="s">
        <v>10310</v>
      </c>
      <c r="H328" t="s">
        <v>10311</v>
      </c>
      <c r="I328" t="s">
        <v>557</v>
      </c>
      <c r="N328" t="s">
        <v>33</v>
      </c>
      <c r="O328" t="s">
        <v>432</v>
      </c>
    </row>
    <row r="329" spans="1:15" x14ac:dyDescent="0.35">
      <c r="A329" t="s">
        <v>20</v>
      </c>
      <c r="B329">
        <v>17643</v>
      </c>
      <c r="C329" t="s">
        <v>426</v>
      </c>
      <c r="D329" t="s">
        <v>427</v>
      </c>
      <c r="E329" t="s">
        <v>9554</v>
      </c>
      <c r="F329" t="s">
        <v>10312</v>
      </c>
      <c r="G329" t="s">
        <v>10313</v>
      </c>
      <c r="H329" t="s">
        <v>10314</v>
      </c>
      <c r="I329" t="s">
        <v>431</v>
      </c>
      <c r="N329" t="s">
        <v>33</v>
      </c>
      <c r="O329" t="s">
        <v>432</v>
      </c>
    </row>
    <row r="330" spans="1:15" x14ac:dyDescent="0.35">
      <c r="A330" t="s">
        <v>20</v>
      </c>
      <c r="B330">
        <v>17643</v>
      </c>
      <c r="C330" t="s">
        <v>426</v>
      </c>
      <c r="D330" t="s">
        <v>427</v>
      </c>
      <c r="E330" t="s">
        <v>9558</v>
      </c>
      <c r="F330" t="s">
        <v>10315</v>
      </c>
      <c r="G330" t="s">
        <v>10316</v>
      </c>
      <c r="H330" t="s">
        <v>10317</v>
      </c>
      <c r="I330" t="s">
        <v>431</v>
      </c>
      <c r="N330" t="s">
        <v>33</v>
      </c>
      <c r="O330" t="s">
        <v>432</v>
      </c>
    </row>
    <row r="331" spans="1:15" x14ac:dyDescent="0.35">
      <c r="A331" t="s">
        <v>20</v>
      </c>
      <c r="B331">
        <v>17643</v>
      </c>
      <c r="C331" t="s">
        <v>426</v>
      </c>
      <c r="D331" t="s">
        <v>427</v>
      </c>
      <c r="E331" t="s">
        <v>9562</v>
      </c>
      <c r="F331" t="s">
        <v>10318</v>
      </c>
      <c r="G331" t="s">
        <v>10319</v>
      </c>
      <c r="H331" t="s">
        <v>10320</v>
      </c>
      <c r="I331" t="s">
        <v>431</v>
      </c>
      <c r="N331" t="s">
        <v>33</v>
      </c>
      <c r="O331" t="s">
        <v>432</v>
      </c>
    </row>
    <row r="332" spans="1:15" x14ac:dyDescent="0.35">
      <c r="A332" t="s">
        <v>20</v>
      </c>
      <c r="B332">
        <v>17643</v>
      </c>
      <c r="C332" t="s">
        <v>426</v>
      </c>
      <c r="D332" t="s">
        <v>427</v>
      </c>
      <c r="E332" t="s">
        <v>9566</v>
      </c>
      <c r="F332" t="s">
        <v>10321</v>
      </c>
      <c r="G332" t="s">
        <v>10322</v>
      </c>
      <c r="H332" t="s">
        <v>10323</v>
      </c>
      <c r="I332" t="s">
        <v>431</v>
      </c>
      <c r="N332" t="s">
        <v>33</v>
      </c>
      <c r="O332" t="s">
        <v>432</v>
      </c>
    </row>
    <row r="333" spans="1:15" x14ac:dyDescent="0.35">
      <c r="A333" t="s">
        <v>20</v>
      </c>
      <c r="B333">
        <v>17643</v>
      </c>
      <c r="C333" t="s">
        <v>426</v>
      </c>
      <c r="D333" t="s">
        <v>427</v>
      </c>
      <c r="E333" t="s">
        <v>9570</v>
      </c>
      <c r="F333" t="s">
        <v>10324</v>
      </c>
      <c r="G333" t="s">
        <v>10325</v>
      </c>
      <c r="H333" t="s">
        <v>10326</v>
      </c>
      <c r="I333" t="s">
        <v>431</v>
      </c>
      <c r="N333" t="s">
        <v>33</v>
      </c>
      <c r="O333" t="s">
        <v>432</v>
      </c>
    </row>
    <row r="334" spans="1:15" x14ac:dyDescent="0.35">
      <c r="A334" t="s">
        <v>20</v>
      </c>
      <c r="B334">
        <v>17643</v>
      </c>
      <c r="C334" t="s">
        <v>426</v>
      </c>
      <c r="D334" t="s">
        <v>427</v>
      </c>
      <c r="E334" t="s">
        <v>9574</v>
      </c>
      <c r="F334" t="s">
        <v>10327</v>
      </c>
      <c r="G334" t="s">
        <v>10328</v>
      </c>
      <c r="H334" t="s">
        <v>10329</v>
      </c>
      <c r="I334" t="s">
        <v>431</v>
      </c>
      <c r="N334" t="s">
        <v>33</v>
      </c>
      <c r="O334" t="s">
        <v>432</v>
      </c>
    </row>
    <row r="335" spans="1:15" x14ac:dyDescent="0.35">
      <c r="A335" t="s">
        <v>20</v>
      </c>
      <c r="B335">
        <v>17643</v>
      </c>
      <c r="C335" t="s">
        <v>426</v>
      </c>
      <c r="D335" t="s">
        <v>427</v>
      </c>
      <c r="E335" t="s">
        <v>9578</v>
      </c>
      <c r="F335" t="s">
        <v>10330</v>
      </c>
      <c r="G335" t="s">
        <v>10331</v>
      </c>
      <c r="H335" t="s">
        <v>10332</v>
      </c>
      <c r="I335" t="s">
        <v>431</v>
      </c>
      <c r="N335" t="s">
        <v>33</v>
      </c>
      <c r="O335" t="s">
        <v>432</v>
      </c>
    </row>
    <row r="336" spans="1:15" x14ac:dyDescent="0.35">
      <c r="A336" t="s">
        <v>20</v>
      </c>
      <c r="B336">
        <v>17643</v>
      </c>
      <c r="C336" t="s">
        <v>426</v>
      </c>
      <c r="D336" t="s">
        <v>427</v>
      </c>
      <c r="E336" t="s">
        <v>9582</v>
      </c>
      <c r="F336" t="s">
        <v>10333</v>
      </c>
      <c r="G336" t="s">
        <v>10334</v>
      </c>
      <c r="H336" t="s">
        <v>10335</v>
      </c>
      <c r="I336" t="s">
        <v>431</v>
      </c>
      <c r="N336" t="s">
        <v>33</v>
      </c>
      <c r="O336" t="s">
        <v>432</v>
      </c>
    </row>
    <row r="337" spans="1:15" x14ac:dyDescent="0.35">
      <c r="A337" t="s">
        <v>20</v>
      </c>
      <c r="B337">
        <v>17643</v>
      </c>
      <c r="C337" t="s">
        <v>426</v>
      </c>
      <c r="D337" t="s">
        <v>427</v>
      </c>
      <c r="E337" t="s">
        <v>9586</v>
      </c>
      <c r="F337" t="s">
        <v>10336</v>
      </c>
      <c r="G337" t="s">
        <v>10337</v>
      </c>
      <c r="H337" t="s">
        <v>10338</v>
      </c>
      <c r="I337" t="s">
        <v>431</v>
      </c>
      <c r="M337" t="s">
        <v>1681</v>
      </c>
      <c r="N337" t="s">
        <v>33</v>
      </c>
      <c r="O337" t="s">
        <v>432</v>
      </c>
    </row>
    <row r="338" spans="1:15" x14ac:dyDescent="0.35">
      <c r="A338" t="s">
        <v>20</v>
      </c>
      <c r="B338">
        <v>17643</v>
      </c>
      <c r="C338" t="s">
        <v>426</v>
      </c>
      <c r="D338" t="s">
        <v>427</v>
      </c>
      <c r="E338" t="s">
        <v>9590</v>
      </c>
      <c r="F338" t="s">
        <v>10339</v>
      </c>
      <c r="G338" t="s">
        <v>10340</v>
      </c>
      <c r="H338" t="s">
        <v>10341</v>
      </c>
      <c r="I338" t="s">
        <v>431</v>
      </c>
      <c r="N338" t="s">
        <v>33</v>
      </c>
      <c r="O338" t="s">
        <v>432</v>
      </c>
    </row>
    <row r="339" spans="1:15" x14ac:dyDescent="0.35">
      <c r="A339" t="s">
        <v>20</v>
      </c>
      <c r="B339">
        <v>17643</v>
      </c>
      <c r="C339" t="s">
        <v>426</v>
      </c>
      <c r="D339" t="s">
        <v>427</v>
      </c>
      <c r="E339" t="s">
        <v>9594</v>
      </c>
      <c r="F339" t="s">
        <v>10342</v>
      </c>
      <c r="G339" t="s">
        <v>10343</v>
      </c>
      <c r="H339" t="s">
        <v>10344</v>
      </c>
      <c r="I339" t="s">
        <v>431</v>
      </c>
      <c r="N339" t="s">
        <v>33</v>
      </c>
      <c r="O339" t="s">
        <v>432</v>
      </c>
    </row>
    <row r="340" spans="1:15" x14ac:dyDescent="0.35">
      <c r="A340" t="s">
        <v>20</v>
      </c>
      <c r="B340">
        <v>17643</v>
      </c>
      <c r="C340" t="s">
        <v>426</v>
      </c>
      <c r="D340" t="s">
        <v>427</v>
      </c>
      <c r="E340" t="s">
        <v>9598</v>
      </c>
      <c r="F340" t="s">
        <v>10345</v>
      </c>
      <c r="G340" t="s">
        <v>10346</v>
      </c>
      <c r="H340" t="s">
        <v>10347</v>
      </c>
      <c r="I340" t="s">
        <v>431</v>
      </c>
      <c r="N340" t="s">
        <v>33</v>
      </c>
      <c r="O340" t="s">
        <v>432</v>
      </c>
    </row>
    <row r="341" spans="1:15" x14ac:dyDescent="0.35">
      <c r="A341" t="s">
        <v>20</v>
      </c>
      <c r="B341">
        <v>17643</v>
      </c>
      <c r="C341" t="s">
        <v>426</v>
      </c>
      <c r="D341" t="s">
        <v>427</v>
      </c>
      <c r="E341" t="s">
        <v>9602</v>
      </c>
      <c r="F341" t="s">
        <v>10348</v>
      </c>
      <c r="G341" t="s">
        <v>10349</v>
      </c>
      <c r="H341" t="s">
        <v>10350</v>
      </c>
      <c r="I341" t="s">
        <v>431</v>
      </c>
      <c r="N341" t="s">
        <v>33</v>
      </c>
      <c r="O341" t="s">
        <v>432</v>
      </c>
    </row>
    <row r="342" spans="1:15" x14ac:dyDescent="0.35">
      <c r="A342" t="s">
        <v>20</v>
      </c>
      <c r="B342">
        <v>17643</v>
      </c>
      <c r="C342" t="s">
        <v>426</v>
      </c>
      <c r="D342" t="s">
        <v>427</v>
      </c>
      <c r="E342" t="s">
        <v>9606</v>
      </c>
      <c r="F342" t="s">
        <v>10351</v>
      </c>
      <c r="G342" t="s">
        <v>10352</v>
      </c>
      <c r="H342" t="s">
        <v>10353</v>
      </c>
      <c r="I342" t="s">
        <v>431</v>
      </c>
      <c r="M342" t="s">
        <v>1681</v>
      </c>
      <c r="N342" t="s">
        <v>33</v>
      </c>
      <c r="O342" t="s">
        <v>432</v>
      </c>
    </row>
    <row r="343" spans="1:15" x14ac:dyDescent="0.35">
      <c r="A343" t="s">
        <v>20</v>
      </c>
      <c r="B343">
        <v>17643</v>
      </c>
      <c r="C343" t="s">
        <v>426</v>
      </c>
      <c r="D343" t="s">
        <v>427</v>
      </c>
      <c r="E343" t="s">
        <v>9610</v>
      </c>
      <c r="F343" t="s">
        <v>10354</v>
      </c>
      <c r="G343" t="s">
        <v>10355</v>
      </c>
      <c r="H343" t="s">
        <v>10356</v>
      </c>
      <c r="I343" t="s">
        <v>431</v>
      </c>
      <c r="N343" t="s">
        <v>33</v>
      </c>
      <c r="O343" t="s">
        <v>432</v>
      </c>
    </row>
    <row r="344" spans="1:15" x14ac:dyDescent="0.35">
      <c r="A344" t="s">
        <v>20</v>
      </c>
      <c r="B344">
        <v>17643</v>
      </c>
      <c r="C344" t="s">
        <v>426</v>
      </c>
      <c r="D344" t="s">
        <v>427</v>
      </c>
      <c r="E344" t="s">
        <v>9614</v>
      </c>
      <c r="F344" t="s">
        <v>10357</v>
      </c>
      <c r="G344" t="s">
        <v>10358</v>
      </c>
      <c r="H344" t="s">
        <v>10359</v>
      </c>
      <c r="I344" t="s">
        <v>431</v>
      </c>
      <c r="N344" t="s">
        <v>33</v>
      </c>
      <c r="O344" t="s">
        <v>432</v>
      </c>
    </row>
    <row r="345" spans="1:15" x14ac:dyDescent="0.35">
      <c r="A345" t="s">
        <v>20</v>
      </c>
      <c r="B345">
        <v>17643</v>
      </c>
      <c r="C345" t="s">
        <v>426</v>
      </c>
      <c r="D345" t="s">
        <v>427</v>
      </c>
      <c r="E345" t="s">
        <v>9617</v>
      </c>
      <c r="F345" t="s">
        <v>10360</v>
      </c>
      <c r="G345" t="s">
        <v>10361</v>
      </c>
      <c r="H345" t="s">
        <v>10362</v>
      </c>
      <c r="I345" t="s">
        <v>431</v>
      </c>
      <c r="N345" t="s">
        <v>33</v>
      </c>
      <c r="O345" t="s">
        <v>432</v>
      </c>
    </row>
    <row r="346" spans="1:15" x14ac:dyDescent="0.35">
      <c r="A346" t="s">
        <v>20</v>
      </c>
      <c r="B346">
        <v>17643</v>
      </c>
      <c r="C346" t="s">
        <v>426</v>
      </c>
      <c r="D346" t="s">
        <v>427</v>
      </c>
      <c r="E346" t="s">
        <v>9621</v>
      </c>
      <c r="F346" t="s">
        <v>10363</v>
      </c>
      <c r="G346" t="s">
        <v>10364</v>
      </c>
      <c r="H346" t="s">
        <v>10365</v>
      </c>
      <c r="I346" t="s">
        <v>431</v>
      </c>
      <c r="N346" t="s">
        <v>33</v>
      </c>
      <c r="O346" t="s">
        <v>432</v>
      </c>
    </row>
    <row r="347" spans="1:15" x14ac:dyDescent="0.35">
      <c r="A347" t="s">
        <v>20</v>
      </c>
      <c r="B347">
        <v>17643</v>
      </c>
      <c r="C347" t="s">
        <v>426</v>
      </c>
      <c r="D347" t="s">
        <v>427</v>
      </c>
      <c r="E347" t="s">
        <v>9625</v>
      </c>
      <c r="F347" t="s">
        <v>10366</v>
      </c>
      <c r="G347" t="s">
        <v>10367</v>
      </c>
      <c r="H347" t="s">
        <v>10368</v>
      </c>
      <c r="I347" t="s">
        <v>431</v>
      </c>
      <c r="N347" t="s">
        <v>33</v>
      </c>
      <c r="O347" t="s">
        <v>432</v>
      </c>
    </row>
    <row r="348" spans="1:15" x14ac:dyDescent="0.35">
      <c r="A348" t="s">
        <v>20</v>
      </c>
      <c r="B348">
        <v>17643</v>
      </c>
      <c r="C348" t="s">
        <v>426</v>
      </c>
      <c r="D348" t="s">
        <v>427</v>
      </c>
      <c r="E348" t="s">
        <v>9629</v>
      </c>
      <c r="F348" t="s">
        <v>10369</v>
      </c>
      <c r="G348" t="s">
        <v>10370</v>
      </c>
      <c r="H348" t="s">
        <v>10371</v>
      </c>
      <c r="I348" t="s">
        <v>431</v>
      </c>
      <c r="M348" t="s">
        <v>1681</v>
      </c>
      <c r="N348" t="s">
        <v>33</v>
      </c>
      <c r="O348" t="s">
        <v>432</v>
      </c>
    </row>
    <row r="349" spans="1:15" x14ac:dyDescent="0.35">
      <c r="A349" t="s">
        <v>20</v>
      </c>
      <c r="B349">
        <v>17643</v>
      </c>
      <c r="C349" t="s">
        <v>426</v>
      </c>
      <c r="D349" t="s">
        <v>427</v>
      </c>
      <c r="E349" t="s">
        <v>9633</v>
      </c>
      <c r="F349" t="s">
        <v>10372</v>
      </c>
      <c r="G349" t="s">
        <v>10373</v>
      </c>
      <c r="H349" t="s">
        <v>10374</v>
      </c>
      <c r="I349" t="s">
        <v>431</v>
      </c>
      <c r="N349" t="s">
        <v>33</v>
      </c>
      <c r="O349" t="s">
        <v>432</v>
      </c>
    </row>
    <row r="350" spans="1:15" x14ac:dyDescent="0.35">
      <c r="A350" t="s">
        <v>20</v>
      </c>
      <c r="B350">
        <v>17643</v>
      </c>
      <c r="C350" t="s">
        <v>426</v>
      </c>
      <c r="D350" t="s">
        <v>427</v>
      </c>
      <c r="E350" t="s">
        <v>9637</v>
      </c>
      <c r="F350" t="s">
        <v>10375</v>
      </c>
      <c r="G350" t="s">
        <v>10376</v>
      </c>
      <c r="H350" t="s">
        <v>10377</v>
      </c>
      <c r="I350" t="s">
        <v>431</v>
      </c>
      <c r="N350" t="s">
        <v>33</v>
      </c>
      <c r="O350" t="s">
        <v>432</v>
      </c>
    </row>
    <row r="351" spans="1:15" x14ac:dyDescent="0.35">
      <c r="A351" t="s">
        <v>20</v>
      </c>
      <c r="B351">
        <v>17643</v>
      </c>
      <c r="C351" t="s">
        <v>426</v>
      </c>
      <c r="D351" t="s">
        <v>427</v>
      </c>
      <c r="E351" t="s">
        <v>9641</v>
      </c>
      <c r="F351" t="s">
        <v>10378</v>
      </c>
      <c r="G351" t="s">
        <v>10379</v>
      </c>
      <c r="H351" t="s">
        <v>10380</v>
      </c>
      <c r="I351" t="s">
        <v>431</v>
      </c>
      <c r="N351" t="s">
        <v>33</v>
      </c>
      <c r="O351" t="s">
        <v>432</v>
      </c>
    </row>
    <row r="352" spans="1:15" x14ac:dyDescent="0.35">
      <c r="A352" t="s">
        <v>20</v>
      </c>
      <c r="B352">
        <v>17643</v>
      </c>
      <c r="C352" t="s">
        <v>426</v>
      </c>
      <c r="D352" t="s">
        <v>427</v>
      </c>
      <c r="E352" t="s">
        <v>9645</v>
      </c>
      <c r="F352" t="s">
        <v>10381</v>
      </c>
      <c r="G352" t="s">
        <v>10382</v>
      </c>
      <c r="H352" t="s">
        <v>10383</v>
      </c>
      <c r="I352" t="s">
        <v>431</v>
      </c>
      <c r="N352" t="s">
        <v>33</v>
      </c>
      <c r="O352" t="s">
        <v>432</v>
      </c>
    </row>
    <row r="353" spans="1:15" x14ac:dyDescent="0.35">
      <c r="A353" t="s">
        <v>20</v>
      </c>
      <c r="B353">
        <v>17643</v>
      </c>
      <c r="C353" t="s">
        <v>426</v>
      </c>
      <c r="D353" t="s">
        <v>427</v>
      </c>
      <c r="E353" t="s">
        <v>9649</v>
      </c>
      <c r="F353" t="s">
        <v>10384</v>
      </c>
      <c r="G353" t="s">
        <v>10385</v>
      </c>
      <c r="H353" t="s">
        <v>10386</v>
      </c>
      <c r="I353" t="s">
        <v>431</v>
      </c>
      <c r="N353" t="s">
        <v>33</v>
      </c>
      <c r="O353" t="s">
        <v>432</v>
      </c>
    </row>
    <row r="354" spans="1:15" x14ac:dyDescent="0.35">
      <c r="A354" t="s">
        <v>20</v>
      </c>
      <c r="B354">
        <v>17643</v>
      </c>
      <c r="C354" t="s">
        <v>426</v>
      </c>
      <c r="D354" t="s">
        <v>427</v>
      </c>
      <c r="E354" t="s">
        <v>9653</v>
      </c>
      <c r="F354" t="s">
        <v>10387</v>
      </c>
      <c r="G354" t="s">
        <v>10388</v>
      </c>
      <c r="H354" t="s">
        <v>10389</v>
      </c>
      <c r="I354" t="s">
        <v>431</v>
      </c>
      <c r="N354" t="s">
        <v>33</v>
      </c>
      <c r="O354" t="s">
        <v>432</v>
      </c>
    </row>
    <row r="355" spans="1:15" x14ac:dyDescent="0.35">
      <c r="A355" t="s">
        <v>20</v>
      </c>
      <c r="B355">
        <v>17643</v>
      </c>
      <c r="C355" t="s">
        <v>426</v>
      </c>
      <c r="D355" t="s">
        <v>427</v>
      </c>
      <c r="E355" t="s">
        <v>9657</v>
      </c>
      <c r="F355" t="s">
        <v>10390</v>
      </c>
      <c r="G355" t="s">
        <v>10391</v>
      </c>
      <c r="H355" t="s">
        <v>10392</v>
      </c>
      <c r="I355" t="s">
        <v>431</v>
      </c>
      <c r="N355" t="s">
        <v>33</v>
      </c>
      <c r="O355" t="s">
        <v>432</v>
      </c>
    </row>
    <row r="356" spans="1:15" x14ac:dyDescent="0.35">
      <c r="A356" t="s">
        <v>20</v>
      </c>
      <c r="B356">
        <v>17643</v>
      </c>
      <c r="C356" t="s">
        <v>426</v>
      </c>
      <c r="D356" t="s">
        <v>427</v>
      </c>
      <c r="E356" t="s">
        <v>9661</v>
      </c>
      <c r="F356" t="s">
        <v>10393</v>
      </c>
      <c r="G356" t="s">
        <v>10394</v>
      </c>
      <c r="H356" t="s">
        <v>10395</v>
      </c>
      <c r="I356" t="s">
        <v>431</v>
      </c>
      <c r="N356" t="s">
        <v>33</v>
      </c>
      <c r="O356" t="s">
        <v>432</v>
      </c>
    </row>
    <row r="357" spans="1:15" x14ac:dyDescent="0.35">
      <c r="A357" t="s">
        <v>20</v>
      </c>
      <c r="B357">
        <v>17643</v>
      </c>
      <c r="C357" t="s">
        <v>426</v>
      </c>
      <c r="D357" t="s">
        <v>427</v>
      </c>
      <c r="E357" t="s">
        <v>9665</v>
      </c>
      <c r="F357" t="s">
        <v>10396</v>
      </c>
      <c r="G357" t="s">
        <v>10397</v>
      </c>
      <c r="H357" t="s">
        <v>10398</v>
      </c>
      <c r="I357" t="s">
        <v>431</v>
      </c>
      <c r="N357" t="s">
        <v>33</v>
      </c>
      <c r="O357" t="s">
        <v>432</v>
      </c>
    </row>
    <row r="358" spans="1:15" x14ac:dyDescent="0.35">
      <c r="A358" t="s">
        <v>20</v>
      </c>
      <c r="B358">
        <v>17643</v>
      </c>
      <c r="C358" t="s">
        <v>426</v>
      </c>
      <c r="D358" t="s">
        <v>427</v>
      </c>
      <c r="E358" t="s">
        <v>9669</v>
      </c>
      <c r="F358" t="s">
        <v>10399</v>
      </c>
      <c r="G358" t="s">
        <v>10400</v>
      </c>
      <c r="H358" t="s">
        <v>10401</v>
      </c>
      <c r="I358" t="s">
        <v>431</v>
      </c>
      <c r="N358" t="s">
        <v>33</v>
      </c>
      <c r="O358" t="s">
        <v>432</v>
      </c>
    </row>
    <row r="359" spans="1:15" x14ac:dyDescent="0.35">
      <c r="A359" t="s">
        <v>20</v>
      </c>
      <c r="B359">
        <v>17643</v>
      </c>
      <c r="C359" t="s">
        <v>426</v>
      </c>
      <c r="D359" t="s">
        <v>427</v>
      </c>
      <c r="E359" t="s">
        <v>9673</v>
      </c>
      <c r="F359" t="s">
        <v>10402</v>
      </c>
      <c r="G359" t="s">
        <v>10403</v>
      </c>
      <c r="H359" t="s">
        <v>10404</v>
      </c>
      <c r="I359" t="s">
        <v>431</v>
      </c>
      <c r="N359" t="s">
        <v>33</v>
      </c>
      <c r="O359" t="s">
        <v>432</v>
      </c>
    </row>
    <row r="360" spans="1:15" x14ac:dyDescent="0.35">
      <c r="A360" t="s">
        <v>20</v>
      </c>
      <c r="B360">
        <v>17643</v>
      </c>
      <c r="C360" t="s">
        <v>426</v>
      </c>
      <c r="D360" t="s">
        <v>427</v>
      </c>
      <c r="E360" t="s">
        <v>9677</v>
      </c>
      <c r="F360" t="s">
        <v>10405</v>
      </c>
      <c r="G360" t="s">
        <v>10406</v>
      </c>
      <c r="H360" t="s">
        <v>10407</v>
      </c>
      <c r="I360" t="s">
        <v>431</v>
      </c>
      <c r="N360" t="s">
        <v>33</v>
      </c>
      <c r="O360" t="s">
        <v>432</v>
      </c>
    </row>
    <row r="361" spans="1:15" x14ac:dyDescent="0.35">
      <c r="A361" t="s">
        <v>20</v>
      </c>
      <c r="B361">
        <v>17643</v>
      </c>
      <c r="C361" t="s">
        <v>426</v>
      </c>
      <c r="D361" t="s">
        <v>427</v>
      </c>
      <c r="E361" t="s">
        <v>9681</v>
      </c>
      <c r="F361" t="s">
        <v>10408</v>
      </c>
      <c r="G361" t="s">
        <v>10409</v>
      </c>
      <c r="H361" t="s">
        <v>10410</v>
      </c>
      <c r="I361" t="s">
        <v>431</v>
      </c>
      <c r="N361" t="s">
        <v>33</v>
      </c>
      <c r="O361" t="s">
        <v>432</v>
      </c>
    </row>
    <row r="362" spans="1:15" x14ac:dyDescent="0.35">
      <c r="A362" t="s">
        <v>20</v>
      </c>
      <c r="B362">
        <v>17643</v>
      </c>
      <c r="C362" t="s">
        <v>426</v>
      </c>
      <c r="D362" t="s">
        <v>427</v>
      </c>
      <c r="E362" t="s">
        <v>9685</v>
      </c>
      <c r="F362" t="s">
        <v>10411</v>
      </c>
      <c r="G362" t="s">
        <v>10412</v>
      </c>
      <c r="H362" t="s">
        <v>10413</v>
      </c>
      <c r="I362" t="s">
        <v>431</v>
      </c>
      <c r="N362" t="s">
        <v>33</v>
      </c>
      <c r="O362" t="s">
        <v>432</v>
      </c>
    </row>
    <row r="363" spans="1:15" x14ac:dyDescent="0.35">
      <c r="A363" t="s">
        <v>20</v>
      </c>
      <c r="B363">
        <v>17643</v>
      </c>
      <c r="C363" t="s">
        <v>426</v>
      </c>
      <c r="D363" t="s">
        <v>427</v>
      </c>
      <c r="E363" t="s">
        <v>9689</v>
      </c>
      <c r="F363" t="s">
        <v>10414</v>
      </c>
      <c r="G363" t="s">
        <v>10415</v>
      </c>
      <c r="H363" t="s">
        <v>10416</v>
      </c>
      <c r="I363" t="s">
        <v>431</v>
      </c>
      <c r="N363" t="s">
        <v>33</v>
      </c>
      <c r="O363" t="s">
        <v>432</v>
      </c>
    </row>
    <row r="364" spans="1:15" x14ac:dyDescent="0.35">
      <c r="A364" t="s">
        <v>20</v>
      </c>
      <c r="B364">
        <v>17643</v>
      </c>
      <c r="C364" t="s">
        <v>426</v>
      </c>
      <c r="D364" t="s">
        <v>427</v>
      </c>
      <c r="E364" t="s">
        <v>9693</v>
      </c>
      <c r="F364" t="s">
        <v>10417</v>
      </c>
      <c r="G364" t="s">
        <v>10418</v>
      </c>
      <c r="H364" t="s">
        <v>10419</v>
      </c>
      <c r="I364" t="s">
        <v>431</v>
      </c>
      <c r="N364" t="s">
        <v>33</v>
      </c>
      <c r="O364" t="s">
        <v>432</v>
      </c>
    </row>
    <row r="365" spans="1:15" x14ac:dyDescent="0.35">
      <c r="A365" t="s">
        <v>20</v>
      </c>
      <c r="B365">
        <v>17643</v>
      </c>
      <c r="C365" t="s">
        <v>426</v>
      </c>
      <c r="D365" t="s">
        <v>427</v>
      </c>
      <c r="E365" t="s">
        <v>9697</v>
      </c>
      <c r="F365" t="s">
        <v>10420</v>
      </c>
      <c r="G365" t="s">
        <v>10421</v>
      </c>
      <c r="H365" t="s">
        <v>10422</v>
      </c>
      <c r="I365" t="s">
        <v>431</v>
      </c>
      <c r="N365" t="s">
        <v>33</v>
      </c>
      <c r="O365" t="s">
        <v>432</v>
      </c>
    </row>
    <row r="366" spans="1:15" x14ac:dyDescent="0.35">
      <c r="A366" t="s">
        <v>20</v>
      </c>
      <c r="B366">
        <v>17643</v>
      </c>
      <c r="C366" t="s">
        <v>426</v>
      </c>
      <c r="D366" t="s">
        <v>427</v>
      </c>
      <c r="E366" t="s">
        <v>9701</v>
      </c>
      <c r="F366" t="s">
        <v>10423</v>
      </c>
      <c r="G366" t="s">
        <v>10424</v>
      </c>
      <c r="H366" t="s">
        <v>10425</v>
      </c>
      <c r="I366" t="s">
        <v>431</v>
      </c>
      <c r="N366" t="s">
        <v>33</v>
      </c>
      <c r="O366" t="s">
        <v>432</v>
      </c>
    </row>
    <row r="367" spans="1:15" x14ac:dyDescent="0.35">
      <c r="A367" t="s">
        <v>20</v>
      </c>
      <c r="B367">
        <v>17643</v>
      </c>
      <c r="C367" t="s">
        <v>426</v>
      </c>
      <c r="D367" t="s">
        <v>427</v>
      </c>
      <c r="E367" t="s">
        <v>9705</v>
      </c>
      <c r="F367" t="s">
        <v>10426</v>
      </c>
      <c r="G367" t="s">
        <v>10427</v>
      </c>
      <c r="H367" t="s">
        <v>10428</v>
      </c>
      <c r="I367" t="s">
        <v>431</v>
      </c>
      <c r="N367" t="s">
        <v>33</v>
      </c>
      <c r="O367" t="s">
        <v>432</v>
      </c>
    </row>
    <row r="368" spans="1:15" x14ac:dyDescent="0.35">
      <c r="A368" t="s">
        <v>20</v>
      </c>
      <c r="B368">
        <v>17643</v>
      </c>
      <c r="C368" t="s">
        <v>426</v>
      </c>
      <c r="D368" t="s">
        <v>427</v>
      </c>
      <c r="E368" t="s">
        <v>9709</v>
      </c>
      <c r="F368" t="s">
        <v>10429</v>
      </c>
      <c r="G368" t="s">
        <v>10430</v>
      </c>
      <c r="H368" t="s">
        <v>10431</v>
      </c>
      <c r="I368" t="s">
        <v>431</v>
      </c>
      <c r="N368" t="s">
        <v>33</v>
      </c>
      <c r="O368" t="s">
        <v>432</v>
      </c>
    </row>
    <row r="369" spans="1:15" x14ac:dyDescent="0.35">
      <c r="A369" t="s">
        <v>20</v>
      </c>
      <c r="B369">
        <v>17643</v>
      </c>
      <c r="C369" t="s">
        <v>426</v>
      </c>
      <c r="D369" t="s">
        <v>427</v>
      </c>
      <c r="E369" t="s">
        <v>9712</v>
      </c>
      <c r="F369" t="s">
        <v>10432</v>
      </c>
      <c r="G369" t="s">
        <v>10433</v>
      </c>
      <c r="H369" t="s">
        <v>10434</v>
      </c>
      <c r="I369" t="s">
        <v>431</v>
      </c>
      <c r="N369" t="s">
        <v>33</v>
      </c>
      <c r="O369" t="s">
        <v>432</v>
      </c>
    </row>
    <row r="370" spans="1:15" x14ac:dyDescent="0.35">
      <c r="A370" t="s">
        <v>20</v>
      </c>
      <c r="B370">
        <v>17643</v>
      </c>
      <c r="C370" t="s">
        <v>426</v>
      </c>
      <c r="D370" t="s">
        <v>427</v>
      </c>
      <c r="E370" t="s">
        <v>9716</v>
      </c>
      <c r="F370" t="s">
        <v>10435</v>
      </c>
      <c r="G370" t="s">
        <v>10436</v>
      </c>
      <c r="H370" t="s">
        <v>10437</v>
      </c>
      <c r="I370" t="s">
        <v>431</v>
      </c>
      <c r="N370" t="s">
        <v>33</v>
      </c>
      <c r="O370" t="s">
        <v>432</v>
      </c>
    </row>
    <row r="371" spans="1:15" x14ac:dyDescent="0.35">
      <c r="A371" t="s">
        <v>20</v>
      </c>
      <c r="B371">
        <v>17643</v>
      </c>
      <c r="C371" t="s">
        <v>426</v>
      </c>
      <c r="D371" t="s">
        <v>427</v>
      </c>
      <c r="E371" t="s">
        <v>9720</v>
      </c>
      <c r="F371" t="s">
        <v>10438</v>
      </c>
      <c r="G371" t="s">
        <v>10439</v>
      </c>
      <c r="H371" t="s">
        <v>10440</v>
      </c>
      <c r="I371" t="s">
        <v>431</v>
      </c>
      <c r="N371" t="s">
        <v>33</v>
      </c>
      <c r="O371" t="s">
        <v>432</v>
      </c>
    </row>
    <row r="372" spans="1:15" x14ac:dyDescent="0.35">
      <c r="A372" t="s">
        <v>20</v>
      </c>
      <c r="B372">
        <v>17643</v>
      </c>
      <c r="C372" t="s">
        <v>426</v>
      </c>
      <c r="D372" t="s">
        <v>427</v>
      </c>
      <c r="E372" t="s">
        <v>9724</v>
      </c>
      <c r="F372" t="s">
        <v>10441</v>
      </c>
      <c r="G372" t="s">
        <v>10442</v>
      </c>
      <c r="H372" t="s">
        <v>10443</v>
      </c>
      <c r="I372" t="s">
        <v>431</v>
      </c>
      <c r="N372" t="s">
        <v>33</v>
      </c>
      <c r="O372" t="s">
        <v>432</v>
      </c>
    </row>
    <row r="373" spans="1:15" x14ac:dyDescent="0.35">
      <c r="A373" t="s">
        <v>20</v>
      </c>
      <c r="B373">
        <v>17643</v>
      </c>
      <c r="C373" t="s">
        <v>426</v>
      </c>
      <c r="D373" t="s">
        <v>427</v>
      </c>
      <c r="E373" t="s">
        <v>9728</v>
      </c>
      <c r="F373" t="s">
        <v>10444</v>
      </c>
      <c r="G373" t="s">
        <v>10445</v>
      </c>
      <c r="H373" t="s">
        <v>10446</v>
      </c>
      <c r="I373" t="s">
        <v>431</v>
      </c>
      <c r="N373" t="s">
        <v>33</v>
      </c>
      <c r="O373" t="s">
        <v>432</v>
      </c>
    </row>
    <row r="374" spans="1:15" x14ac:dyDescent="0.35">
      <c r="A374" t="s">
        <v>20</v>
      </c>
      <c r="B374">
        <v>17643</v>
      </c>
      <c r="C374" t="s">
        <v>426</v>
      </c>
      <c r="D374" t="s">
        <v>427</v>
      </c>
      <c r="E374" t="s">
        <v>9732</v>
      </c>
      <c r="F374" t="s">
        <v>10447</v>
      </c>
      <c r="G374" t="s">
        <v>10448</v>
      </c>
      <c r="H374" t="s">
        <v>10449</v>
      </c>
      <c r="I374" t="s">
        <v>431</v>
      </c>
      <c r="N374" t="s">
        <v>33</v>
      </c>
      <c r="O374" t="s">
        <v>432</v>
      </c>
    </row>
    <row r="375" spans="1:15" x14ac:dyDescent="0.35">
      <c r="A375" t="s">
        <v>20</v>
      </c>
      <c r="B375">
        <v>17643</v>
      </c>
      <c r="C375" t="s">
        <v>426</v>
      </c>
      <c r="D375" t="s">
        <v>427</v>
      </c>
      <c r="E375" t="s">
        <v>9736</v>
      </c>
      <c r="F375" t="s">
        <v>10450</v>
      </c>
      <c r="G375" t="s">
        <v>10451</v>
      </c>
      <c r="H375" t="s">
        <v>10452</v>
      </c>
      <c r="I375" t="s">
        <v>431</v>
      </c>
      <c r="N375" t="s">
        <v>33</v>
      </c>
      <c r="O375" t="s">
        <v>432</v>
      </c>
    </row>
    <row r="376" spans="1:15" x14ac:dyDescent="0.35">
      <c r="A376" t="s">
        <v>20</v>
      </c>
      <c r="B376">
        <v>17643</v>
      </c>
      <c r="C376" t="s">
        <v>426</v>
      </c>
      <c r="D376" t="s">
        <v>427</v>
      </c>
      <c r="E376" t="s">
        <v>9740</v>
      </c>
      <c r="F376" t="s">
        <v>10453</v>
      </c>
      <c r="G376" t="s">
        <v>10454</v>
      </c>
      <c r="H376" t="s">
        <v>10455</v>
      </c>
      <c r="I376" t="s">
        <v>431</v>
      </c>
      <c r="N376" t="s">
        <v>33</v>
      </c>
      <c r="O376" t="s">
        <v>432</v>
      </c>
    </row>
    <row r="377" spans="1:15" x14ac:dyDescent="0.35">
      <c r="A377" t="s">
        <v>20</v>
      </c>
      <c r="B377">
        <v>17643</v>
      </c>
      <c r="C377" t="s">
        <v>426</v>
      </c>
      <c r="D377" t="s">
        <v>427</v>
      </c>
      <c r="E377" t="s">
        <v>9744</v>
      </c>
      <c r="F377" t="s">
        <v>10456</v>
      </c>
      <c r="G377" t="s">
        <v>10457</v>
      </c>
      <c r="H377" t="s">
        <v>10458</v>
      </c>
      <c r="I377" t="s">
        <v>431</v>
      </c>
      <c r="N377" t="s">
        <v>33</v>
      </c>
      <c r="O377" t="s">
        <v>432</v>
      </c>
    </row>
    <row r="378" spans="1:15" x14ac:dyDescent="0.35">
      <c r="A378" t="s">
        <v>20</v>
      </c>
      <c r="B378">
        <v>17643</v>
      </c>
      <c r="C378" t="s">
        <v>426</v>
      </c>
      <c r="D378" t="s">
        <v>427</v>
      </c>
      <c r="E378" t="s">
        <v>9748</v>
      </c>
      <c r="F378" t="s">
        <v>10459</v>
      </c>
      <c r="G378" t="s">
        <v>10460</v>
      </c>
      <c r="H378" t="s">
        <v>10461</v>
      </c>
      <c r="I378" t="s">
        <v>431</v>
      </c>
      <c r="N378" t="s">
        <v>33</v>
      </c>
      <c r="O378" t="s">
        <v>432</v>
      </c>
    </row>
    <row r="379" spans="1:15" x14ac:dyDescent="0.35">
      <c r="A379" t="s">
        <v>20</v>
      </c>
      <c r="B379">
        <v>17643</v>
      </c>
      <c r="C379" t="s">
        <v>426</v>
      </c>
      <c r="D379" t="s">
        <v>427</v>
      </c>
      <c r="E379" t="s">
        <v>9752</v>
      </c>
      <c r="F379" t="s">
        <v>10462</v>
      </c>
      <c r="G379" t="s">
        <v>10463</v>
      </c>
      <c r="H379" t="s">
        <v>10464</v>
      </c>
      <c r="I379" t="s">
        <v>431</v>
      </c>
      <c r="N379" t="s">
        <v>33</v>
      </c>
      <c r="O379" t="s">
        <v>432</v>
      </c>
    </row>
    <row r="380" spans="1:15" x14ac:dyDescent="0.35">
      <c r="A380" t="s">
        <v>20</v>
      </c>
      <c r="B380">
        <v>17643</v>
      </c>
      <c r="C380" t="s">
        <v>426</v>
      </c>
      <c r="D380" t="s">
        <v>427</v>
      </c>
      <c r="E380" t="s">
        <v>9756</v>
      </c>
      <c r="F380" t="s">
        <v>10465</v>
      </c>
      <c r="G380" t="s">
        <v>10466</v>
      </c>
      <c r="H380" t="s">
        <v>10467</v>
      </c>
      <c r="I380" t="s">
        <v>431</v>
      </c>
      <c r="M380" t="s">
        <v>1681</v>
      </c>
      <c r="N380" t="s">
        <v>33</v>
      </c>
      <c r="O380" t="s">
        <v>432</v>
      </c>
    </row>
    <row r="381" spans="1:15" x14ac:dyDescent="0.35">
      <c r="A381" t="s">
        <v>20</v>
      </c>
      <c r="B381">
        <v>17643</v>
      </c>
      <c r="C381" t="s">
        <v>426</v>
      </c>
      <c r="D381" t="s">
        <v>427</v>
      </c>
      <c r="E381" t="s">
        <v>9760</v>
      </c>
      <c r="F381" t="s">
        <v>10468</v>
      </c>
      <c r="G381" t="s">
        <v>10469</v>
      </c>
      <c r="H381" t="s">
        <v>10470</v>
      </c>
      <c r="I381" t="s">
        <v>431</v>
      </c>
      <c r="M381" t="s">
        <v>1681</v>
      </c>
      <c r="N381" t="s">
        <v>33</v>
      </c>
      <c r="O381" t="s">
        <v>432</v>
      </c>
    </row>
    <row r="382" spans="1:15" x14ac:dyDescent="0.35">
      <c r="A382" t="s">
        <v>20</v>
      </c>
      <c r="B382">
        <v>17643</v>
      </c>
      <c r="C382" t="s">
        <v>426</v>
      </c>
      <c r="D382" t="s">
        <v>427</v>
      </c>
      <c r="E382" t="s">
        <v>9764</v>
      </c>
      <c r="F382" t="s">
        <v>10471</v>
      </c>
      <c r="G382" t="s">
        <v>10472</v>
      </c>
      <c r="H382" t="s">
        <v>10473</v>
      </c>
      <c r="I382" t="s">
        <v>431</v>
      </c>
      <c r="N382" t="s">
        <v>33</v>
      </c>
      <c r="O382" t="s">
        <v>432</v>
      </c>
    </row>
    <row r="383" spans="1:15" x14ac:dyDescent="0.35">
      <c r="A383" t="s">
        <v>20</v>
      </c>
      <c r="B383">
        <v>17643</v>
      </c>
      <c r="C383" t="s">
        <v>426</v>
      </c>
      <c r="D383" t="s">
        <v>427</v>
      </c>
      <c r="E383" t="s">
        <v>9768</v>
      </c>
      <c r="F383" t="s">
        <v>10474</v>
      </c>
      <c r="G383" t="s">
        <v>10475</v>
      </c>
      <c r="H383" t="s">
        <v>10476</v>
      </c>
      <c r="I383" t="s">
        <v>431</v>
      </c>
      <c r="N383" t="s">
        <v>33</v>
      </c>
      <c r="O383" t="s">
        <v>432</v>
      </c>
    </row>
    <row r="384" spans="1:15" x14ac:dyDescent="0.35">
      <c r="A384" t="s">
        <v>20</v>
      </c>
      <c r="B384">
        <v>17643</v>
      </c>
      <c r="C384" t="s">
        <v>426</v>
      </c>
      <c r="D384" t="s">
        <v>427</v>
      </c>
      <c r="E384" t="s">
        <v>9772</v>
      </c>
      <c r="F384" t="s">
        <v>10477</v>
      </c>
      <c r="G384" t="s">
        <v>10478</v>
      </c>
      <c r="H384" t="s">
        <v>10479</v>
      </c>
      <c r="I384" t="s">
        <v>431</v>
      </c>
      <c r="N384" t="s">
        <v>33</v>
      </c>
      <c r="O384" t="s">
        <v>432</v>
      </c>
    </row>
    <row r="385" spans="1:15" x14ac:dyDescent="0.35">
      <c r="A385" t="s">
        <v>20</v>
      </c>
      <c r="B385">
        <v>17643</v>
      </c>
      <c r="C385" t="s">
        <v>426</v>
      </c>
      <c r="D385" t="s">
        <v>427</v>
      </c>
      <c r="E385" t="s">
        <v>9776</v>
      </c>
      <c r="F385" t="s">
        <v>10480</v>
      </c>
      <c r="G385" t="s">
        <v>10481</v>
      </c>
      <c r="H385" t="s">
        <v>10482</v>
      </c>
      <c r="I385" t="s">
        <v>431</v>
      </c>
      <c r="N385" t="s">
        <v>33</v>
      </c>
      <c r="O385" t="s">
        <v>432</v>
      </c>
    </row>
    <row r="386" spans="1:15" x14ac:dyDescent="0.35">
      <c r="A386" t="s">
        <v>20</v>
      </c>
      <c r="B386">
        <v>17643</v>
      </c>
      <c r="C386" t="s">
        <v>426</v>
      </c>
      <c r="D386" t="s">
        <v>427</v>
      </c>
      <c r="E386" t="s">
        <v>9780</v>
      </c>
      <c r="F386" t="s">
        <v>10483</v>
      </c>
      <c r="G386" t="s">
        <v>10484</v>
      </c>
      <c r="H386" t="s">
        <v>10485</v>
      </c>
      <c r="I386" t="s">
        <v>431</v>
      </c>
      <c r="N386" t="s">
        <v>33</v>
      </c>
      <c r="O386" t="s">
        <v>432</v>
      </c>
    </row>
    <row r="387" spans="1:15" x14ac:dyDescent="0.35">
      <c r="A387" t="s">
        <v>20</v>
      </c>
      <c r="B387">
        <v>17643</v>
      </c>
      <c r="C387" t="s">
        <v>426</v>
      </c>
      <c r="D387" t="s">
        <v>427</v>
      </c>
      <c r="E387" t="s">
        <v>9784</v>
      </c>
      <c r="F387" t="s">
        <v>10486</v>
      </c>
      <c r="G387" t="s">
        <v>10487</v>
      </c>
      <c r="H387" t="s">
        <v>10488</v>
      </c>
      <c r="I387" t="s">
        <v>431</v>
      </c>
      <c r="N387" t="s">
        <v>33</v>
      </c>
      <c r="O387" t="s">
        <v>432</v>
      </c>
    </row>
    <row r="388" spans="1:15" x14ac:dyDescent="0.35">
      <c r="A388" t="s">
        <v>20</v>
      </c>
      <c r="B388">
        <v>17643</v>
      </c>
      <c r="C388" t="s">
        <v>426</v>
      </c>
      <c r="D388" t="s">
        <v>427</v>
      </c>
      <c r="E388" t="s">
        <v>9788</v>
      </c>
      <c r="F388" t="s">
        <v>10489</v>
      </c>
      <c r="G388" t="s">
        <v>10490</v>
      </c>
      <c r="H388" t="s">
        <v>10491</v>
      </c>
      <c r="I388" t="s">
        <v>431</v>
      </c>
      <c r="N388" t="s">
        <v>33</v>
      </c>
      <c r="O388" t="s">
        <v>432</v>
      </c>
    </row>
    <row r="389" spans="1:15" x14ac:dyDescent="0.35">
      <c r="A389" t="s">
        <v>20</v>
      </c>
      <c r="B389">
        <v>17643</v>
      </c>
      <c r="C389" t="s">
        <v>426</v>
      </c>
      <c r="D389" t="s">
        <v>427</v>
      </c>
      <c r="E389" t="s">
        <v>9792</v>
      </c>
      <c r="F389" t="s">
        <v>10492</v>
      </c>
      <c r="G389" t="s">
        <v>10493</v>
      </c>
      <c r="H389" t="s">
        <v>10494</v>
      </c>
      <c r="I389" t="s">
        <v>431</v>
      </c>
      <c r="N389" t="s">
        <v>33</v>
      </c>
      <c r="O389" t="s">
        <v>432</v>
      </c>
    </row>
    <row r="390" spans="1:15" x14ac:dyDescent="0.35">
      <c r="A390" t="s">
        <v>20</v>
      </c>
      <c r="B390">
        <v>17643</v>
      </c>
      <c r="C390" t="s">
        <v>426</v>
      </c>
      <c r="D390" t="s">
        <v>427</v>
      </c>
      <c r="E390" t="s">
        <v>9796</v>
      </c>
      <c r="F390" t="s">
        <v>10495</v>
      </c>
      <c r="G390" t="s">
        <v>10496</v>
      </c>
      <c r="H390" t="s">
        <v>10497</v>
      </c>
      <c r="I390" t="s">
        <v>431</v>
      </c>
      <c r="N390" t="s">
        <v>33</v>
      </c>
      <c r="O390" t="s">
        <v>432</v>
      </c>
    </row>
    <row r="391" spans="1:15" x14ac:dyDescent="0.35">
      <c r="A391" t="s">
        <v>20</v>
      </c>
      <c r="B391">
        <v>17643</v>
      </c>
      <c r="C391" t="s">
        <v>426</v>
      </c>
      <c r="D391" t="s">
        <v>427</v>
      </c>
      <c r="E391" t="s">
        <v>9800</v>
      </c>
      <c r="F391" t="s">
        <v>10498</v>
      </c>
      <c r="G391" t="s">
        <v>10499</v>
      </c>
      <c r="H391" t="s">
        <v>10500</v>
      </c>
      <c r="I391" t="s">
        <v>431</v>
      </c>
      <c r="N391" t="s">
        <v>33</v>
      </c>
      <c r="O391" t="s">
        <v>432</v>
      </c>
    </row>
    <row r="392" spans="1:15" x14ac:dyDescent="0.35">
      <c r="A392" t="s">
        <v>20</v>
      </c>
      <c r="B392">
        <v>17643</v>
      </c>
      <c r="C392" t="s">
        <v>426</v>
      </c>
      <c r="D392" t="s">
        <v>427</v>
      </c>
      <c r="E392" t="s">
        <v>9804</v>
      </c>
      <c r="F392" t="s">
        <v>10501</v>
      </c>
      <c r="G392" t="s">
        <v>10502</v>
      </c>
      <c r="H392" t="s">
        <v>10503</v>
      </c>
      <c r="I392" t="s">
        <v>431</v>
      </c>
      <c r="N392" t="s">
        <v>33</v>
      </c>
      <c r="O392" t="s">
        <v>432</v>
      </c>
    </row>
    <row r="393" spans="1:15" x14ac:dyDescent="0.35">
      <c r="A393" t="s">
        <v>20</v>
      </c>
      <c r="B393">
        <v>17643</v>
      </c>
      <c r="C393" t="s">
        <v>426</v>
      </c>
      <c r="D393" t="s">
        <v>427</v>
      </c>
      <c r="E393" t="s">
        <v>9808</v>
      </c>
      <c r="F393" t="s">
        <v>10504</v>
      </c>
      <c r="G393" t="s">
        <v>10505</v>
      </c>
      <c r="H393" t="s">
        <v>10506</v>
      </c>
      <c r="I393" t="s">
        <v>431</v>
      </c>
      <c r="N393" t="s">
        <v>33</v>
      </c>
      <c r="O393" t="s">
        <v>432</v>
      </c>
    </row>
    <row r="394" spans="1:15" x14ac:dyDescent="0.35">
      <c r="A394" t="s">
        <v>20</v>
      </c>
      <c r="B394">
        <v>17643</v>
      </c>
      <c r="C394" t="s">
        <v>426</v>
      </c>
      <c r="D394" t="s">
        <v>427</v>
      </c>
      <c r="E394" t="s">
        <v>9812</v>
      </c>
      <c r="F394" t="s">
        <v>10507</v>
      </c>
      <c r="G394" t="s">
        <v>10508</v>
      </c>
      <c r="H394" t="s">
        <v>10509</v>
      </c>
      <c r="I394" t="s">
        <v>431</v>
      </c>
      <c r="M394" t="s">
        <v>1681</v>
      </c>
      <c r="N394" t="s">
        <v>33</v>
      </c>
      <c r="O394" t="s">
        <v>432</v>
      </c>
    </row>
    <row r="395" spans="1:15" x14ac:dyDescent="0.35">
      <c r="A395" t="s">
        <v>20</v>
      </c>
      <c r="B395">
        <v>17645</v>
      </c>
      <c r="C395" t="s">
        <v>949</v>
      </c>
      <c r="D395" t="s">
        <v>950</v>
      </c>
      <c r="E395" t="s">
        <v>9099</v>
      </c>
      <c r="F395" t="s">
        <v>10510</v>
      </c>
      <c r="G395" t="s">
        <v>10511</v>
      </c>
      <c r="H395" t="s">
        <v>10512</v>
      </c>
      <c r="I395" t="s">
        <v>954</v>
      </c>
      <c r="M395" t="s">
        <v>1686</v>
      </c>
      <c r="N395" t="s">
        <v>33</v>
      </c>
    </row>
    <row r="396" spans="1:15" x14ac:dyDescent="0.35">
      <c r="A396" t="s">
        <v>20</v>
      </c>
      <c r="B396">
        <v>17645</v>
      </c>
      <c r="C396" t="s">
        <v>949</v>
      </c>
      <c r="D396" t="s">
        <v>950</v>
      </c>
      <c r="E396" t="s">
        <v>9103</v>
      </c>
      <c r="F396" t="s">
        <v>10513</v>
      </c>
      <c r="G396" t="s">
        <v>10514</v>
      </c>
      <c r="H396" t="s">
        <v>10515</v>
      </c>
      <c r="I396" t="s">
        <v>954</v>
      </c>
      <c r="M396" t="s">
        <v>1686</v>
      </c>
      <c r="N396" t="s">
        <v>33</v>
      </c>
    </row>
    <row r="397" spans="1:15" x14ac:dyDescent="0.35">
      <c r="A397" t="s">
        <v>20</v>
      </c>
      <c r="B397">
        <v>17645</v>
      </c>
      <c r="C397" t="s">
        <v>949</v>
      </c>
      <c r="D397" t="s">
        <v>950</v>
      </c>
      <c r="E397" t="s">
        <v>9107</v>
      </c>
      <c r="F397" t="s">
        <v>10516</v>
      </c>
      <c r="G397" t="s">
        <v>10517</v>
      </c>
      <c r="H397" t="s">
        <v>10518</v>
      </c>
      <c r="I397" t="s">
        <v>954</v>
      </c>
      <c r="M397" t="s">
        <v>1686</v>
      </c>
      <c r="N397" t="s">
        <v>33</v>
      </c>
    </row>
    <row r="398" spans="1:15" x14ac:dyDescent="0.35">
      <c r="A398" t="s">
        <v>20</v>
      </c>
      <c r="B398">
        <v>17645</v>
      </c>
      <c r="C398" t="s">
        <v>949</v>
      </c>
      <c r="D398" t="s">
        <v>950</v>
      </c>
      <c r="E398" t="s">
        <v>9111</v>
      </c>
      <c r="F398" t="s">
        <v>10519</v>
      </c>
      <c r="G398" t="s">
        <v>10520</v>
      </c>
      <c r="H398" t="s">
        <v>10521</v>
      </c>
      <c r="I398" t="s">
        <v>954</v>
      </c>
      <c r="M398" t="s">
        <v>1686</v>
      </c>
      <c r="N398" t="s">
        <v>33</v>
      </c>
    </row>
    <row r="399" spans="1:15" x14ac:dyDescent="0.35">
      <c r="A399" t="s">
        <v>20</v>
      </c>
      <c r="B399">
        <v>17645</v>
      </c>
      <c r="C399" t="s">
        <v>949</v>
      </c>
      <c r="D399" t="s">
        <v>950</v>
      </c>
      <c r="E399" t="s">
        <v>9115</v>
      </c>
      <c r="F399" t="s">
        <v>10522</v>
      </c>
      <c r="G399" t="s">
        <v>10523</v>
      </c>
      <c r="H399" t="s">
        <v>10524</v>
      </c>
      <c r="I399" t="s">
        <v>954</v>
      </c>
      <c r="M399" t="s">
        <v>1686</v>
      </c>
      <c r="N399" t="s">
        <v>33</v>
      </c>
    </row>
    <row r="400" spans="1:15" x14ac:dyDescent="0.35">
      <c r="A400" t="s">
        <v>20</v>
      </c>
      <c r="B400">
        <v>17645</v>
      </c>
      <c r="C400" t="s">
        <v>949</v>
      </c>
      <c r="D400" t="s">
        <v>950</v>
      </c>
      <c r="E400" t="s">
        <v>9119</v>
      </c>
      <c r="F400" t="s">
        <v>10525</v>
      </c>
      <c r="G400" t="s">
        <v>10526</v>
      </c>
      <c r="H400" t="s">
        <v>10527</v>
      </c>
      <c r="I400" t="s">
        <v>954</v>
      </c>
      <c r="M400" t="s">
        <v>1686</v>
      </c>
      <c r="N400" t="s">
        <v>33</v>
      </c>
    </row>
    <row r="401" spans="1:14" x14ac:dyDescent="0.35">
      <c r="A401" t="s">
        <v>20</v>
      </c>
      <c r="B401">
        <v>17645</v>
      </c>
      <c r="C401" t="s">
        <v>949</v>
      </c>
      <c r="D401" t="s">
        <v>950</v>
      </c>
      <c r="E401" t="s">
        <v>9123</v>
      </c>
      <c r="F401" t="s">
        <v>10528</v>
      </c>
      <c r="G401" t="s">
        <v>10529</v>
      </c>
      <c r="H401" t="s">
        <v>10530</v>
      </c>
      <c r="I401" t="s">
        <v>954</v>
      </c>
      <c r="M401" t="s">
        <v>1686</v>
      </c>
      <c r="N401" t="s">
        <v>33</v>
      </c>
    </row>
    <row r="402" spans="1:14" x14ac:dyDescent="0.35">
      <c r="A402" t="s">
        <v>20</v>
      </c>
      <c r="B402">
        <v>17645</v>
      </c>
      <c r="C402" t="s">
        <v>949</v>
      </c>
      <c r="D402" t="s">
        <v>950</v>
      </c>
      <c r="E402" t="s">
        <v>9127</v>
      </c>
      <c r="F402" t="s">
        <v>10531</v>
      </c>
      <c r="G402" t="s">
        <v>10532</v>
      </c>
      <c r="H402" t="s">
        <v>10533</v>
      </c>
      <c r="I402" t="s">
        <v>954</v>
      </c>
      <c r="M402" t="s">
        <v>1686</v>
      </c>
      <c r="N402" t="s">
        <v>33</v>
      </c>
    </row>
    <row r="403" spans="1:14" x14ac:dyDescent="0.35">
      <c r="A403" t="s">
        <v>20</v>
      </c>
      <c r="B403">
        <v>17645</v>
      </c>
      <c r="C403" t="s">
        <v>949</v>
      </c>
      <c r="D403" t="s">
        <v>950</v>
      </c>
      <c r="E403" t="s">
        <v>9131</v>
      </c>
      <c r="F403" t="s">
        <v>10534</v>
      </c>
      <c r="G403" t="s">
        <v>10535</v>
      </c>
      <c r="H403" t="s">
        <v>10536</v>
      </c>
      <c r="I403" t="s">
        <v>954</v>
      </c>
      <c r="M403" t="s">
        <v>1686</v>
      </c>
      <c r="N403" t="s">
        <v>33</v>
      </c>
    </row>
    <row r="404" spans="1:14" x14ac:dyDescent="0.35">
      <c r="A404" t="s">
        <v>20</v>
      </c>
      <c r="B404">
        <v>17645</v>
      </c>
      <c r="C404" t="s">
        <v>949</v>
      </c>
      <c r="D404" t="s">
        <v>950</v>
      </c>
      <c r="E404" t="s">
        <v>9135</v>
      </c>
      <c r="F404" t="s">
        <v>10537</v>
      </c>
      <c r="G404" t="s">
        <v>10538</v>
      </c>
      <c r="H404" t="s">
        <v>10539</v>
      </c>
      <c r="I404" t="s">
        <v>954</v>
      </c>
      <c r="M404" t="s">
        <v>1686</v>
      </c>
      <c r="N404" t="s">
        <v>33</v>
      </c>
    </row>
    <row r="405" spans="1:14" x14ac:dyDescent="0.35">
      <c r="A405" t="s">
        <v>20</v>
      </c>
      <c r="B405">
        <v>17645</v>
      </c>
      <c r="C405" t="s">
        <v>949</v>
      </c>
      <c r="D405" t="s">
        <v>950</v>
      </c>
      <c r="E405" t="s">
        <v>9139</v>
      </c>
      <c r="F405" t="s">
        <v>10540</v>
      </c>
      <c r="G405" t="s">
        <v>10541</v>
      </c>
      <c r="H405" t="s">
        <v>10542</v>
      </c>
      <c r="I405" t="s">
        <v>954</v>
      </c>
      <c r="M405" t="s">
        <v>1686</v>
      </c>
      <c r="N405" t="s">
        <v>33</v>
      </c>
    </row>
    <row r="406" spans="1:14" x14ac:dyDescent="0.35">
      <c r="A406" t="s">
        <v>20</v>
      </c>
      <c r="B406">
        <v>17645</v>
      </c>
      <c r="C406" t="s">
        <v>949</v>
      </c>
      <c r="D406" t="s">
        <v>950</v>
      </c>
      <c r="E406" t="s">
        <v>9143</v>
      </c>
      <c r="F406" t="s">
        <v>10543</v>
      </c>
      <c r="G406" t="s">
        <v>10544</v>
      </c>
      <c r="H406" t="s">
        <v>10545</v>
      </c>
      <c r="I406" t="s">
        <v>954</v>
      </c>
      <c r="M406" t="s">
        <v>1686</v>
      </c>
      <c r="N406" t="s">
        <v>33</v>
      </c>
    </row>
    <row r="407" spans="1:14" x14ac:dyDescent="0.35">
      <c r="A407" t="s">
        <v>20</v>
      </c>
      <c r="B407">
        <v>17645</v>
      </c>
      <c r="C407" t="s">
        <v>949</v>
      </c>
      <c r="D407" t="s">
        <v>950</v>
      </c>
      <c r="E407" t="s">
        <v>9147</v>
      </c>
      <c r="F407" t="s">
        <v>10546</v>
      </c>
      <c r="G407" t="s">
        <v>10547</v>
      </c>
      <c r="H407" t="s">
        <v>10548</v>
      </c>
      <c r="I407" t="s">
        <v>954</v>
      </c>
      <c r="M407" t="s">
        <v>1686</v>
      </c>
      <c r="N407" t="s">
        <v>33</v>
      </c>
    </row>
    <row r="408" spans="1:14" x14ac:dyDescent="0.35">
      <c r="A408" t="s">
        <v>20</v>
      </c>
      <c r="B408">
        <v>17645</v>
      </c>
      <c r="C408" t="s">
        <v>949</v>
      </c>
      <c r="D408" t="s">
        <v>950</v>
      </c>
      <c r="E408" t="s">
        <v>9151</v>
      </c>
      <c r="F408" t="s">
        <v>10549</v>
      </c>
      <c r="G408" t="s">
        <v>10550</v>
      </c>
      <c r="H408" t="s">
        <v>10551</v>
      </c>
      <c r="I408" t="s">
        <v>954</v>
      </c>
      <c r="M408" t="s">
        <v>1686</v>
      </c>
      <c r="N408" t="s">
        <v>33</v>
      </c>
    </row>
    <row r="409" spans="1:14" x14ac:dyDescent="0.35">
      <c r="A409" t="s">
        <v>20</v>
      </c>
      <c r="B409">
        <v>17645</v>
      </c>
      <c r="C409" t="s">
        <v>949</v>
      </c>
      <c r="D409" t="s">
        <v>950</v>
      </c>
      <c r="E409" t="s">
        <v>9155</v>
      </c>
      <c r="F409" t="s">
        <v>10552</v>
      </c>
      <c r="G409" t="s">
        <v>10553</v>
      </c>
      <c r="H409" t="s">
        <v>10554</v>
      </c>
      <c r="I409" t="s">
        <v>954</v>
      </c>
      <c r="M409" t="s">
        <v>1686</v>
      </c>
      <c r="N409" t="s">
        <v>33</v>
      </c>
    </row>
    <row r="410" spans="1:14" x14ac:dyDescent="0.35">
      <c r="A410" t="s">
        <v>20</v>
      </c>
      <c r="B410">
        <v>17645</v>
      </c>
      <c r="C410" t="s">
        <v>949</v>
      </c>
      <c r="D410" t="s">
        <v>950</v>
      </c>
      <c r="E410" t="s">
        <v>9159</v>
      </c>
      <c r="F410" t="s">
        <v>10555</v>
      </c>
      <c r="G410" t="s">
        <v>10556</v>
      </c>
      <c r="H410" t="s">
        <v>10557</v>
      </c>
      <c r="I410" t="s">
        <v>954</v>
      </c>
      <c r="M410" t="s">
        <v>1686</v>
      </c>
      <c r="N410" t="s">
        <v>33</v>
      </c>
    </row>
    <row r="411" spans="1:14" x14ac:dyDescent="0.35">
      <c r="A411" t="s">
        <v>20</v>
      </c>
      <c r="B411">
        <v>17645</v>
      </c>
      <c r="C411" t="s">
        <v>949</v>
      </c>
      <c r="D411" t="s">
        <v>950</v>
      </c>
      <c r="E411" t="s">
        <v>9163</v>
      </c>
      <c r="F411" t="s">
        <v>10558</v>
      </c>
      <c r="G411" t="s">
        <v>10559</v>
      </c>
      <c r="H411" t="s">
        <v>10560</v>
      </c>
      <c r="I411" t="s">
        <v>954</v>
      </c>
      <c r="M411" t="s">
        <v>1686</v>
      </c>
      <c r="N411" t="s">
        <v>33</v>
      </c>
    </row>
    <row r="412" spans="1:14" x14ac:dyDescent="0.35">
      <c r="A412" t="s">
        <v>20</v>
      </c>
      <c r="B412">
        <v>17645</v>
      </c>
      <c r="C412" t="s">
        <v>949</v>
      </c>
      <c r="D412" t="s">
        <v>950</v>
      </c>
      <c r="E412" t="s">
        <v>9167</v>
      </c>
      <c r="F412" t="s">
        <v>10561</v>
      </c>
      <c r="G412" t="s">
        <v>10562</v>
      </c>
      <c r="H412" t="s">
        <v>10563</v>
      </c>
      <c r="I412" t="s">
        <v>954</v>
      </c>
      <c r="M412" t="s">
        <v>1686</v>
      </c>
      <c r="N412" t="s">
        <v>33</v>
      </c>
    </row>
    <row r="413" spans="1:14" x14ac:dyDescent="0.35">
      <c r="A413" t="s">
        <v>20</v>
      </c>
      <c r="B413">
        <v>17645</v>
      </c>
      <c r="C413" t="s">
        <v>949</v>
      </c>
      <c r="D413" t="s">
        <v>950</v>
      </c>
      <c r="E413" t="s">
        <v>9171</v>
      </c>
      <c r="F413" t="s">
        <v>10564</v>
      </c>
      <c r="G413" t="s">
        <v>10565</v>
      </c>
      <c r="H413" t="s">
        <v>10566</v>
      </c>
      <c r="I413" t="s">
        <v>954</v>
      </c>
      <c r="M413" t="s">
        <v>1686</v>
      </c>
      <c r="N413" t="s">
        <v>33</v>
      </c>
    </row>
    <row r="414" spans="1:14" x14ac:dyDescent="0.35">
      <c r="A414" t="s">
        <v>20</v>
      </c>
      <c r="B414">
        <v>17645</v>
      </c>
      <c r="C414" t="s">
        <v>949</v>
      </c>
      <c r="D414" t="s">
        <v>950</v>
      </c>
      <c r="E414" t="s">
        <v>9175</v>
      </c>
      <c r="F414" t="s">
        <v>10567</v>
      </c>
      <c r="G414" t="s">
        <v>10568</v>
      </c>
      <c r="H414" t="s">
        <v>10569</v>
      </c>
      <c r="I414" t="s">
        <v>954</v>
      </c>
      <c r="M414" t="s">
        <v>1686</v>
      </c>
      <c r="N414" t="s">
        <v>33</v>
      </c>
    </row>
    <row r="415" spans="1:14" x14ac:dyDescent="0.35">
      <c r="A415" t="s">
        <v>20</v>
      </c>
      <c r="B415">
        <v>17645</v>
      </c>
      <c r="C415" t="s">
        <v>949</v>
      </c>
      <c r="D415" t="s">
        <v>950</v>
      </c>
      <c r="E415" t="s">
        <v>9179</v>
      </c>
      <c r="F415" t="s">
        <v>10570</v>
      </c>
      <c r="G415" t="s">
        <v>10571</v>
      </c>
      <c r="H415" t="s">
        <v>10572</v>
      </c>
      <c r="I415" t="s">
        <v>954</v>
      </c>
      <c r="M415" t="s">
        <v>1686</v>
      </c>
      <c r="N415" t="s">
        <v>33</v>
      </c>
    </row>
    <row r="416" spans="1:14" x14ac:dyDescent="0.35">
      <c r="A416" t="s">
        <v>20</v>
      </c>
      <c r="B416">
        <v>17645</v>
      </c>
      <c r="C416" t="s">
        <v>949</v>
      </c>
      <c r="D416" t="s">
        <v>950</v>
      </c>
      <c r="E416" t="s">
        <v>9183</v>
      </c>
      <c r="F416" t="s">
        <v>10573</v>
      </c>
      <c r="G416" t="s">
        <v>10574</v>
      </c>
      <c r="H416" t="s">
        <v>10575</v>
      </c>
      <c r="I416" t="s">
        <v>954</v>
      </c>
      <c r="M416" t="s">
        <v>1686</v>
      </c>
      <c r="N416" t="s">
        <v>33</v>
      </c>
    </row>
    <row r="417" spans="1:14" x14ac:dyDescent="0.35">
      <c r="A417" t="s">
        <v>20</v>
      </c>
      <c r="B417">
        <v>17645</v>
      </c>
      <c r="C417" t="s">
        <v>949</v>
      </c>
      <c r="D417" t="s">
        <v>950</v>
      </c>
      <c r="E417" t="s">
        <v>9187</v>
      </c>
      <c r="F417" t="s">
        <v>10576</v>
      </c>
      <c r="G417" t="s">
        <v>10577</v>
      </c>
      <c r="H417" t="s">
        <v>10578</v>
      </c>
      <c r="I417" t="s">
        <v>954</v>
      </c>
      <c r="M417" t="s">
        <v>1686</v>
      </c>
      <c r="N417" t="s">
        <v>33</v>
      </c>
    </row>
    <row r="418" spans="1:14" x14ac:dyDescent="0.35">
      <c r="A418" t="s">
        <v>20</v>
      </c>
      <c r="B418">
        <v>17645</v>
      </c>
      <c r="C418" t="s">
        <v>949</v>
      </c>
      <c r="D418" t="s">
        <v>950</v>
      </c>
      <c r="E418" t="s">
        <v>9191</v>
      </c>
      <c r="F418" t="s">
        <v>10579</v>
      </c>
      <c r="G418" t="s">
        <v>10580</v>
      </c>
      <c r="H418" t="s">
        <v>10581</v>
      </c>
      <c r="I418" t="s">
        <v>954</v>
      </c>
      <c r="M418" t="s">
        <v>1681</v>
      </c>
      <c r="N418" t="s">
        <v>33</v>
      </c>
    </row>
    <row r="419" spans="1:14" x14ac:dyDescent="0.35">
      <c r="A419" t="s">
        <v>20</v>
      </c>
      <c r="B419">
        <v>17645</v>
      </c>
      <c r="C419" t="s">
        <v>949</v>
      </c>
      <c r="D419" t="s">
        <v>950</v>
      </c>
      <c r="E419" t="s">
        <v>9195</v>
      </c>
      <c r="F419" t="s">
        <v>10582</v>
      </c>
      <c r="G419" t="s">
        <v>10583</v>
      </c>
      <c r="H419" t="s">
        <v>10584</v>
      </c>
      <c r="I419" t="s">
        <v>954</v>
      </c>
      <c r="M419" t="s">
        <v>1686</v>
      </c>
      <c r="N419" t="s">
        <v>33</v>
      </c>
    </row>
    <row r="420" spans="1:14" x14ac:dyDescent="0.35">
      <c r="A420" t="s">
        <v>20</v>
      </c>
      <c r="B420">
        <v>17645</v>
      </c>
      <c r="C420" t="s">
        <v>949</v>
      </c>
      <c r="D420" t="s">
        <v>950</v>
      </c>
      <c r="E420" t="s">
        <v>9199</v>
      </c>
      <c r="F420" t="s">
        <v>10585</v>
      </c>
      <c r="G420" t="s">
        <v>10586</v>
      </c>
      <c r="H420" t="s">
        <v>10587</v>
      </c>
      <c r="I420" t="s">
        <v>954</v>
      </c>
      <c r="M420" t="s">
        <v>1686</v>
      </c>
      <c r="N420" t="s">
        <v>33</v>
      </c>
    </row>
    <row r="421" spans="1:14" x14ac:dyDescent="0.35">
      <c r="A421" t="s">
        <v>20</v>
      </c>
      <c r="B421">
        <v>17645</v>
      </c>
      <c r="C421" t="s">
        <v>949</v>
      </c>
      <c r="D421" t="s">
        <v>950</v>
      </c>
      <c r="E421" t="s">
        <v>9203</v>
      </c>
      <c r="F421" t="s">
        <v>10588</v>
      </c>
      <c r="G421" t="s">
        <v>10589</v>
      </c>
      <c r="H421" t="s">
        <v>10590</v>
      </c>
      <c r="I421" t="s">
        <v>954</v>
      </c>
      <c r="M421" t="s">
        <v>1686</v>
      </c>
      <c r="N421" t="s">
        <v>33</v>
      </c>
    </row>
    <row r="422" spans="1:14" x14ac:dyDescent="0.35">
      <c r="A422" t="s">
        <v>20</v>
      </c>
      <c r="B422">
        <v>17645</v>
      </c>
      <c r="C422" t="s">
        <v>949</v>
      </c>
      <c r="D422" t="s">
        <v>950</v>
      </c>
      <c r="E422" t="s">
        <v>9207</v>
      </c>
      <c r="F422" t="s">
        <v>10591</v>
      </c>
      <c r="G422" t="s">
        <v>10592</v>
      </c>
      <c r="H422" t="s">
        <v>10593</v>
      </c>
      <c r="I422" t="s">
        <v>954</v>
      </c>
      <c r="M422" t="s">
        <v>1686</v>
      </c>
      <c r="N422" t="s">
        <v>33</v>
      </c>
    </row>
    <row r="423" spans="1:14" x14ac:dyDescent="0.35">
      <c r="A423" t="s">
        <v>20</v>
      </c>
      <c r="B423">
        <v>17645</v>
      </c>
      <c r="C423" t="s">
        <v>949</v>
      </c>
      <c r="D423" t="s">
        <v>950</v>
      </c>
      <c r="E423" t="s">
        <v>9211</v>
      </c>
      <c r="F423" t="s">
        <v>10594</v>
      </c>
      <c r="G423" t="s">
        <v>10595</v>
      </c>
      <c r="H423" t="s">
        <v>10596</v>
      </c>
      <c r="I423" t="s">
        <v>954</v>
      </c>
      <c r="M423" t="s">
        <v>1686</v>
      </c>
      <c r="N423" t="s">
        <v>33</v>
      </c>
    </row>
    <row r="424" spans="1:14" x14ac:dyDescent="0.35">
      <c r="A424" t="s">
        <v>20</v>
      </c>
      <c r="B424">
        <v>17645</v>
      </c>
      <c r="C424" t="s">
        <v>949</v>
      </c>
      <c r="D424" t="s">
        <v>950</v>
      </c>
      <c r="E424" t="s">
        <v>9215</v>
      </c>
      <c r="F424" t="s">
        <v>10597</v>
      </c>
      <c r="G424" t="s">
        <v>10598</v>
      </c>
      <c r="H424" t="s">
        <v>10599</v>
      </c>
      <c r="I424" t="s">
        <v>954</v>
      </c>
      <c r="M424" t="s">
        <v>1686</v>
      </c>
      <c r="N424" t="s">
        <v>33</v>
      </c>
    </row>
    <row r="425" spans="1:14" x14ac:dyDescent="0.35">
      <c r="A425" t="s">
        <v>20</v>
      </c>
      <c r="B425">
        <v>17645</v>
      </c>
      <c r="C425" t="s">
        <v>949</v>
      </c>
      <c r="D425" t="s">
        <v>950</v>
      </c>
      <c r="E425" t="s">
        <v>9219</v>
      </c>
      <c r="F425" t="s">
        <v>10600</v>
      </c>
      <c r="G425" t="s">
        <v>10601</v>
      </c>
      <c r="H425" t="s">
        <v>10602</v>
      </c>
      <c r="I425" t="s">
        <v>954</v>
      </c>
      <c r="M425" t="s">
        <v>1686</v>
      </c>
      <c r="N425" t="s">
        <v>33</v>
      </c>
    </row>
    <row r="426" spans="1:14" x14ac:dyDescent="0.35">
      <c r="A426" t="s">
        <v>20</v>
      </c>
      <c r="B426">
        <v>17645</v>
      </c>
      <c r="C426" t="s">
        <v>949</v>
      </c>
      <c r="D426" t="s">
        <v>950</v>
      </c>
      <c r="E426" t="s">
        <v>9223</v>
      </c>
      <c r="F426" t="s">
        <v>10603</v>
      </c>
      <c r="G426" t="s">
        <v>10604</v>
      </c>
      <c r="H426" t="s">
        <v>10605</v>
      </c>
      <c r="I426" t="s">
        <v>954</v>
      </c>
      <c r="M426" t="s">
        <v>1686</v>
      </c>
      <c r="N426" t="s">
        <v>33</v>
      </c>
    </row>
    <row r="427" spans="1:14" x14ac:dyDescent="0.35">
      <c r="A427" t="s">
        <v>20</v>
      </c>
      <c r="B427">
        <v>17645</v>
      </c>
      <c r="C427" t="s">
        <v>949</v>
      </c>
      <c r="D427" t="s">
        <v>950</v>
      </c>
      <c r="E427" t="s">
        <v>9227</v>
      </c>
      <c r="F427" t="s">
        <v>10606</v>
      </c>
      <c r="G427" t="s">
        <v>10607</v>
      </c>
      <c r="H427" t="s">
        <v>10608</v>
      </c>
      <c r="I427" t="s">
        <v>954</v>
      </c>
      <c r="M427" t="s">
        <v>1686</v>
      </c>
      <c r="N427" t="s">
        <v>33</v>
      </c>
    </row>
    <row r="428" spans="1:14" x14ac:dyDescent="0.35">
      <c r="A428" t="s">
        <v>20</v>
      </c>
      <c r="B428">
        <v>17645</v>
      </c>
      <c r="C428" t="s">
        <v>949</v>
      </c>
      <c r="D428" t="s">
        <v>950</v>
      </c>
      <c r="E428" t="s">
        <v>9231</v>
      </c>
      <c r="F428" t="s">
        <v>10609</v>
      </c>
      <c r="G428" t="s">
        <v>10610</v>
      </c>
      <c r="H428" t="s">
        <v>10611</v>
      </c>
      <c r="I428" t="s">
        <v>954</v>
      </c>
      <c r="M428" t="s">
        <v>1686</v>
      </c>
      <c r="N428" t="s">
        <v>33</v>
      </c>
    </row>
    <row r="429" spans="1:14" x14ac:dyDescent="0.35">
      <c r="A429" t="s">
        <v>20</v>
      </c>
      <c r="B429">
        <v>17645</v>
      </c>
      <c r="C429" t="s">
        <v>949</v>
      </c>
      <c r="D429" t="s">
        <v>950</v>
      </c>
      <c r="E429" t="s">
        <v>9235</v>
      </c>
      <c r="F429" t="s">
        <v>10612</v>
      </c>
      <c r="G429" t="s">
        <v>10613</v>
      </c>
      <c r="H429" t="s">
        <v>10614</v>
      </c>
      <c r="I429" t="s">
        <v>954</v>
      </c>
      <c r="M429" t="s">
        <v>1686</v>
      </c>
      <c r="N429" t="s">
        <v>33</v>
      </c>
    </row>
    <row r="430" spans="1:14" x14ac:dyDescent="0.35">
      <c r="A430" t="s">
        <v>20</v>
      </c>
      <c r="B430">
        <v>17645</v>
      </c>
      <c r="C430" t="s">
        <v>949</v>
      </c>
      <c r="D430" t="s">
        <v>950</v>
      </c>
      <c r="E430" t="s">
        <v>9239</v>
      </c>
      <c r="F430" t="s">
        <v>10615</v>
      </c>
      <c r="G430" t="s">
        <v>10616</v>
      </c>
      <c r="H430" t="s">
        <v>10617</v>
      </c>
      <c r="I430" t="s">
        <v>954</v>
      </c>
      <c r="M430" t="s">
        <v>1686</v>
      </c>
      <c r="N430" t="s">
        <v>33</v>
      </c>
    </row>
    <row r="431" spans="1:14" x14ac:dyDescent="0.35">
      <c r="A431" t="s">
        <v>20</v>
      </c>
      <c r="B431">
        <v>17645</v>
      </c>
      <c r="C431" t="s">
        <v>949</v>
      </c>
      <c r="D431" t="s">
        <v>950</v>
      </c>
      <c r="E431" t="s">
        <v>9243</v>
      </c>
      <c r="F431" t="s">
        <v>10618</v>
      </c>
      <c r="G431" t="s">
        <v>10619</v>
      </c>
      <c r="H431" t="s">
        <v>10620</v>
      </c>
      <c r="I431" t="s">
        <v>954</v>
      </c>
      <c r="M431" t="s">
        <v>1686</v>
      </c>
      <c r="N431" t="s">
        <v>33</v>
      </c>
    </row>
    <row r="432" spans="1:14" x14ac:dyDescent="0.35">
      <c r="A432" t="s">
        <v>20</v>
      </c>
      <c r="B432">
        <v>17645</v>
      </c>
      <c r="C432" t="s">
        <v>949</v>
      </c>
      <c r="D432" t="s">
        <v>950</v>
      </c>
      <c r="E432" t="s">
        <v>9247</v>
      </c>
      <c r="F432" t="s">
        <v>10621</v>
      </c>
      <c r="G432" t="s">
        <v>10622</v>
      </c>
      <c r="H432" t="s">
        <v>10623</v>
      </c>
      <c r="I432" t="s">
        <v>954</v>
      </c>
      <c r="M432" t="s">
        <v>1686</v>
      </c>
      <c r="N432" t="s">
        <v>33</v>
      </c>
    </row>
    <row r="433" spans="1:14" x14ac:dyDescent="0.35">
      <c r="A433" t="s">
        <v>20</v>
      </c>
      <c r="B433">
        <v>17645</v>
      </c>
      <c r="C433" t="s">
        <v>949</v>
      </c>
      <c r="D433" t="s">
        <v>950</v>
      </c>
      <c r="E433" t="s">
        <v>9251</v>
      </c>
      <c r="F433" t="s">
        <v>10624</v>
      </c>
      <c r="G433" t="s">
        <v>10625</v>
      </c>
      <c r="H433" t="s">
        <v>10626</v>
      </c>
      <c r="I433" t="s">
        <v>954</v>
      </c>
      <c r="M433" t="s">
        <v>1686</v>
      </c>
      <c r="N433" t="s">
        <v>33</v>
      </c>
    </row>
    <row r="434" spans="1:14" x14ac:dyDescent="0.35">
      <c r="A434" t="s">
        <v>20</v>
      </c>
      <c r="B434">
        <v>17645</v>
      </c>
      <c r="C434" t="s">
        <v>949</v>
      </c>
      <c r="D434" t="s">
        <v>950</v>
      </c>
      <c r="E434" t="s">
        <v>9255</v>
      </c>
      <c r="F434" t="s">
        <v>10627</v>
      </c>
      <c r="G434" t="s">
        <v>10628</v>
      </c>
      <c r="H434" t="s">
        <v>10629</v>
      </c>
      <c r="I434" t="s">
        <v>954</v>
      </c>
      <c r="M434" t="s">
        <v>1686</v>
      </c>
      <c r="N434" t="s">
        <v>33</v>
      </c>
    </row>
    <row r="435" spans="1:14" x14ac:dyDescent="0.35">
      <c r="A435" t="s">
        <v>20</v>
      </c>
      <c r="B435">
        <v>17645</v>
      </c>
      <c r="C435" t="s">
        <v>949</v>
      </c>
      <c r="D435" t="s">
        <v>950</v>
      </c>
      <c r="E435" t="s">
        <v>9259</v>
      </c>
      <c r="F435" t="s">
        <v>10630</v>
      </c>
      <c r="G435" t="s">
        <v>10631</v>
      </c>
      <c r="H435" t="s">
        <v>10632</v>
      </c>
      <c r="I435" t="s">
        <v>954</v>
      </c>
      <c r="M435" t="s">
        <v>1686</v>
      </c>
      <c r="N435" t="s">
        <v>33</v>
      </c>
    </row>
    <row r="436" spans="1:14" x14ac:dyDescent="0.35">
      <c r="A436" t="s">
        <v>20</v>
      </c>
      <c r="B436">
        <v>17645</v>
      </c>
      <c r="C436" t="s">
        <v>949</v>
      </c>
      <c r="D436" t="s">
        <v>950</v>
      </c>
      <c r="E436" t="s">
        <v>9263</v>
      </c>
      <c r="F436" t="s">
        <v>10633</v>
      </c>
      <c r="G436" t="s">
        <v>10634</v>
      </c>
      <c r="H436" t="s">
        <v>10635</v>
      </c>
      <c r="I436" t="s">
        <v>954</v>
      </c>
      <c r="M436" t="s">
        <v>1686</v>
      </c>
      <c r="N436" t="s">
        <v>33</v>
      </c>
    </row>
    <row r="437" spans="1:14" x14ac:dyDescent="0.35">
      <c r="A437" t="s">
        <v>20</v>
      </c>
      <c r="B437">
        <v>17645</v>
      </c>
      <c r="C437" t="s">
        <v>949</v>
      </c>
      <c r="D437" t="s">
        <v>950</v>
      </c>
      <c r="E437" t="s">
        <v>9267</v>
      </c>
      <c r="F437" t="s">
        <v>10636</v>
      </c>
      <c r="G437" t="s">
        <v>10637</v>
      </c>
      <c r="H437" t="s">
        <v>10638</v>
      </c>
      <c r="I437" t="s">
        <v>954</v>
      </c>
      <c r="M437" t="s">
        <v>1686</v>
      </c>
      <c r="N437" t="s">
        <v>33</v>
      </c>
    </row>
    <row r="438" spans="1:14" x14ac:dyDescent="0.35">
      <c r="A438" t="s">
        <v>20</v>
      </c>
      <c r="B438">
        <v>17645</v>
      </c>
      <c r="C438" t="s">
        <v>949</v>
      </c>
      <c r="D438" t="s">
        <v>950</v>
      </c>
      <c r="E438" t="s">
        <v>9271</v>
      </c>
      <c r="F438" t="s">
        <v>10639</v>
      </c>
      <c r="G438" t="s">
        <v>10640</v>
      </c>
      <c r="H438" t="s">
        <v>10641</v>
      </c>
      <c r="I438" t="s">
        <v>954</v>
      </c>
      <c r="M438" t="s">
        <v>1686</v>
      </c>
      <c r="N438" t="s">
        <v>33</v>
      </c>
    </row>
    <row r="439" spans="1:14" x14ac:dyDescent="0.35">
      <c r="A439" t="s">
        <v>20</v>
      </c>
      <c r="B439">
        <v>17645</v>
      </c>
      <c r="C439" t="s">
        <v>949</v>
      </c>
      <c r="D439" t="s">
        <v>950</v>
      </c>
      <c r="E439" t="s">
        <v>9275</v>
      </c>
      <c r="F439" t="s">
        <v>10642</v>
      </c>
      <c r="G439" t="s">
        <v>10643</v>
      </c>
      <c r="H439" t="s">
        <v>10644</v>
      </c>
      <c r="I439" t="s">
        <v>954</v>
      </c>
      <c r="M439" t="s">
        <v>1686</v>
      </c>
      <c r="N439" t="s">
        <v>33</v>
      </c>
    </row>
    <row r="440" spans="1:14" x14ac:dyDescent="0.35">
      <c r="A440" t="s">
        <v>20</v>
      </c>
      <c r="B440">
        <v>17645</v>
      </c>
      <c r="C440" t="s">
        <v>949</v>
      </c>
      <c r="D440" t="s">
        <v>950</v>
      </c>
      <c r="E440" t="s">
        <v>9279</v>
      </c>
      <c r="F440" t="s">
        <v>10645</v>
      </c>
      <c r="G440" t="s">
        <v>10646</v>
      </c>
      <c r="H440" t="s">
        <v>10647</v>
      </c>
      <c r="I440" t="s">
        <v>954</v>
      </c>
      <c r="M440" t="s">
        <v>1686</v>
      </c>
      <c r="N440" t="s">
        <v>33</v>
      </c>
    </row>
    <row r="441" spans="1:14" x14ac:dyDescent="0.35">
      <c r="A441" t="s">
        <v>20</v>
      </c>
      <c r="B441">
        <v>17645</v>
      </c>
      <c r="C441" t="s">
        <v>949</v>
      </c>
      <c r="D441" t="s">
        <v>950</v>
      </c>
      <c r="E441" t="s">
        <v>9283</v>
      </c>
      <c r="F441" t="s">
        <v>10648</v>
      </c>
      <c r="G441" t="s">
        <v>10649</v>
      </c>
      <c r="H441" t="s">
        <v>10650</v>
      </c>
      <c r="I441" t="s">
        <v>954</v>
      </c>
      <c r="M441" t="s">
        <v>1686</v>
      </c>
      <c r="N441" t="s">
        <v>33</v>
      </c>
    </row>
    <row r="442" spans="1:14" x14ac:dyDescent="0.35">
      <c r="A442" t="s">
        <v>20</v>
      </c>
      <c r="B442">
        <v>17645</v>
      </c>
      <c r="C442" t="s">
        <v>949</v>
      </c>
      <c r="D442" t="s">
        <v>950</v>
      </c>
      <c r="E442" t="s">
        <v>9287</v>
      </c>
      <c r="F442" t="s">
        <v>10651</v>
      </c>
      <c r="G442" t="s">
        <v>10652</v>
      </c>
      <c r="H442" t="s">
        <v>10653</v>
      </c>
      <c r="I442" t="s">
        <v>954</v>
      </c>
      <c r="M442" t="s">
        <v>1686</v>
      </c>
      <c r="N442" t="s">
        <v>33</v>
      </c>
    </row>
    <row r="443" spans="1:14" x14ac:dyDescent="0.35">
      <c r="A443" t="s">
        <v>20</v>
      </c>
      <c r="B443">
        <v>17645</v>
      </c>
      <c r="C443" t="s">
        <v>949</v>
      </c>
      <c r="D443" t="s">
        <v>950</v>
      </c>
      <c r="E443" t="s">
        <v>9291</v>
      </c>
      <c r="F443" t="s">
        <v>10654</v>
      </c>
      <c r="G443" t="s">
        <v>10655</v>
      </c>
      <c r="H443" t="s">
        <v>10656</v>
      </c>
      <c r="I443" t="s">
        <v>954</v>
      </c>
      <c r="M443" t="s">
        <v>1686</v>
      </c>
      <c r="N443" t="s">
        <v>33</v>
      </c>
    </row>
    <row r="444" spans="1:14" x14ac:dyDescent="0.35">
      <c r="A444" t="s">
        <v>20</v>
      </c>
      <c r="B444">
        <v>17645</v>
      </c>
      <c r="C444" t="s">
        <v>949</v>
      </c>
      <c r="D444" t="s">
        <v>950</v>
      </c>
      <c r="E444" t="s">
        <v>9295</v>
      </c>
      <c r="F444" t="s">
        <v>10657</v>
      </c>
      <c r="G444" t="s">
        <v>10658</v>
      </c>
      <c r="H444" t="s">
        <v>10659</v>
      </c>
      <c r="I444" t="s">
        <v>954</v>
      </c>
      <c r="M444" t="s">
        <v>1686</v>
      </c>
      <c r="N444" t="s">
        <v>33</v>
      </c>
    </row>
    <row r="445" spans="1:14" x14ac:dyDescent="0.35">
      <c r="A445" t="s">
        <v>20</v>
      </c>
      <c r="B445">
        <v>17645</v>
      </c>
      <c r="C445" t="s">
        <v>949</v>
      </c>
      <c r="D445" t="s">
        <v>950</v>
      </c>
      <c r="E445" t="s">
        <v>9299</v>
      </c>
      <c r="F445" t="s">
        <v>10660</v>
      </c>
      <c r="G445" t="s">
        <v>10661</v>
      </c>
      <c r="H445" t="s">
        <v>10662</v>
      </c>
      <c r="I445" t="s">
        <v>954</v>
      </c>
      <c r="M445" t="s">
        <v>1686</v>
      </c>
      <c r="N445" t="s">
        <v>33</v>
      </c>
    </row>
    <row r="446" spans="1:14" x14ac:dyDescent="0.35">
      <c r="A446" t="s">
        <v>20</v>
      </c>
      <c r="B446">
        <v>17645</v>
      </c>
      <c r="C446" t="s">
        <v>949</v>
      </c>
      <c r="D446" t="s">
        <v>950</v>
      </c>
      <c r="E446" t="s">
        <v>9303</v>
      </c>
      <c r="F446" t="s">
        <v>10663</v>
      </c>
      <c r="G446" t="s">
        <v>10664</v>
      </c>
      <c r="H446" t="s">
        <v>10665</v>
      </c>
      <c r="I446" t="s">
        <v>954</v>
      </c>
      <c r="M446" t="s">
        <v>1686</v>
      </c>
      <c r="N446" t="s">
        <v>33</v>
      </c>
    </row>
    <row r="447" spans="1:14" x14ac:dyDescent="0.35">
      <c r="A447" t="s">
        <v>20</v>
      </c>
      <c r="B447">
        <v>17645</v>
      </c>
      <c r="C447" t="s">
        <v>949</v>
      </c>
      <c r="D447" t="s">
        <v>950</v>
      </c>
      <c r="E447" t="s">
        <v>9307</v>
      </c>
      <c r="F447" t="s">
        <v>10666</v>
      </c>
      <c r="G447" t="s">
        <v>10667</v>
      </c>
      <c r="H447" t="s">
        <v>10668</v>
      </c>
      <c r="I447" t="s">
        <v>954</v>
      </c>
      <c r="M447" t="s">
        <v>1686</v>
      </c>
      <c r="N447" t="s">
        <v>33</v>
      </c>
    </row>
    <row r="448" spans="1:14" x14ac:dyDescent="0.35">
      <c r="A448" t="s">
        <v>20</v>
      </c>
      <c r="B448">
        <v>17645</v>
      </c>
      <c r="C448" t="s">
        <v>949</v>
      </c>
      <c r="D448" t="s">
        <v>950</v>
      </c>
      <c r="E448" t="s">
        <v>9311</v>
      </c>
      <c r="F448" t="s">
        <v>10669</v>
      </c>
      <c r="G448" t="s">
        <v>10670</v>
      </c>
      <c r="H448" t="s">
        <v>10671</v>
      </c>
      <c r="I448" t="s">
        <v>954</v>
      </c>
      <c r="M448" t="s">
        <v>1686</v>
      </c>
      <c r="N448" t="s">
        <v>33</v>
      </c>
    </row>
    <row r="449" spans="1:14" x14ac:dyDescent="0.35">
      <c r="A449" t="s">
        <v>20</v>
      </c>
      <c r="B449">
        <v>17645</v>
      </c>
      <c r="C449" t="s">
        <v>949</v>
      </c>
      <c r="D449" t="s">
        <v>950</v>
      </c>
      <c r="E449" t="s">
        <v>9315</v>
      </c>
      <c r="F449" t="s">
        <v>10672</v>
      </c>
      <c r="G449" t="s">
        <v>10673</v>
      </c>
      <c r="H449" t="s">
        <v>10674</v>
      </c>
      <c r="I449" t="s">
        <v>954</v>
      </c>
      <c r="M449" t="s">
        <v>1686</v>
      </c>
      <c r="N449" t="s">
        <v>33</v>
      </c>
    </row>
    <row r="450" spans="1:14" x14ac:dyDescent="0.35">
      <c r="A450" t="s">
        <v>20</v>
      </c>
      <c r="B450">
        <v>17645</v>
      </c>
      <c r="C450" t="s">
        <v>949</v>
      </c>
      <c r="D450" t="s">
        <v>950</v>
      </c>
      <c r="E450" t="s">
        <v>9319</v>
      </c>
      <c r="F450" t="s">
        <v>10675</v>
      </c>
      <c r="G450" t="s">
        <v>5914</v>
      </c>
      <c r="H450" t="s">
        <v>10676</v>
      </c>
      <c r="I450" t="s">
        <v>954</v>
      </c>
      <c r="M450" t="s">
        <v>1686</v>
      </c>
      <c r="N450" t="s">
        <v>33</v>
      </c>
    </row>
    <row r="451" spans="1:14" x14ac:dyDescent="0.35">
      <c r="A451" t="s">
        <v>20</v>
      </c>
      <c r="B451">
        <v>17645</v>
      </c>
      <c r="C451" t="s">
        <v>949</v>
      </c>
      <c r="D451" t="s">
        <v>950</v>
      </c>
      <c r="E451" t="s">
        <v>9323</v>
      </c>
      <c r="F451" t="s">
        <v>10677</v>
      </c>
      <c r="G451" t="s">
        <v>10678</v>
      </c>
      <c r="H451" t="s">
        <v>10679</v>
      </c>
      <c r="I451" t="s">
        <v>954</v>
      </c>
      <c r="M451" t="s">
        <v>1686</v>
      </c>
      <c r="N451" t="s">
        <v>33</v>
      </c>
    </row>
    <row r="452" spans="1:14" x14ac:dyDescent="0.35">
      <c r="A452" t="s">
        <v>20</v>
      </c>
      <c r="B452">
        <v>17645</v>
      </c>
      <c r="C452" t="s">
        <v>949</v>
      </c>
      <c r="D452" t="s">
        <v>950</v>
      </c>
      <c r="E452" t="s">
        <v>9327</v>
      </c>
      <c r="F452" t="s">
        <v>10680</v>
      </c>
      <c r="G452" t="s">
        <v>10681</v>
      </c>
      <c r="H452" t="s">
        <v>10682</v>
      </c>
      <c r="I452" t="s">
        <v>954</v>
      </c>
      <c r="M452" t="s">
        <v>1686</v>
      </c>
      <c r="N452" t="s">
        <v>33</v>
      </c>
    </row>
    <row r="453" spans="1:14" x14ac:dyDescent="0.35">
      <c r="A453" t="s">
        <v>20</v>
      </c>
      <c r="B453">
        <v>17645</v>
      </c>
      <c r="C453" t="s">
        <v>949</v>
      </c>
      <c r="D453" t="s">
        <v>950</v>
      </c>
      <c r="E453" t="s">
        <v>9331</v>
      </c>
      <c r="F453" t="s">
        <v>10683</v>
      </c>
      <c r="G453" t="s">
        <v>10684</v>
      </c>
      <c r="H453" t="s">
        <v>10685</v>
      </c>
      <c r="I453" t="s">
        <v>954</v>
      </c>
      <c r="M453" t="s">
        <v>1686</v>
      </c>
      <c r="N453" t="s">
        <v>33</v>
      </c>
    </row>
    <row r="454" spans="1:14" x14ac:dyDescent="0.35">
      <c r="A454" t="s">
        <v>20</v>
      </c>
      <c r="B454">
        <v>17645</v>
      </c>
      <c r="C454" t="s">
        <v>949</v>
      </c>
      <c r="D454" t="s">
        <v>950</v>
      </c>
      <c r="E454" t="s">
        <v>9335</v>
      </c>
      <c r="F454" t="s">
        <v>10686</v>
      </c>
      <c r="G454" t="s">
        <v>10687</v>
      </c>
      <c r="H454" t="s">
        <v>10688</v>
      </c>
      <c r="I454" t="s">
        <v>954</v>
      </c>
      <c r="M454" t="s">
        <v>1686</v>
      </c>
      <c r="N454" t="s">
        <v>33</v>
      </c>
    </row>
    <row r="455" spans="1:14" x14ac:dyDescent="0.35">
      <c r="A455" t="s">
        <v>20</v>
      </c>
      <c r="B455">
        <v>17645</v>
      </c>
      <c r="C455" t="s">
        <v>949</v>
      </c>
      <c r="D455" t="s">
        <v>950</v>
      </c>
      <c r="E455" t="s">
        <v>9339</v>
      </c>
      <c r="F455" t="s">
        <v>10689</v>
      </c>
      <c r="G455" t="s">
        <v>10690</v>
      </c>
      <c r="H455" t="s">
        <v>10691</v>
      </c>
      <c r="I455" t="s">
        <v>954</v>
      </c>
      <c r="M455" t="s">
        <v>1686</v>
      </c>
      <c r="N455" t="s">
        <v>33</v>
      </c>
    </row>
    <row r="456" spans="1:14" x14ac:dyDescent="0.35">
      <c r="A456" t="s">
        <v>20</v>
      </c>
      <c r="B456">
        <v>17645</v>
      </c>
      <c r="C456" t="s">
        <v>949</v>
      </c>
      <c r="D456" t="s">
        <v>950</v>
      </c>
      <c r="E456" t="s">
        <v>9343</v>
      </c>
      <c r="F456" t="s">
        <v>10692</v>
      </c>
      <c r="G456" t="s">
        <v>10693</v>
      </c>
      <c r="H456" t="s">
        <v>10694</v>
      </c>
      <c r="I456" t="s">
        <v>954</v>
      </c>
      <c r="M456" t="s">
        <v>1686</v>
      </c>
      <c r="N456" t="s">
        <v>33</v>
      </c>
    </row>
    <row r="457" spans="1:14" x14ac:dyDescent="0.35">
      <c r="A457" t="s">
        <v>20</v>
      </c>
      <c r="B457">
        <v>17645</v>
      </c>
      <c r="C457" t="s">
        <v>949</v>
      </c>
      <c r="D457" t="s">
        <v>950</v>
      </c>
      <c r="E457" t="s">
        <v>9347</v>
      </c>
      <c r="F457" t="s">
        <v>10695</v>
      </c>
      <c r="G457" t="s">
        <v>10696</v>
      </c>
      <c r="H457" t="s">
        <v>10697</v>
      </c>
      <c r="I457" t="s">
        <v>954</v>
      </c>
      <c r="M457" t="s">
        <v>1686</v>
      </c>
      <c r="N457" t="s">
        <v>33</v>
      </c>
    </row>
    <row r="458" spans="1:14" x14ac:dyDescent="0.35">
      <c r="A458" t="s">
        <v>20</v>
      </c>
      <c r="B458">
        <v>17645</v>
      </c>
      <c r="C458" t="s">
        <v>949</v>
      </c>
      <c r="D458" t="s">
        <v>950</v>
      </c>
      <c r="E458" t="s">
        <v>9351</v>
      </c>
      <c r="F458" t="s">
        <v>10698</v>
      </c>
      <c r="G458" t="s">
        <v>10699</v>
      </c>
      <c r="H458" t="s">
        <v>10700</v>
      </c>
      <c r="I458" t="s">
        <v>954</v>
      </c>
      <c r="M458" t="s">
        <v>1686</v>
      </c>
      <c r="N458" t="s">
        <v>33</v>
      </c>
    </row>
    <row r="459" spans="1:14" x14ac:dyDescent="0.35">
      <c r="A459" t="s">
        <v>20</v>
      </c>
      <c r="B459">
        <v>17645</v>
      </c>
      <c r="C459" t="s">
        <v>949</v>
      </c>
      <c r="D459" t="s">
        <v>950</v>
      </c>
      <c r="E459" t="s">
        <v>9554</v>
      </c>
      <c r="F459" t="s">
        <v>10701</v>
      </c>
      <c r="G459" t="s">
        <v>10702</v>
      </c>
      <c r="H459" t="s">
        <v>10703</v>
      </c>
      <c r="I459" t="s">
        <v>1090</v>
      </c>
      <c r="M459" t="s">
        <v>1686</v>
      </c>
      <c r="N459" t="s">
        <v>33</v>
      </c>
    </row>
    <row r="460" spans="1:14" x14ac:dyDescent="0.35">
      <c r="A460" t="s">
        <v>20</v>
      </c>
      <c r="B460">
        <v>17645</v>
      </c>
      <c r="C460" t="s">
        <v>949</v>
      </c>
      <c r="D460" t="s">
        <v>950</v>
      </c>
      <c r="E460" t="s">
        <v>9558</v>
      </c>
      <c r="F460" t="s">
        <v>10704</v>
      </c>
      <c r="G460" t="s">
        <v>10705</v>
      </c>
      <c r="H460" t="s">
        <v>10706</v>
      </c>
      <c r="I460" t="s">
        <v>1090</v>
      </c>
      <c r="M460" t="s">
        <v>1686</v>
      </c>
      <c r="N460" t="s">
        <v>33</v>
      </c>
    </row>
    <row r="461" spans="1:14" x14ac:dyDescent="0.35">
      <c r="A461" t="s">
        <v>20</v>
      </c>
      <c r="B461">
        <v>17645</v>
      </c>
      <c r="C461" t="s">
        <v>949</v>
      </c>
      <c r="D461" t="s">
        <v>950</v>
      </c>
      <c r="E461" t="s">
        <v>9562</v>
      </c>
      <c r="F461" t="s">
        <v>10707</v>
      </c>
      <c r="G461" t="s">
        <v>10708</v>
      </c>
      <c r="H461" t="s">
        <v>10709</v>
      </c>
      <c r="I461" t="s">
        <v>1090</v>
      </c>
      <c r="M461" t="s">
        <v>1686</v>
      </c>
      <c r="N461" t="s">
        <v>33</v>
      </c>
    </row>
    <row r="462" spans="1:14" x14ac:dyDescent="0.35">
      <c r="A462" t="s">
        <v>20</v>
      </c>
      <c r="B462">
        <v>17645</v>
      </c>
      <c r="C462" t="s">
        <v>949</v>
      </c>
      <c r="D462" t="s">
        <v>950</v>
      </c>
      <c r="E462" t="s">
        <v>9566</v>
      </c>
      <c r="F462" t="s">
        <v>10710</v>
      </c>
      <c r="G462" t="s">
        <v>10711</v>
      </c>
      <c r="H462" t="s">
        <v>10712</v>
      </c>
      <c r="I462" t="s">
        <v>1090</v>
      </c>
      <c r="M462" t="s">
        <v>1686</v>
      </c>
      <c r="N462" t="s">
        <v>33</v>
      </c>
    </row>
    <row r="463" spans="1:14" x14ac:dyDescent="0.35">
      <c r="A463" t="s">
        <v>20</v>
      </c>
      <c r="B463">
        <v>17645</v>
      </c>
      <c r="C463" t="s">
        <v>949</v>
      </c>
      <c r="D463" t="s">
        <v>950</v>
      </c>
      <c r="E463" t="s">
        <v>9570</v>
      </c>
      <c r="F463" t="s">
        <v>10713</v>
      </c>
      <c r="G463" t="s">
        <v>10714</v>
      </c>
      <c r="H463" t="s">
        <v>10715</v>
      </c>
      <c r="I463" t="s">
        <v>1090</v>
      </c>
      <c r="M463" t="s">
        <v>1686</v>
      </c>
      <c r="N463" t="s">
        <v>33</v>
      </c>
    </row>
    <row r="464" spans="1:14" x14ac:dyDescent="0.35">
      <c r="A464" t="s">
        <v>20</v>
      </c>
      <c r="B464">
        <v>17645</v>
      </c>
      <c r="C464" t="s">
        <v>949</v>
      </c>
      <c r="D464" t="s">
        <v>950</v>
      </c>
      <c r="E464" t="s">
        <v>9574</v>
      </c>
      <c r="F464" t="s">
        <v>10716</v>
      </c>
      <c r="G464" t="s">
        <v>10717</v>
      </c>
      <c r="H464" t="s">
        <v>10718</v>
      </c>
      <c r="I464" t="s">
        <v>1090</v>
      </c>
      <c r="M464" t="s">
        <v>1686</v>
      </c>
      <c r="N464" t="s">
        <v>33</v>
      </c>
    </row>
    <row r="465" spans="1:14" x14ac:dyDescent="0.35">
      <c r="A465" t="s">
        <v>20</v>
      </c>
      <c r="B465">
        <v>17645</v>
      </c>
      <c r="C465" t="s">
        <v>949</v>
      </c>
      <c r="D465" t="s">
        <v>950</v>
      </c>
      <c r="E465" t="s">
        <v>9578</v>
      </c>
      <c r="F465" t="s">
        <v>10719</v>
      </c>
      <c r="G465" t="s">
        <v>10720</v>
      </c>
      <c r="H465" t="s">
        <v>10721</v>
      </c>
      <c r="I465" t="s">
        <v>1090</v>
      </c>
      <c r="M465" t="s">
        <v>1686</v>
      </c>
      <c r="N465" t="s">
        <v>33</v>
      </c>
    </row>
    <row r="466" spans="1:14" x14ac:dyDescent="0.35">
      <c r="A466" t="s">
        <v>20</v>
      </c>
      <c r="B466">
        <v>17645</v>
      </c>
      <c r="C466" t="s">
        <v>949</v>
      </c>
      <c r="D466" t="s">
        <v>950</v>
      </c>
      <c r="E466" t="s">
        <v>9582</v>
      </c>
      <c r="F466" t="s">
        <v>10722</v>
      </c>
      <c r="G466" t="s">
        <v>10723</v>
      </c>
      <c r="H466" t="s">
        <v>10724</v>
      </c>
      <c r="I466" t="s">
        <v>1090</v>
      </c>
      <c r="M466" t="s">
        <v>1686</v>
      </c>
      <c r="N466" t="s">
        <v>33</v>
      </c>
    </row>
    <row r="467" spans="1:14" x14ac:dyDescent="0.35">
      <c r="A467" t="s">
        <v>20</v>
      </c>
      <c r="B467">
        <v>17645</v>
      </c>
      <c r="C467" t="s">
        <v>949</v>
      </c>
      <c r="D467" t="s">
        <v>950</v>
      </c>
      <c r="E467" t="s">
        <v>9586</v>
      </c>
      <c r="F467" t="s">
        <v>4106</v>
      </c>
      <c r="G467" t="s">
        <v>10725</v>
      </c>
      <c r="H467" t="s">
        <v>10726</v>
      </c>
      <c r="I467" t="s">
        <v>1090</v>
      </c>
      <c r="M467" t="s">
        <v>1686</v>
      </c>
      <c r="N467" t="s">
        <v>33</v>
      </c>
    </row>
    <row r="468" spans="1:14" x14ac:dyDescent="0.35">
      <c r="A468" t="s">
        <v>20</v>
      </c>
      <c r="B468">
        <v>17645</v>
      </c>
      <c r="C468" t="s">
        <v>949</v>
      </c>
      <c r="D468" t="s">
        <v>950</v>
      </c>
      <c r="E468" t="s">
        <v>9590</v>
      </c>
      <c r="F468" t="s">
        <v>10727</v>
      </c>
      <c r="G468" t="s">
        <v>10728</v>
      </c>
      <c r="H468" t="s">
        <v>10729</v>
      </c>
      <c r="I468" t="s">
        <v>1090</v>
      </c>
      <c r="M468" t="s">
        <v>1686</v>
      </c>
      <c r="N468" t="s">
        <v>33</v>
      </c>
    </row>
    <row r="469" spans="1:14" x14ac:dyDescent="0.35">
      <c r="A469" t="s">
        <v>20</v>
      </c>
      <c r="B469">
        <v>17645</v>
      </c>
      <c r="C469" t="s">
        <v>949</v>
      </c>
      <c r="D469" t="s">
        <v>950</v>
      </c>
      <c r="E469" t="s">
        <v>9594</v>
      </c>
      <c r="F469" t="s">
        <v>10730</v>
      </c>
      <c r="G469" t="s">
        <v>10731</v>
      </c>
      <c r="H469" t="s">
        <v>10732</v>
      </c>
      <c r="I469" t="s">
        <v>1090</v>
      </c>
      <c r="M469" t="s">
        <v>1686</v>
      </c>
      <c r="N469" t="s">
        <v>33</v>
      </c>
    </row>
    <row r="470" spans="1:14" x14ac:dyDescent="0.35">
      <c r="A470" t="s">
        <v>20</v>
      </c>
      <c r="B470">
        <v>17645</v>
      </c>
      <c r="C470" t="s">
        <v>949</v>
      </c>
      <c r="D470" t="s">
        <v>950</v>
      </c>
      <c r="E470" t="s">
        <v>9598</v>
      </c>
      <c r="F470" t="s">
        <v>10733</v>
      </c>
      <c r="G470" t="s">
        <v>10734</v>
      </c>
      <c r="H470" t="s">
        <v>10735</v>
      </c>
      <c r="I470" t="s">
        <v>1090</v>
      </c>
      <c r="M470" t="s">
        <v>1686</v>
      </c>
      <c r="N470" t="s">
        <v>33</v>
      </c>
    </row>
    <row r="471" spans="1:14" x14ac:dyDescent="0.35">
      <c r="A471" t="s">
        <v>20</v>
      </c>
      <c r="B471">
        <v>17645</v>
      </c>
      <c r="C471" t="s">
        <v>949</v>
      </c>
      <c r="D471" t="s">
        <v>950</v>
      </c>
      <c r="E471" t="s">
        <v>9602</v>
      </c>
      <c r="F471" t="s">
        <v>10736</v>
      </c>
      <c r="G471" t="s">
        <v>10737</v>
      </c>
      <c r="H471" t="s">
        <v>10738</v>
      </c>
      <c r="I471" t="s">
        <v>1090</v>
      </c>
      <c r="M471" t="s">
        <v>1686</v>
      </c>
      <c r="N471" t="s">
        <v>33</v>
      </c>
    </row>
    <row r="472" spans="1:14" x14ac:dyDescent="0.35">
      <c r="A472" t="s">
        <v>20</v>
      </c>
      <c r="B472">
        <v>17645</v>
      </c>
      <c r="C472" t="s">
        <v>949</v>
      </c>
      <c r="D472" t="s">
        <v>950</v>
      </c>
      <c r="E472" t="s">
        <v>9606</v>
      </c>
      <c r="F472" t="s">
        <v>10739</v>
      </c>
      <c r="G472" t="s">
        <v>10740</v>
      </c>
      <c r="H472" t="s">
        <v>10741</v>
      </c>
      <c r="I472" t="s">
        <v>1090</v>
      </c>
      <c r="M472" t="s">
        <v>1686</v>
      </c>
      <c r="N472" t="s">
        <v>33</v>
      </c>
    </row>
    <row r="473" spans="1:14" x14ac:dyDescent="0.35">
      <c r="A473" t="s">
        <v>20</v>
      </c>
      <c r="B473">
        <v>17645</v>
      </c>
      <c r="C473" t="s">
        <v>949</v>
      </c>
      <c r="D473" t="s">
        <v>950</v>
      </c>
      <c r="E473" t="s">
        <v>9610</v>
      </c>
      <c r="F473" t="s">
        <v>10742</v>
      </c>
      <c r="G473" t="s">
        <v>10743</v>
      </c>
      <c r="H473" t="s">
        <v>10744</v>
      </c>
      <c r="I473" t="s">
        <v>1090</v>
      </c>
      <c r="M473" t="s">
        <v>1686</v>
      </c>
      <c r="N473" t="s">
        <v>33</v>
      </c>
    </row>
    <row r="474" spans="1:14" x14ac:dyDescent="0.35">
      <c r="A474" t="s">
        <v>20</v>
      </c>
      <c r="B474">
        <v>17645</v>
      </c>
      <c r="C474" t="s">
        <v>949</v>
      </c>
      <c r="D474" t="s">
        <v>950</v>
      </c>
      <c r="E474" t="s">
        <v>9614</v>
      </c>
      <c r="F474" t="s">
        <v>10745</v>
      </c>
      <c r="G474" t="s">
        <v>10746</v>
      </c>
      <c r="H474" t="s">
        <v>10747</v>
      </c>
      <c r="I474" t="s">
        <v>1090</v>
      </c>
      <c r="M474" t="s">
        <v>1686</v>
      </c>
      <c r="N474" t="s">
        <v>33</v>
      </c>
    </row>
    <row r="475" spans="1:14" x14ac:dyDescent="0.35">
      <c r="A475" t="s">
        <v>20</v>
      </c>
      <c r="B475">
        <v>17645</v>
      </c>
      <c r="C475" t="s">
        <v>949</v>
      </c>
      <c r="D475" t="s">
        <v>950</v>
      </c>
      <c r="E475" t="s">
        <v>9617</v>
      </c>
      <c r="F475" t="s">
        <v>10748</v>
      </c>
      <c r="G475" t="s">
        <v>10749</v>
      </c>
      <c r="H475" t="s">
        <v>10750</v>
      </c>
      <c r="I475" t="s">
        <v>1090</v>
      </c>
      <c r="M475" t="s">
        <v>1686</v>
      </c>
      <c r="N475" t="s">
        <v>33</v>
      </c>
    </row>
    <row r="476" spans="1:14" x14ac:dyDescent="0.35">
      <c r="A476" t="s">
        <v>20</v>
      </c>
      <c r="B476">
        <v>17645</v>
      </c>
      <c r="C476" t="s">
        <v>949</v>
      </c>
      <c r="D476" t="s">
        <v>950</v>
      </c>
      <c r="E476" t="s">
        <v>9621</v>
      </c>
      <c r="F476" t="s">
        <v>10751</v>
      </c>
      <c r="G476" t="s">
        <v>10752</v>
      </c>
      <c r="H476" t="s">
        <v>10753</v>
      </c>
      <c r="I476" t="s">
        <v>1090</v>
      </c>
      <c r="M476" t="s">
        <v>1686</v>
      </c>
      <c r="N476" t="s">
        <v>33</v>
      </c>
    </row>
    <row r="477" spans="1:14" x14ac:dyDescent="0.35">
      <c r="A477" t="s">
        <v>20</v>
      </c>
      <c r="B477">
        <v>17645</v>
      </c>
      <c r="C477" t="s">
        <v>949</v>
      </c>
      <c r="D477" t="s">
        <v>950</v>
      </c>
      <c r="E477" t="s">
        <v>9625</v>
      </c>
      <c r="F477" t="s">
        <v>10754</v>
      </c>
      <c r="G477" t="s">
        <v>10755</v>
      </c>
      <c r="H477" t="s">
        <v>10756</v>
      </c>
      <c r="I477" t="s">
        <v>1090</v>
      </c>
      <c r="M477" t="s">
        <v>1686</v>
      </c>
      <c r="N477" t="s">
        <v>33</v>
      </c>
    </row>
    <row r="478" spans="1:14" x14ac:dyDescent="0.35">
      <c r="A478" t="s">
        <v>20</v>
      </c>
      <c r="B478">
        <v>17645</v>
      </c>
      <c r="C478" t="s">
        <v>949</v>
      </c>
      <c r="D478" t="s">
        <v>950</v>
      </c>
      <c r="E478" t="s">
        <v>9629</v>
      </c>
      <c r="F478" t="s">
        <v>10757</v>
      </c>
      <c r="G478" t="s">
        <v>10758</v>
      </c>
      <c r="H478" t="s">
        <v>10759</v>
      </c>
      <c r="I478" t="s">
        <v>1090</v>
      </c>
      <c r="M478" t="s">
        <v>1686</v>
      </c>
      <c r="N478" t="s">
        <v>33</v>
      </c>
    </row>
    <row r="479" spans="1:14" x14ac:dyDescent="0.35">
      <c r="A479" t="s">
        <v>20</v>
      </c>
      <c r="B479">
        <v>17645</v>
      </c>
      <c r="C479" t="s">
        <v>949</v>
      </c>
      <c r="D479" t="s">
        <v>950</v>
      </c>
      <c r="E479" t="s">
        <v>9633</v>
      </c>
      <c r="F479" t="s">
        <v>10760</v>
      </c>
      <c r="G479" t="s">
        <v>10761</v>
      </c>
      <c r="H479" t="s">
        <v>10762</v>
      </c>
      <c r="I479" t="s">
        <v>1090</v>
      </c>
      <c r="M479" t="s">
        <v>1686</v>
      </c>
      <c r="N479" t="s">
        <v>33</v>
      </c>
    </row>
    <row r="480" spans="1:14" x14ac:dyDescent="0.35">
      <c r="A480" t="s">
        <v>20</v>
      </c>
      <c r="B480">
        <v>17645</v>
      </c>
      <c r="C480" t="s">
        <v>949</v>
      </c>
      <c r="D480" t="s">
        <v>950</v>
      </c>
      <c r="E480" t="s">
        <v>9637</v>
      </c>
      <c r="F480" t="s">
        <v>10763</v>
      </c>
      <c r="G480" t="s">
        <v>10764</v>
      </c>
      <c r="H480" t="s">
        <v>10765</v>
      </c>
      <c r="I480" t="s">
        <v>1090</v>
      </c>
      <c r="M480" t="s">
        <v>1686</v>
      </c>
      <c r="N480" t="s">
        <v>33</v>
      </c>
    </row>
    <row r="481" spans="1:14" x14ac:dyDescent="0.35">
      <c r="A481" t="s">
        <v>20</v>
      </c>
      <c r="B481">
        <v>17645</v>
      </c>
      <c r="C481" t="s">
        <v>949</v>
      </c>
      <c r="D481" t="s">
        <v>950</v>
      </c>
      <c r="E481" t="s">
        <v>9641</v>
      </c>
      <c r="F481" t="s">
        <v>10766</v>
      </c>
      <c r="G481" t="s">
        <v>10767</v>
      </c>
      <c r="H481" t="s">
        <v>10768</v>
      </c>
      <c r="I481" t="s">
        <v>1090</v>
      </c>
      <c r="M481" t="s">
        <v>1686</v>
      </c>
      <c r="N481" t="s">
        <v>33</v>
      </c>
    </row>
    <row r="482" spans="1:14" x14ac:dyDescent="0.35">
      <c r="A482" t="s">
        <v>20</v>
      </c>
      <c r="B482">
        <v>17645</v>
      </c>
      <c r="C482" t="s">
        <v>949</v>
      </c>
      <c r="D482" t="s">
        <v>950</v>
      </c>
      <c r="E482" t="s">
        <v>9645</v>
      </c>
      <c r="F482" t="s">
        <v>10769</v>
      </c>
      <c r="G482" t="s">
        <v>10770</v>
      </c>
      <c r="H482" t="s">
        <v>10771</v>
      </c>
      <c r="I482" t="s">
        <v>1090</v>
      </c>
      <c r="M482" t="s">
        <v>1686</v>
      </c>
      <c r="N482" t="s">
        <v>33</v>
      </c>
    </row>
    <row r="483" spans="1:14" x14ac:dyDescent="0.35">
      <c r="A483" t="s">
        <v>20</v>
      </c>
      <c r="B483">
        <v>17645</v>
      </c>
      <c r="C483" t="s">
        <v>949</v>
      </c>
      <c r="D483" t="s">
        <v>950</v>
      </c>
      <c r="E483" t="s">
        <v>9649</v>
      </c>
      <c r="F483" t="s">
        <v>10772</v>
      </c>
      <c r="G483" t="s">
        <v>10773</v>
      </c>
      <c r="H483" t="s">
        <v>10774</v>
      </c>
      <c r="I483" t="s">
        <v>1090</v>
      </c>
      <c r="M483" t="s">
        <v>1686</v>
      </c>
      <c r="N483" t="s">
        <v>33</v>
      </c>
    </row>
    <row r="484" spans="1:14" x14ac:dyDescent="0.35">
      <c r="A484" t="s">
        <v>20</v>
      </c>
      <c r="B484">
        <v>17645</v>
      </c>
      <c r="C484" t="s">
        <v>949</v>
      </c>
      <c r="D484" t="s">
        <v>950</v>
      </c>
      <c r="E484" t="s">
        <v>9653</v>
      </c>
      <c r="F484" t="s">
        <v>10775</v>
      </c>
      <c r="G484" t="s">
        <v>10776</v>
      </c>
      <c r="H484" t="s">
        <v>10777</v>
      </c>
      <c r="I484" t="s">
        <v>1090</v>
      </c>
      <c r="M484" t="s">
        <v>1686</v>
      </c>
      <c r="N484" t="s">
        <v>33</v>
      </c>
    </row>
    <row r="485" spans="1:14" x14ac:dyDescent="0.35">
      <c r="A485" t="s">
        <v>20</v>
      </c>
      <c r="B485">
        <v>17645</v>
      </c>
      <c r="C485" t="s">
        <v>949</v>
      </c>
      <c r="D485" t="s">
        <v>950</v>
      </c>
      <c r="E485" t="s">
        <v>9657</v>
      </c>
      <c r="F485" t="s">
        <v>10778</v>
      </c>
      <c r="G485" t="s">
        <v>10779</v>
      </c>
      <c r="H485" t="s">
        <v>10780</v>
      </c>
      <c r="I485" t="s">
        <v>1090</v>
      </c>
      <c r="M485" t="s">
        <v>1686</v>
      </c>
      <c r="N485" t="s">
        <v>33</v>
      </c>
    </row>
    <row r="486" spans="1:14" x14ac:dyDescent="0.35">
      <c r="A486" t="s">
        <v>20</v>
      </c>
      <c r="B486">
        <v>17645</v>
      </c>
      <c r="C486" t="s">
        <v>949</v>
      </c>
      <c r="D486" t="s">
        <v>950</v>
      </c>
      <c r="E486" t="s">
        <v>9661</v>
      </c>
      <c r="F486" t="s">
        <v>10781</v>
      </c>
      <c r="G486" t="s">
        <v>10782</v>
      </c>
      <c r="H486" t="s">
        <v>10783</v>
      </c>
      <c r="I486" t="s">
        <v>1090</v>
      </c>
      <c r="M486" t="s">
        <v>1686</v>
      </c>
      <c r="N486" t="s">
        <v>33</v>
      </c>
    </row>
    <row r="487" spans="1:14" x14ac:dyDescent="0.35">
      <c r="A487" t="s">
        <v>20</v>
      </c>
      <c r="B487">
        <v>17645</v>
      </c>
      <c r="C487" t="s">
        <v>949</v>
      </c>
      <c r="D487" t="s">
        <v>950</v>
      </c>
      <c r="E487" t="s">
        <v>9665</v>
      </c>
      <c r="F487" t="s">
        <v>10784</v>
      </c>
      <c r="G487" t="s">
        <v>10785</v>
      </c>
      <c r="H487" t="s">
        <v>10786</v>
      </c>
      <c r="I487" t="s">
        <v>1090</v>
      </c>
      <c r="M487" t="s">
        <v>1686</v>
      </c>
      <c r="N487" t="s">
        <v>33</v>
      </c>
    </row>
    <row r="488" spans="1:14" x14ac:dyDescent="0.35">
      <c r="A488" t="s">
        <v>20</v>
      </c>
      <c r="B488">
        <v>17645</v>
      </c>
      <c r="C488" t="s">
        <v>949</v>
      </c>
      <c r="D488" t="s">
        <v>950</v>
      </c>
      <c r="E488" t="s">
        <v>9669</v>
      </c>
      <c r="F488" t="s">
        <v>10787</v>
      </c>
      <c r="G488" t="s">
        <v>10788</v>
      </c>
      <c r="H488" t="s">
        <v>10789</v>
      </c>
      <c r="I488" t="s">
        <v>1090</v>
      </c>
      <c r="M488" t="s">
        <v>1686</v>
      </c>
      <c r="N488" t="s">
        <v>33</v>
      </c>
    </row>
    <row r="489" spans="1:14" x14ac:dyDescent="0.35">
      <c r="A489" t="s">
        <v>20</v>
      </c>
      <c r="B489">
        <v>17645</v>
      </c>
      <c r="C489" t="s">
        <v>949</v>
      </c>
      <c r="D489" t="s">
        <v>950</v>
      </c>
      <c r="E489" t="s">
        <v>9673</v>
      </c>
      <c r="F489" t="s">
        <v>10790</v>
      </c>
      <c r="G489" t="s">
        <v>10791</v>
      </c>
      <c r="H489" t="s">
        <v>10792</v>
      </c>
      <c r="I489" t="s">
        <v>1090</v>
      </c>
      <c r="M489" t="s">
        <v>1686</v>
      </c>
      <c r="N489" t="s">
        <v>33</v>
      </c>
    </row>
    <row r="490" spans="1:14" x14ac:dyDescent="0.35">
      <c r="A490" t="s">
        <v>20</v>
      </c>
      <c r="B490">
        <v>17645</v>
      </c>
      <c r="C490" t="s">
        <v>949</v>
      </c>
      <c r="D490" t="s">
        <v>950</v>
      </c>
      <c r="E490" t="s">
        <v>9677</v>
      </c>
      <c r="F490" t="s">
        <v>10793</v>
      </c>
      <c r="G490" t="s">
        <v>10794</v>
      </c>
      <c r="H490" t="s">
        <v>10795</v>
      </c>
      <c r="I490" t="s">
        <v>1090</v>
      </c>
      <c r="M490" t="s">
        <v>1686</v>
      </c>
      <c r="N490" t="s">
        <v>33</v>
      </c>
    </row>
    <row r="491" spans="1:14" x14ac:dyDescent="0.35">
      <c r="A491" t="s">
        <v>20</v>
      </c>
      <c r="B491">
        <v>17645</v>
      </c>
      <c r="C491" t="s">
        <v>949</v>
      </c>
      <c r="D491" t="s">
        <v>950</v>
      </c>
      <c r="E491" t="s">
        <v>9681</v>
      </c>
      <c r="F491" t="s">
        <v>10796</v>
      </c>
      <c r="G491" t="s">
        <v>10797</v>
      </c>
      <c r="H491" t="s">
        <v>10798</v>
      </c>
      <c r="I491" t="s">
        <v>1090</v>
      </c>
      <c r="M491" t="s">
        <v>1686</v>
      </c>
      <c r="N491" t="s">
        <v>33</v>
      </c>
    </row>
    <row r="492" spans="1:14" x14ac:dyDescent="0.35">
      <c r="A492" t="s">
        <v>20</v>
      </c>
      <c r="B492">
        <v>17645</v>
      </c>
      <c r="C492" t="s">
        <v>949</v>
      </c>
      <c r="D492" t="s">
        <v>950</v>
      </c>
      <c r="E492" t="s">
        <v>9685</v>
      </c>
      <c r="F492" t="s">
        <v>10799</v>
      </c>
      <c r="G492" t="s">
        <v>10800</v>
      </c>
      <c r="H492" t="s">
        <v>10801</v>
      </c>
      <c r="I492" t="s">
        <v>1090</v>
      </c>
      <c r="M492" t="s">
        <v>1686</v>
      </c>
      <c r="N492" t="s">
        <v>33</v>
      </c>
    </row>
    <row r="493" spans="1:14" x14ac:dyDescent="0.35">
      <c r="A493" t="s">
        <v>20</v>
      </c>
      <c r="B493">
        <v>17645</v>
      </c>
      <c r="C493" t="s">
        <v>949</v>
      </c>
      <c r="D493" t="s">
        <v>950</v>
      </c>
      <c r="E493" t="s">
        <v>9689</v>
      </c>
      <c r="F493" t="s">
        <v>10802</v>
      </c>
      <c r="G493" t="s">
        <v>10803</v>
      </c>
      <c r="H493" t="s">
        <v>10804</v>
      </c>
      <c r="I493" t="s">
        <v>1090</v>
      </c>
      <c r="M493" t="s">
        <v>1686</v>
      </c>
      <c r="N493" t="s">
        <v>33</v>
      </c>
    </row>
    <row r="494" spans="1:14" x14ac:dyDescent="0.35">
      <c r="A494" t="s">
        <v>20</v>
      </c>
      <c r="B494">
        <v>17645</v>
      </c>
      <c r="C494" t="s">
        <v>949</v>
      </c>
      <c r="D494" t="s">
        <v>950</v>
      </c>
      <c r="E494" t="s">
        <v>9693</v>
      </c>
      <c r="F494" t="s">
        <v>10805</v>
      </c>
      <c r="G494" t="s">
        <v>10806</v>
      </c>
      <c r="H494" t="s">
        <v>10807</v>
      </c>
      <c r="I494" t="s">
        <v>1090</v>
      </c>
      <c r="M494" t="s">
        <v>1686</v>
      </c>
      <c r="N494" t="s">
        <v>33</v>
      </c>
    </row>
    <row r="495" spans="1:14" x14ac:dyDescent="0.35">
      <c r="A495" t="s">
        <v>20</v>
      </c>
      <c r="B495">
        <v>17645</v>
      </c>
      <c r="C495" t="s">
        <v>949</v>
      </c>
      <c r="D495" t="s">
        <v>950</v>
      </c>
      <c r="E495" t="s">
        <v>9697</v>
      </c>
      <c r="F495" t="s">
        <v>10808</v>
      </c>
      <c r="G495" t="s">
        <v>10809</v>
      </c>
      <c r="H495" t="s">
        <v>10810</v>
      </c>
      <c r="I495" t="s">
        <v>1090</v>
      </c>
      <c r="M495" t="s">
        <v>1686</v>
      </c>
      <c r="N495" t="s">
        <v>33</v>
      </c>
    </row>
    <row r="496" spans="1:14" x14ac:dyDescent="0.35">
      <c r="A496" t="s">
        <v>20</v>
      </c>
      <c r="B496">
        <v>17645</v>
      </c>
      <c r="C496" t="s">
        <v>949</v>
      </c>
      <c r="D496" t="s">
        <v>950</v>
      </c>
      <c r="E496" t="s">
        <v>9701</v>
      </c>
      <c r="F496" t="s">
        <v>10811</v>
      </c>
      <c r="G496" t="s">
        <v>10812</v>
      </c>
      <c r="H496" t="s">
        <v>10813</v>
      </c>
      <c r="I496" t="s">
        <v>1090</v>
      </c>
      <c r="M496" t="s">
        <v>1686</v>
      </c>
      <c r="N496" t="s">
        <v>33</v>
      </c>
    </row>
    <row r="497" spans="1:14" x14ac:dyDescent="0.35">
      <c r="A497" t="s">
        <v>20</v>
      </c>
      <c r="B497">
        <v>17645</v>
      </c>
      <c r="C497" t="s">
        <v>949</v>
      </c>
      <c r="D497" t="s">
        <v>950</v>
      </c>
      <c r="E497" t="s">
        <v>9705</v>
      </c>
      <c r="F497" t="s">
        <v>10814</v>
      </c>
      <c r="G497" t="s">
        <v>10815</v>
      </c>
      <c r="H497" t="s">
        <v>10816</v>
      </c>
      <c r="I497" t="s">
        <v>1090</v>
      </c>
      <c r="M497" t="s">
        <v>1686</v>
      </c>
      <c r="N497" t="s">
        <v>33</v>
      </c>
    </row>
    <row r="498" spans="1:14" x14ac:dyDescent="0.35">
      <c r="A498" t="s">
        <v>20</v>
      </c>
      <c r="B498">
        <v>17645</v>
      </c>
      <c r="C498" t="s">
        <v>949</v>
      </c>
      <c r="D498" t="s">
        <v>950</v>
      </c>
      <c r="E498" t="s">
        <v>9709</v>
      </c>
      <c r="F498" t="s">
        <v>10817</v>
      </c>
      <c r="G498" t="s">
        <v>10818</v>
      </c>
      <c r="H498" t="s">
        <v>10819</v>
      </c>
      <c r="I498" t="s">
        <v>1090</v>
      </c>
      <c r="M498" t="s">
        <v>1686</v>
      </c>
      <c r="N498" t="s">
        <v>33</v>
      </c>
    </row>
    <row r="499" spans="1:14" x14ac:dyDescent="0.35">
      <c r="A499" t="s">
        <v>20</v>
      </c>
      <c r="B499">
        <v>17645</v>
      </c>
      <c r="C499" t="s">
        <v>949</v>
      </c>
      <c r="D499" t="s">
        <v>950</v>
      </c>
      <c r="E499" t="s">
        <v>9712</v>
      </c>
      <c r="F499" t="s">
        <v>10820</v>
      </c>
      <c r="G499" t="s">
        <v>10821</v>
      </c>
      <c r="H499" t="s">
        <v>10822</v>
      </c>
      <c r="I499" t="s">
        <v>1090</v>
      </c>
      <c r="M499" t="s">
        <v>1686</v>
      </c>
      <c r="N499" t="s">
        <v>33</v>
      </c>
    </row>
    <row r="500" spans="1:14" x14ac:dyDescent="0.35">
      <c r="A500" t="s">
        <v>20</v>
      </c>
      <c r="B500">
        <v>17645</v>
      </c>
      <c r="C500" t="s">
        <v>949</v>
      </c>
      <c r="D500" t="s">
        <v>950</v>
      </c>
      <c r="E500" t="s">
        <v>9716</v>
      </c>
      <c r="F500" t="s">
        <v>10823</v>
      </c>
      <c r="G500" t="s">
        <v>10824</v>
      </c>
      <c r="H500" t="s">
        <v>10825</v>
      </c>
      <c r="I500" t="s">
        <v>1090</v>
      </c>
      <c r="M500" t="s">
        <v>1686</v>
      </c>
      <c r="N500" t="s">
        <v>33</v>
      </c>
    </row>
    <row r="501" spans="1:14" x14ac:dyDescent="0.35">
      <c r="A501" t="s">
        <v>20</v>
      </c>
      <c r="B501">
        <v>17645</v>
      </c>
      <c r="C501" t="s">
        <v>949</v>
      </c>
      <c r="D501" t="s">
        <v>950</v>
      </c>
      <c r="E501" t="s">
        <v>9720</v>
      </c>
      <c r="F501" t="s">
        <v>10826</v>
      </c>
      <c r="G501" t="s">
        <v>10827</v>
      </c>
      <c r="H501" t="s">
        <v>10828</v>
      </c>
      <c r="I501" t="s">
        <v>1090</v>
      </c>
      <c r="M501" t="s">
        <v>1686</v>
      </c>
      <c r="N501" t="s">
        <v>33</v>
      </c>
    </row>
    <row r="502" spans="1:14" x14ac:dyDescent="0.35">
      <c r="A502" t="s">
        <v>20</v>
      </c>
      <c r="B502">
        <v>17645</v>
      </c>
      <c r="C502" t="s">
        <v>949</v>
      </c>
      <c r="D502" t="s">
        <v>950</v>
      </c>
      <c r="E502" t="s">
        <v>9724</v>
      </c>
      <c r="F502" t="s">
        <v>10829</v>
      </c>
      <c r="G502" t="s">
        <v>10830</v>
      </c>
      <c r="H502" t="s">
        <v>10831</v>
      </c>
      <c r="I502" t="s">
        <v>1090</v>
      </c>
      <c r="M502" t="s">
        <v>1686</v>
      </c>
      <c r="N502" t="s">
        <v>33</v>
      </c>
    </row>
    <row r="503" spans="1:14" x14ac:dyDescent="0.35">
      <c r="A503" t="s">
        <v>20</v>
      </c>
      <c r="B503">
        <v>17645</v>
      </c>
      <c r="C503" t="s">
        <v>949</v>
      </c>
      <c r="D503" t="s">
        <v>950</v>
      </c>
      <c r="E503" t="s">
        <v>9728</v>
      </c>
      <c r="F503" t="s">
        <v>10832</v>
      </c>
      <c r="G503" t="s">
        <v>10833</v>
      </c>
      <c r="H503" t="s">
        <v>10834</v>
      </c>
      <c r="I503" t="s">
        <v>1090</v>
      </c>
      <c r="M503" t="s">
        <v>1686</v>
      </c>
      <c r="N503" t="s">
        <v>33</v>
      </c>
    </row>
    <row r="504" spans="1:14" x14ac:dyDescent="0.35">
      <c r="A504" t="s">
        <v>20</v>
      </c>
      <c r="B504">
        <v>17645</v>
      </c>
      <c r="C504" t="s">
        <v>949</v>
      </c>
      <c r="D504" t="s">
        <v>950</v>
      </c>
      <c r="E504" t="s">
        <v>9732</v>
      </c>
      <c r="F504" t="s">
        <v>10835</v>
      </c>
      <c r="G504" t="s">
        <v>10836</v>
      </c>
      <c r="H504" t="s">
        <v>10837</v>
      </c>
      <c r="I504" t="s">
        <v>1090</v>
      </c>
      <c r="M504" t="s">
        <v>1686</v>
      </c>
      <c r="N504" t="s">
        <v>33</v>
      </c>
    </row>
    <row r="505" spans="1:14" x14ac:dyDescent="0.35">
      <c r="A505" t="s">
        <v>20</v>
      </c>
      <c r="B505">
        <v>17645</v>
      </c>
      <c r="C505" t="s">
        <v>949</v>
      </c>
      <c r="D505" t="s">
        <v>950</v>
      </c>
      <c r="E505" t="s">
        <v>9736</v>
      </c>
      <c r="F505" t="s">
        <v>10838</v>
      </c>
      <c r="G505" t="s">
        <v>10839</v>
      </c>
      <c r="H505" t="s">
        <v>10840</v>
      </c>
      <c r="I505" t="s">
        <v>1090</v>
      </c>
      <c r="M505" t="s">
        <v>1686</v>
      </c>
      <c r="N505" t="s">
        <v>33</v>
      </c>
    </row>
    <row r="506" spans="1:14" x14ac:dyDescent="0.35">
      <c r="A506" t="s">
        <v>20</v>
      </c>
      <c r="B506">
        <v>17645</v>
      </c>
      <c r="C506" t="s">
        <v>949</v>
      </c>
      <c r="D506" t="s">
        <v>950</v>
      </c>
      <c r="E506" t="s">
        <v>9740</v>
      </c>
      <c r="F506" t="s">
        <v>10841</v>
      </c>
      <c r="G506" t="s">
        <v>10842</v>
      </c>
      <c r="H506" t="s">
        <v>10843</v>
      </c>
      <c r="I506" t="s">
        <v>1090</v>
      </c>
      <c r="M506" t="s">
        <v>1686</v>
      </c>
      <c r="N506" t="s">
        <v>33</v>
      </c>
    </row>
    <row r="507" spans="1:14" x14ac:dyDescent="0.35">
      <c r="A507" t="s">
        <v>20</v>
      </c>
      <c r="B507">
        <v>17645</v>
      </c>
      <c r="C507" t="s">
        <v>949</v>
      </c>
      <c r="D507" t="s">
        <v>950</v>
      </c>
      <c r="E507" t="s">
        <v>9744</v>
      </c>
      <c r="F507" t="s">
        <v>10844</v>
      </c>
      <c r="G507" t="s">
        <v>10845</v>
      </c>
      <c r="H507" t="s">
        <v>10846</v>
      </c>
      <c r="I507" t="s">
        <v>1090</v>
      </c>
      <c r="M507" t="s">
        <v>1686</v>
      </c>
      <c r="N507" t="s">
        <v>33</v>
      </c>
    </row>
    <row r="508" spans="1:14" x14ac:dyDescent="0.35">
      <c r="A508" t="s">
        <v>20</v>
      </c>
      <c r="B508">
        <v>17645</v>
      </c>
      <c r="C508" t="s">
        <v>949</v>
      </c>
      <c r="D508" t="s">
        <v>950</v>
      </c>
      <c r="E508" t="s">
        <v>9748</v>
      </c>
      <c r="F508" t="s">
        <v>10847</v>
      </c>
      <c r="G508" t="s">
        <v>10848</v>
      </c>
      <c r="H508" t="s">
        <v>10849</v>
      </c>
      <c r="I508" t="s">
        <v>1090</v>
      </c>
      <c r="M508" t="s">
        <v>1686</v>
      </c>
      <c r="N508" t="s">
        <v>33</v>
      </c>
    </row>
    <row r="509" spans="1:14" x14ac:dyDescent="0.35">
      <c r="A509" t="s">
        <v>20</v>
      </c>
      <c r="B509">
        <v>17645</v>
      </c>
      <c r="C509" t="s">
        <v>949</v>
      </c>
      <c r="D509" t="s">
        <v>950</v>
      </c>
      <c r="E509" t="s">
        <v>9752</v>
      </c>
      <c r="F509" t="s">
        <v>10850</v>
      </c>
      <c r="G509" t="s">
        <v>10851</v>
      </c>
      <c r="H509" t="s">
        <v>10852</v>
      </c>
      <c r="I509" t="s">
        <v>1090</v>
      </c>
      <c r="M509" t="s">
        <v>1686</v>
      </c>
      <c r="N509" t="s">
        <v>33</v>
      </c>
    </row>
    <row r="510" spans="1:14" x14ac:dyDescent="0.35">
      <c r="A510" t="s">
        <v>20</v>
      </c>
      <c r="B510">
        <v>17645</v>
      </c>
      <c r="C510" t="s">
        <v>949</v>
      </c>
      <c r="D510" t="s">
        <v>950</v>
      </c>
      <c r="E510" t="s">
        <v>9756</v>
      </c>
      <c r="F510" t="s">
        <v>10853</v>
      </c>
      <c r="G510" t="s">
        <v>10854</v>
      </c>
      <c r="H510" t="s">
        <v>10855</v>
      </c>
      <c r="I510" t="s">
        <v>1090</v>
      </c>
      <c r="M510" t="s">
        <v>1686</v>
      </c>
      <c r="N510" t="s">
        <v>33</v>
      </c>
    </row>
    <row r="511" spans="1:14" x14ac:dyDescent="0.35">
      <c r="A511" t="s">
        <v>20</v>
      </c>
      <c r="B511">
        <v>17643</v>
      </c>
      <c r="C511" t="s">
        <v>426</v>
      </c>
      <c r="D511" t="s">
        <v>427</v>
      </c>
      <c r="E511" t="s">
        <v>9099</v>
      </c>
      <c r="F511" t="s">
        <v>10039</v>
      </c>
      <c r="G511" t="s">
        <v>10040</v>
      </c>
      <c r="H511" t="s">
        <v>10041</v>
      </c>
      <c r="I511" t="s">
        <v>557</v>
      </c>
      <c r="N511" t="s">
        <v>33</v>
      </c>
    </row>
    <row r="512" spans="1:14" x14ac:dyDescent="0.35">
      <c r="A512" t="s">
        <v>20</v>
      </c>
      <c r="B512">
        <v>17643</v>
      </c>
      <c r="C512" t="s">
        <v>426</v>
      </c>
      <c r="D512" t="s">
        <v>427</v>
      </c>
      <c r="E512" t="s">
        <v>9103</v>
      </c>
      <c r="F512" t="s">
        <v>10042</v>
      </c>
      <c r="G512" t="s">
        <v>10043</v>
      </c>
      <c r="H512" t="s">
        <v>10044</v>
      </c>
      <c r="I512" t="s">
        <v>557</v>
      </c>
      <c r="N512" t="s">
        <v>33</v>
      </c>
    </row>
    <row r="513" spans="1:14" x14ac:dyDescent="0.35">
      <c r="A513" t="s">
        <v>20</v>
      </c>
      <c r="B513">
        <v>17643</v>
      </c>
      <c r="C513" t="s">
        <v>426</v>
      </c>
      <c r="D513" t="s">
        <v>427</v>
      </c>
      <c r="E513" t="s">
        <v>9107</v>
      </c>
      <c r="F513" t="s">
        <v>10045</v>
      </c>
      <c r="G513" t="s">
        <v>10046</v>
      </c>
      <c r="H513" t="s">
        <v>10047</v>
      </c>
      <c r="I513" t="s">
        <v>557</v>
      </c>
      <c r="N513" t="s">
        <v>33</v>
      </c>
    </row>
    <row r="514" spans="1:14" x14ac:dyDescent="0.35">
      <c r="A514" t="s">
        <v>20</v>
      </c>
      <c r="B514">
        <v>17643</v>
      </c>
      <c r="C514" t="s">
        <v>426</v>
      </c>
      <c r="D514" t="s">
        <v>427</v>
      </c>
      <c r="E514" t="s">
        <v>9111</v>
      </c>
      <c r="F514" t="s">
        <v>10048</v>
      </c>
      <c r="G514" t="s">
        <v>10049</v>
      </c>
      <c r="H514" t="s">
        <v>10050</v>
      </c>
      <c r="I514" t="s">
        <v>557</v>
      </c>
      <c r="N514" t="s">
        <v>33</v>
      </c>
    </row>
    <row r="515" spans="1:14" x14ac:dyDescent="0.35">
      <c r="A515" t="s">
        <v>20</v>
      </c>
      <c r="B515">
        <v>17643</v>
      </c>
      <c r="C515" t="s">
        <v>426</v>
      </c>
      <c r="D515" t="s">
        <v>427</v>
      </c>
      <c r="E515" t="s">
        <v>9115</v>
      </c>
      <c r="F515" t="s">
        <v>10051</v>
      </c>
      <c r="G515" t="s">
        <v>10052</v>
      </c>
      <c r="H515" t="s">
        <v>10053</v>
      </c>
      <c r="I515" t="s">
        <v>557</v>
      </c>
      <c r="N515" t="s">
        <v>33</v>
      </c>
    </row>
    <row r="516" spans="1:14" x14ac:dyDescent="0.35">
      <c r="A516" t="s">
        <v>20</v>
      </c>
      <c r="B516">
        <v>17643</v>
      </c>
      <c r="C516" t="s">
        <v>426</v>
      </c>
      <c r="D516" t="s">
        <v>427</v>
      </c>
      <c r="E516" t="s">
        <v>9119</v>
      </c>
      <c r="F516" t="s">
        <v>10054</v>
      </c>
      <c r="G516" t="s">
        <v>10055</v>
      </c>
      <c r="H516" t="s">
        <v>10056</v>
      </c>
      <c r="I516" t="s">
        <v>557</v>
      </c>
      <c r="N516" t="s">
        <v>33</v>
      </c>
    </row>
    <row r="517" spans="1:14" x14ac:dyDescent="0.35">
      <c r="A517" t="s">
        <v>20</v>
      </c>
      <c r="B517">
        <v>17643</v>
      </c>
      <c r="C517" t="s">
        <v>426</v>
      </c>
      <c r="D517" t="s">
        <v>427</v>
      </c>
      <c r="E517" t="s">
        <v>9123</v>
      </c>
      <c r="F517" t="s">
        <v>10057</v>
      </c>
      <c r="G517" t="s">
        <v>10058</v>
      </c>
      <c r="H517" t="s">
        <v>10059</v>
      </c>
      <c r="I517" t="s">
        <v>557</v>
      </c>
      <c r="N517" t="s">
        <v>33</v>
      </c>
    </row>
    <row r="518" spans="1:14" x14ac:dyDescent="0.35">
      <c r="A518" t="s">
        <v>20</v>
      </c>
      <c r="B518">
        <v>17643</v>
      </c>
      <c r="C518" t="s">
        <v>426</v>
      </c>
      <c r="D518" t="s">
        <v>427</v>
      </c>
      <c r="E518" t="s">
        <v>9127</v>
      </c>
      <c r="F518" t="s">
        <v>10060</v>
      </c>
      <c r="G518" t="s">
        <v>10061</v>
      </c>
      <c r="H518" t="s">
        <v>10062</v>
      </c>
      <c r="I518" t="s">
        <v>557</v>
      </c>
      <c r="N518" t="s">
        <v>33</v>
      </c>
    </row>
    <row r="519" spans="1:14" x14ac:dyDescent="0.35">
      <c r="A519" t="s">
        <v>20</v>
      </c>
      <c r="B519">
        <v>17643</v>
      </c>
      <c r="C519" t="s">
        <v>426</v>
      </c>
      <c r="D519" t="s">
        <v>427</v>
      </c>
      <c r="E519" t="s">
        <v>9131</v>
      </c>
      <c r="F519" t="s">
        <v>10063</v>
      </c>
      <c r="G519" t="s">
        <v>10064</v>
      </c>
      <c r="H519" t="s">
        <v>10065</v>
      </c>
      <c r="I519" t="s">
        <v>557</v>
      </c>
      <c r="N519" t="s">
        <v>33</v>
      </c>
    </row>
    <row r="520" spans="1:14" x14ac:dyDescent="0.35">
      <c r="A520" t="s">
        <v>20</v>
      </c>
      <c r="B520">
        <v>17643</v>
      </c>
      <c r="C520" t="s">
        <v>426</v>
      </c>
      <c r="D520" t="s">
        <v>427</v>
      </c>
      <c r="E520" t="s">
        <v>9135</v>
      </c>
      <c r="F520" t="s">
        <v>10066</v>
      </c>
      <c r="G520" t="s">
        <v>10067</v>
      </c>
      <c r="H520" t="s">
        <v>10068</v>
      </c>
      <c r="I520" t="s">
        <v>557</v>
      </c>
      <c r="N520" t="s">
        <v>33</v>
      </c>
    </row>
    <row r="521" spans="1:14" x14ac:dyDescent="0.35">
      <c r="A521" t="s">
        <v>20</v>
      </c>
      <c r="B521">
        <v>17643</v>
      </c>
      <c r="C521" t="s">
        <v>426</v>
      </c>
      <c r="D521" t="s">
        <v>427</v>
      </c>
      <c r="E521" t="s">
        <v>9139</v>
      </c>
      <c r="F521" t="s">
        <v>10069</v>
      </c>
      <c r="G521" t="s">
        <v>10070</v>
      </c>
      <c r="H521" t="s">
        <v>10071</v>
      </c>
      <c r="I521" t="s">
        <v>557</v>
      </c>
      <c r="N521" t="s">
        <v>33</v>
      </c>
    </row>
    <row r="522" spans="1:14" x14ac:dyDescent="0.35">
      <c r="A522" t="s">
        <v>20</v>
      </c>
      <c r="B522">
        <v>17643</v>
      </c>
      <c r="C522" t="s">
        <v>426</v>
      </c>
      <c r="D522" t="s">
        <v>427</v>
      </c>
      <c r="E522" t="s">
        <v>9143</v>
      </c>
      <c r="F522" t="s">
        <v>10072</v>
      </c>
      <c r="G522" t="s">
        <v>10073</v>
      </c>
      <c r="H522" t="s">
        <v>10074</v>
      </c>
      <c r="I522" t="s">
        <v>557</v>
      </c>
      <c r="N522" t="s">
        <v>33</v>
      </c>
    </row>
    <row r="523" spans="1:14" x14ac:dyDescent="0.35">
      <c r="A523" t="s">
        <v>20</v>
      </c>
      <c r="B523">
        <v>17643</v>
      </c>
      <c r="C523" t="s">
        <v>426</v>
      </c>
      <c r="D523" t="s">
        <v>427</v>
      </c>
      <c r="E523" t="s">
        <v>9147</v>
      </c>
      <c r="F523" t="s">
        <v>10075</v>
      </c>
      <c r="G523" t="s">
        <v>10076</v>
      </c>
      <c r="H523" t="s">
        <v>10077</v>
      </c>
      <c r="I523" t="s">
        <v>557</v>
      </c>
      <c r="N523" t="s">
        <v>33</v>
      </c>
    </row>
    <row r="524" spans="1:14" x14ac:dyDescent="0.35">
      <c r="A524" t="s">
        <v>20</v>
      </c>
      <c r="B524">
        <v>17643</v>
      </c>
      <c r="C524" t="s">
        <v>426</v>
      </c>
      <c r="D524" t="s">
        <v>427</v>
      </c>
      <c r="E524" t="s">
        <v>9151</v>
      </c>
      <c r="F524" t="s">
        <v>10078</v>
      </c>
      <c r="G524" t="s">
        <v>10079</v>
      </c>
      <c r="H524" t="s">
        <v>10080</v>
      </c>
      <c r="I524" t="s">
        <v>557</v>
      </c>
      <c r="N524" t="s">
        <v>33</v>
      </c>
    </row>
    <row r="525" spans="1:14" x14ac:dyDescent="0.35">
      <c r="A525" t="s">
        <v>20</v>
      </c>
      <c r="B525">
        <v>17643</v>
      </c>
      <c r="C525" t="s">
        <v>426</v>
      </c>
      <c r="D525" t="s">
        <v>427</v>
      </c>
      <c r="E525" t="s">
        <v>9155</v>
      </c>
      <c r="F525" t="s">
        <v>10081</v>
      </c>
      <c r="G525" t="s">
        <v>10082</v>
      </c>
      <c r="H525" t="s">
        <v>10083</v>
      </c>
      <c r="I525" t="s">
        <v>557</v>
      </c>
      <c r="N525" t="s">
        <v>33</v>
      </c>
    </row>
    <row r="526" spans="1:14" x14ac:dyDescent="0.35">
      <c r="A526" t="s">
        <v>20</v>
      </c>
      <c r="B526">
        <v>17643</v>
      </c>
      <c r="C526" t="s">
        <v>426</v>
      </c>
      <c r="D526" t="s">
        <v>427</v>
      </c>
      <c r="E526" t="s">
        <v>9159</v>
      </c>
      <c r="F526" t="s">
        <v>10084</v>
      </c>
      <c r="G526" t="s">
        <v>10085</v>
      </c>
      <c r="H526" t="s">
        <v>10086</v>
      </c>
      <c r="I526" t="s">
        <v>557</v>
      </c>
      <c r="N526" t="s">
        <v>33</v>
      </c>
    </row>
    <row r="527" spans="1:14" x14ac:dyDescent="0.35">
      <c r="A527" t="s">
        <v>20</v>
      </c>
      <c r="B527">
        <v>17643</v>
      </c>
      <c r="C527" t="s">
        <v>426</v>
      </c>
      <c r="D527" t="s">
        <v>427</v>
      </c>
      <c r="E527" t="s">
        <v>9163</v>
      </c>
      <c r="F527" t="s">
        <v>10087</v>
      </c>
      <c r="G527" t="s">
        <v>10088</v>
      </c>
      <c r="H527" t="s">
        <v>10089</v>
      </c>
      <c r="I527" t="s">
        <v>557</v>
      </c>
      <c r="N527" t="s">
        <v>33</v>
      </c>
    </row>
    <row r="528" spans="1:14" x14ac:dyDescent="0.35">
      <c r="A528" t="s">
        <v>20</v>
      </c>
      <c r="B528">
        <v>17643</v>
      </c>
      <c r="C528" t="s">
        <v>426</v>
      </c>
      <c r="D528" t="s">
        <v>427</v>
      </c>
      <c r="E528" t="s">
        <v>9167</v>
      </c>
      <c r="F528" t="s">
        <v>10090</v>
      </c>
      <c r="G528" t="s">
        <v>10091</v>
      </c>
      <c r="H528" t="s">
        <v>10092</v>
      </c>
      <c r="I528" t="s">
        <v>557</v>
      </c>
      <c r="N528" t="s">
        <v>33</v>
      </c>
    </row>
    <row r="529" spans="1:14" x14ac:dyDescent="0.35">
      <c r="A529" t="s">
        <v>20</v>
      </c>
      <c r="B529">
        <v>17643</v>
      </c>
      <c r="C529" t="s">
        <v>426</v>
      </c>
      <c r="D529" t="s">
        <v>427</v>
      </c>
      <c r="E529" t="s">
        <v>9171</v>
      </c>
      <c r="F529" t="s">
        <v>10093</v>
      </c>
      <c r="G529" t="s">
        <v>10094</v>
      </c>
      <c r="H529" t="s">
        <v>10095</v>
      </c>
      <c r="I529" t="s">
        <v>557</v>
      </c>
      <c r="M529" t="s">
        <v>1681</v>
      </c>
      <c r="N529" t="s">
        <v>33</v>
      </c>
    </row>
    <row r="530" spans="1:14" x14ac:dyDescent="0.35">
      <c r="A530" t="s">
        <v>20</v>
      </c>
      <c r="B530">
        <v>17643</v>
      </c>
      <c r="C530" t="s">
        <v>426</v>
      </c>
      <c r="D530" t="s">
        <v>427</v>
      </c>
      <c r="E530" t="s">
        <v>9175</v>
      </c>
      <c r="F530" t="s">
        <v>10096</v>
      </c>
      <c r="G530" t="s">
        <v>10097</v>
      </c>
      <c r="H530" t="s">
        <v>10098</v>
      </c>
      <c r="I530" t="s">
        <v>557</v>
      </c>
      <c r="N530" t="s">
        <v>33</v>
      </c>
    </row>
    <row r="531" spans="1:14" x14ac:dyDescent="0.35">
      <c r="A531" t="s">
        <v>20</v>
      </c>
      <c r="B531">
        <v>17643</v>
      </c>
      <c r="C531" t="s">
        <v>426</v>
      </c>
      <c r="D531" t="s">
        <v>427</v>
      </c>
      <c r="E531" t="s">
        <v>9179</v>
      </c>
      <c r="F531" t="s">
        <v>10099</v>
      </c>
      <c r="G531" t="s">
        <v>10100</v>
      </c>
      <c r="H531" t="s">
        <v>10101</v>
      </c>
      <c r="I531" t="s">
        <v>557</v>
      </c>
      <c r="N531" t="s">
        <v>33</v>
      </c>
    </row>
    <row r="532" spans="1:14" x14ac:dyDescent="0.35">
      <c r="A532" t="s">
        <v>20</v>
      </c>
      <c r="B532">
        <v>17643</v>
      </c>
      <c r="C532" t="s">
        <v>426</v>
      </c>
      <c r="D532" t="s">
        <v>427</v>
      </c>
      <c r="E532" t="s">
        <v>9183</v>
      </c>
      <c r="F532" t="s">
        <v>10102</v>
      </c>
      <c r="G532" t="s">
        <v>10103</v>
      </c>
      <c r="H532" t="s">
        <v>10104</v>
      </c>
      <c r="I532" t="s">
        <v>557</v>
      </c>
      <c r="N532" t="s">
        <v>33</v>
      </c>
    </row>
    <row r="533" spans="1:14" x14ac:dyDescent="0.35">
      <c r="A533" t="s">
        <v>20</v>
      </c>
      <c r="B533">
        <v>17643</v>
      </c>
      <c r="C533" t="s">
        <v>426</v>
      </c>
      <c r="D533" t="s">
        <v>427</v>
      </c>
      <c r="E533" t="s">
        <v>9187</v>
      </c>
      <c r="F533" t="s">
        <v>10105</v>
      </c>
      <c r="G533" t="s">
        <v>10106</v>
      </c>
      <c r="H533" t="s">
        <v>10107</v>
      </c>
      <c r="I533" t="s">
        <v>557</v>
      </c>
      <c r="N533" t="s">
        <v>33</v>
      </c>
    </row>
    <row r="534" spans="1:14" x14ac:dyDescent="0.35">
      <c r="A534" t="s">
        <v>20</v>
      </c>
      <c r="B534">
        <v>17643</v>
      </c>
      <c r="C534" t="s">
        <v>426</v>
      </c>
      <c r="D534" t="s">
        <v>427</v>
      </c>
      <c r="E534" t="s">
        <v>9191</v>
      </c>
      <c r="F534" t="s">
        <v>10108</v>
      </c>
      <c r="G534" t="s">
        <v>10109</v>
      </c>
      <c r="H534" t="s">
        <v>10110</v>
      </c>
      <c r="I534" t="s">
        <v>557</v>
      </c>
      <c r="M534" t="s">
        <v>1681</v>
      </c>
      <c r="N534" t="s">
        <v>33</v>
      </c>
    </row>
    <row r="535" spans="1:14" x14ac:dyDescent="0.35">
      <c r="A535" t="s">
        <v>20</v>
      </c>
      <c r="B535">
        <v>17643</v>
      </c>
      <c r="C535" t="s">
        <v>426</v>
      </c>
      <c r="D535" t="s">
        <v>427</v>
      </c>
      <c r="E535" t="s">
        <v>9195</v>
      </c>
      <c r="F535" t="s">
        <v>10111</v>
      </c>
      <c r="G535" t="s">
        <v>10112</v>
      </c>
      <c r="H535" t="s">
        <v>10113</v>
      </c>
      <c r="I535" t="s">
        <v>557</v>
      </c>
      <c r="M535" t="s">
        <v>1681</v>
      </c>
      <c r="N535" t="s">
        <v>33</v>
      </c>
    </row>
    <row r="536" spans="1:14" x14ac:dyDescent="0.35">
      <c r="A536" t="s">
        <v>20</v>
      </c>
      <c r="B536">
        <v>17643</v>
      </c>
      <c r="C536" t="s">
        <v>426</v>
      </c>
      <c r="D536" t="s">
        <v>427</v>
      </c>
      <c r="E536" t="s">
        <v>9199</v>
      </c>
      <c r="F536" t="s">
        <v>10114</v>
      </c>
      <c r="G536" t="s">
        <v>10115</v>
      </c>
      <c r="H536" t="s">
        <v>10116</v>
      </c>
      <c r="I536" t="s">
        <v>557</v>
      </c>
      <c r="M536" t="s">
        <v>1681</v>
      </c>
      <c r="N536" t="s">
        <v>33</v>
      </c>
    </row>
    <row r="537" spans="1:14" x14ac:dyDescent="0.35">
      <c r="A537" t="s">
        <v>20</v>
      </c>
      <c r="B537">
        <v>17643</v>
      </c>
      <c r="C537" t="s">
        <v>426</v>
      </c>
      <c r="D537" t="s">
        <v>427</v>
      </c>
      <c r="E537" t="s">
        <v>9203</v>
      </c>
      <c r="F537" t="s">
        <v>10117</v>
      </c>
      <c r="G537" t="s">
        <v>10118</v>
      </c>
      <c r="H537" t="s">
        <v>10119</v>
      </c>
      <c r="I537" t="s">
        <v>557</v>
      </c>
      <c r="M537" t="s">
        <v>1681</v>
      </c>
      <c r="N537" t="s">
        <v>33</v>
      </c>
    </row>
    <row r="538" spans="1:14" x14ac:dyDescent="0.35">
      <c r="A538" t="s">
        <v>20</v>
      </c>
      <c r="B538">
        <v>17643</v>
      </c>
      <c r="C538" t="s">
        <v>426</v>
      </c>
      <c r="D538" t="s">
        <v>427</v>
      </c>
      <c r="E538" t="s">
        <v>9207</v>
      </c>
      <c r="F538" t="s">
        <v>10120</v>
      </c>
      <c r="G538" t="s">
        <v>10121</v>
      </c>
      <c r="H538" t="s">
        <v>10122</v>
      </c>
      <c r="I538" t="s">
        <v>557</v>
      </c>
      <c r="N538" t="s">
        <v>33</v>
      </c>
    </row>
    <row r="539" spans="1:14" x14ac:dyDescent="0.35">
      <c r="A539" t="s">
        <v>20</v>
      </c>
      <c r="B539">
        <v>17643</v>
      </c>
      <c r="C539" t="s">
        <v>426</v>
      </c>
      <c r="D539" t="s">
        <v>427</v>
      </c>
      <c r="E539" t="s">
        <v>9211</v>
      </c>
      <c r="F539" t="s">
        <v>10123</v>
      </c>
      <c r="G539" t="s">
        <v>10124</v>
      </c>
      <c r="H539" t="s">
        <v>10125</v>
      </c>
      <c r="I539" t="s">
        <v>557</v>
      </c>
      <c r="N539" t="s">
        <v>33</v>
      </c>
    </row>
    <row r="540" spans="1:14" x14ac:dyDescent="0.35">
      <c r="A540" t="s">
        <v>20</v>
      </c>
      <c r="B540">
        <v>17643</v>
      </c>
      <c r="C540" t="s">
        <v>426</v>
      </c>
      <c r="D540" t="s">
        <v>427</v>
      </c>
      <c r="E540" t="s">
        <v>9215</v>
      </c>
      <c r="F540" t="s">
        <v>10126</v>
      </c>
      <c r="G540" t="s">
        <v>10127</v>
      </c>
      <c r="H540" t="s">
        <v>10128</v>
      </c>
      <c r="I540" t="s">
        <v>557</v>
      </c>
      <c r="N540" t="s">
        <v>33</v>
      </c>
    </row>
    <row r="541" spans="1:14" x14ac:dyDescent="0.35">
      <c r="A541" t="s">
        <v>20</v>
      </c>
      <c r="B541">
        <v>17643</v>
      </c>
      <c r="C541" t="s">
        <v>426</v>
      </c>
      <c r="D541" t="s">
        <v>427</v>
      </c>
      <c r="E541" t="s">
        <v>9219</v>
      </c>
      <c r="F541" t="s">
        <v>10129</v>
      </c>
      <c r="G541" t="s">
        <v>10130</v>
      </c>
      <c r="H541" t="s">
        <v>10131</v>
      </c>
      <c r="I541" t="s">
        <v>557</v>
      </c>
      <c r="N541" t="s">
        <v>33</v>
      </c>
    </row>
    <row r="542" spans="1:14" x14ac:dyDescent="0.35">
      <c r="A542" t="s">
        <v>20</v>
      </c>
      <c r="B542">
        <v>17643</v>
      </c>
      <c r="C542" t="s">
        <v>426</v>
      </c>
      <c r="D542" t="s">
        <v>427</v>
      </c>
      <c r="E542" t="s">
        <v>9223</v>
      </c>
      <c r="F542" t="s">
        <v>10132</v>
      </c>
      <c r="G542" t="s">
        <v>10133</v>
      </c>
      <c r="H542" t="s">
        <v>10134</v>
      </c>
      <c r="I542" t="s">
        <v>557</v>
      </c>
      <c r="N542" t="s">
        <v>33</v>
      </c>
    </row>
    <row r="543" spans="1:14" x14ac:dyDescent="0.35">
      <c r="A543" t="s">
        <v>20</v>
      </c>
      <c r="B543">
        <v>17643</v>
      </c>
      <c r="C543" t="s">
        <v>426</v>
      </c>
      <c r="D543" t="s">
        <v>427</v>
      </c>
      <c r="E543" t="s">
        <v>9227</v>
      </c>
      <c r="F543" t="s">
        <v>10135</v>
      </c>
      <c r="G543" t="s">
        <v>10136</v>
      </c>
      <c r="H543" t="s">
        <v>10137</v>
      </c>
      <c r="I543" t="s">
        <v>557</v>
      </c>
      <c r="N543" t="s">
        <v>33</v>
      </c>
    </row>
    <row r="544" spans="1:14" x14ac:dyDescent="0.35">
      <c r="A544" t="s">
        <v>20</v>
      </c>
      <c r="B544">
        <v>17643</v>
      </c>
      <c r="C544" t="s">
        <v>426</v>
      </c>
      <c r="D544" t="s">
        <v>427</v>
      </c>
      <c r="E544" t="s">
        <v>9231</v>
      </c>
      <c r="F544" t="s">
        <v>10138</v>
      </c>
      <c r="G544" t="s">
        <v>10139</v>
      </c>
      <c r="H544" t="s">
        <v>10140</v>
      </c>
      <c r="I544" t="s">
        <v>557</v>
      </c>
      <c r="N544" t="s">
        <v>33</v>
      </c>
    </row>
    <row r="545" spans="1:14" x14ac:dyDescent="0.35">
      <c r="A545" t="s">
        <v>20</v>
      </c>
      <c r="B545">
        <v>17643</v>
      </c>
      <c r="C545" t="s">
        <v>426</v>
      </c>
      <c r="D545" t="s">
        <v>427</v>
      </c>
      <c r="E545" t="s">
        <v>9235</v>
      </c>
      <c r="F545" t="s">
        <v>10141</v>
      </c>
      <c r="G545" t="s">
        <v>10142</v>
      </c>
      <c r="H545" t="s">
        <v>10143</v>
      </c>
      <c r="I545" t="s">
        <v>557</v>
      </c>
      <c r="N545" t="s">
        <v>33</v>
      </c>
    </row>
    <row r="546" spans="1:14" x14ac:dyDescent="0.35">
      <c r="A546" t="s">
        <v>20</v>
      </c>
      <c r="B546">
        <v>17643</v>
      </c>
      <c r="C546" t="s">
        <v>426</v>
      </c>
      <c r="D546" t="s">
        <v>427</v>
      </c>
      <c r="E546" t="s">
        <v>9239</v>
      </c>
      <c r="F546" t="s">
        <v>10144</v>
      </c>
      <c r="G546" t="s">
        <v>10145</v>
      </c>
      <c r="H546" t="s">
        <v>10146</v>
      </c>
      <c r="I546" t="s">
        <v>557</v>
      </c>
      <c r="N546" t="s">
        <v>33</v>
      </c>
    </row>
    <row r="547" spans="1:14" x14ac:dyDescent="0.35">
      <c r="A547" t="s">
        <v>20</v>
      </c>
      <c r="B547">
        <v>17643</v>
      </c>
      <c r="C547" t="s">
        <v>426</v>
      </c>
      <c r="D547" t="s">
        <v>427</v>
      </c>
      <c r="E547" t="s">
        <v>9243</v>
      </c>
      <c r="F547" t="s">
        <v>10147</v>
      </c>
      <c r="G547" t="s">
        <v>10148</v>
      </c>
      <c r="H547" t="s">
        <v>10149</v>
      </c>
      <c r="I547" t="s">
        <v>557</v>
      </c>
      <c r="N547" t="s">
        <v>33</v>
      </c>
    </row>
    <row r="548" spans="1:14" x14ac:dyDescent="0.35">
      <c r="A548" t="s">
        <v>20</v>
      </c>
      <c r="B548">
        <v>17643</v>
      </c>
      <c r="C548" t="s">
        <v>426</v>
      </c>
      <c r="D548" t="s">
        <v>427</v>
      </c>
      <c r="E548" t="s">
        <v>9247</v>
      </c>
      <c r="F548" t="s">
        <v>10150</v>
      </c>
      <c r="G548" t="s">
        <v>10151</v>
      </c>
      <c r="H548" t="s">
        <v>10152</v>
      </c>
      <c r="I548" t="s">
        <v>557</v>
      </c>
      <c r="N548" t="s">
        <v>33</v>
      </c>
    </row>
    <row r="549" spans="1:14" x14ac:dyDescent="0.35">
      <c r="A549" t="s">
        <v>20</v>
      </c>
      <c r="B549">
        <v>17643</v>
      </c>
      <c r="C549" t="s">
        <v>426</v>
      </c>
      <c r="D549" t="s">
        <v>427</v>
      </c>
      <c r="E549" t="s">
        <v>9251</v>
      </c>
      <c r="F549" t="s">
        <v>10153</v>
      </c>
      <c r="G549" t="s">
        <v>10154</v>
      </c>
      <c r="H549" t="s">
        <v>10155</v>
      </c>
      <c r="I549" t="s">
        <v>557</v>
      </c>
      <c r="N549" t="s">
        <v>33</v>
      </c>
    </row>
    <row r="550" spans="1:14" x14ac:dyDescent="0.35">
      <c r="A550" t="s">
        <v>20</v>
      </c>
      <c r="B550">
        <v>17643</v>
      </c>
      <c r="C550" t="s">
        <v>426</v>
      </c>
      <c r="D550" t="s">
        <v>427</v>
      </c>
      <c r="E550" t="s">
        <v>9255</v>
      </c>
      <c r="F550" t="s">
        <v>10156</v>
      </c>
      <c r="G550" t="s">
        <v>10157</v>
      </c>
      <c r="H550" t="s">
        <v>10158</v>
      </c>
      <c r="I550" t="s">
        <v>557</v>
      </c>
      <c r="N550" t="s">
        <v>33</v>
      </c>
    </row>
    <row r="551" spans="1:14" x14ac:dyDescent="0.35">
      <c r="A551" t="s">
        <v>20</v>
      </c>
      <c r="B551">
        <v>17643</v>
      </c>
      <c r="C551" t="s">
        <v>426</v>
      </c>
      <c r="D551" t="s">
        <v>427</v>
      </c>
      <c r="E551" t="s">
        <v>9259</v>
      </c>
      <c r="F551" t="s">
        <v>10159</v>
      </c>
      <c r="G551" t="s">
        <v>10160</v>
      </c>
      <c r="H551" t="s">
        <v>10161</v>
      </c>
      <c r="I551" t="s">
        <v>557</v>
      </c>
      <c r="N551" t="s">
        <v>33</v>
      </c>
    </row>
    <row r="552" spans="1:14" x14ac:dyDescent="0.35">
      <c r="A552" t="s">
        <v>20</v>
      </c>
      <c r="B552">
        <v>17643</v>
      </c>
      <c r="C552" t="s">
        <v>426</v>
      </c>
      <c r="D552" t="s">
        <v>427</v>
      </c>
      <c r="E552" t="s">
        <v>9263</v>
      </c>
      <c r="F552" t="s">
        <v>10162</v>
      </c>
      <c r="G552" t="s">
        <v>10163</v>
      </c>
      <c r="H552" t="s">
        <v>10164</v>
      </c>
      <c r="I552" t="s">
        <v>557</v>
      </c>
      <c r="N552" t="s">
        <v>33</v>
      </c>
    </row>
    <row r="553" spans="1:14" x14ac:dyDescent="0.35">
      <c r="A553" t="s">
        <v>20</v>
      </c>
      <c r="B553">
        <v>17643</v>
      </c>
      <c r="C553" t="s">
        <v>426</v>
      </c>
      <c r="D553" t="s">
        <v>427</v>
      </c>
      <c r="E553" t="s">
        <v>9267</v>
      </c>
      <c r="F553" t="s">
        <v>10165</v>
      </c>
      <c r="G553" t="s">
        <v>10166</v>
      </c>
      <c r="H553" t="s">
        <v>10167</v>
      </c>
      <c r="I553" t="s">
        <v>557</v>
      </c>
      <c r="N553" t="s">
        <v>33</v>
      </c>
    </row>
    <row r="554" spans="1:14" x14ac:dyDescent="0.35">
      <c r="A554" t="s">
        <v>20</v>
      </c>
      <c r="B554">
        <v>17643</v>
      </c>
      <c r="C554" t="s">
        <v>426</v>
      </c>
      <c r="D554" t="s">
        <v>427</v>
      </c>
      <c r="E554" t="s">
        <v>9271</v>
      </c>
      <c r="F554" t="s">
        <v>10168</v>
      </c>
      <c r="G554" t="s">
        <v>10169</v>
      </c>
      <c r="H554" t="s">
        <v>10170</v>
      </c>
      <c r="I554" t="s">
        <v>557</v>
      </c>
      <c r="N554" t="s">
        <v>33</v>
      </c>
    </row>
    <row r="555" spans="1:14" x14ac:dyDescent="0.35">
      <c r="A555" t="s">
        <v>20</v>
      </c>
      <c r="B555">
        <v>17643</v>
      </c>
      <c r="C555" t="s">
        <v>426</v>
      </c>
      <c r="D555" t="s">
        <v>427</v>
      </c>
      <c r="E555" t="s">
        <v>9275</v>
      </c>
      <c r="F555" t="s">
        <v>10171</v>
      </c>
      <c r="G555" t="s">
        <v>10172</v>
      </c>
      <c r="H555" t="s">
        <v>10173</v>
      </c>
      <c r="I555" t="s">
        <v>557</v>
      </c>
      <c r="N555" t="s">
        <v>33</v>
      </c>
    </row>
    <row r="556" spans="1:14" x14ac:dyDescent="0.35">
      <c r="A556" t="s">
        <v>20</v>
      </c>
      <c r="B556">
        <v>17643</v>
      </c>
      <c r="C556" t="s">
        <v>426</v>
      </c>
      <c r="D556" t="s">
        <v>427</v>
      </c>
      <c r="E556" t="s">
        <v>9279</v>
      </c>
      <c r="F556" t="s">
        <v>10174</v>
      </c>
      <c r="G556" t="s">
        <v>10175</v>
      </c>
      <c r="H556" t="s">
        <v>10176</v>
      </c>
      <c r="I556" t="s">
        <v>557</v>
      </c>
      <c r="N556" t="s">
        <v>33</v>
      </c>
    </row>
    <row r="557" spans="1:14" x14ac:dyDescent="0.35">
      <c r="A557" t="s">
        <v>20</v>
      </c>
      <c r="B557">
        <v>17643</v>
      </c>
      <c r="C557" t="s">
        <v>426</v>
      </c>
      <c r="D557" t="s">
        <v>427</v>
      </c>
      <c r="E557" t="s">
        <v>9283</v>
      </c>
      <c r="F557" t="s">
        <v>10177</v>
      </c>
      <c r="G557" t="s">
        <v>10178</v>
      </c>
      <c r="H557" t="s">
        <v>10179</v>
      </c>
      <c r="I557" t="s">
        <v>557</v>
      </c>
      <c r="N557" t="s">
        <v>33</v>
      </c>
    </row>
    <row r="558" spans="1:14" x14ac:dyDescent="0.35">
      <c r="A558" t="s">
        <v>20</v>
      </c>
      <c r="B558">
        <v>17643</v>
      </c>
      <c r="C558" t="s">
        <v>426</v>
      </c>
      <c r="D558" t="s">
        <v>427</v>
      </c>
      <c r="E558" t="s">
        <v>9287</v>
      </c>
      <c r="F558" t="s">
        <v>10180</v>
      </c>
      <c r="G558" t="s">
        <v>10181</v>
      </c>
      <c r="H558" t="s">
        <v>10182</v>
      </c>
      <c r="I558" t="s">
        <v>557</v>
      </c>
      <c r="N558" t="s">
        <v>33</v>
      </c>
    </row>
    <row r="559" spans="1:14" x14ac:dyDescent="0.35">
      <c r="A559" t="s">
        <v>20</v>
      </c>
      <c r="B559">
        <v>17643</v>
      </c>
      <c r="C559" t="s">
        <v>426</v>
      </c>
      <c r="D559" t="s">
        <v>427</v>
      </c>
      <c r="E559" t="s">
        <v>9291</v>
      </c>
      <c r="F559" t="s">
        <v>10183</v>
      </c>
      <c r="G559" t="s">
        <v>10184</v>
      </c>
      <c r="H559" t="s">
        <v>10185</v>
      </c>
      <c r="I559" t="s">
        <v>557</v>
      </c>
      <c r="N559" t="s">
        <v>33</v>
      </c>
    </row>
    <row r="560" spans="1:14" x14ac:dyDescent="0.35">
      <c r="A560" t="s">
        <v>20</v>
      </c>
      <c r="B560">
        <v>17643</v>
      </c>
      <c r="C560" t="s">
        <v>426</v>
      </c>
      <c r="D560" t="s">
        <v>427</v>
      </c>
      <c r="E560" t="s">
        <v>9295</v>
      </c>
      <c r="F560" t="s">
        <v>10186</v>
      </c>
      <c r="G560" t="s">
        <v>10187</v>
      </c>
      <c r="H560" t="s">
        <v>10188</v>
      </c>
      <c r="I560" t="s">
        <v>557</v>
      </c>
      <c r="N560" t="s">
        <v>33</v>
      </c>
    </row>
    <row r="561" spans="1:14" x14ac:dyDescent="0.35">
      <c r="A561" t="s">
        <v>20</v>
      </c>
      <c r="B561">
        <v>17643</v>
      </c>
      <c r="C561" t="s">
        <v>426</v>
      </c>
      <c r="D561" t="s">
        <v>427</v>
      </c>
      <c r="E561" t="s">
        <v>9299</v>
      </c>
      <c r="F561" t="s">
        <v>10189</v>
      </c>
      <c r="G561" t="s">
        <v>10190</v>
      </c>
      <c r="H561" t="s">
        <v>10191</v>
      </c>
      <c r="I561" t="s">
        <v>557</v>
      </c>
      <c r="N561" t="s">
        <v>33</v>
      </c>
    </row>
    <row r="562" spans="1:14" x14ac:dyDescent="0.35">
      <c r="A562" t="s">
        <v>20</v>
      </c>
      <c r="B562">
        <v>17643</v>
      </c>
      <c r="C562" t="s">
        <v>426</v>
      </c>
      <c r="D562" t="s">
        <v>427</v>
      </c>
      <c r="E562" t="s">
        <v>9303</v>
      </c>
      <c r="F562" t="s">
        <v>10192</v>
      </c>
      <c r="G562" t="s">
        <v>10193</v>
      </c>
      <c r="H562" t="s">
        <v>10194</v>
      </c>
      <c r="I562" t="s">
        <v>557</v>
      </c>
      <c r="N562" t="s">
        <v>33</v>
      </c>
    </row>
    <row r="563" spans="1:14" x14ac:dyDescent="0.35">
      <c r="A563" t="s">
        <v>20</v>
      </c>
      <c r="B563">
        <v>17643</v>
      </c>
      <c r="C563" t="s">
        <v>426</v>
      </c>
      <c r="D563" t="s">
        <v>427</v>
      </c>
      <c r="E563" t="s">
        <v>9307</v>
      </c>
      <c r="F563" t="s">
        <v>10195</v>
      </c>
      <c r="G563" t="s">
        <v>10196</v>
      </c>
      <c r="H563" t="s">
        <v>10197</v>
      </c>
      <c r="I563" t="s">
        <v>557</v>
      </c>
      <c r="N563" t="s">
        <v>33</v>
      </c>
    </row>
    <row r="564" spans="1:14" x14ac:dyDescent="0.35">
      <c r="A564" t="s">
        <v>20</v>
      </c>
      <c r="B564">
        <v>17643</v>
      </c>
      <c r="C564" t="s">
        <v>426</v>
      </c>
      <c r="D564" t="s">
        <v>427</v>
      </c>
      <c r="E564" t="s">
        <v>9311</v>
      </c>
      <c r="F564" t="s">
        <v>10198</v>
      </c>
      <c r="G564" t="s">
        <v>10199</v>
      </c>
      <c r="H564" t="s">
        <v>10200</v>
      </c>
      <c r="I564" t="s">
        <v>557</v>
      </c>
      <c r="N564" t="s">
        <v>33</v>
      </c>
    </row>
    <row r="565" spans="1:14" x14ac:dyDescent="0.35">
      <c r="A565" t="s">
        <v>20</v>
      </c>
      <c r="B565">
        <v>17643</v>
      </c>
      <c r="C565" t="s">
        <v>426</v>
      </c>
      <c r="D565" t="s">
        <v>427</v>
      </c>
      <c r="E565" t="s">
        <v>9315</v>
      </c>
      <c r="F565" t="s">
        <v>10201</v>
      </c>
      <c r="G565" t="s">
        <v>10202</v>
      </c>
      <c r="H565" t="s">
        <v>10203</v>
      </c>
      <c r="I565" t="s">
        <v>557</v>
      </c>
      <c r="N565" t="s">
        <v>33</v>
      </c>
    </row>
    <row r="566" spans="1:14" x14ac:dyDescent="0.35">
      <c r="A566" t="s">
        <v>20</v>
      </c>
      <c r="B566">
        <v>17643</v>
      </c>
      <c r="C566" t="s">
        <v>426</v>
      </c>
      <c r="D566" t="s">
        <v>427</v>
      </c>
      <c r="E566" t="s">
        <v>9319</v>
      </c>
      <c r="F566" t="s">
        <v>10204</v>
      </c>
      <c r="G566" t="s">
        <v>10205</v>
      </c>
      <c r="H566" t="s">
        <v>10206</v>
      </c>
      <c r="I566" t="s">
        <v>557</v>
      </c>
      <c r="N566" t="s">
        <v>33</v>
      </c>
    </row>
    <row r="567" spans="1:14" x14ac:dyDescent="0.35">
      <c r="A567" t="s">
        <v>20</v>
      </c>
      <c r="B567">
        <v>17643</v>
      </c>
      <c r="C567" t="s">
        <v>426</v>
      </c>
      <c r="D567" t="s">
        <v>427</v>
      </c>
      <c r="E567" t="s">
        <v>9323</v>
      </c>
      <c r="F567" t="s">
        <v>10207</v>
      </c>
      <c r="G567" t="s">
        <v>10208</v>
      </c>
      <c r="H567" t="s">
        <v>10209</v>
      </c>
      <c r="I567" t="s">
        <v>557</v>
      </c>
      <c r="N567" t="s">
        <v>33</v>
      </c>
    </row>
    <row r="568" spans="1:14" x14ac:dyDescent="0.35">
      <c r="A568" t="s">
        <v>20</v>
      </c>
      <c r="B568">
        <v>17643</v>
      </c>
      <c r="C568" t="s">
        <v>426</v>
      </c>
      <c r="D568" t="s">
        <v>427</v>
      </c>
      <c r="E568" t="s">
        <v>9327</v>
      </c>
      <c r="F568" t="s">
        <v>10210</v>
      </c>
      <c r="G568" t="s">
        <v>10211</v>
      </c>
      <c r="H568" t="s">
        <v>10212</v>
      </c>
      <c r="I568" t="s">
        <v>557</v>
      </c>
      <c r="N568" t="s">
        <v>33</v>
      </c>
    </row>
    <row r="569" spans="1:14" x14ac:dyDescent="0.35">
      <c r="A569" t="s">
        <v>20</v>
      </c>
      <c r="B569">
        <v>17643</v>
      </c>
      <c r="C569" t="s">
        <v>426</v>
      </c>
      <c r="D569" t="s">
        <v>427</v>
      </c>
      <c r="E569" t="s">
        <v>9331</v>
      </c>
      <c r="F569" t="s">
        <v>10213</v>
      </c>
      <c r="G569" t="s">
        <v>10214</v>
      </c>
      <c r="H569" t="s">
        <v>10215</v>
      </c>
      <c r="I569" t="s">
        <v>557</v>
      </c>
      <c r="N569" t="s">
        <v>33</v>
      </c>
    </row>
    <row r="570" spans="1:14" x14ac:dyDescent="0.35">
      <c r="A570" t="s">
        <v>20</v>
      </c>
      <c r="B570">
        <v>17643</v>
      </c>
      <c r="C570" t="s">
        <v>426</v>
      </c>
      <c r="D570" t="s">
        <v>427</v>
      </c>
      <c r="E570" t="s">
        <v>9335</v>
      </c>
      <c r="F570" t="s">
        <v>10216</v>
      </c>
      <c r="G570" t="s">
        <v>10217</v>
      </c>
      <c r="H570" t="s">
        <v>10218</v>
      </c>
      <c r="I570" t="s">
        <v>557</v>
      </c>
      <c r="N570" t="s">
        <v>33</v>
      </c>
    </row>
    <row r="571" spans="1:14" x14ac:dyDescent="0.35">
      <c r="A571" t="s">
        <v>20</v>
      </c>
      <c r="B571">
        <v>17643</v>
      </c>
      <c r="C571" t="s">
        <v>426</v>
      </c>
      <c r="D571" t="s">
        <v>427</v>
      </c>
      <c r="E571" t="s">
        <v>9339</v>
      </c>
      <c r="F571" t="s">
        <v>10219</v>
      </c>
      <c r="G571" t="s">
        <v>10220</v>
      </c>
      <c r="H571" t="s">
        <v>10221</v>
      </c>
      <c r="I571" t="s">
        <v>557</v>
      </c>
      <c r="N571" t="s">
        <v>33</v>
      </c>
    </row>
    <row r="572" spans="1:14" x14ac:dyDescent="0.35">
      <c r="A572" t="s">
        <v>20</v>
      </c>
      <c r="B572">
        <v>17643</v>
      </c>
      <c r="C572" t="s">
        <v>426</v>
      </c>
      <c r="D572" t="s">
        <v>427</v>
      </c>
      <c r="E572" t="s">
        <v>9343</v>
      </c>
      <c r="F572" t="s">
        <v>10222</v>
      </c>
      <c r="G572" t="s">
        <v>10223</v>
      </c>
      <c r="H572" t="s">
        <v>10224</v>
      </c>
      <c r="I572" t="s">
        <v>557</v>
      </c>
      <c r="N572" t="s">
        <v>33</v>
      </c>
    </row>
    <row r="573" spans="1:14" x14ac:dyDescent="0.35">
      <c r="A573" t="s">
        <v>20</v>
      </c>
      <c r="B573">
        <v>17643</v>
      </c>
      <c r="C573" t="s">
        <v>426</v>
      </c>
      <c r="D573" t="s">
        <v>427</v>
      </c>
      <c r="E573" t="s">
        <v>9347</v>
      </c>
      <c r="F573" t="s">
        <v>10225</v>
      </c>
      <c r="G573" t="s">
        <v>10226</v>
      </c>
      <c r="H573" t="s">
        <v>10227</v>
      </c>
      <c r="I573" t="s">
        <v>557</v>
      </c>
      <c r="N573" t="s">
        <v>33</v>
      </c>
    </row>
    <row r="574" spans="1:14" x14ac:dyDescent="0.35">
      <c r="A574" t="s">
        <v>20</v>
      </c>
      <c r="B574">
        <v>17643</v>
      </c>
      <c r="C574" t="s">
        <v>426</v>
      </c>
      <c r="D574" t="s">
        <v>427</v>
      </c>
      <c r="E574" t="s">
        <v>9351</v>
      </c>
      <c r="F574" t="s">
        <v>10228</v>
      </c>
      <c r="G574" t="s">
        <v>10229</v>
      </c>
      <c r="H574" t="s">
        <v>10230</v>
      </c>
      <c r="I574" t="s">
        <v>557</v>
      </c>
      <c r="N574" t="s">
        <v>33</v>
      </c>
    </row>
    <row r="575" spans="1:14" x14ac:dyDescent="0.35">
      <c r="A575" t="s">
        <v>20</v>
      </c>
      <c r="B575">
        <v>17643</v>
      </c>
      <c r="C575" t="s">
        <v>426</v>
      </c>
      <c r="D575" t="s">
        <v>427</v>
      </c>
      <c r="E575" t="s">
        <v>9355</v>
      </c>
      <c r="F575" t="s">
        <v>10231</v>
      </c>
      <c r="G575" t="s">
        <v>10232</v>
      </c>
      <c r="H575" t="s">
        <v>10233</v>
      </c>
      <c r="I575" t="s">
        <v>557</v>
      </c>
      <c r="N575" t="s">
        <v>33</v>
      </c>
    </row>
    <row r="576" spans="1:14" x14ac:dyDescent="0.35">
      <c r="A576" t="s">
        <v>20</v>
      </c>
      <c r="B576">
        <v>17643</v>
      </c>
      <c r="C576" t="s">
        <v>426</v>
      </c>
      <c r="D576" t="s">
        <v>427</v>
      </c>
      <c r="E576" t="s">
        <v>9359</v>
      </c>
      <c r="F576" t="s">
        <v>10234</v>
      </c>
      <c r="G576" t="s">
        <v>10235</v>
      </c>
      <c r="H576" t="s">
        <v>10236</v>
      </c>
      <c r="I576" t="s">
        <v>557</v>
      </c>
      <c r="N576" t="s">
        <v>33</v>
      </c>
    </row>
    <row r="577" spans="1:14" x14ac:dyDescent="0.35">
      <c r="A577" t="s">
        <v>20</v>
      </c>
      <c r="B577">
        <v>17643</v>
      </c>
      <c r="C577" t="s">
        <v>426</v>
      </c>
      <c r="D577" t="s">
        <v>427</v>
      </c>
      <c r="E577" t="s">
        <v>9363</v>
      </c>
      <c r="F577" t="s">
        <v>10237</v>
      </c>
      <c r="G577" t="s">
        <v>10238</v>
      </c>
      <c r="H577" t="s">
        <v>10239</v>
      </c>
      <c r="I577" t="s">
        <v>557</v>
      </c>
      <c r="N577" t="s">
        <v>33</v>
      </c>
    </row>
    <row r="578" spans="1:14" x14ac:dyDescent="0.35">
      <c r="A578" t="s">
        <v>20</v>
      </c>
      <c r="B578">
        <v>17643</v>
      </c>
      <c r="C578" t="s">
        <v>426</v>
      </c>
      <c r="D578" t="s">
        <v>427</v>
      </c>
      <c r="E578" t="s">
        <v>9367</v>
      </c>
      <c r="F578" t="s">
        <v>10240</v>
      </c>
      <c r="G578" t="s">
        <v>10241</v>
      </c>
      <c r="H578" t="s">
        <v>10242</v>
      </c>
      <c r="I578" t="s">
        <v>557</v>
      </c>
      <c r="N578" t="s">
        <v>33</v>
      </c>
    </row>
    <row r="579" spans="1:14" x14ac:dyDescent="0.35">
      <c r="A579" t="s">
        <v>20</v>
      </c>
      <c r="B579">
        <v>17643</v>
      </c>
      <c r="C579" t="s">
        <v>426</v>
      </c>
      <c r="D579" t="s">
        <v>427</v>
      </c>
      <c r="E579" t="s">
        <v>9371</v>
      </c>
      <c r="F579" t="s">
        <v>10243</v>
      </c>
      <c r="G579" t="s">
        <v>10244</v>
      </c>
      <c r="H579" t="s">
        <v>10245</v>
      </c>
      <c r="I579" t="s">
        <v>557</v>
      </c>
      <c r="N579" t="s">
        <v>33</v>
      </c>
    </row>
    <row r="580" spans="1:14" x14ac:dyDescent="0.35">
      <c r="A580" t="s">
        <v>20</v>
      </c>
      <c r="B580">
        <v>17643</v>
      </c>
      <c r="C580" t="s">
        <v>426</v>
      </c>
      <c r="D580" t="s">
        <v>427</v>
      </c>
      <c r="E580" t="s">
        <v>9375</v>
      </c>
      <c r="F580" t="s">
        <v>10246</v>
      </c>
      <c r="G580" t="s">
        <v>10247</v>
      </c>
      <c r="H580" t="s">
        <v>10248</v>
      </c>
      <c r="I580" t="s">
        <v>557</v>
      </c>
      <c r="N580" t="s">
        <v>33</v>
      </c>
    </row>
    <row r="581" spans="1:14" x14ac:dyDescent="0.35">
      <c r="A581" t="s">
        <v>20</v>
      </c>
      <c r="B581">
        <v>17643</v>
      </c>
      <c r="C581" t="s">
        <v>426</v>
      </c>
      <c r="D581" t="s">
        <v>427</v>
      </c>
      <c r="E581" t="s">
        <v>9379</v>
      </c>
      <c r="F581" t="s">
        <v>10249</v>
      </c>
      <c r="G581" t="s">
        <v>10250</v>
      </c>
      <c r="H581" t="s">
        <v>10251</v>
      </c>
      <c r="I581" t="s">
        <v>557</v>
      </c>
      <c r="N581" t="s">
        <v>33</v>
      </c>
    </row>
    <row r="582" spans="1:14" x14ac:dyDescent="0.35">
      <c r="A582" t="s">
        <v>20</v>
      </c>
      <c r="B582">
        <v>17643</v>
      </c>
      <c r="C582" t="s">
        <v>426</v>
      </c>
      <c r="D582" t="s">
        <v>427</v>
      </c>
      <c r="E582" t="s">
        <v>9383</v>
      </c>
      <c r="F582" t="s">
        <v>10252</v>
      </c>
      <c r="G582" t="s">
        <v>10253</v>
      </c>
      <c r="H582" t="s">
        <v>10254</v>
      </c>
      <c r="I582" t="s">
        <v>557</v>
      </c>
      <c r="N582" t="s">
        <v>33</v>
      </c>
    </row>
    <row r="583" spans="1:14" x14ac:dyDescent="0.35">
      <c r="A583" t="s">
        <v>20</v>
      </c>
      <c r="B583">
        <v>17643</v>
      </c>
      <c r="C583" t="s">
        <v>426</v>
      </c>
      <c r="D583" t="s">
        <v>427</v>
      </c>
      <c r="E583" t="s">
        <v>9387</v>
      </c>
      <c r="F583" t="s">
        <v>10255</v>
      </c>
      <c r="G583" t="s">
        <v>10256</v>
      </c>
      <c r="H583" t="s">
        <v>10257</v>
      </c>
      <c r="I583" t="s">
        <v>557</v>
      </c>
      <c r="N583" t="s">
        <v>33</v>
      </c>
    </row>
    <row r="584" spans="1:14" x14ac:dyDescent="0.35">
      <c r="A584" t="s">
        <v>20</v>
      </c>
      <c r="B584">
        <v>17643</v>
      </c>
      <c r="C584" t="s">
        <v>426</v>
      </c>
      <c r="D584" t="s">
        <v>427</v>
      </c>
      <c r="E584" t="s">
        <v>9391</v>
      </c>
      <c r="F584" t="s">
        <v>10258</v>
      </c>
      <c r="G584" t="s">
        <v>10259</v>
      </c>
      <c r="H584" t="s">
        <v>10260</v>
      </c>
      <c r="I584" t="s">
        <v>557</v>
      </c>
      <c r="N584" t="s">
        <v>33</v>
      </c>
    </row>
    <row r="585" spans="1:14" x14ac:dyDescent="0.35">
      <c r="A585" t="s">
        <v>20</v>
      </c>
      <c r="B585">
        <v>17643</v>
      </c>
      <c r="C585" t="s">
        <v>426</v>
      </c>
      <c r="D585" t="s">
        <v>427</v>
      </c>
      <c r="E585" t="s">
        <v>9395</v>
      </c>
      <c r="F585" t="s">
        <v>10261</v>
      </c>
      <c r="G585" t="s">
        <v>10262</v>
      </c>
      <c r="H585" t="s">
        <v>10263</v>
      </c>
      <c r="I585" t="s">
        <v>557</v>
      </c>
      <c r="N585" t="s">
        <v>33</v>
      </c>
    </row>
    <row r="586" spans="1:14" x14ac:dyDescent="0.35">
      <c r="A586" t="s">
        <v>20</v>
      </c>
      <c r="B586">
        <v>17643</v>
      </c>
      <c r="C586" t="s">
        <v>426</v>
      </c>
      <c r="D586" t="s">
        <v>427</v>
      </c>
      <c r="E586" t="s">
        <v>9399</v>
      </c>
      <c r="F586" t="s">
        <v>10264</v>
      </c>
      <c r="G586" t="s">
        <v>10265</v>
      </c>
      <c r="H586" t="s">
        <v>10266</v>
      </c>
      <c r="I586" t="s">
        <v>557</v>
      </c>
      <c r="N586" t="s">
        <v>33</v>
      </c>
    </row>
    <row r="587" spans="1:14" x14ac:dyDescent="0.35">
      <c r="A587" t="s">
        <v>20</v>
      </c>
      <c r="B587">
        <v>17643</v>
      </c>
      <c r="C587" t="s">
        <v>426</v>
      </c>
      <c r="D587" t="s">
        <v>427</v>
      </c>
      <c r="E587" t="s">
        <v>9403</v>
      </c>
      <c r="F587" t="s">
        <v>10267</v>
      </c>
      <c r="G587" t="s">
        <v>10268</v>
      </c>
      <c r="H587" t="s">
        <v>10269</v>
      </c>
      <c r="I587" t="s">
        <v>557</v>
      </c>
      <c r="N587" t="s">
        <v>33</v>
      </c>
    </row>
    <row r="588" spans="1:14" x14ac:dyDescent="0.35">
      <c r="A588" t="s">
        <v>20</v>
      </c>
      <c r="B588">
        <v>17643</v>
      </c>
      <c r="C588" t="s">
        <v>426</v>
      </c>
      <c r="D588" t="s">
        <v>427</v>
      </c>
      <c r="E588" t="s">
        <v>9407</v>
      </c>
      <c r="F588" t="s">
        <v>10270</v>
      </c>
      <c r="G588" t="s">
        <v>10271</v>
      </c>
      <c r="H588" t="s">
        <v>10272</v>
      </c>
      <c r="I588" t="s">
        <v>557</v>
      </c>
      <c r="N588" t="s">
        <v>33</v>
      </c>
    </row>
    <row r="589" spans="1:14" x14ac:dyDescent="0.35">
      <c r="A589" t="s">
        <v>20</v>
      </c>
      <c r="B589">
        <v>17643</v>
      </c>
      <c r="C589" t="s">
        <v>426</v>
      </c>
      <c r="D589" t="s">
        <v>427</v>
      </c>
      <c r="E589" t="s">
        <v>9411</v>
      </c>
      <c r="F589" t="s">
        <v>10273</v>
      </c>
      <c r="G589" t="s">
        <v>10274</v>
      </c>
      <c r="H589" t="s">
        <v>10275</v>
      </c>
      <c r="I589" t="s">
        <v>557</v>
      </c>
      <c r="N589" t="s">
        <v>33</v>
      </c>
    </row>
    <row r="590" spans="1:14" x14ac:dyDescent="0.35">
      <c r="A590" t="s">
        <v>20</v>
      </c>
      <c r="B590">
        <v>17643</v>
      </c>
      <c r="C590" t="s">
        <v>426</v>
      </c>
      <c r="D590" t="s">
        <v>427</v>
      </c>
      <c r="E590" t="s">
        <v>9415</v>
      </c>
      <c r="F590" t="s">
        <v>10276</v>
      </c>
      <c r="G590" t="s">
        <v>10277</v>
      </c>
      <c r="H590" t="s">
        <v>10278</v>
      </c>
      <c r="I590" t="s">
        <v>557</v>
      </c>
      <c r="N590" t="s">
        <v>33</v>
      </c>
    </row>
    <row r="591" spans="1:14" x14ac:dyDescent="0.35">
      <c r="A591" t="s">
        <v>20</v>
      </c>
      <c r="B591">
        <v>17643</v>
      </c>
      <c r="C591" t="s">
        <v>426</v>
      </c>
      <c r="D591" t="s">
        <v>427</v>
      </c>
      <c r="E591" t="s">
        <v>9419</v>
      </c>
      <c r="F591" t="s">
        <v>10279</v>
      </c>
      <c r="G591" t="s">
        <v>10280</v>
      </c>
      <c r="H591" t="s">
        <v>10281</v>
      </c>
      <c r="I591" t="s">
        <v>557</v>
      </c>
      <c r="N591" t="s">
        <v>33</v>
      </c>
    </row>
    <row r="592" spans="1:14" x14ac:dyDescent="0.35">
      <c r="A592" t="s">
        <v>20</v>
      </c>
      <c r="B592">
        <v>17643</v>
      </c>
      <c r="C592" t="s">
        <v>426</v>
      </c>
      <c r="D592" t="s">
        <v>427</v>
      </c>
      <c r="E592" t="s">
        <v>9423</v>
      </c>
      <c r="F592" t="s">
        <v>10282</v>
      </c>
      <c r="G592" t="s">
        <v>10283</v>
      </c>
      <c r="H592" t="s">
        <v>10284</v>
      </c>
      <c r="I592" t="s">
        <v>557</v>
      </c>
      <c r="N592" t="s">
        <v>33</v>
      </c>
    </row>
    <row r="593" spans="1:14" x14ac:dyDescent="0.35">
      <c r="A593" t="s">
        <v>20</v>
      </c>
      <c r="B593">
        <v>17643</v>
      </c>
      <c r="C593" t="s">
        <v>426</v>
      </c>
      <c r="D593" t="s">
        <v>427</v>
      </c>
      <c r="E593" t="s">
        <v>9427</v>
      </c>
      <c r="F593" t="s">
        <v>10285</v>
      </c>
      <c r="G593" t="s">
        <v>10286</v>
      </c>
      <c r="H593" t="s">
        <v>10287</v>
      </c>
      <c r="I593" t="s">
        <v>557</v>
      </c>
      <c r="N593" t="s">
        <v>33</v>
      </c>
    </row>
    <row r="594" spans="1:14" x14ac:dyDescent="0.35">
      <c r="A594" t="s">
        <v>20</v>
      </c>
      <c r="B594">
        <v>17643</v>
      </c>
      <c r="C594" t="s">
        <v>426</v>
      </c>
      <c r="D594" t="s">
        <v>427</v>
      </c>
      <c r="E594" t="s">
        <v>9430</v>
      </c>
      <c r="F594" t="s">
        <v>10288</v>
      </c>
      <c r="G594" t="s">
        <v>10289</v>
      </c>
      <c r="H594" t="s">
        <v>10290</v>
      </c>
      <c r="I594" t="s">
        <v>557</v>
      </c>
      <c r="N594" t="s">
        <v>33</v>
      </c>
    </row>
    <row r="595" spans="1:14" x14ac:dyDescent="0.35">
      <c r="A595" t="s">
        <v>20</v>
      </c>
      <c r="B595">
        <v>17643</v>
      </c>
      <c r="C595" t="s">
        <v>426</v>
      </c>
      <c r="D595" t="s">
        <v>427</v>
      </c>
      <c r="E595" t="s">
        <v>9434</v>
      </c>
      <c r="F595" t="s">
        <v>10291</v>
      </c>
      <c r="G595" t="s">
        <v>10292</v>
      </c>
      <c r="H595" t="s">
        <v>10293</v>
      </c>
      <c r="I595" t="s">
        <v>557</v>
      </c>
      <c r="N595" t="s">
        <v>33</v>
      </c>
    </row>
    <row r="596" spans="1:14" x14ac:dyDescent="0.35">
      <c r="A596" t="s">
        <v>20</v>
      </c>
      <c r="B596">
        <v>17643</v>
      </c>
      <c r="C596" t="s">
        <v>426</v>
      </c>
      <c r="D596" t="s">
        <v>427</v>
      </c>
      <c r="E596" t="s">
        <v>9438</v>
      </c>
      <c r="F596" t="s">
        <v>10294</v>
      </c>
      <c r="G596" t="s">
        <v>10295</v>
      </c>
      <c r="H596" t="s">
        <v>10296</v>
      </c>
      <c r="I596" t="s">
        <v>557</v>
      </c>
      <c r="N596" t="s">
        <v>33</v>
      </c>
    </row>
    <row r="597" spans="1:14" x14ac:dyDescent="0.35">
      <c r="A597" t="s">
        <v>20</v>
      </c>
      <c r="B597">
        <v>17643</v>
      </c>
      <c r="C597" t="s">
        <v>426</v>
      </c>
      <c r="D597" t="s">
        <v>427</v>
      </c>
      <c r="E597" t="s">
        <v>9442</v>
      </c>
      <c r="F597" t="s">
        <v>10297</v>
      </c>
      <c r="G597" t="s">
        <v>10298</v>
      </c>
      <c r="H597" t="s">
        <v>10299</v>
      </c>
      <c r="I597" t="s">
        <v>557</v>
      </c>
      <c r="M597" t="s">
        <v>1681</v>
      </c>
      <c r="N597" t="s">
        <v>33</v>
      </c>
    </row>
    <row r="598" spans="1:14" x14ac:dyDescent="0.35">
      <c r="A598" t="s">
        <v>20</v>
      </c>
      <c r="B598">
        <v>17643</v>
      </c>
      <c r="C598" t="s">
        <v>426</v>
      </c>
      <c r="D598" t="s">
        <v>427</v>
      </c>
      <c r="E598" t="s">
        <v>9446</v>
      </c>
      <c r="F598" t="s">
        <v>10300</v>
      </c>
      <c r="G598" t="s">
        <v>10301</v>
      </c>
      <c r="H598" t="s">
        <v>10302</v>
      </c>
      <c r="I598" t="s">
        <v>557</v>
      </c>
      <c r="N598" t="s">
        <v>33</v>
      </c>
    </row>
    <row r="599" spans="1:14" x14ac:dyDescent="0.35">
      <c r="A599" t="s">
        <v>20</v>
      </c>
      <c r="B599">
        <v>17643</v>
      </c>
      <c r="C599" t="s">
        <v>426</v>
      </c>
      <c r="D599" t="s">
        <v>427</v>
      </c>
      <c r="E599" t="s">
        <v>9450</v>
      </c>
      <c r="F599" t="s">
        <v>10303</v>
      </c>
      <c r="G599" t="s">
        <v>10304</v>
      </c>
      <c r="H599" t="s">
        <v>10305</v>
      </c>
      <c r="I599" t="s">
        <v>557</v>
      </c>
      <c r="N599" t="s">
        <v>33</v>
      </c>
    </row>
    <row r="600" spans="1:14" x14ac:dyDescent="0.35">
      <c r="A600" t="s">
        <v>20</v>
      </c>
      <c r="B600">
        <v>17643</v>
      </c>
      <c r="C600" t="s">
        <v>426</v>
      </c>
      <c r="D600" t="s">
        <v>427</v>
      </c>
      <c r="E600" t="s">
        <v>9454</v>
      </c>
      <c r="F600" t="s">
        <v>10306</v>
      </c>
      <c r="G600" t="s">
        <v>10307</v>
      </c>
      <c r="H600" t="s">
        <v>10308</v>
      </c>
      <c r="I600" t="s">
        <v>557</v>
      </c>
      <c r="N600" t="s">
        <v>33</v>
      </c>
    </row>
    <row r="601" spans="1:14" x14ac:dyDescent="0.35">
      <c r="A601" t="s">
        <v>20</v>
      </c>
      <c r="B601">
        <v>17643</v>
      </c>
      <c r="C601" t="s">
        <v>426</v>
      </c>
      <c r="D601" t="s">
        <v>427</v>
      </c>
      <c r="E601" t="s">
        <v>9458</v>
      </c>
      <c r="F601" t="s">
        <v>10309</v>
      </c>
      <c r="G601" t="s">
        <v>10310</v>
      </c>
      <c r="H601" t="s">
        <v>10311</v>
      </c>
      <c r="I601" t="s">
        <v>557</v>
      </c>
      <c r="N601" t="s">
        <v>33</v>
      </c>
    </row>
    <row r="602" spans="1:14" x14ac:dyDescent="0.35">
      <c r="A602" t="s">
        <v>20</v>
      </c>
      <c r="B602">
        <v>17643</v>
      </c>
      <c r="C602" t="s">
        <v>426</v>
      </c>
      <c r="D602" t="s">
        <v>427</v>
      </c>
      <c r="E602" t="s">
        <v>9554</v>
      </c>
      <c r="F602" t="s">
        <v>10312</v>
      </c>
      <c r="G602" t="s">
        <v>10313</v>
      </c>
      <c r="H602" t="s">
        <v>10314</v>
      </c>
      <c r="I602" t="s">
        <v>431</v>
      </c>
      <c r="N602" t="s">
        <v>33</v>
      </c>
    </row>
    <row r="603" spans="1:14" x14ac:dyDescent="0.35">
      <c r="A603" t="s">
        <v>20</v>
      </c>
      <c r="B603">
        <v>17643</v>
      </c>
      <c r="C603" t="s">
        <v>426</v>
      </c>
      <c r="D603" t="s">
        <v>427</v>
      </c>
      <c r="E603" t="s">
        <v>9558</v>
      </c>
      <c r="F603" t="s">
        <v>10315</v>
      </c>
      <c r="G603" t="s">
        <v>10316</v>
      </c>
      <c r="H603" t="s">
        <v>10317</v>
      </c>
      <c r="I603" t="s">
        <v>431</v>
      </c>
      <c r="N603" t="s">
        <v>33</v>
      </c>
    </row>
    <row r="604" spans="1:14" x14ac:dyDescent="0.35">
      <c r="A604" t="s">
        <v>20</v>
      </c>
      <c r="B604">
        <v>17643</v>
      </c>
      <c r="C604" t="s">
        <v>426</v>
      </c>
      <c r="D604" t="s">
        <v>427</v>
      </c>
      <c r="E604" t="s">
        <v>9562</v>
      </c>
      <c r="F604" t="s">
        <v>10318</v>
      </c>
      <c r="G604" t="s">
        <v>10319</v>
      </c>
      <c r="H604" t="s">
        <v>10320</v>
      </c>
      <c r="I604" t="s">
        <v>431</v>
      </c>
      <c r="N604" t="s">
        <v>33</v>
      </c>
    </row>
    <row r="605" spans="1:14" x14ac:dyDescent="0.35">
      <c r="A605" t="s">
        <v>20</v>
      </c>
      <c r="B605">
        <v>17643</v>
      </c>
      <c r="C605" t="s">
        <v>426</v>
      </c>
      <c r="D605" t="s">
        <v>427</v>
      </c>
      <c r="E605" t="s">
        <v>9566</v>
      </c>
      <c r="F605" t="s">
        <v>10321</v>
      </c>
      <c r="G605" t="s">
        <v>10322</v>
      </c>
      <c r="H605" t="s">
        <v>10323</v>
      </c>
      <c r="I605" t="s">
        <v>431</v>
      </c>
      <c r="N605" t="s">
        <v>33</v>
      </c>
    </row>
    <row r="606" spans="1:14" x14ac:dyDescent="0.35">
      <c r="A606" t="s">
        <v>20</v>
      </c>
      <c r="B606">
        <v>17643</v>
      </c>
      <c r="C606" t="s">
        <v>426</v>
      </c>
      <c r="D606" t="s">
        <v>427</v>
      </c>
      <c r="E606" t="s">
        <v>9570</v>
      </c>
      <c r="F606" t="s">
        <v>10324</v>
      </c>
      <c r="G606" t="s">
        <v>10325</v>
      </c>
      <c r="H606" t="s">
        <v>10326</v>
      </c>
      <c r="I606" t="s">
        <v>431</v>
      </c>
      <c r="N606" t="s">
        <v>33</v>
      </c>
    </row>
    <row r="607" spans="1:14" x14ac:dyDescent="0.35">
      <c r="A607" t="s">
        <v>20</v>
      </c>
      <c r="B607">
        <v>17643</v>
      </c>
      <c r="C607" t="s">
        <v>426</v>
      </c>
      <c r="D607" t="s">
        <v>427</v>
      </c>
      <c r="E607" t="s">
        <v>9574</v>
      </c>
      <c r="F607" t="s">
        <v>10327</v>
      </c>
      <c r="G607" t="s">
        <v>10328</v>
      </c>
      <c r="H607" t="s">
        <v>10329</v>
      </c>
      <c r="I607" t="s">
        <v>431</v>
      </c>
      <c r="N607" t="s">
        <v>33</v>
      </c>
    </row>
    <row r="608" spans="1:14" x14ac:dyDescent="0.35">
      <c r="A608" t="s">
        <v>20</v>
      </c>
      <c r="B608">
        <v>17643</v>
      </c>
      <c r="C608" t="s">
        <v>426</v>
      </c>
      <c r="D608" t="s">
        <v>427</v>
      </c>
      <c r="E608" t="s">
        <v>9578</v>
      </c>
      <c r="F608" t="s">
        <v>10330</v>
      </c>
      <c r="G608" t="s">
        <v>10331</v>
      </c>
      <c r="H608" t="s">
        <v>10332</v>
      </c>
      <c r="I608" t="s">
        <v>431</v>
      </c>
      <c r="N608" t="s">
        <v>33</v>
      </c>
    </row>
    <row r="609" spans="1:14" x14ac:dyDescent="0.35">
      <c r="A609" t="s">
        <v>20</v>
      </c>
      <c r="B609">
        <v>17643</v>
      </c>
      <c r="C609" t="s">
        <v>426</v>
      </c>
      <c r="D609" t="s">
        <v>427</v>
      </c>
      <c r="E609" t="s">
        <v>9582</v>
      </c>
      <c r="F609" t="s">
        <v>10333</v>
      </c>
      <c r="G609" t="s">
        <v>10334</v>
      </c>
      <c r="H609" t="s">
        <v>10335</v>
      </c>
      <c r="I609" t="s">
        <v>431</v>
      </c>
      <c r="N609" t="s">
        <v>33</v>
      </c>
    </row>
    <row r="610" spans="1:14" x14ac:dyDescent="0.35">
      <c r="A610" t="s">
        <v>20</v>
      </c>
      <c r="B610">
        <v>17643</v>
      </c>
      <c r="C610" t="s">
        <v>426</v>
      </c>
      <c r="D610" t="s">
        <v>427</v>
      </c>
      <c r="E610" t="s">
        <v>9586</v>
      </c>
      <c r="F610" t="s">
        <v>10336</v>
      </c>
      <c r="G610" t="s">
        <v>10337</v>
      </c>
      <c r="H610" t="s">
        <v>10338</v>
      </c>
      <c r="I610" t="s">
        <v>431</v>
      </c>
      <c r="M610" t="s">
        <v>1681</v>
      </c>
      <c r="N610" t="s">
        <v>33</v>
      </c>
    </row>
    <row r="611" spans="1:14" x14ac:dyDescent="0.35">
      <c r="A611" t="s">
        <v>20</v>
      </c>
      <c r="B611">
        <v>17643</v>
      </c>
      <c r="C611" t="s">
        <v>426</v>
      </c>
      <c r="D611" t="s">
        <v>427</v>
      </c>
      <c r="E611" t="s">
        <v>9590</v>
      </c>
      <c r="F611" t="s">
        <v>10339</v>
      </c>
      <c r="G611" t="s">
        <v>10340</v>
      </c>
      <c r="H611" t="s">
        <v>10341</v>
      </c>
      <c r="I611" t="s">
        <v>431</v>
      </c>
      <c r="N611" t="s">
        <v>33</v>
      </c>
    </row>
    <row r="612" spans="1:14" x14ac:dyDescent="0.35">
      <c r="A612" t="s">
        <v>20</v>
      </c>
      <c r="B612">
        <v>17643</v>
      </c>
      <c r="C612" t="s">
        <v>426</v>
      </c>
      <c r="D612" t="s">
        <v>427</v>
      </c>
      <c r="E612" t="s">
        <v>9594</v>
      </c>
      <c r="F612" t="s">
        <v>10342</v>
      </c>
      <c r="G612" t="s">
        <v>10343</v>
      </c>
      <c r="H612" t="s">
        <v>10344</v>
      </c>
      <c r="I612" t="s">
        <v>431</v>
      </c>
      <c r="N612" t="s">
        <v>33</v>
      </c>
    </row>
    <row r="613" spans="1:14" x14ac:dyDescent="0.35">
      <c r="A613" t="s">
        <v>20</v>
      </c>
      <c r="B613">
        <v>17643</v>
      </c>
      <c r="C613" t="s">
        <v>426</v>
      </c>
      <c r="D613" t="s">
        <v>427</v>
      </c>
      <c r="E613" t="s">
        <v>9598</v>
      </c>
      <c r="F613" t="s">
        <v>10345</v>
      </c>
      <c r="G613" t="s">
        <v>10346</v>
      </c>
      <c r="H613" t="s">
        <v>10347</v>
      </c>
      <c r="I613" t="s">
        <v>431</v>
      </c>
      <c r="N613" t="s">
        <v>33</v>
      </c>
    </row>
    <row r="614" spans="1:14" x14ac:dyDescent="0.35">
      <c r="A614" t="s">
        <v>20</v>
      </c>
      <c r="B614">
        <v>17643</v>
      </c>
      <c r="C614" t="s">
        <v>426</v>
      </c>
      <c r="D614" t="s">
        <v>427</v>
      </c>
      <c r="E614" t="s">
        <v>9602</v>
      </c>
      <c r="F614" t="s">
        <v>10348</v>
      </c>
      <c r="G614" t="s">
        <v>10349</v>
      </c>
      <c r="H614" t="s">
        <v>10350</v>
      </c>
      <c r="I614" t="s">
        <v>431</v>
      </c>
      <c r="N614" t="s">
        <v>33</v>
      </c>
    </row>
    <row r="615" spans="1:14" x14ac:dyDescent="0.35">
      <c r="A615" t="s">
        <v>20</v>
      </c>
      <c r="B615">
        <v>17643</v>
      </c>
      <c r="C615" t="s">
        <v>426</v>
      </c>
      <c r="D615" t="s">
        <v>427</v>
      </c>
      <c r="E615" t="s">
        <v>9606</v>
      </c>
      <c r="F615" t="s">
        <v>10351</v>
      </c>
      <c r="G615" t="s">
        <v>10352</v>
      </c>
      <c r="H615" t="s">
        <v>10353</v>
      </c>
      <c r="I615" t="s">
        <v>431</v>
      </c>
      <c r="M615" t="s">
        <v>1681</v>
      </c>
      <c r="N615" t="s">
        <v>33</v>
      </c>
    </row>
    <row r="616" spans="1:14" x14ac:dyDescent="0.35">
      <c r="A616" t="s">
        <v>20</v>
      </c>
      <c r="B616">
        <v>17643</v>
      </c>
      <c r="C616" t="s">
        <v>426</v>
      </c>
      <c r="D616" t="s">
        <v>427</v>
      </c>
      <c r="E616" t="s">
        <v>9610</v>
      </c>
      <c r="F616" t="s">
        <v>10354</v>
      </c>
      <c r="G616" t="s">
        <v>10355</v>
      </c>
      <c r="H616" t="s">
        <v>10356</v>
      </c>
      <c r="I616" t="s">
        <v>431</v>
      </c>
      <c r="N616" t="s">
        <v>33</v>
      </c>
    </row>
    <row r="617" spans="1:14" x14ac:dyDescent="0.35">
      <c r="A617" t="s">
        <v>20</v>
      </c>
      <c r="B617">
        <v>17643</v>
      </c>
      <c r="C617" t="s">
        <v>426</v>
      </c>
      <c r="D617" t="s">
        <v>427</v>
      </c>
      <c r="E617" t="s">
        <v>9614</v>
      </c>
      <c r="F617" t="s">
        <v>10357</v>
      </c>
      <c r="G617" t="s">
        <v>10358</v>
      </c>
      <c r="H617" t="s">
        <v>10359</v>
      </c>
      <c r="I617" t="s">
        <v>431</v>
      </c>
      <c r="N617" t="s">
        <v>33</v>
      </c>
    </row>
    <row r="618" spans="1:14" x14ac:dyDescent="0.35">
      <c r="A618" t="s">
        <v>20</v>
      </c>
      <c r="B618">
        <v>17643</v>
      </c>
      <c r="C618" t="s">
        <v>426</v>
      </c>
      <c r="D618" t="s">
        <v>427</v>
      </c>
      <c r="E618" t="s">
        <v>9617</v>
      </c>
      <c r="F618" t="s">
        <v>10360</v>
      </c>
      <c r="G618" t="s">
        <v>10361</v>
      </c>
      <c r="H618" t="s">
        <v>10362</v>
      </c>
      <c r="I618" t="s">
        <v>431</v>
      </c>
      <c r="N618" t="s">
        <v>33</v>
      </c>
    </row>
    <row r="619" spans="1:14" x14ac:dyDescent="0.35">
      <c r="A619" t="s">
        <v>20</v>
      </c>
      <c r="B619">
        <v>17643</v>
      </c>
      <c r="C619" t="s">
        <v>426</v>
      </c>
      <c r="D619" t="s">
        <v>427</v>
      </c>
      <c r="E619" t="s">
        <v>9621</v>
      </c>
      <c r="F619" t="s">
        <v>10363</v>
      </c>
      <c r="G619" t="s">
        <v>10364</v>
      </c>
      <c r="H619" t="s">
        <v>10365</v>
      </c>
      <c r="I619" t="s">
        <v>431</v>
      </c>
      <c r="N619" t="s">
        <v>33</v>
      </c>
    </row>
    <row r="620" spans="1:14" x14ac:dyDescent="0.35">
      <c r="A620" t="s">
        <v>20</v>
      </c>
      <c r="B620">
        <v>17643</v>
      </c>
      <c r="C620" t="s">
        <v>426</v>
      </c>
      <c r="D620" t="s">
        <v>427</v>
      </c>
      <c r="E620" t="s">
        <v>9625</v>
      </c>
      <c r="F620" t="s">
        <v>10366</v>
      </c>
      <c r="G620" t="s">
        <v>10367</v>
      </c>
      <c r="H620" t="s">
        <v>10368</v>
      </c>
      <c r="I620" t="s">
        <v>431</v>
      </c>
      <c r="N620" t="s">
        <v>33</v>
      </c>
    </row>
    <row r="621" spans="1:14" x14ac:dyDescent="0.35">
      <c r="A621" t="s">
        <v>20</v>
      </c>
      <c r="B621">
        <v>17643</v>
      </c>
      <c r="C621" t="s">
        <v>426</v>
      </c>
      <c r="D621" t="s">
        <v>427</v>
      </c>
      <c r="E621" t="s">
        <v>9629</v>
      </c>
      <c r="F621" t="s">
        <v>10369</v>
      </c>
      <c r="G621" t="s">
        <v>10370</v>
      </c>
      <c r="H621" t="s">
        <v>10371</v>
      </c>
      <c r="I621" t="s">
        <v>431</v>
      </c>
      <c r="M621" t="s">
        <v>1681</v>
      </c>
      <c r="N621" t="s">
        <v>33</v>
      </c>
    </row>
    <row r="622" spans="1:14" x14ac:dyDescent="0.35">
      <c r="A622" t="s">
        <v>20</v>
      </c>
      <c r="B622">
        <v>17643</v>
      </c>
      <c r="C622" t="s">
        <v>426</v>
      </c>
      <c r="D622" t="s">
        <v>427</v>
      </c>
      <c r="E622" t="s">
        <v>9633</v>
      </c>
      <c r="F622" t="s">
        <v>10372</v>
      </c>
      <c r="G622" t="s">
        <v>10373</v>
      </c>
      <c r="H622" t="s">
        <v>10374</v>
      </c>
      <c r="I622" t="s">
        <v>431</v>
      </c>
      <c r="N622" t="s">
        <v>33</v>
      </c>
    </row>
    <row r="623" spans="1:14" x14ac:dyDescent="0.35">
      <c r="A623" t="s">
        <v>20</v>
      </c>
      <c r="B623">
        <v>17643</v>
      </c>
      <c r="C623" t="s">
        <v>426</v>
      </c>
      <c r="D623" t="s">
        <v>427</v>
      </c>
      <c r="E623" t="s">
        <v>9637</v>
      </c>
      <c r="F623" t="s">
        <v>10375</v>
      </c>
      <c r="G623" t="s">
        <v>10376</v>
      </c>
      <c r="H623" t="s">
        <v>10377</v>
      </c>
      <c r="I623" t="s">
        <v>431</v>
      </c>
      <c r="N623" t="s">
        <v>33</v>
      </c>
    </row>
    <row r="624" spans="1:14" x14ac:dyDescent="0.35">
      <c r="A624" t="s">
        <v>20</v>
      </c>
      <c r="B624">
        <v>17643</v>
      </c>
      <c r="C624" t="s">
        <v>426</v>
      </c>
      <c r="D624" t="s">
        <v>427</v>
      </c>
      <c r="E624" t="s">
        <v>9641</v>
      </c>
      <c r="F624" t="s">
        <v>10378</v>
      </c>
      <c r="G624" t="s">
        <v>10379</v>
      </c>
      <c r="H624" t="s">
        <v>10380</v>
      </c>
      <c r="I624" t="s">
        <v>431</v>
      </c>
      <c r="N624" t="s">
        <v>33</v>
      </c>
    </row>
    <row r="625" spans="1:14" x14ac:dyDescent="0.35">
      <c r="A625" t="s">
        <v>20</v>
      </c>
      <c r="B625">
        <v>17643</v>
      </c>
      <c r="C625" t="s">
        <v>426</v>
      </c>
      <c r="D625" t="s">
        <v>427</v>
      </c>
      <c r="E625" t="s">
        <v>9645</v>
      </c>
      <c r="F625" t="s">
        <v>10381</v>
      </c>
      <c r="G625" t="s">
        <v>10382</v>
      </c>
      <c r="H625" t="s">
        <v>10383</v>
      </c>
      <c r="I625" t="s">
        <v>431</v>
      </c>
      <c r="N625" t="s">
        <v>33</v>
      </c>
    </row>
    <row r="626" spans="1:14" x14ac:dyDescent="0.35">
      <c r="A626" t="s">
        <v>20</v>
      </c>
      <c r="B626">
        <v>17643</v>
      </c>
      <c r="C626" t="s">
        <v>426</v>
      </c>
      <c r="D626" t="s">
        <v>427</v>
      </c>
      <c r="E626" t="s">
        <v>9649</v>
      </c>
      <c r="F626" t="s">
        <v>10384</v>
      </c>
      <c r="G626" t="s">
        <v>10385</v>
      </c>
      <c r="H626" t="s">
        <v>10386</v>
      </c>
      <c r="I626" t="s">
        <v>431</v>
      </c>
      <c r="N626" t="s">
        <v>33</v>
      </c>
    </row>
    <row r="627" spans="1:14" x14ac:dyDescent="0.35">
      <c r="A627" t="s">
        <v>20</v>
      </c>
      <c r="B627">
        <v>17643</v>
      </c>
      <c r="C627" t="s">
        <v>426</v>
      </c>
      <c r="D627" t="s">
        <v>427</v>
      </c>
      <c r="E627" t="s">
        <v>9653</v>
      </c>
      <c r="F627" t="s">
        <v>10387</v>
      </c>
      <c r="G627" t="s">
        <v>10388</v>
      </c>
      <c r="H627" t="s">
        <v>10389</v>
      </c>
      <c r="I627" t="s">
        <v>431</v>
      </c>
      <c r="N627" t="s">
        <v>33</v>
      </c>
    </row>
    <row r="628" spans="1:14" x14ac:dyDescent="0.35">
      <c r="A628" t="s">
        <v>20</v>
      </c>
      <c r="B628">
        <v>17643</v>
      </c>
      <c r="C628" t="s">
        <v>426</v>
      </c>
      <c r="D628" t="s">
        <v>427</v>
      </c>
      <c r="E628" t="s">
        <v>9657</v>
      </c>
      <c r="F628" t="s">
        <v>10390</v>
      </c>
      <c r="G628" t="s">
        <v>10391</v>
      </c>
      <c r="H628" t="s">
        <v>10392</v>
      </c>
      <c r="I628" t="s">
        <v>431</v>
      </c>
      <c r="N628" t="s">
        <v>33</v>
      </c>
    </row>
    <row r="629" spans="1:14" x14ac:dyDescent="0.35">
      <c r="A629" t="s">
        <v>20</v>
      </c>
      <c r="B629">
        <v>17643</v>
      </c>
      <c r="C629" t="s">
        <v>426</v>
      </c>
      <c r="D629" t="s">
        <v>427</v>
      </c>
      <c r="E629" t="s">
        <v>9661</v>
      </c>
      <c r="F629" t="s">
        <v>10393</v>
      </c>
      <c r="G629" t="s">
        <v>10394</v>
      </c>
      <c r="H629" t="s">
        <v>10395</v>
      </c>
      <c r="I629" t="s">
        <v>431</v>
      </c>
      <c r="N629" t="s">
        <v>33</v>
      </c>
    </row>
    <row r="630" spans="1:14" x14ac:dyDescent="0.35">
      <c r="A630" t="s">
        <v>20</v>
      </c>
      <c r="B630">
        <v>17643</v>
      </c>
      <c r="C630" t="s">
        <v>426</v>
      </c>
      <c r="D630" t="s">
        <v>427</v>
      </c>
      <c r="E630" t="s">
        <v>9665</v>
      </c>
      <c r="F630" t="s">
        <v>10396</v>
      </c>
      <c r="G630" t="s">
        <v>10397</v>
      </c>
      <c r="H630" t="s">
        <v>10398</v>
      </c>
      <c r="I630" t="s">
        <v>431</v>
      </c>
      <c r="N630" t="s">
        <v>33</v>
      </c>
    </row>
    <row r="631" spans="1:14" x14ac:dyDescent="0.35">
      <c r="A631" t="s">
        <v>20</v>
      </c>
      <c r="B631">
        <v>17643</v>
      </c>
      <c r="C631" t="s">
        <v>426</v>
      </c>
      <c r="D631" t="s">
        <v>427</v>
      </c>
      <c r="E631" t="s">
        <v>9669</v>
      </c>
      <c r="F631" t="s">
        <v>10399</v>
      </c>
      <c r="G631" t="s">
        <v>10400</v>
      </c>
      <c r="H631" t="s">
        <v>10401</v>
      </c>
      <c r="I631" t="s">
        <v>431</v>
      </c>
      <c r="N631" t="s">
        <v>33</v>
      </c>
    </row>
    <row r="632" spans="1:14" x14ac:dyDescent="0.35">
      <c r="A632" t="s">
        <v>20</v>
      </c>
      <c r="B632">
        <v>17643</v>
      </c>
      <c r="C632" t="s">
        <v>426</v>
      </c>
      <c r="D632" t="s">
        <v>427</v>
      </c>
      <c r="E632" t="s">
        <v>9673</v>
      </c>
      <c r="F632" t="s">
        <v>10402</v>
      </c>
      <c r="G632" t="s">
        <v>10403</v>
      </c>
      <c r="H632" t="s">
        <v>10404</v>
      </c>
      <c r="I632" t="s">
        <v>431</v>
      </c>
      <c r="N632" t="s">
        <v>33</v>
      </c>
    </row>
    <row r="633" spans="1:14" x14ac:dyDescent="0.35">
      <c r="A633" t="s">
        <v>20</v>
      </c>
      <c r="B633">
        <v>17643</v>
      </c>
      <c r="C633" t="s">
        <v>426</v>
      </c>
      <c r="D633" t="s">
        <v>427</v>
      </c>
      <c r="E633" t="s">
        <v>9677</v>
      </c>
      <c r="F633" t="s">
        <v>10405</v>
      </c>
      <c r="G633" t="s">
        <v>10406</v>
      </c>
      <c r="H633" t="s">
        <v>10407</v>
      </c>
      <c r="I633" t="s">
        <v>431</v>
      </c>
      <c r="N633" t="s">
        <v>33</v>
      </c>
    </row>
    <row r="634" spans="1:14" x14ac:dyDescent="0.35">
      <c r="A634" t="s">
        <v>20</v>
      </c>
      <c r="B634">
        <v>17643</v>
      </c>
      <c r="C634" t="s">
        <v>426</v>
      </c>
      <c r="D634" t="s">
        <v>427</v>
      </c>
      <c r="E634" t="s">
        <v>9681</v>
      </c>
      <c r="F634" t="s">
        <v>10408</v>
      </c>
      <c r="G634" t="s">
        <v>10409</v>
      </c>
      <c r="H634" t="s">
        <v>10410</v>
      </c>
      <c r="I634" t="s">
        <v>431</v>
      </c>
      <c r="N634" t="s">
        <v>33</v>
      </c>
    </row>
    <row r="635" spans="1:14" x14ac:dyDescent="0.35">
      <c r="A635" t="s">
        <v>20</v>
      </c>
      <c r="B635">
        <v>17643</v>
      </c>
      <c r="C635" t="s">
        <v>426</v>
      </c>
      <c r="D635" t="s">
        <v>427</v>
      </c>
      <c r="E635" t="s">
        <v>9685</v>
      </c>
      <c r="F635" t="s">
        <v>10411</v>
      </c>
      <c r="G635" t="s">
        <v>10412</v>
      </c>
      <c r="H635" t="s">
        <v>10413</v>
      </c>
      <c r="I635" t="s">
        <v>431</v>
      </c>
      <c r="N635" t="s">
        <v>33</v>
      </c>
    </row>
    <row r="636" spans="1:14" x14ac:dyDescent="0.35">
      <c r="A636" t="s">
        <v>20</v>
      </c>
      <c r="B636">
        <v>17643</v>
      </c>
      <c r="C636" t="s">
        <v>426</v>
      </c>
      <c r="D636" t="s">
        <v>427</v>
      </c>
      <c r="E636" t="s">
        <v>9689</v>
      </c>
      <c r="F636" t="s">
        <v>10414</v>
      </c>
      <c r="G636" t="s">
        <v>10415</v>
      </c>
      <c r="H636" t="s">
        <v>10416</v>
      </c>
      <c r="I636" t="s">
        <v>431</v>
      </c>
      <c r="N636" t="s">
        <v>33</v>
      </c>
    </row>
    <row r="637" spans="1:14" x14ac:dyDescent="0.35">
      <c r="A637" t="s">
        <v>20</v>
      </c>
      <c r="B637">
        <v>17643</v>
      </c>
      <c r="C637" t="s">
        <v>426</v>
      </c>
      <c r="D637" t="s">
        <v>427</v>
      </c>
      <c r="E637" t="s">
        <v>9693</v>
      </c>
      <c r="F637" t="s">
        <v>10417</v>
      </c>
      <c r="G637" t="s">
        <v>10418</v>
      </c>
      <c r="H637" t="s">
        <v>10419</v>
      </c>
      <c r="I637" t="s">
        <v>431</v>
      </c>
      <c r="N637" t="s">
        <v>33</v>
      </c>
    </row>
    <row r="638" spans="1:14" x14ac:dyDescent="0.35">
      <c r="A638" t="s">
        <v>20</v>
      </c>
      <c r="B638">
        <v>17643</v>
      </c>
      <c r="C638" t="s">
        <v>426</v>
      </c>
      <c r="D638" t="s">
        <v>427</v>
      </c>
      <c r="E638" t="s">
        <v>9697</v>
      </c>
      <c r="F638" t="s">
        <v>10420</v>
      </c>
      <c r="G638" t="s">
        <v>10421</v>
      </c>
      <c r="H638" t="s">
        <v>10422</v>
      </c>
      <c r="I638" t="s">
        <v>431</v>
      </c>
      <c r="N638" t="s">
        <v>33</v>
      </c>
    </row>
    <row r="639" spans="1:14" x14ac:dyDescent="0.35">
      <c r="A639" t="s">
        <v>20</v>
      </c>
      <c r="B639">
        <v>17643</v>
      </c>
      <c r="C639" t="s">
        <v>426</v>
      </c>
      <c r="D639" t="s">
        <v>427</v>
      </c>
      <c r="E639" t="s">
        <v>9701</v>
      </c>
      <c r="F639" t="s">
        <v>10423</v>
      </c>
      <c r="G639" t="s">
        <v>10424</v>
      </c>
      <c r="H639" t="s">
        <v>10425</v>
      </c>
      <c r="I639" t="s">
        <v>431</v>
      </c>
      <c r="N639" t="s">
        <v>33</v>
      </c>
    </row>
    <row r="640" spans="1:14" x14ac:dyDescent="0.35">
      <c r="A640" t="s">
        <v>20</v>
      </c>
      <c r="B640">
        <v>17643</v>
      </c>
      <c r="C640" t="s">
        <v>426</v>
      </c>
      <c r="D640" t="s">
        <v>427</v>
      </c>
      <c r="E640" t="s">
        <v>9705</v>
      </c>
      <c r="F640" t="s">
        <v>10426</v>
      </c>
      <c r="G640" t="s">
        <v>10427</v>
      </c>
      <c r="H640" t="s">
        <v>10428</v>
      </c>
      <c r="I640" t="s">
        <v>431</v>
      </c>
      <c r="N640" t="s">
        <v>33</v>
      </c>
    </row>
    <row r="641" spans="1:14" x14ac:dyDescent="0.35">
      <c r="A641" t="s">
        <v>20</v>
      </c>
      <c r="B641">
        <v>17643</v>
      </c>
      <c r="C641" t="s">
        <v>426</v>
      </c>
      <c r="D641" t="s">
        <v>427</v>
      </c>
      <c r="E641" t="s">
        <v>9709</v>
      </c>
      <c r="F641" t="s">
        <v>10429</v>
      </c>
      <c r="G641" t="s">
        <v>10430</v>
      </c>
      <c r="H641" t="s">
        <v>10431</v>
      </c>
      <c r="I641" t="s">
        <v>431</v>
      </c>
      <c r="N641" t="s">
        <v>33</v>
      </c>
    </row>
    <row r="642" spans="1:14" x14ac:dyDescent="0.35">
      <c r="A642" t="s">
        <v>20</v>
      </c>
      <c r="B642">
        <v>17643</v>
      </c>
      <c r="C642" t="s">
        <v>426</v>
      </c>
      <c r="D642" t="s">
        <v>427</v>
      </c>
      <c r="E642" t="s">
        <v>9712</v>
      </c>
      <c r="F642" t="s">
        <v>10432</v>
      </c>
      <c r="G642" t="s">
        <v>10433</v>
      </c>
      <c r="H642" t="s">
        <v>10434</v>
      </c>
      <c r="I642" t="s">
        <v>431</v>
      </c>
      <c r="N642" t="s">
        <v>33</v>
      </c>
    </row>
    <row r="643" spans="1:14" x14ac:dyDescent="0.35">
      <c r="A643" t="s">
        <v>20</v>
      </c>
      <c r="B643">
        <v>17643</v>
      </c>
      <c r="C643" t="s">
        <v>426</v>
      </c>
      <c r="D643" t="s">
        <v>427</v>
      </c>
      <c r="E643" t="s">
        <v>9716</v>
      </c>
      <c r="F643" t="s">
        <v>10435</v>
      </c>
      <c r="G643" t="s">
        <v>10436</v>
      </c>
      <c r="H643" t="s">
        <v>10437</v>
      </c>
      <c r="I643" t="s">
        <v>431</v>
      </c>
      <c r="N643" t="s">
        <v>33</v>
      </c>
    </row>
    <row r="644" spans="1:14" x14ac:dyDescent="0.35">
      <c r="A644" t="s">
        <v>20</v>
      </c>
      <c r="B644">
        <v>17643</v>
      </c>
      <c r="C644" t="s">
        <v>426</v>
      </c>
      <c r="D644" t="s">
        <v>427</v>
      </c>
      <c r="E644" t="s">
        <v>9720</v>
      </c>
      <c r="F644" t="s">
        <v>10438</v>
      </c>
      <c r="G644" t="s">
        <v>10439</v>
      </c>
      <c r="H644" t="s">
        <v>10440</v>
      </c>
      <c r="I644" t="s">
        <v>431</v>
      </c>
      <c r="N644" t="s">
        <v>33</v>
      </c>
    </row>
    <row r="645" spans="1:14" x14ac:dyDescent="0.35">
      <c r="A645" t="s">
        <v>20</v>
      </c>
      <c r="B645">
        <v>17643</v>
      </c>
      <c r="C645" t="s">
        <v>426</v>
      </c>
      <c r="D645" t="s">
        <v>427</v>
      </c>
      <c r="E645" t="s">
        <v>9724</v>
      </c>
      <c r="F645" t="s">
        <v>10441</v>
      </c>
      <c r="G645" t="s">
        <v>10442</v>
      </c>
      <c r="H645" t="s">
        <v>10443</v>
      </c>
      <c r="I645" t="s">
        <v>431</v>
      </c>
      <c r="N645" t="s">
        <v>33</v>
      </c>
    </row>
    <row r="646" spans="1:14" x14ac:dyDescent="0.35">
      <c r="A646" t="s">
        <v>20</v>
      </c>
      <c r="B646">
        <v>17643</v>
      </c>
      <c r="C646" t="s">
        <v>426</v>
      </c>
      <c r="D646" t="s">
        <v>427</v>
      </c>
      <c r="E646" t="s">
        <v>9728</v>
      </c>
      <c r="F646" t="s">
        <v>10444</v>
      </c>
      <c r="G646" t="s">
        <v>10445</v>
      </c>
      <c r="H646" t="s">
        <v>10446</v>
      </c>
      <c r="I646" t="s">
        <v>431</v>
      </c>
      <c r="N646" t="s">
        <v>33</v>
      </c>
    </row>
    <row r="647" spans="1:14" x14ac:dyDescent="0.35">
      <c r="A647" t="s">
        <v>20</v>
      </c>
      <c r="B647">
        <v>17643</v>
      </c>
      <c r="C647" t="s">
        <v>426</v>
      </c>
      <c r="D647" t="s">
        <v>427</v>
      </c>
      <c r="E647" t="s">
        <v>9732</v>
      </c>
      <c r="F647" t="s">
        <v>10447</v>
      </c>
      <c r="G647" t="s">
        <v>10448</v>
      </c>
      <c r="H647" t="s">
        <v>10449</v>
      </c>
      <c r="I647" t="s">
        <v>431</v>
      </c>
      <c r="N647" t="s">
        <v>33</v>
      </c>
    </row>
    <row r="648" spans="1:14" x14ac:dyDescent="0.35">
      <c r="A648" t="s">
        <v>20</v>
      </c>
      <c r="B648">
        <v>17643</v>
      </c>
      <c r="C648" t="s">
        <v>426</v>
      </c>
      <c r="D648" t="s">
        <v>427</v>
      </c>
      <c r="E648" t="s">
        <v>9736</v>
      </c>
      <c r="F648" t="s">
        <v>10450</v>
      </c>
      <c r="G648" t="s">
        <v>10451</v>
      </c>
      <c r="H648" t="s">
        <v>10452</v>
      </c>
      <c r="I648" t="s">
        <v>431</v>
      </c>
      <c r="N648" t="s">
        <v>33</v>
      </c>
    </row>
    <row r="649" spans="1:14" x14ac:dyDescent="0.35">
      <c r="A649" t="s">
        <v>20</v>
      </c>
      <c r="B649">
        <v>17643</v>
      </c>
      <c r="C649" t="s">
        <v>426</v>
      </c>
      <c r="D649" t="s">
        <v>427</v>
      </c>
      <c r="E649" t="s">
        <v>9740</v>
      </c>
      <c r="F649" t="s">
        <v>10453</v>
      </c>
      <c r="G649" t="s">
        <v>10454</v>
      </c>
      <c r="H649" t="s">
        <v>10455</v>
      </c>
      <c r="I649" t="s">
        <v>431</v>
      </c>
      <c r="N649" t="s">
        <v>33</v>
      </c>
    </row>
    <row r="650" spans="1:14" x14ac:dyDescent="0.35">
      <c r="A650" t="s">
        <v>20</v>
      </c>
      <c r="B650">
        <v>17643</v>
      </c>
      <c r="C650" t="s">
        <v>426</v>
      </c>
      <c r="D650" t="s">
        <v>427</v>
      </c>
      <c r="E650" t="s">
        <v>9744</v>
      </c>
      <c r="F650" t="s">
        <v>10456</v>
      </c>
      <c r="G650" t="s">
        <v>10457</v>
      </c>
      <c r="H650" t="s">
        <v>10458</v>
      </c>
      <c r="I650" t="s">
        <v>431</v>
      </c>
      <c r="N650" t="s">
        <v>33</v>
      </c>
    </row>
    <row r="651" spans="1:14" x14ac:dyDescent="0.35">
      <c r="A651" t="s">
        <v>20</v>
      </c>
      <c r="B651">
        <v>17643</v>
      </c>
      <c r="C651" t="s">
        <v>426</v>
      </c>
      <c r="D651" t="s">
        <v>427</v>
      </c>
      <c r="E651" t="s">
        <v>9748</v>
      </c>
      <c r="F651" t="s">
        <v>10459</v>
      </c>
      <c r="G651" t="s">
        <v>10460</v>
      </c>
      <c r="H651" t="s">
        <v>10461</v>
      </c>
      <c r="I651" t="s">
        <v>431</v>
      </c>
      <c r="N651" t="s">
        <v>33</v>
      </c>
    </row>
    <row r="652" spans="1:14" x14ac:dyDescent="0.35">
      <c r="A652" t="s">
        <v>20</v>
      </c>
      <c r="B652">
        <v>17643</v>
      </c>
      <c r="C652" t="s">
        <v>426</v>
      </c>
      <c r="D652" t="s">
        <v>427</v>
      </c>
      <c r="E652" t="s">
        <v>9752</v>
      </c>
      <c r="F652" t="s">
        <v>10462</v>
      </c>
      <c r="G652" t="s">
        <v>10463</v>
      </c>
      <c r="H652" t="s">
        <v>10464</v>
      </c>
      <c r="I652" t="s">
        <v>431</v>
      </c>
      <c r="N652" t="s">
        <v>33</v>
      </c>
    </row>
    <row r="653" spans="1:14" x14ac:dyDescent="0.35">
      <c r="A653" t="s">
        <v>20</v>
      </c>
      <c r="B653">
        <v>17643</v>
      </c>
      <c r="C653" t="s">
        <v>426</v>
      </c>
      <c r="D653" t="s">
        <v>427</v>
      </c>
      <c r="E653" t="s">
        <v>9756</v>
      </c>
      <c r="F653" t="s">
        <v>10465</v>
      </c>
      <c r="G653" t="s">
        <v>10466</v>
      </c>
      <c r="H653" t="s">
        <v>10467</v>
      </c>
      <c r="I653" t="s">
        <v>431</v>
      </c>
      <c r="M653" t="s">
        <v>1681</v>
      </c>
      <c r="N653" t="s">
        <v>33</v>
      </c>
    </row>
    <row r="654" spans="1:14" x14ac:dyDescent="0.35">
      <c r="A654" t="s">
        <v>20</v>
      </c>
      <c r="B654">
        <v>17643</v>
      </c>
      <c r="C654" t="s">
        <v>426</v>
      </c>
      <c r="D654" t="s">
        <v>427</v>
      </c>
      <c r="E654" t="s">
        <v>9760</v>
      </c>
      <c r="F654" t="s">
        <v>10468</v>
      </c>
      <c r="G654" t="s">
        <v>10469</v>
      </c>
      <c r="H654" t="s">
        <v>10470</v>
      </c>
      <c r="I654" t="s">
        <v>431</v>
      </c>
      <c r="M654" t="s">
        <v>1681</v>
      </c>
      <c r="N654" t="s">
        <v>33</v>
      </c>
    </row>
    <row r="655" spans="1:14" x14ac:dyDescent="0.35">
      <c r="A655" t="s">
        <v>20</v>
      </c>
      <c r="B655">
        <v>17643</v>
      </c>
      <c r="C655" t="s">
        <v>426</v>
      </c>
      <c r="D655" t="s">
        <v>427</v>
      </c>
      <c r="E655" t="s">
        <v>9764</v>
      </c>
      <c r="F655" t="s">
        <v>10471</v>
      </c>
      <c r="G655" t="s">
        <v>10472</v>
      </c>
      <c r="H655" t="s">
        <v>10473</v>
      </c>
      <c r="I655" t="s">
        <v>431</v>
      </c>
      <c r="N655" t="s">
        <v>33</v>
      </c>
    </row>
    <row r="656" spans="1:14" x14ac:dyDescent="0.35">
      <c r="A656" t="s">
        <v>20</v>
      </c>
      <c r="B656">
        <v>17643</v>
      </c>
      <c r="C656" t="s">
        <v>426</v>
      </c>
      <c r="D656" t="s">
        <v>427</v>
      </c>
      <c r="E656" t="s">
        <v>9768</v>
      </c>
      <c r="F656" t="s">
        <v>10474</v>
      </c>
      <c r="G656" t="s">
        <v>10475</v>
      </c>
      <c r="H656" t="s">
        <v>10476</v>
      </c>
      <c r="I656" t="s">
        <v>431</v>
      </c>
      <c r="N656" t="s">
        <v>33</v>
      </c>
    </row>
    <row r="657" spans="1:14" x14ac:dyDescent="0.35">
      <c r="A657" t="s">
        <v>20</v>
      </c>
      <c r="B657">
        <v>17643</v>
      </c>
      <c r="C657" t="s">
        <v>426</v>
      </c>
      <c r="D657" t="s">
        <v>427</v>
      </c>
      <c r="E657" t="s">
        <v>9772</v>
      </c>
      <c r="F657" t="s">
        <v>10477</v>
      </c>
      <c r="G657" t="s">
        <v>10478</v>
      </c>
      <c r="H657" t="s">
        <v>10479</v>
      </c>
      <c r="I657" t="s">
        <v>431</v>
      </c>
      <c r="N657" t="s">
        <v>33</v>
      </c>
    </row>
    <row r="658" spans="1:14" x14ac:dyDescent="0.35">
      <c r="A658" t="s">
        <v>20</v>
      </c>
      <c r="B658">
        <v>17643</v>
      </c>
      <c r="C658" t="s">
        <v>426</v>
      </c>
      <c r="D658" t="s">
        <v>427</v>
      </c>
      <c r="E658" t="s">
        <v>9776</v>
      </c>
      <c r="F658" t="s">
        <v>10480</v>
      </c>
      <c r="G658" t="s">
        <v>10481</v>
      </c>
      <c r="H658" t="s">
        <v>10482</v>
      </c>
      <c r="I658" t="s">
        <v>431</v>
      </c>
      <c r="N658" t="s">
        <v>33</v>
      </c>
    </row>
    <row r="659" spans="1:14" x14ac:dyDescent="0.35">
      <c r="A659" t="s">
        <v>20</v>
      </c>
      <c r="B659">
        <v>17643</v>
      </c>
      <c r="C659" t="s">
        <v>426</v>
      </c>
      <c r="D659" t="s">
        <v>427</v>
      </c>
      <c r="E659" t="s">
        <v>9780</v>
      </c>
      <c r="F659" t="s">
        <v>10483</v>
      </c>
      <c r="G659" t="s">
        <v>10484</v>
      </c>
      <c r="H659" t="s">
        <v>10485</v>
      </c>
      <c r="I659" t="s">
        <v>431</v>
      </c>
      <c r="N659" t="s">
        <v>33</v>
      </c>
    </row>
    <row r="660" spans="1:14" x14ac:dyDescent="0.35">
      <c r="A660" t="s">
        <v>20</v>
      </c>
      <c r="B660">
        <v>17643</v>
      </c>
      <c r="C660" t="s">
        <v>426</v>
      </c>
      <c r="D660" t="s">
        <v>427</v>
      </c>
      <c r="E660" t="s">
        <v>9784</v>
      </c>
      <c r="F660" t="s">
        <v>10486</v>
      </c>
      <c r="G660" t="s">
        <v>10487</v>
      </c>
      <c r="H660" t="s">
        <v>10488</v>
      </c>
      <c r="I660" t="s">
        <v>431</v>
      </c>
      <c r="N660" t="s">
        <v>33</v>
      </c>
    </row>
    <row r="661" spans="1:14" x14ac:dyDescent="0.35">
      <c r="A661" t="s">
        <v>20</v>
      </c>
      <c r="B661">
        <v>17643</v>
      </c>
      <c r="C661" t="s">
        <v>426</v>
      </c>
      <c r="D661" t="s">
        <v>427</v>
      </c>
      <c r="E661" t="s">
        <v>9788</v>
      </c>
      <c r="F661" t="s">
        <v>10489</v>
      </c>
      <c r="G661" t="s">
        <v>10490</v>
      </c>
      <c r="H661" t="s">
        <v>10491</v>
      </c>
      <c r="I661" t="s">
        <v>431</v>
      </c>
      <c r="N661" t="s">
        <v>33</v>
      </c>
    </row>
    <row r="662" spans="1:14" x14ac:dyDescent="0.35">
      <c r="A662" t="s">
        <v>20</v>
      </c>
      <c r="B662">
        <v>17643</v>
      </c>
      <c r="C662" t="s">
        <v>426</v>
      </c>
      <c r="D662" t="s">
        <v>427</v>
      </c>
      <c r="E662" t="s">
        <v>9792</v>
      </c>
      <c r="F662" t="s">
        <v>10492</v>
      </c>
      <c r="G662" t="s">
        <v>10493</v>
      </c>
      <c r="H662" t="s">
        <v>10494</v>
      </c>
      <c r="I662" t="s">
        <v>431</v>
      </c>
      <c r="N662" t="s">
        <v>33</v>
      </c>
    </row>
    <row r="663" spans="1:14" x14ac:dyDescent="0.35">
      <c r="A663" t="s">
        <v>20</v>
      </c>
      <c r="B663">
        <v>17643</v>
      </c>
      <c r="C663" t="s">
        <v>426</v>
      </c>
      <c r="D663" t="s">
        <v>427</v>
      </c>
      <c r="E663" t="s">
        <v>9796</v>
      </c>
      <c r="F663" t="s">
        <v>10495</v>
      </c>
      <c r="G663" t="s">
        <v>10496</v>
      </c>
      <c r="H663" t="s">
        <v>10497</v>
      </c>
      <c r="I663" t="s">
        <v>431</v>
      </c>
      <c r="N663" t="s">
        <v>33</v>
      </c>
    </row>
    <row r="664" spans="1:14" x14ac:dyDescent="0.35">
      <c r="A664" t="s">
        <v>20</v>
      </c>
      <c r="B664">
        <v>17643</v>
      </c>
      <c r="C664" t="s">
        <v>426</v>
      </c>
      <c r="D664" t="s">
        <v>427</v>
      </c>
      <c r="E664" t="s">
        <v>9800</v>
      </c>
      <c r="F664" t="s">
        <v>10498</v>
      </c>
      <c r="G664" t="s">
        <v>10499</v>
      </c>
      <c r="H664" t="s">
        <v>10500</v>
      </c>
      <c r="I664" t="s">
        <v>431</v>
      </c>
      <c r="N664" t="s">
        <v>33</v>
      </c>
    </row>
    <row r="665" spans="1:14" x14ac:dyDescent="0.35">
      <c r="A665" t="s">
        <v>20</v>
      </c>
      <c r="B665">
        <v>17643</v>
      </c>
      <c r="C665" t="s">
        <v>426</v>
      </c>
      <c r="D665" t="s">
        <v>427</v>
      </c>
      <c r="E665" t="s">
        <v>9804</v>
      </c>
      <c r="F665" t="s">
        <v>10501</v>
      </c>
      <c r="G665" t="s">
        <v>10502</v>
      </c>
      <c r="H665" t="s">
        <v>10503</v>
      </c>
      <c r="I665" t="s">
        <v>431</v>
      </c>
      <c r="N665" t="s">
        <v>33</v>
      </c>
    </row>
    <row r="666" spans="1:14" x14ac:dyDescent="0.35">
      <c r="A666" t="s">
        <v>20</v>
      </c>
      <c r="B666">
        <v>17643</v>
      </c>
      <c r="C666" t="s">
        <v>426</v>
      </c>
      <c r="D666" t="s">
        <v>427</v>
      </c>
      <c r="E666" t="s">
        <v>9808</v>
      </c>
      <c r="F666" t="s">
        <v>10504</v>
      </c>
      <c r="G666" t="s">
        <v>10505</v>
      </c>
      <c r="H666" t="s">
        <v>10506</v>
      </c>
      <c r="I666" t="s">
        <v>431</v>
      </c>
      <c r="N666" t="s">
        <v>33</v>
      </c>
    </row>
    <row r="667" spans="1:14" x14ac:dyDescent="0.35">
      <c r="A667" t="s">
        <v>20</v>
      </c>
      <c r="B667">
        <v>17643</v>
      </c>
      <c r="C667" t="s">
        <v>426</v>
      </c>
      <c r="D667" t="s">
        <v>427</v>
      </c>
      <c r="E667" t="s">
        <v>9812</v>
      </c>
      <c r="F667" t="s">
        <v>10507</v>
      </c>
      <c r="G667" t="s">
        <v>10508</v>
      </c>
      <c r="H667" t="s">
        <v>10509</v>
      </c>
      <c r="I667" t="s">
        <v>431</v>
      </c>
      <c r="M667" t="s">
        <v>1681</v>
      </c>
      <c r="N667" t="s">
        <v>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opLeftCell="A59" workbookViewId="0">
      <selection activeCell="I28" sqref="I28:I47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15</v>
      </c>
    </row>
    <row r="2" spans="1:12" x14ac:dyDescent="0.35">
      <c r="A2" t="s">
        <v>20</v>
      </c>
      <c r="B2">
        <v>17644</v>
      </c>
      <c r="C2" t="s">
        <v>21</v>
      </c>
      <c r="D2" t="s">
        <v>22</v>
      </c>
      <c r="E2" t="s">
        <v>10856</v>
      </c>
      <c r="F2" t="s">
        <v>7705</v>
      </c>
      <c r="G2" t="s">
        <v>7705</v>
      </c>
      <c r="H2" t="s">
        <v>7707</v>
      </c>
      <c r="I2" t="s">
        <v>238</v>
      </c>
      <c r="L2" t="s">
        <v>33</v>
      </c>
    </row>
    <row r="3" spans="1:12" x14ac:dyDescent="0.35">
      <c r="A3" t="s">
        <v>20</v>
      </c>
      <c r="B3">
        <v>17644</v>
      </c>
      <c r="C3" t="s">
        <v>21</v>
      </c>
      <c r="D3" t="s">
        <v>22</v>
      </c>
      <c r="E3" t="s">
        <v>10857</v>
      </c>
      <c r="F3" t="s">
        <v>7709</v>
      </c>
      <c r="G3" t="s">
        <v>7709</v>
      </c>
      <c r="H3" t="s">
        <v>10858</v>
      </c>
      <c r="I3" t="s">
        <v>238</v>
      </c>
      <c r="L3" t="s">
        <v>33</v>
      </c>
    </row>
    <row r="4" spans="1:12" x14ac:dyDescent="0.35">
      <c r="A4" t="s">
        <v>20</v>
      </c>
      <c r="B4">
        <v>17644</v>
      </c>
      <c r="C4" t="s">
        <v>21</v>
      </c>
      <c r="D4" t="s">
        <v>22</v>
      </c>
      <c r="E4" t="s">
        <v>10859</v>
      </c>
      <c r="F4" t="s">
        <v>10860</v>
      </c>
      <c r="G4" t="s">
        <v>10860</v>
      </c>
      <c r="H4" t="s">
        <v>10861</v>
      </c>
      <c r="I4" t="s">
        <v>238</v>
      </c>
      <c r="L4" t="s">
        <v>33</v>
      </c>
    </row>
    <row r="5" spans="1:12" x14ac:dyDescent="0.35">
      <c r="A5" t="s">
        <v>20</v>
      </c>
      <c r="B5">
        <v>17644</v>
      </c>
      <c r="C5" t="s">
        <v>21</v>
      </c>
      <c r="D5" t="s">
        <v>22</v>
      </c>
      <c r="E5" t="s">
        <v>10862</v>
      </c>
      <c r="F5" t="s">
        <v>7722</v>
      </c>
      <c r="G5" t="s">
        <v>7722</v>
      </c>
      <c r="H5" t="s">
        <v>7723</v>
      </c>
      <c r="I5" t="s">
        <v>238</v>
      </c>
      <c r="L5" t="s">
        <v>33</v>
      </c>
    </row>
    <row r="6" spans="1:12" x14ac:dyDescent="0.35">
      <c r="A6" t="s">
        <v>20</v>
      </c>
      <c r="B6">
        <v>17644</v>
      </c>
      <c r="C6" t="s">
        <v>21</v>
      </c>
      <c r="D6" t="s">
        <v>22</v>
      </c>
      <c r="E6" t="s">
        <v>10863</v>
      </c>
      <c r="F6" t="s">
        <v>7725</v>
      </c>
      <c r="G6" t="s">
        <v>7725</v>
      </c>
      <c r="H6" t="s">
        <v>7726</v>
      </c>
      <c r="I6" t="s">
        <v>238</v>
      </c>
      <c r="L6" t="s">
        <v>33</v>
      </c>
    </row>
    <row r="7" spans="1:12" x14ac:dyDescent="0.35">
      <c r="A7" t="s">
        <v>20</v>
      </c>
      <c r="B7">
        <v>17644</v>
      </c>
      <c r="C7" t="s">
        <v>21</v>
      </c>
      <c r="D7" t="s">
        <v>22</v>
      </c>
      <c r="E7" t="s">
        <v>10864</v>
      </c>
      <c r="F7" t="s">
        <v>7734</v>
      </c>
      <c r="G7" t="s">
        <v>7734</v>
      </c>
      <c r="H7" t="s">
        <v>10865</v>
      </c>
      <c r="I7" t="s">
        <v>238</v>
      </c>
      <c r="L7" t="s">
        <v>33</v>
      </c>
    </row>
    <row r="8" spans="1:12" x14ac:dyDescent="0.35">
      <c r="A8" t="s">
        <v>20</v>
      </c>
      <c r="B8">
        <v>17644</v>
      </c>
      <c r="C8" t="s">
        <v>21</v>
      </c>
      <c r="D8" t="s">
        <v>22</v>
      </c>
      <c r="E8" t="s">
        <v>10866</v>
      </c>
      <c r="F8" t="s">
        <v>10867</v>
      </c>
      <c r="G8" t="s">
        <v>10867</v>
      </c>
      <c r="H8" t="s">
        <v>10868</v>
      </c>
      <c r="I8" t="s">
        <v>238</v>
      </c>
      <c r="L8" t="s">
        <v>33</v>
      </c>
    </row>
    <row r="9" spans="1:12" x14ac:dyDescent="0.35">
      <c r="A9" t="s">
        <v>20</v>
      </c>
      <c r="B9">
        <v>17644</v>
      </c>
      <c r="C9" t="s">
        <v>21</v>
      </c>
      <c r="D9" t="s">
        <v>22</v>
      </c>
      <c r="E9" t="s">
        <v>10869</v>
      </c>
      <c r="F9" t="s">
        <v>7740</v>
      </c>
      <c r="G9" t="s">
        <v>7740</v>
      </c>
      <c r="H9" t="s">
        <v>10870</v>
      </c>
      <c r="I9" t="s">
        <v>238</v>
      </c>
      <c r="L9" t="s">
        <v>33</v>
      </c>
    </row>
    <row r="10" spans="1:12" x14ac:dyDescent="0.35">
      <c r="A10" t="s">
        <v>20</v>
      </c>
      <c r="B10">
        <v>17644</v>
      </c>
      <c r="C10" t="s">
        <v>21</v>
      </c>
      <c r="D10" t="s">
        <v>22</v>
      </c>
      <c r="E10" t="s">
        <v>10871</v>
      </c>
      <c r="F10" t="s">
        <v>10872</v>
      </c>
      <c r="G10" t="s">
        <v>10872</v>
      </c>
      <c r="H10" t="s">
        <v>10873</v>
      </c>
      <c r="I10" t="s">
        <v>238</v>
      </c>
      <c r="L10" t="s">
        <v>33</v>
      </c>
    </row>
    <row r="11" spans="1:12" x14ac:dyDescent="0.35">
      <c r="A11" t="s">
        <v>20</v>
      </c>
      <c r="B11">
        <v>17644</v>
      </c>
      <c r="C11" t="s">
        <v>21</v>
      </c>
      <c r="D11" t="s">
        <v>22</v>
      </c>
      <c r="E11" t="s">
        <v>10874</v>
      </c>
      <c r="F11" t="s">
        <v>7757</v>
      </c>
      <c r="G11" t="s">
        <v>7757</v>
      </c>
      <c r="H11" t="s">
        <v>7758</v>
      </c>
      <c r="I11" t="s">
        <v>238</v>
      </c>
      <c r="L11" t="s">
        <v>33</v>
      </c>
    </row>
    <row r="12" spans="1:12" x14ac:dyDescent="0.35">
      <c r="A12" t="s">
        <v>20</v>
      </c>
      <c r="B12">
        <v>17644</v>
      </c>
      <c r="C12" t="s">
        <v>21</v>
      </c>
      <c r="D12" t="s">
        <v>22</v>
      </c>
      <c r="E12" t="s">
        <v>10875</v>
      </c>
      <c r="F12" t="s">
        <v>7764</v>
      </c>
      <c r="G12" t="s">
        <v>7764</v>
      </c>
      <c r="H12" t="s">
        <v>7765</v>
      </c>
      <c r="I12" t="s">
        <v>238</v>
      </c>
      <c r="L12" t="s">
        <v>33</v>
      </c>
    </row>
    <row r="13" spans="1:12" x14ac:dyDescent="0.35">
      <c r="A13" t="s">
        <v>20</v>
      </c>
      <c r="B13">
        <v>17644</v>
      </c>
      <c r="C13" t="s">
        <v>21</v>
      </c>
      <c r="D13" t="s">
        <v>22</v>
      </c>
      <c r="E13" t="s">
        <v>10876</v>
      </c>
      <c r="F13" t="s">
        <v>7780</v>
      </c>
      <c r="G13" t="s">
        <v>7780</v>
      </c>
      <c r="H13" t="s">
        <v>7781</v>
      </c>
      <c r="I13" t="s">
        <v>238</v>
      </c>
      <c r="L13" t="s">
        <v>33</v>
      </c>
    </row>
    <row r="14" spans="1:12" x14ac:dyDescent="0.35">
      <c r="A14" t="s">
        <v>20</v>
      </c>
      <c r="B14">
        <v>17644</v>
      </c>
      <c r="C14" t="s">
        <v>21</v>
      </c>
      <c r="D14" t="s">
        <v>22</v>
      </c>
      <c r="E14" t="s">
        <v>10877</v>
      </c>
      <c r="F14" t="s">
        <v>7794</v>
      </c>
      <c r="G14" t="s">
        <v>7794</v>
      </c>
      <c r="H14" t="s">
        <v>10878</v>
      </c>
      <c r="I14" t="s">
        <v>238</v>
      </c>
      <c r="L14" t="s">
        <v>33</v>
      </c>
    </row>
    <row r="15" spans="1:12" x14ac:dyDescent="0.35">
      <c r="A15" t="s">
        <v>20</v>
      </c>
      <c r="B15">
        <v>17644</v>
      </c>
      <c r="C15" t="s">
        <v>21</v>
      </c>
      <c r="D15" t="s">
        <v>22</v>
      </c>
      <c r="E15" t="s">
        <v>10879</v>
      </c>
      <c r="F15" t="s">
        <v>7797</v>
      </c>
      <c r="G15" t="s">
        <v>7797</v>
      </c>
      <c r="H15" t="s">
        <v>7798</v>
      </c>
      <c r="I15" t="s">
        <v>238</v>
      </c>
      <c r="L15" t="s">
        <v>33</v>
      </c>
    </row>
    <row r="16" spans="1:12" x14ac:dyDescent="0.35">
      <c r="A16" t="s">
        <v>20</v>
      </c>
      <c r="B16">
        <v>17644</v>
      </c>
      <c r="C16" t="s">
        <v>21</v>
      </c>
      <c r="D16" t="s">
        <v>22</v>
      </c>
      <c r="E16" t="s">
        <v>10880</v>
      </c>
      <c r="F16" t="s">
        <v>7806</v>
      </c>
      <c r="G16" t="s">
        <v>7806</v>
      </c>
      <c r="H16" t="s">
        <v>10881</v>
      </c>
      <c r="I16" t="s">
        <v>238</v>
      </c>
      <c r="L16" t="s">
        <v>33</v>
      </c>
    </row>
    <row r="17" spans="1:12" x14ac:dyDescent="0.35">
      <c r="A17" t="s">
        <v>20</v>
      </c>
      <c r="B17">
        <v>17644</v>
      </c>
      <c r="C17" t="s">
        <v>21</v>
      </c>
      <c r="D17" t="s">
        <v>22</v>
      </c>
      <c r="E17" t="s">
        <v>10882</v>
      </c>
      <c r="F17" t="s">
        <v>7810</v>
      </c>
      <c r="G17" t="s">
        <v>7810</v>
      </c>
      <c r="H17" t="s">
        <v>7811</v>
      </c>
      <c r="I17" t="s">
        <v>238</v>
      </c>
      <c r="L17" t="s">
        <v>33</v>
      </c>
    </row>
    <row r="18" spans="1:12" x14ac:dyDescent="0.35">
      <c r="A18" t="s">
        <v>20</v>
      </c>
      <c r="B18">
        <v>17644</v>
      </c>
      <c r="C18" t="s">
        <v>21</v>
      </c>
      <c r="D18" t="s">
        <v>22</v>
      </c>
      <c r="E18" t="s">
        <v>10883</v>
      </c>
      <c r="F18" t="s">
        <v>7815</v>
      </c>
      <c r="G18" t="s">
        <v>7815</v>
      </c>
      <c r="H18" t="s">
        <v>10884</v>
      </c>
      <c r="I18" t="s">
        <v>238</v>
      </c>
      <c r="L18" t="s">
        <v>33</v>
      </c>
    </row>
    <row r="19" spans="1:12" x14ac:dyDescent="0.35">
      <c r="A19" t="s">
        <v>20</v>
      </c>
      <c r="B19">
        <v>17644</v>
      </c>
      <c r="C19" t="s">
        <v>21</v>
      </c>
      <c r="D19" t="s">
        <v>22</v>
      </c>
      <c r="E19" t="s">
        <v>10885</v>
      </c>
      <c r="F19" t="s">
        <v>10886</v>
      </c>
      <c r="G19" t="s">
        <v>10886</v>
      </c>
      <c r="H19" t="s">
        <v>10887</v>
      </c>
      <c r="I19" t="s">
        <v>238</v>
      </c>
      <c r="L19" t="s">
        <v>33</v>
      </c>
    </row>
    <row r="20" spans="1:12" x14ac:dyDescent="0.35">
      <c r="A20" t="s">
        <v>20</v>
      </c>
      <c r="B20">
        <v>17644</v>
      </c>
      <c r="C20" t="s">
        <v>21</v>
      </c>
      <c r="D20" t="s">
        <v>22</v>
      </c>
      <c r="E20" t="s">
        <v>10888</v>
      </c>
      <c r="F20" t="s">
        <v>7852</v>
      </c>
      <c r="G20" t="s">
        <v>7852</v>
      </c>
      <c r="H20" t="s">
        <v>7853</v>
      </c>
      <c r="I20" t="s">
        <v>238</v>
      </c>
      <c r="L20" t="s">
        <v>33</v>
      </c>
    </row>
    <row r="21" spans="1:12" x14ac:dyDescent="0.35">
      <c r="A21" t="s">
        <v>20</v>
      </c>
      <c r="B21">
        <v>17644</v>
      </c>
      <c r="C21" t="s">
        <v>21</v>
      </c>
      <c r="D21" t="s">
        <v>22</v>
      </c>
      <c r="E21" t="s">
        <v>10889</v>
      </c>
      <c r="F21" t="s">
        <v>7855</v>
      </c>
      <c r="G21" t="s">
        <v>7855</v>
      </c>
      <c r="H21" t="s">
        <v>10890</v>
      </c>
      <c r="I21" t="s">
        <v>238</v>
      </c>
      <c r="L21" t="s">
        <v>33</v>
      </c>
    </row>
    <row r="22" spans="1:12" x14ac:dyDescent="0.35">
      <c r="A22" t="s">
        <v>20</v>
      </c>
      <c r="B22">
        <v>17644</v>
      </c>
      <c r="C22" t="s">
        <v>21</v>
      </c>
      <c r="D22" t="s">
        <v>22</v>
      </c>
      <c r="E22" t="s">
        <v>10891</v>
      </c>
      <c r="F22" t="s">
        <v>7862</v>
      </c>
      <c r="G22" t="s">
        <v>7862</v>
      </c>
      <c r="H22" t="s">
        <v>10892</v>
      </c>
      <c r="I22" t="s">
        <v>238</v>
      </c>
      <c r="L22" t="s">
        <v>33</v>
      </c>
    </row>
    <row r="23" spans="1:12" x14ac:dyDescent="0.35">
      <c r="A23" t="s">
        <v>20</v>
      </c>
      <c r="B23">
        <v>17644</v>
      </c>
      <c r="C23" t="s">
        <v>21</v>
      </c>
      <c r="D23" t="s">
        <v>22</v>
      </c>
      <c r="E23" t="s">
        <v>10893</v>
      </c>
      <c r="F23" t="s">
        <v>10894</v>
      </c>
      <c r="G23" t="s">
        <v>10894</v>
      </c>
      <c r="H23" t="s">
        <v>10895</v>
      </c>
      <c r="I23" t="s">
        <v>238</v>
      </c>
      <c r="L23" t="s">
        <v>33</v>
      </c>
    </row>
    <row r="24" spans="1:12" x14ac:dyDescent="0.35">
      <c r="A24" t="s">
        <v>20</v>
      </c>
      <c r="B24">
        <v>17644</v>
      </c>
      <c r="C24" t="s">
        <v>21</v>
      </c>
      <c r="D24" t="s">
        <v>22</v>
      </c>
      <c r="E24" t="s">
        <v>10896</v>
      </c>
      <c r="F24" t="s">
        <v>7868</v>
      </c>
      <c r="G24" t="s">
        <v>7868</v>
      </c>
      <c r="H24" t="s">
        <v>10897</v>
      </c>
      <c r="I24" t="s">
        <v>238</v>
      </c>
      <c r="L24" t="s">
        <v>33</v>
      </c>
    </row>
    <row r="25" spans="1:12" x14ac:dyDescent="0.35">
      <c r="A25" t="s">
        <v>20</v>
      </c>
      <c r="B25">
        <v>17644</v>
      </c>
      <c r="C25" t="s">
        <v>21</v>
      </c>
      <c r="D25" t="s">
        <v>22</v>
      </c>
      <c r="E25" t="s">
        <v>10898</v>
      </c>
      <c r="F25" t="s">
        <v>7875</v>
      </c>
      <c r="G25" t="s">
        <v>7875</v>
      </c>
      <c r="H25" t="s">
        <v>10899</v>
      </c>
      <c r="I25" t="s">
        <v>238</v>
      </c>
      <c r="L25" t="s">
        <v>33</v>
      </c>
    </row>
    <row r="26" spans="1:12" x14ac:dyDescent="0.35">
      <c r="A26" t="s">
        <v>20</v>
      </c>
      <c r="B26">
        <v>17644</v>
      </c>
      <c r="C26" t="s">
        <v>21</v>
      </c>
      <c r="D26" t="s">
        <v>22</v>
      </c>
      <c r="E26" t="s">
        <v>10900</v>
      </c>
      <c r="F26" t="s">
        <v>7878</v>
      </c>
      <c r="G26" t="s">
        <v>7878</v>
      </c>
      <c r="H26" t="s">
        <v>10901</v>
      </c>
      <c r="I26" t="s">
        <v>238</v>
      </c>
      <c r="L26" t="s">
        <v>33</v>
      </c>
    </row>
    <row r="27" spans="1:12" x14ac:dyDescent="0.35">
      <c r="A27" t="s">
        <v>20</v>
      </c>
      <c r="B27">
        <v>17644</v>
      </c>
      <c r="C27" t="s">
        <v>21</v>
      </c>
      <c r="D27" t="s">
        <v>22</v>
      </c>
      <c r="E27" t="s">
        <v>10902</v>
      </c>
      <c r="F27" t="s">
        <v>7884</v>
      </c>
      <c r="G27" t="s">
        <v>7884</v>
      </c>
      <c r="H27" t="s">
        <v>7885</v>
      </c>
      <c r="I27" t="s">
        <v>27</v>
      </c>
      <c r="L27" t="s">
        <v>33</v>
      </c>
    </row>
    <row r="28" spans="1:12" x14ac:dyDescent="0.35">
      <c r="A28" t="s">
        <v>20</v>
      </c>
      <c r="B28">
        <v>17644</v>
      </c>
      <c r="C28" t="s">
        <v>21</v>
      </c>
      <c r="D28" t="s">
        <v>22</v>
      </c>
      <c r="E28" t="s">
        <v>10903</v>
      </c>
      <c r="F28" t="s">
        <v>7887</v>
      </c>
      <c r="G28" t="s">
        <v>7887</v>
      </c>
      <c r="H28" t="s">
        <v>7891</v>
      </c>
      <c r="I28" t="s">
        <v>27</v>
      </c>
      <c r="L28" t="s">
        <v>33</v>
      </c>
    </row>
    <row r="29" spans="1:12" x14ac:dyDescent="0.35">
      <c r="A29" t="s">
        <v>20</v>
      </c>
      <c r="B29">
        <v>17644</v>
      </c>
      <c r="C29" t="s">
        <v>21</v>
      </c>
      <c r="D29" t="s">
        <v>22</v>
      </c>
      <c r="E29" t="s">
        <v>10904</v>
      </c>
      <c r="F29" t="s">
        <v>10905</v>
      </c>
      <c r="G29" t="s">
        <v>10905</v>
      </c>
      <c r="H29" t="s">
        <v>10906</v>
      </c>
      <c r="I29" t="s">
        <v>27</v>
      </c>
      <c r="L29" t="s">
        <v>33</v>
      </c>
    </row>
    <row r="30" spans="1:12" x14ac:dyDescent="0.35">
      <c r="A30" t="s">
        <v>20</v>
      </c>
      <c r="B30">
        <v>17644</v>
      </c>
      <c r="C30" t="s">
        <v>21</v>
      </c>
      <c r="D30" t="s">
        <v>22</v>
      </c>
      <c r="E30" t="s">
        <v>10907</v>
      </c>
      <c r="F30" t="s">
        <v>7899</v>
      </c>
      <c r="G30" t="s">
        <v>7899</v>
      </c>
      <c r="H30" t="s">
        <v>7900</v>
      </c>
      <c r="I30" t="s">
        <v>27</v>
      </c>
      <c r="L30" t="s">
        <v>33</v>
      </c>
    </row>
    <row r="31" spans="1:12" x14ac:dyDescent="0.35">
      <c r="A31" t="s">
        <v>20</v>
      </c>
      <c r="B31">
        <v>17644</v>
      </c>
      <c r="C31" t="s">
        <v>21</v>
      </c>
      <c r="D31" t="s">
        <v>22</v>
      </c>
      <c r="E31" t="s">
        <v>10908</v>
      </c>
      <c r="F31" t="s">
        <v>7919</v>
      </c>
      <c r="G31" t="s">
        <v>7919</v>
      </c>
      <c r="H31" t="s">
        <v>7920</v>
      </c>
      <c r="I31" t="s">
        <v>27</v>
      </c>
      <c r="L31" t="s">
        <v>33</v>
      </c>
    </row>
    <row r="32" spans="1:12" x14ac:dyDescent="0.35">
      <c r="A32" t="s">
        <v>20</v>
      </c>
      <c r="B32">
        <v>17644</v>
      </c>
      <c r="C32" t="s">
        <v>21</v>
      </c>
      <c r="D32" t="s">
        <v>22</v>
      </c>
      <c r="E32" t="s">
        <v>10909</v>
      </c>
      <c r="F32" t="s">
        <v>7922</v>
      </c>
      <c r="G32" t="s">
        <v>7922</v>
      </c>
      <c r="H32" t="s">
        <v>7923</v>
      </c>
      <c r="I32" t="s">
        <v>27</v>
      </c>
      <c r="L32" t="s">
        <v>33</v>
      </c>
    </row>
    <row r="33" spans="1:12" x14ac:dyDescent="0.35">
      <c r="A33" t="s">
        <v>20</v>
      </c>
      <c r="B33">
        <v>17644</v>
      </c>
      <c r="C33" t="s">
        <v>21</v>
      </c>
      <c r="D33" t="s">
        <v>22</v>
      </c>
      <c r="E33" t="s">
        <v>10910</v>
      </c>
      <c r="F33" t="s">
        <v>7925</v>
      </c>
      <c r="G33" t="s">
        <v>7925</v>
      </c>
      <c r="H33" t="s">
        <v>7926</v>
      </c>
      <c r="I33" t="s">
        <v>27</v>
      </c>
      <c r="L33" t="s">
        <v>33</v>
      </c>
    </row>
    <row r="34" spans="1:12" x14ac:dyDescent="0.35">
      <c r="A34" t="s">
        <v>20</v>
      </c>
      <c r="B34">
        <v>17644</v>
      </c>
      <c r="C34" t="s">
        <v>21</v>
      </c>
      <c r="D34" t="s">
        <v>22</v>
      </c>
      <c r="E34" t="s">
        <v>10911</v>
      </c>
      <c r="F34" t="s">
        <v>7934</v>
      </c>
      <c r="G34" t="s">
        <v>7934</v>
      </c>
      <c r="H34" t="s">
        <v>7935</v>
      </c>
      <c r="I34" t="s">
        <v>27</v>
      </c>
      <c r="L34" t="s">
        <v>33</v>
      </c>
    </row>
    <row r="35" spans="1:12" x14ac:dyDescent="0.35">
      <c r="A35" t="s">
        <v>20</v>
      </c>
      <c r="B35">
        <v>17644</v>
      </c>
      <c r="C35" t="s">
        <v>21</v>
      </c>
      <c r="D35" t="s">
        <v>22</v>
      </c>
      <c r="E35" t="s">
        <v>10912</v>
      </c>
      <c r="F35" t="s">
        <v>7940</v>
      </c>
      <c r="G35" t="s">
        <v>7940</v>
      </c>
      <c r="H35" t="s">
        <v>10913</v>
      </c>
      <c r="I35" t="s">
        <v>27</v>
      </c>
      <c r="L35" t="s">
        <v>33</v>
      </c>
    </row>
    <row r="36" spans="1:12" x14ac:dyDescent="0.35">
      <c r="A36" t="s">
        <v>20</v>
      </c>
      <c r="B36">
        <v>17644</v>
      </c>
      <c r="C36" t="s">
        <v>21</v>
      </c>
      <c r="D36" t="s">
        <v>22</v>
      </c>
      <c r="E36" t="s">
        <v>10914</v>
      </c>
      <c r="F36" t="s">
        <v>7945</v>
      </c>
      <c r="G36" t="s">
        <v>7945</v>
      </c>
      <c r="H36" t="s">
        <v>7946</v>
      </c>
      <c r="I36" t="s">
        <v>27</v>
      </c>
      <c r="L36" t="s">
        <v>33</v>
      </c>
    </row>
    <row r="37" spans="1:12" x14ac:dyDescent="0.35">
      <c r="A37" t="s">
        <v>20</v>
      </c>
      <c r="B37">
        <v>17644</v>
      </c>
      <c r="C37" t="s">
        <v>21</v>
      </c>
      <c r="D37" t="s">
        <v>22</v>
      </c>
      <c r="E37" t="s">
        <v>10915</v>
      </c>
      <c r="F37" t="s">
        <v>7951</v>
      </c>
      <c r="G37" t="s">
        <v>7951</v>
      </c>
      <c r="H37" t="s">
        <v>7952</v>
      </c>
      <c r="I37" t="s">
        <v>27</v>
      </c>
      <c r="L37" t="s">
        <v>33</v>
      </c>
    </row>
    <row r="38" spans="1:12" x14ac:dyDescent="0.35">
      <c r="A38" t="s">
        <v>20</v>
      </c>
      <c r="B38">
        <v>17644</v>
      </c>
      <c r="C38" t="s">
        <v>21</v>
      </c>
      <c r="D38" t="s">
        <v>22</v>
      </c>
      <c r="E38" t="s">
        <v>10916</v>
      </c>
      <c r="F38" t="s">
        <v>7954</v>
      </c>
      <c r="G38" t="s">
        <v>7954</v>
      </c>
      <c r="H38" t="s">
        <v>10917</v>
      </c>
      <c r="I38" t="s">
        <v>27</v>
      </c>
      <c r="L38" t="s">
        <v>33</v>
      </c>
    </row>
    <row r="39" spans="1:12" x14ac:dyDescent="0.35">
      <c r="A39" t="s">
        <v>20</v>
      </c>
      <c r="B39">
        <v>17644</v>
      </c>
      <c r="C39" t="s">
        <v>21</v>
      </c>
      <c r="D39" t="s">
        <v>22</v>
      </c>
      <c r="E39" t="s">
        <v>10918</v>
      </c>
      <c r="F39" t="s">
        <v>7785</v>
      </c>
      <c r="G39" t="s">
        <v>7785</v>
      </c>
      <c r="H39" t="s">
        <v>10919</v>
      </c>
      <c r="I39" t="s">
        <v>27</v>
      </c>
      <c r="L39" t="s">
        <v>33</v>
      </c>
    </row>
    <row r="40" spans="1:12" x14ac:dyDescent="0.35">
      <c r="A40" t="s">
        <v>20</v>
      </c>
      <c r="B40">
        <v>17644</v>
      </c>
      <c r="C40" t="s">
        <v>21</v>
      </c>
      <c r="D40" t="s">
        <v>22</v>
      </c>
      <c r="E40" t="s">
        <v>10920</v>
      </c>
      <c r="F40" t="s">
        <v>7965</v>
      </c>
      <c r="G40" t="s">
        <v>7965</v>
      </c>
      <c r="H40" t="s">
        <v>7966</v>
      </c>
      <c r="I40" t="s">
        <v>27</v>
      </c>
      <c r="L40" t="s">
        <v>33</v>
      </c>
    </row>
    <row r="41" spans="1:12" x14ac:dyDescent="0.35">
      <c r="A41" t="s">
        <v>20</v>
      </c>
      <c r="B41">
        <v>17644</v>
      </c>
      <c r="C41" t="s">
        <v>21</v>
      </c>
      <c r="D41" t="s">
        <v>22</v>
      </c>
      <c r="E41" t="s">
        <v>10921</v>
      </c>
      <c r="F41" t="s">
        <v>7972</v>
      </c>
      <c r="G41" t="s">
        <v>7972</v>
      </c>
      <c r="H41" t="s">
        <v>7973</v>
      </c>
      <c r="I41" t="s">
        <v>27</v>
      </c>
      <c r="L41" t="s">
        <v>33</v>
      </c>
    </row>
    <row r="42" spans="1:12" x14ac:dyDescent="0.35">
      <c r="A42" t="s">
        <v>20</v>
      </c>
      <c r="B42">
        <v>17644</v>
      </c>
      <c r="C42" t="s">
        <v>21</v>
      </c>
      <c r="D42" t="s">
        <v>22</v>
      </c>
      <c r="E42" t="s">
        <v>10922</v>
      </c>
      <c r="F42" t="s">
        <v>7822</v>
      </c>
      <c r="G42" t="s">
        <v>7822</v>
      </c>
      <c r="H42" t="s">
        <v>10923</v>
      </c>
      <c r="I42" t="s">
        <v>27</v>
      </c>
      <c r="L42" t="s">
        <v>33</v>
      </c>
    </row>
    <row r="43" spans="1:12" x14ac:dyDescent="0.35">
      <c r="A43" t="s">
        <v>20</v>
      </c>
      <c r="B43">
        <v>17644</v>
      </c>
      <c r="C43" t="s">
        <v>21</v>
      </c>
      <c r="D43" t="s">
        <v>22</v>
      </c>
      <c r="E43" t="s">
        <v>10924</v>
      </c>
      <c r="F43" t="s">
        <v>7826</v>
      </c>
      <c r="G43" t="s">
        <v>7826</v>
      </c>
      <c r="H43" t="s">
        <v>7980</v>
      </c>
      <c r="I43" t="s">
        <v>27</v>
      </c>
      <c r="L43" t="s">
        <v>33</v>
      </c>
    </row>
    <row r="44" spans="1:12" x14ac:dyDescent="0.35">
      <c r="A44" t="s">
        <v>20</v>
      </c>
      <c r="B44">
        <v>17644</v>
      </c>
      <c r="C44" t="s">
        <v>21</v>
      </c>
      <c r="D44" t="s">
        <v>22</v>
      </c>
      <c r="E44" t="s">
        <v>10925</v>
      </c>
      <c r="F44" t="s">
        <v>7830</v>
      </c>
      <c r="G44" t="s">
        <v>7830</v>
      </c>
      <c r="H44" t="s">
        <v>7984</v>
      </c>
      <c r="I44" t="s">
        <v>27</v>
      </c>
      <c r="L44" t="s">
        <v>33</v>
      </c>
    </row>
    <row r="45" spans="1:12" x14ac:dyDescent="0.35">
      <c r="A45" t="s">
        <v>20</v>
      </c>
      <c r="B45">
        <v>17644</v>
      </c>
      <c r="C45" t="s">
        <v>21</v>
      </c>
      <c r="D45" t="s">
        <v>22</v>
      </c>
      <c r="E45" t="s">
        <v>10926</v>
      </c>
      <c r="F45" t="s">
        <v>7995</v>
      </c>
      <c r="G45" t="s">
        <v>7995</v>
      </c>
      <c r="H45" t="s">
        <v>7997</v>
      </c>
      <c r="I45" t="s">
        <v>27</v>
      </c>
      <c r="L45" t="s">
        <v>33</v>
      </c>
    </row>
    <row r="46" spans="1:12" x14ac:dyDescent="0.35">
      <c r="A46" t="s">
        <v>20</v>
      </c>
      <c r="B46">
        <v>17644</v>
      </c>
      <c r="C46" t="s">
        <v>21</v>
      </c>
      <c r="D46" t="s">
        <v>22</v>
      </c>
      <c r="E46" t="s">
        <v>10927</v>
      </c>
      <c r="F46" t="s">
        <v>7842</v>
      </c>
      <c r="G46" t="s">
        <v>7842</v>
      </c>
      <c r="H46" t="s">
        <v>8002</v>
      </c>
      <c r="I46" t="s">
        <v>27</v>
      </c>
      <c r="L46" t="s">
        <v>33</v>
      </c>
    </row>
    <row r="47" spans="1:12" x14ac:dyDescent="0.35">
      <c r="A47" t="s">
        <v>20</v>
      </c>
      <c r="B47">
        <v>17644</v>
      </c>
      <c r="C47" t="s">
        <v>21</v>
      </c>
      <c r="D47" t="s">
        <v>22</v>
      </c>
      <c r="E47" t="s">
        <v>10928</v>
      </c>
      <c r="F47" t="s">
        <v>8004</v>
      </c>
      <c r="G47" t="s">
        <v>8004</v>
      </c>
      <c r="H47" t="s">
        <v>10929</v>
      </c>
      <c r="I47" t="s">
        <v>27</v>
      </c>
      <c r="L47" t="s">
        <v>33</v>
      </c>
    </row>
    <row r="48" spans="1:12" x14ac:dyDescent="0.35">
      <c r="A48" t="s">
        <v>20</v>
      </c>
      <c r="B48">
        <v>17645</v>
      </c>
      <c r="C48" t="s">
        <v>949</v>
      </c>
      <c r="D48" t="s">
        <v>950</v>
      </c>
      <c r="E48" t="s">
        <v>10856</v>
      </c>
      <c r="F48" t="s">
        <v>10930</v>
      </c>
      <c r="G48" t="s">
        <v>10930</v>
      </c>
      <c r="H48" t="s">
        <v>10931</v>
      </c>
      <c r="I48" t="s">
        <v>1090</v>
      </c>
      <c r="L48" t="s">
        <v>33</v>
      </c>
    </row>
    <row r="49" spans="1:12" x14ac:dyDescent="0.35">
      <c r="A49" t="s">
        <v>20</v>
      </c>
      <c r="B49">
        <v>17645</v>
      </c>
      <c r="C49" t="s">
        <v>949</v>
      </c>
      <c r="D49" t="s">
        <v>950</v>
      </c>
      <c r="E49" t="s">
        <v>10857</v>
      </c>
      <c r="F49" t="s">
        <v>10932</v>
      </c>
      <c r="G49" t="s">
        <v>10932</v>
      </c>
      <c r="H49" t="s">
        <v>10933</v>
      </c>
      <c r="I49" t="s">
        <v>1090</v>
      </c>
      <c r="L49" t="s">
        <v>33</v>
      </c>
    </row>
    <row r="50" spans="1:12" x14ac:dyDescent="0.35">
      <c r="A50" t="s">
        <v>20</v>
      </c>
      <c r="B50">
        <v>17645</v>
      </c>
      <c r="C50" t="s">
        <v>949</v>
      </c>
      <c r="D50" t="s">
        <v>950</v>
      </c>
      <c r="E50" t="s">
        <v>10859</v>
      </c>
      <c r="F50" t="s">
        <v>10934</v>
      </c>
      <c r="G50" t="s">
        <v>10934</v>
      </c>
      <c r="H50" t="s">
        <v>10935</v>
      </c>
      <c r="I50" t="s">
        <v>1090</v>
      </c>
      <c r="L50" t="s">
        <v>33</v>
      </c>
    </row>
    <row r="51" spans="1:12" x14ac:dyDescent="0.35">
      <c r="A51" t="s">
        <v>20</v>
      </c>
      <c r="B51">
        <v>17645</v>
      </c>
      <c r="C51" t="s">
        <v>949</v>
      </c>
      <c r="D51" t="s">
        <v>950</v>
      </c>
      <c r="E51" t="s">
        <v>10862</v>
      </c>
      <c r="F51" t="s">
        <v>10936</v>
      </c>
      <c r="G51" t="s">
        <v>10936</v>
      </c>
      <c r="H51" t="s">
        <v>10937</v>
      </c>
      <c r="I51" t="s">
        <v>1090</v>
      </c>
      <c r="L51" t="s">
        <v>33</v>
      </c>
    </row>
    <row r="52" spans="1:12" x14ac:dyDescent="0.35">
      <c r="A52" t="s">
        <v>20</v>
      </c>
      <c r="B52">
        <v>17645</v>
      </c>
      <c r="C52" t="s">
        <v>949</v>
      </c>
      <c r="D52" t="s">
        <v>950</v>
      </c>
      <c r="E52" t="s">
        <v>10863</v>
      </c>
      <c r="F52" t="s">
        <v>8144</v>
      </c>
      <c r="G52" t="s">
        <v>8144</v>
      </c>
      <c r="H52" t="s">
        <v>10938</v>
      </c>
      <c r="I52" t="s">
        <v>1090</v>
      </c>
      <c r="L52" t="s">
        <v>33</v>
      </c>
    </row>
    <row r="53" spans="1:12" x14ac:dyDescent="0.35">
      <c r="A53" t="s">
        <v>20</v>
      </c>
      <c r="B53">
        <v>17645</v>
      </c>
      <c r="C53" t="s">
        <v>949</v>
      </c>
      <c r="D53" t="s">
        <v>950</v>
      </c>
      <c r="E53" t="s">
        <v>10864</v>
      </c>
      <c r="F53" t="s">
        <v>10939</v>
      </c>
      <c r="G53" t="s">
        <v>10939</v>
      </c>
      <c r="H53" t="s">
        <v>10940</v>
      </c>
      <c r="I53" t="s">
        <v>1090</v>
      </c>
      <c r="L53" t="s">
        <v>33</v>
      </c>
    </row>
    <row r="54" spans="1:12" x14ac:dyDescent="0.35">
      <c r="A54" t="s">
        <v>20</v>
      </c>
      <c r="B54">
        <v>17645</v>
      </c>
      <c r="C54" t="s">
        <v>949</v>
      </c>
      <c r="D54" t="s">
        <v>950</v>
      </c>
      <c r="E54" t="s">
        <v>10866</v>
      </c>
      <c r="F54" t="s">
        <v>10941</v>
      </c>
      <c r="G54" t="s">
        <v>10941</v>
      </c>
      <c r="H54" t="s">
        <v>10942</v>
      </c>
      <c r="I54" t="s">
        <v>1090</v>
      </c>
      <c r="L54" t="s">
        <v>33</v>
      </c>
    </row>
    <row r="55" spans="1:12" x14ac:dyDescent="0.35">
      <c r="A55" t="s">
        <v>20</v>
      </c>
      <c r="B55">
        <v>17645</v>
      </c>
      <c r="C55" t="s">
        <v>949</v>
      </c>
      <c r="D55" t="s">
        <v>950</v>
      </c>
      <c r="E55" t="s">
        <v>10869</v>
      </c>
      <c r="F55" t="s">
        <v>8157</v>
      </c>
      <c r="G55" t="s">
        <v>8157</v>
      </c>
      <c r="H55" t="s">
        <v>10943</v>
      </c>
      <c r="I55" t="s">
        <v>1090</v>
      </c>
      <c r="L55" t="s">
        <v>33</v>
      </c>
    </row>
    <row r="56" spans="1:12" x14ac:dyDescent="0.35">
      <c r="A56" t="s">
        <v>20</v>
      </c>
      <c r="B56">
        <v>17645</v>
      </c>
      <c r="C56" t="s">
        <v>949</v>
      </c>
      <c r="D56" t="s">
        <v>950</v>
      </c>
      <c r="E56" t="s">
        <v>10871</v>
      </c>
      <c r="F56" t="s">
        <v>8162</v>
      </c>
      <c r="G56" t="s">
        <v>8162</v>
      </c>
      <c r="H56" t="s">
        <v>10944</v>
      </c>
      <c r="I56" t="s">
        <v>1090</v>
      </c>
      <c r="L56" t="s">
        <v>33</v>
      </c>
    </row>
    <row r="57" spans="1:12" x14ac:dyDescent="0.35">
      <c r="A57" t="s">
        <v>20</v>
      </c>
      <c r="B57">
        <v>17645</v>
      </c>
      <c r="C57" t="s">
        <v>949</v>
      </c>
      <c r="D57" t="s">
        <v>950</v>
      </c>
      <c r="E57" t="s">
        <v>10874</v>
      </c>
      <c r="F57" t="s">
        <v>8167</v>
      </c>
      <c r="G57" t="s">
        <v>8167</v>
      </c>
      <c r="H57" t="s">
        <v>10945</v>
      </c>
      <c r="I57" t="s">
        <v>1090</v>
      </c>
      <c r="L57" t="s">
        <v>33</v>
      </c>
    </row>
    <row r="58" spans="1:12" x14ac:dyDescent="0.35">
      <c r="A58" t="s">
        <v>20</v>
      </c>
      <c r="B58">
        <v>17645</v>
      </c>
      <c r="C58" t="s">
        <v>949</v>
      </c>
      <c r="D58" t="s">
        <v>950</v>
      </c>
      <c r="E58" t="s">
        <v>10875</v>
      </c>
      <c r="F58" t="s">
        <v>8168</v>
      </c>
      <c r="G58" t="s">
        <v>8168</v>
      </c>
      <c r="H58" t="s">
        <v>10946</v>
      </c>
      <c r="I58" t="s">
        <v>1090</v>
      </c>
      <c r="L58" t="s">
        <v>33</v>
      </c>
    </row>
    <row r="59" spans="1:12" x14ac:dyDescent="0.35">
      <c r="A59" t="s">
        <v>20</v>
      </c>
      <c r="B59">
        <v>17645</v>
      </c>
      <c r="C59" t="s">
        <v>949</v>
      </c>
      <c r="D59" t="s">
        <v>950</v>
      </c>
      <c r="E59" t="s">
        <v>10876</v>
      </c>
      <c r="F59" t="s">
        <v>10947</v>
      </c>
      <c r="G59" t="s">
        <v>10947</v>
      </c>
      <c r="H59" t="s">
        <v>10948</v>
      </c>
      <c r="I59" t="s">
        <v>1090</v>
      </c>
      <c r="L59" t="s">
        <v>33</v>
      </c>
    </row>
    <row r="60" spans="1:12" x14ac:dyDescent="0.35">
      <c r="A60" t="s">
        <v>20</v>
      </c>
      <c r="B60">
        <v>17645</v>
      </c>
      <c r="C60" t="s">
        <v>949</v>
      </c>
      <c r="D60" t="s">
        <v>950</v>
      </c>
      <c r="E60" t="s">
        <v>10877</v>
      </c>
      <c r="F60" t="s">
        <v>8173</v>
      </c>
      <c r="G60" t="s">
        <v>8173</v>
      </c>
      <c r="H60" t="s">
        <v>10949</v>
      </c>
      <c r="I60" t="s">
        <v>1090</v>
      </c>
      <c r="L60" t="s">
        <v>33</v>
      </c>
    </row>
    <row r="61" spans="1:12" x14ac:dyDescent="0.35">
      <c r="A61" t="s">
        <v>20</v>
      </c>
      <c r="B61">
        <v>17645</v>
      </c>
      <c r="C61" t="s">
        <v>949</v>
      </c>
      <c r="D61" t="s">
        <v>950</v>
      </c>
      <c r="E61" t="s">
        <v>10879</v>
      </c>
      <c r="F61" t="s">
        <v>8180</v>
      </c>
      <c r="G61" t="s">
        <v>8180</v>
      </c>
      <c r="H61" t="s">
        <v>10950</v>
      </c>
      <c r="I61" t="s">
        <v>1090</v>
      </c>
      <c r="L61" t="s">
        <v>33</v>
      </c>
    </row>
    <row r="62" spans="1:12" x14ac:dyDescent="0.35">
      <c r="A62" t="s">
        <v>20</v>
      </c>
      <c r="B62">
        <v>17645</v>
      </c>
      <c r="C62" t="s">
        <v>949</v>
      </c>
      <c r="D62" t="s">
        <v>950</v>
      </c>
      <c r="E62" t="s">
        <v>10880</v>
      </c>
      <c r="F62" t="s">
        <v>8192</v>
      </c>
      <c r="G62" t="s">
        <v>8192</v>
      </c>
      <c r="H62" t="s">
        <v>10951</v>
      </c>
      <c r="I62" t="s">
        <v>1090</v>
      </c>
      <c r="L62" t="s">
        <v>33</v>
      </c>
    </row>
    <row r="63" spans="1:12" x14ac:dyDescent="0.35">
      <c r="A63" t="s">
        <v>20</v>
      </c>
      <c r="B63">
        <v>17645</v>
      </c>
      <c r="C63" t="s">
        <v>949</v>
      </c>
      <c r="D63" t="s">
        <v>950</v>
      </c>
      <c r="E63" t="s">
        <v>10882</v>
      </c>
      <c r="F63" t="s">
        <v>10952</v>
      </c>
      <c r="G63" t="s">
        <v>10952</v>
      </c>
      <c r="H63" t="s">
        <v>10953</v>
      </c>
      <c r="I63" t="s">
        <v>1090</v>
      </c>
      <c r="L63" t="s">
        <v>33</v>
      </c>
    </row>
    <row r="64" spans="1:12" x14ac:dyDescent="0.35">
      <c r="A64" t="s">
        <v>20</v>
      </c>
      <c r="B64">
        <v>17645</v>
      </c>
      <c r="C64" t="s">
        <v>949</v>
      </c>
      <c r="D64" t="s">
        <v>950</v>
      </c>
      <c r="E64" t="s">
        <v>10883</v>
      </c>
      <c r="F64" t="s">
        <v>8202</v>
      </c>
      <c r="G64" t="s">
        <v>8202</v>
      </c>
      <c r="H64" t="s">
        <v>10954</v>
      </c>
      <c r="I64" t="s">
        <v>1090</v>
      </c>
      <c r="L64" t="s">
        <v>33</v>
      </c>
    </row>
    <row r="65" spans="1:12" x14ac:dyDescent="0.35">
      <c r="A65" t="s">
        <v>20</v>
      </c>
      <c r="B65">
        <v>17645</v>
      </c>
      <c r="C65" t="s">
        <v>949</v>
      </c>
      <c r="D65" t="s">
        <v>950</v>
      </c>
      <c r="E65" t="s">
        <v>10885</v>
      </c>
      <c r="F65" t="s">
        <v>8205</v>
      </c>
      <c r="G65" t="s">
        <v>8205</v>
      </c>
      <c r="H65" t="s">
        <v>10955</v>
      </c>
      <c r="I65" t="s">
        <v>1090</v>
      </c>
      <c r="L65" t="s">
        <v>33</v>
      </c>
    </row>
    <row r="66" spans="1:12" x14ac:dyDescent="0.35">
      <c r="A66" t="s">
        <v>20</v>
      </c>
      <c r="B66">
        <v>17645</v>
      </c>
      <c r="C66" t="s">
        <v>949</v>
      </c>
      <c r="D66" t="s">
        <v>950</v>
      </c>
      <c r="E66" t="s">
        <v>10888</v>
      </c>
      <c r="F66" t="s">
        <v>8215</v>
      </c>
      <c r="G66" t="s">
        <v>8215</v>
      </c>
      <c r="H66" t="s">
        <v>10956</v>
      </c>
      <c r="I66" t="s">
        <v>1090</v>
      </c>
      <c r="L66" t="s">
        <v>33</v>
      </c>
    </row>
    <row r="67" spans="1:12" x14ac:dyDescent="0.35">
      <c r="A67" t="s">
        <v>20</v>
      </c>
      <c r="B67">
        <v>17645</v>
      </c>
      <c r="C67" t="s">
        <v>949</v>
      </c>
      <c r="D67" t="s">
        <v>950</v>
      </c>
      <c r="E67" t="s">
        <v>10889</v>
      </c>
      <c r="F67" t="s">
        <v>10957</v>
      </c>
      <c r="G67" t="s">
        <v>10957</v>
      </c>
      <c r="H67" t="s">
        <v>10958</v>
      </c>
      <c r="I67" t="s">
        <v>1090</v>
      </c>
      <c r="L67" t="s">
        <v>33</v>
      </c>
    </row>
    <row r="68" spans="1:12" x14ac:dyDescent="0.35">
      <c r="A68" t="s">
        <v>20</v>
      </c>
      <c r="B68">
        <v>17645</v>
      </c>
      <c r="C68" t="s">
        <v>949</v>
      </c>
      <c r="D68" t="s">
        <v>950</v>
      </c>
      <c r="E68" t="s">
        <v>10891</v>
      </c>
      <c r="F68" t="s">
        <v>10959</v>
      </c>
      <c r="G68" t="s">
        <v>10959</v>
      </c>
      <c r="H68" t="s">
        <v>10960</v>
      </c>
      <c r="I68" t="s">
        <v>1090</v>
      </c>
      <c r="L68" t="s">
        <v>33</v>
      </c>
    </row>
    <row r="69" spans="1:12" x14ac:dyDescent="0.35">
      <c r="A69" t="s">
        <v>20</v>
      </c>
      <c r="B69">
        <v>17645</v>
      </c>
      <c r="C69" t="s">
        <v>949</v>
      </c>
      <c r="D69" t="s">
        <v>950</v>
      </c>
      <c r="E69" t="s">
        <v>10893</v>
      </c>
      <c r="F69" t="s">
        <v>8221</v>
      </c>
      <c r="G69" t="s">
        <v>8221</v>
      </c>
      <c r="H69" t="s">
        <v>10961</v>
      </c>
      <c r="I69" t="s">
        <v>1090</v>
      </c>
      <c r="L69" t="s">
        <v>33</v>
      </c>
    </row>
    <row r="70" spans="1:12" x14ac:dyDescent="0.35">
      <c r="A70" t="s">
        <v>20</v>
      </c>
      <c r="B70">
        <v>17645</v>
      </c>
      <c r="C70" t="s">
        <v>949</v>
      </c>
      <c r="D70" t="s">
        <v>950</v>
      </c>
      <c r="E70" t="s">
        <v>10896</v>
      </c>
      <c r="F70" t="s">
        <v>8224</v>
      </c>
      <c r="G70" t="s">
        <v>8224</v>
      </c>
      <c r="H70" t="s">
        <v>10962</v>
      </c>
      <c r="I70" t="s">
        <v>1090</v>
      </c>
      <c r="L70" t="s">
        <v>33</v>
      </c>
    </row>
    <row r="71" spans="1:12" x14ac:dyDescent="0.35">
      <c r="A71" t="s">
        <v>20</v>
      </c>
      <c r="B71">
        <v>17645</v>
      </c>
      <c r="C71" t="s">
        <v>949</v>
      </c>
      <c r="D71" t="s">
        <v>950</v>
      </c>
      <c r="E71" t="s">
        <v>10898</v>
      </c>
      <c r="F71" t="s">
        <v>8226</v>
      </c>
      <c r="G71" t="s">
        <v>8226</v>
      </c>
      <c r="H71" t="s">
        <v>10963</v>
      </c>
      <c r="I71" t="s">
        <v>1090</v>
      </c>
      <c r="L71" t="s">
        <v>33</v>
      </c>
    </row>
    <row r="72" spans="1:12" x14ac:dyDescent="0.35">
      <c r="A72" t="s">
        <v>20</v>
      </c>
      <c r="B72">
        <v>17645</v>
      </c>
      <c r="C72" t="s">
        <v>949</v>
      </c>
      <c r="D72" t="s">
        <v>950</v>
      </c>
      <c r="E72" t="s">
        <v>10900</v>
      </c>
      <c r="F72" t="s">
        <v>8229</v>
      </c>
      <c r="G72" t="s">
        <v>8229</v>
      </c>
      <c r="H72" t="s">
        <v>10964</v>
      </c>
      <c r="I72" t="s">
        <v>1090</v>
      </c>
      <c r="L72" t="s">
        <v>33</v>
      </c>
    </row>
    <row r="73" spans="1:12" x14ac:dyDescent="0.35">
      <c r="A73" t="s">
        <v>20</v>
      </c>
      <c r="B73">
        <v>17645</v>
      </c>
      <c r="C73" t="s">
        <v>949</v>
      </c>
      <c r="D73" t="s">
        <v>950</v>
      </c>
      <c r="E73" t="s">
        <v>10965</v>
      </c>
      <c r="F73" t="s">
        <v>8234</v>
      </c>
      <c r="G73" t="s">
        <v>8234</v>
      </c>
      <c r="H73" t="s">
        <v>10966</v>
      </c>
      <c r="I73" t="s">
        <v>1090</v>
      </c>
      <c r="L73" t="s">
        <v>33</v>
      </c>
    </row>
    <row r="74" spans="1:12" x14ac:dyDescent="0.35">
      <c r="A74" t="s">
        <v>20</v>
      </c>
      <c r="B74">
        <v>17645</v>
      </c>
      <c r="C74" t="s">
        <v>949</v>
      </c>
      <c r="D74" t="s">
        <v>950</v>
      </c>
      <c r="E74" t="s">
        <v>10967</v>
      </c>
      <c r="F74" t="s">
        <v>8241</v>
      </c>
      <c r="G74" t="s">
        <v>8241</v>
      </c>
      <c r="H74" t="s">
        <v>10968</v>
      </c>
      <c r="I74" t="s">
        <v>1090</v>
      </c>
      <c r="L74" t="s">
        <v>33</v>
      </c>
    </row>
    <row r="75" spans="1:12" x14ac:dyDescent="0.35">
      <c r="A75" t="s">
        <v>20</v>
      </c>
      <c r="B75">
        <v>17645</v>
      </c>
      <c r="C75" t="s">
        <v>949</v>
      </c>
      <c r="D75" t="s">
        <v>950</v>
      </c>
      <c r="E75" t="s">
        <v>10902</v>
      </c>
      <c r="F75" t="s">
        <v>8014</v>
      </c>
      <c r="G75" t="s">
        <v>8014</v>
      </c>
      <c r="H75" t="s">
        <v>10969</v>
      </c>
      <c r="I75" t="s">
        <v>954</v>
      </c>
      <c r="L75" t="s">
        <v>33</v>
      </c>
    </row>
    <row r="76" spans="1:12" x14ac:dyDescent="0.35">
      <c r="A76" t="s">
        <v>20</v>
      </c>
      <c r="B76">
        <v>17645</v>
      </c>
      <c r="C76" t="s">
        <v>949</v>
      </c>
      <c r="D76" t="s">
        <v>950</v>
      </c>
      <c r="E76" t="s">
        <v>10903</v>
      </c>
      <c r="F76" t="s">
        <v>10970</v>
      </c>
      <c r="G76" t="s">
        <v>10970</v>
      </c>
      <c r="H76" t="s">
        <v>10971</v>
      </c>
      <c r="I76" t="s">
        <v>954</v>
      </c>
      <c r="L76" t="s">
        <v>33</v>
      </c>
    </row>
    <row r="77" spans="1:12" x14ac:dyDescent="0.35">
      <c r="A77" t="s">
        <v>20</v>
      </c>
      <c r="B77">
        <v>17645</v>
      </c>
      <c r="C77" t="s">
        <v>949</v>
      </c>
      <c r="D77" t="s">
        <v>950</v>
      </c>
      <c r="E77" t="s">
        <v>10904</v>
      </c>
      <c r="F77" t="s">
        <v>10972</v>
      </c>
      <c r="G77" t="s">
        <v>10972</v>
      </c>
      <c r="H77" t="s">
        <v>10973</v>
      </c>
      <c r="I77" t="s">
        <v>954</v>
      </c>
      <c r="L77" t="s">
        <v>33</v>
      </c>
    </row>
    <row r="78" spans="1:12" x14ac:dyDescent="0.35">
      <c r="A78" t="s">
        <v>20</v>
      </c>
      <c r="B78">
        <v>17645</v>
      </c>
      <c r="C78" t="s">
        <v>949</v>
      </c>
      <c r="D78" t="s">
        <v>950</v>
      </c>
      <c r="E78" t="s">
        <v>10907</v>
      </c>
      <c r="F78" t="s">
        <v>10974</v>
      </c>
      <c r="G78" t="s">
        <v>10974</v>
      </c>
      <c r="H78" t="s">
        <v>10975</v>
      </c>
      <c r="I78" t="s">
        <v>954</v>
      </c>
      <c r="L78" t="s">
        <v>33</v>
      </c>
    </row>
    <row r="79" spans="1:12" x14ac:dyDescent="0.35">
      <c r="A79" t="s">
        <v>20</v>
      </c>
      <c r="B79">
        <v>17645</v>
      </c>
      <c r="C79" t="s">
        <v>949</v>
      </c>
      <c r="D79" t="s">
        <v>950</v>
      </c>
      <c r="E79" t="s">
        <v>10908</v>
      </c>
      <c r="F79" t="s">
        <v>8027</v>
      </c>
      <c r="G79" t="s">
        <v>8027</v>
      </c>
      <c r="H79" t="s">
        <v>10976</v>
      </c>
      <c r="I79" t="s">
        <v>954</v>
      </c>
      <c r="L79" t="s">
        <v>33</v>
      </c>
    </row>
    <row r="80" spans="1:12" x14ac:dyDescent="0.35">
      <c r="A80" t="s">
        <v>20</v>
      </c>
      <c r="B80">
        <v>17645</v>
      </c>
      <c r="C80" t="s">
        <v>949</v>
      </c>
      <c r="D80" t="s">
        <v>950</v>
      </c>
      <c r="E80" t="s">
        <v>10909</v>
      </c>
      <c r="F80" t="s">
        <v>8032</v>
      </c>
      <c r="G80" t="s">
        <v>8032</v>
      </c>
      <c r="H80" t="s">
        <v>10977</v>
      </c>
      <c r="I80" t="s">
        <v>954</v>
      </c>
      <c r="L80" t="s">
        <v>33</v>
      </c>
    </row>
    <row r="81" spans="1:12" x14ac:dyDescent="0.35">
      <c r="A81" t="s">
        <v>20</v>
      </c>
      <c r="B81">
        <v>17645</v>
      </c>
      <c r="C81" t="s">
        <v>949</v>
      </c>
      <c r="D81" t="s">
        <v>950</v>
      </c>
      <c r="E81" t="s">
        <v>10910</v>
      </c>
      <c r="F81" t="s">
        <v>8034</v>
      </c>
      <c r="G81" t="s">
        <v>8034</v>
      </c>
      <c r="H81" t="s">
        <v>10978</v>
      </c>
      <c r="I81" t="s">
        <v>954</v>
      </c>
      <c r="L81" t="s">
        <v>33</v>
      </c>
    </row>
    <row r="82" spans="1:12" x14ac:dyDescent="0.35">
      <c r="A82" t="s">
        <v>20</v>
      </c>
      <c r="B82">
        <v>17645</v>
      </c>
      <c r="C82" t="s">
        <v>949</v>
      </c>
      <c r="D82" t="s">
        <v>950</v>
      </c>
      <c r="E82" t="s">
        <v>10911</v>
      </c>
      <c r="F82" t="s">
        <v>8037</v>
      </c>
      <c r="G82" t="s">
        <v>8037</v>
      </c>
      <c r="H82" t="s">
        <v>10979</v>
      </c>
      <c r="I82" t="s">
        <v>954</v>
      </c>
      <c r="L82" t="s">
        <v>33</v>
      </c>
    </row>
    <row r="83" spans="1:12" x14ac:dyDescent="0.35">
      <c r="A83" t="s">
        <v>20</v>
      </c>
      <c r="B83">
        <v>17645</v>
      </c>
      <c r="C83" t="s">
        <v>949</v>
      </c>
      <c r="D83" t="s">
        <v>950</v>
      </c>
      <c r="E83" t="s">
        <v>10912</v>
      </c>
      <c r="F83" t="s">
        <v>8039</v>
      </c>
      <c r="G83" t="s">
        <v>8039</v>
      </c>
      <c r="H83" t="s">
        <v>10980</v>
      </c>
      <c r="I83" t="s">
        <v>954</v>
      </c>
      <c r="L83" t="s">
        <v>33</v>
      </c>
    </row>
    <row r="84" spans="1:12" x14ac:dyDescent="0.35">
      <c r="A84" t="s">
        <v>20</v>
      </c>
      <c r="B84">
        <v>17645</v>
      </c>
      <c r="C84" t="s">
        <v>949</v>
      </c>
      <c r="D84" t="s">
        <v>950</v>
      </c>
      <c r="E84" t="s">
        <v>10914</v>
      </c>
      <c r="F84" t="s">
        <v>8044</v>
      </c>
      <c r="G84" t="s">
        <v>8044</v>
      </c>
      <c r="H84" t="s">
        <v>10981</v>
      </c>
      <c r="I84" t="s">
        <v>954</v>
      </c>
      <c r="L84" t="s">
        <v>33</v>
      </c>
    </row>
    <row r="85" spans="1:12" x14ac:dyDescent="0.35">
      <c r="A85" t="s">
        <v>20</v>
      </c>
      <c r="B85">
        <v>17645</v>
      </c>
      <c r="C85" t="s">
        <v>949</v>
      </c>
      <c r="D85" t="s">
        <v>950</v>
      </c>
      <c r="E85" t="s">
        <v>10915</v>
      </c>
      <c r="F85" t="s">
        <v>8176</v>
      </c>
      <c r="G85" t="s">
        <v>8176</v>
      </c>
      <c r="H85" t="s">
        <v>10982</v>
      </c>
      <c r="I85" t="s">
        <v>954</v>
      </c>
      <c r="L85" t="s">
        <v>33</v>
      </c>
    </row>
    <row r="86" spans="1:12" x14ac:dyDescent="0.35">
      <c r="A86" t="s">
        <v>20</v>
      </c>
      <c r="B86">
        <v>17645</v>
      </c>
      <c r="C86" t="s">
        <v>949</v>
      </c>
      <c r="D86" t="s">
        <v>950</v>
      </c>
      <c r="E86" t="s">
        <v>10916</v>
      </c>
      <c r="F86" t="s">
        <v>8064</v>
      </c>
      <c r="G86" t="s">
        <v>8064</v>
      </c>
      <c r="H86" t="s">
        <v>10983</v>
      </c>
      <c r="I86" t="s">
        <v>954</v>
      </c>
      <c r="L86" t="s">
        <v>33</v>
      </c>
    </row>
    <row r="87" spans="1:12" x14ac:dyDescent="0.35">
      <c r="A87" t="s">
        <v>20</v>
      </c>
      <c r="B87">
        <v>17645</v>
      </c>
      <c r="C87" t="s">
        <v>949</v>
      </c>
      <c r="D87" t="s">
        <v>950</v>
      </c>
      <c r="E87" t="s">
        <v>10918</v>
      </c>
      <c r="F87" t="s">
        <v>10984</v>
      </c>
      <c r="G87" t="s">
        <v>10984</v>
      </c>
      <c r="H87" t="s">
        <v>10985</v>
      </c>
      <c r="I87" t="s">
        <v>954</v>
      </c>
      <c r="L87" t="s">
        <v>33</v>
      </c>
    </row>
    <row r="88" spans="1:12" x14ac:dyDescent="0.35">
      <c r="A88" t="s">
        <v>20</v>
      </c>
      <c r="B88">
        <v>17645</v>
      </c>
      <c r="C88" t="s">
        <v>949</v>
      </c>
      <c r="D88" t="s">
        <v>950</v>
      </c>
      <c r="E88" t="s">
        <v>10920</v>
      </c>
      <c r="F88" t="s">
        <v>8069</v>
      </c>
      <c r="G88" t="s">
        <v>8069</v>
      </c>
      <c r="H88" t="s">
        <v>10986</v>
      </c>
      <c r="I88" t="s">
        <v>954</v>
      </c>
      <c r="L88" t="s">
        <v>33</v>
      </c>
    </row>
    <row r="89" spans="1:12" x14ac:dyDescent="0.35">
      <c r="A89" t="s">
        <v>20</v>
      </c>
      <c r="B89">
        <v>17645</v>
      </c>
      <c r="C89" t="s">
        <v>949</v>
      </c>
      <c r="D89" t="s">
        <v>950</v>
      </c>
      <c r="E89" t="s">
        <v>10921</v>
      </c>
      <c r="F89" t="s">
        <v>8079</v>
      </c>
      <c r="G89" t="s">
        <v>8079</v>
      </c>
      <c r="H89" t="s">
        <v>8187</v>
      </c>
      <c r="I89" t="s">
        <v>954</v>
      </c>
      <c r="L89" t="s">
        <v>33</v>
      </c>
    </row>
    <row r="90" spans="1:12" x14ac:dyDescent="0.35">
      <c r="A90" t="s">
        <v>20</v>
      </c>
      <c r="B90">
        <v>17645</v>
      </c>
      <c r="C90" t="s">
        <v>949</v>
      </c>
      <c r="D90" t="s">
        <v>950</v>
      </c>
      <c r="E90" t="s">
        <v>10922</v>
      </c>
      <c r="F90" t="s">
        <v>8082</v>
      </c>
      <c r="G90" t="s">
        <v>8082</v>
      </c>
      <c r="H90" t="s">
        <v>8190</v>
      </c>
      <c r="I90" t="s">
        <v>954</v>
      </c>
      <c r="L90" t="s">
        <v>33</v>
      </c>
    </row>
    <row r="91" spans="1:12" x14ac:dyDescent="0.35">
      <c r="A91" t="s">
        <v>20</v>
      </c>
      <c r="B91">
        <v>17645</v>
      </c>
      <c r="C91" t="s">
        <v>949</v>
      </c>
      <c r="D91" t="s">
        <v>950</v>
      </c>
      <c r="E91" t="s">
        <v>10924</v>
      </c>
      <c r="F91" t="s">
        <v>8092</v>
      </c>
      <c r="G91" t="s">
        <v>8092</v>
      </c>
      <c r="H91" t="s">
        <v>10987</v>
      </c>
      <c r="I91" t="s">
        <v>954</v>
      </c>
      <c r="L91" t="s">
        <v>33</v>
      </c>
    </row>
    <row r="92" spans="1:12" x14ac:dyDescent="0.35">
      <c r="A92" t="s">
        <v>20</v>
      </c>
      <c r="B92">
        <v>17645</v>
      </c>
      <c r="C92" t="s">
        <v>949</v>
      </c>
      <c r="D92" t="s">
        <v>950</v>
      </c>
      <c r="E92" t="s">
        <v>10925</v>
      </c>
      <c r="F92" t="s">
        <v>8097</v>
      </c>
      <c r="G92" t="s">
        <v>8097</v>
      </c>
      <c r="H92" t="s">
        <v>10988</v>
      </c>
      <c r="I92" t="s">
        <v>954</v>
      </c>
      <c r="L92" t="s">
        <v>33</v>
      </c>
    </row>
    <row r="93" spans="1:12" x14ac:dyDescent="0.35">
      <c r="A93" t="s">
        <v>20</v>
      </c>
      <c r="B93">
        <v>17645</v>
      </c>
      <c r="C93" t="s">
        <v>949</v>
      </c>
      <c r="D93" t="s">
        <v>950</v>
      </c>
      <c r="E93" t="s">
        <v>10926</v>
      </c>
      <c r="F93" t="s">
        <v>10989</v>
      </c>
      <c r="G93" t="s">
        <v>10989</v>
      </c>
      <c r="H93" t="s">
        <v>10990</v>
      </c>
      <c r="I93" t="s">
        <v>954</v>
      </c>
      <c r="L93" t="s">
        <v>33</v>
      </c>
    </row>
    <row r="94" spans="1:12" x14ac:dyDescent="0.35">
      <c r="A94" t="s">
        <v>20</v>
      </c>
      <c r="B94">
        <v>17645</v>
      </c>
      <c r="C94" t="s">
        <v>949</v>
      </c>
      <c r="D94" t="s">
        <v>950</v>
      </c>
      <c r="E94" t="s">
        <v>10927</v>
      </c>
      <c r="F94" t="s">
        <v>10991</v>
      </c>
      <c r="G94" t="s">
        <v>10991</v>
      </c>
      <c r="H94" t="s">
        <v>10992</v>
      </c>
      <c r="I94" t="s">
        <v>954</v>
      </c>
      <c r="L94" t="s">
        <v>33</v>
      </c>
    </row>
    <row r="95" spans="1:12" x14ac:dyDescent="0.35">
      <c r="A95" t="s">
        <v>20</v>
      </c>
      <c r="B95">
        <v>17645</v>
      </c>
      <c r="C95" t="s">
        <v>949</v>
      </c>
      <c r="D95" t="s">
        <v>950</v>
      </c>
      <c r="E95" t="s">
        <v>10928</v>
      </c>
      <c r="F95" t="s">
        <v>8114</v>
      </c>
      <c r="G95" t="s">
        <v>8114</v>
      </c>
      <c r="H95" t="s">
        <v>10993</v>
      </c>
      <c r="I95" t="s">
        <v>954</v>
      </c>
      <c r="L95" t="s">
        <v>33</v>
      </c>
    </row>
    <row r="96" spans="1:12" x14ac:dyDescent="0.35">
      <c r="A96" t="s">
        <v>20</v>
      </c>
      <c r="B96">
        <v>17645</v>
      </c>
      <c r="C96" t="s">
        <v>949</v>
      </c>
      <c r="D96" t="s">
        <v>950</v>
      </c>
      <c r="E96" t="s">
        <v>10994</v>
      </c>
      <c r="F96" t="s">
        <v>8117</v>
      </c>
      <c r="G96" t="s">
        <v>8117</v>
      </c>
      <c r="H96" t="s">
        <v>10995</v>
      </c>
      <c r="I96" t="s">
        <v>954</v>
      </c>
      <c r="L96" t="s">
        <v>33</v>
      </c>
    </row>
    <row r="97" spans="1:12" x14ac:dyDescent="0.35">
      <c r="A97" t="s">
        <v>20</v>
      </c>
      <c r="B97">
        <v>17645</v>
      </c>
      <c r="C97" t="s">
        <v>949</v>
      </c>
      <c r="D97" t="s">
        <v>950</v>
      </c>
      <c r="E97" t="s">
        <v>10996</v>
      </c>
      <c r="F97" t="s">
        <v>8121</v>
      </c>
      <c r="G97" t="s">
        <v>8121</v>
      </c>
      <c r="H97" t="s">
        <v>10997</v>
      </c>
      <c r="I97" t="s">
        <v>954</v>
      </c>
      <c r="L97" t="s">
        <v>33</v>
      </c>
    </row>
    <row r="98" spans="1:12" x14ac:dyDescent="0.35">
      <c r="A98" t="s">
        <v>20</v>
      </c>
      <c r="B98">
        <v>17645</v>
      </c>
      <c r="C98" t="s">
        <v>949</v>
      </c>
      <c r="D98" t="s">
        <v>950</v>
      </c>
      <c r="E98" t="s">
        <v>10998</v>
      </c>
      <c r="F98" t="s">
        <v>10999</v>
      </c>
      <c r="G98" t="s">
        <v>10999</v>
      </c>
      <c r="H98" t="s">
        <v>8239</v>
      </c>
      <c r="I98" t="s">
        <v>954</v>
      </c>
      <c r="L98" t="s">
        <v>33</v>
      </c>
    </row>
    <row r="99" spans="1:12" x14ac:dyDescent="0.35">
      <c r="A99" t="s">
        <v>20</v>
      </c>
      <c r="B99">
        <v>17645</v>
      </c>
      <c r="C99" t="s">
        <v>949</v>
      </c>
      <c r="D99" t="s">
        <v>950</v>
      </c>
      <c r="E99" t="s">
        <v>11000</v>
      </c>
      <c r="F99" t="s">
        <v>8123</v>
      </c>
      <c r="G99" t="s">
        <v>8123</v>
      </c>
      <c r="H99" t="s">
        <v>11001</v>
      </c>
      <c r="I99" t="s">
        <v>954</v>
      </c>
      <c r="L99" t="s">
        <v>33</v>
      </c>
    </row>
    <row r="100" spans="1:12" x14ac:dyDescent="0.35">
      <c r="A100" t="s">
        <v>20</v>
      </c>
      <c r="B100">
        <v>17645</v>
      </c>
      <c r="C100" t="s">
        <v>949</v>
      </c>
      <c r="D100" t="s">
        <v>950</v>
      </c>
      <c r="E100" t="s">
        <v>11002</v>
      </c>
      <c r="F100" t="s">
        <v>11003</v>
      </c>
      <c r="G100" t="s">
        <v>11003</v>
      </c>
      <c r="H100" t="s">
        <v>11004</v>
      </c>
      <c r="I100" t="s">
        <v>954</v>
      </c>
      <c r="L100" t="s">
        <v>33</v>
      </c>
    </row>
    <row r="101" spans="1:12" x14ac:dyDescent="0.35">
      <c r="A101" t="s">
        <v>20</v>
      </c>
      <c r="B101">
        <v>17645</v>
      </c>
      <c r="C101" t="s">
        <v>949</v>
      </c>
      <c r="D101" t="s">
        <v>950</v>
      </c>
      <c r="E101" t="s">
        <v>11005</v>
      </c>
      <c r="F101" t="s">
        <v>8128</v>
      </c>
      <c r="G101" t="s">
        <v>8128</v>
      </c>
      <c r="H101" t="s">
        <v>11006</v>
      </c>
      <c r="I101" t="s">
        <v>954</v>
      </c>
      <c r="L101" t="s">
        <v>33</v>
      </c>
    </row>
    <row r="102" spans="1:12" x14ac:dyDescent="0.35">
      <c r="A102" t="s">
        <v>20</v>
      </c>
      <c r="B102">
        <v>17645</v>
      </c>
      <c r="C102" t="s">
        <v>949</v>
      </c>
      <c r="D102" t="s">
        <v>950</v>
      </c>
      <c r="E102" t="s">
        <v>11007</v>
      </c>
      <c r="F102" t="s">
        <v>8130</v>
      </c>
      <c r="G102" t="s">
        <v>8130</v>
      </c>
      <c r="H102" t="s">
        <v>11008</v>
      </c>
      <c r="I102" t="s">
        <v>954</v>
      </c>
      <c r="L102" t="s">
        <v>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workbookViewId="0">
      <selection activeCell="I3" sqref="I3:I3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15</v>
      </c>
    </row>
    <row r="2" spans="1:12" x14ac:dyDescent="0.35">
      <c r="A2" t="s">
        <v>20</v>
      </c>
      <c r="B2">
        <v>17644</v>
      </c>
      <c r="C2" t="s">
        <v>21</v>
      </c>
      <c r="D2" t="s">
        <v>22</v>
      </c>
      <c r="E2" t="s">
        <v>11009</v>
      </c>
      <c r="F2" t="s">
        <v>7699</v>
      </c>
      <c r="G2" t="s">
        <v>7700</v>
      </c>
      <c r="H2" t="s">
        <v>7701</v>
      </c>
      <c r="I2" t="s">
        <v>27</v>
      </c>
      <c r="L2" t="s">
        <v>33</v>
      </c>
    </row>
    <row r="3" spans="1:12" x14ac:dyDescent="0.35">
      <c r="A3" t="s">
        <v>20</v>
      </c>
      <c r="B3">
        <v>17644</v>
      </c>
      <c r="C3" t="s">
        <v>21</v>
      </c>
      <c r="D3" t="s">
        <v>22</v>
      </c>
      <c r="E3" t="s">
        <v>11010</v>
      </c>
      <c r="F3" t="s">
        <v>7703</v>
      </c>
      <c r="G3" t="s">
        <v>7704</v>
      </c>
      <c r="H3" t="s">
        <v>7705</v>
      </c>
      <c r="I3" t="s">
        <v>27</v>
      </c>
      <c r="L3" t="s">
        <v>33</v>
      </c>
    </row>
    <row r="4" spans="1:12" x14ac:dyDescent="0.35">
      <c r="A4" t="s">
        <v>20</v>
      </c>
      <c r="B4">
        <v>17644</v>
      </c>
      <c r="C4" t="s">
        <v>21</v>
      </c>
      <c r="D4" t="s">
        <v>22</v>
      </c>
      <c r="E4" t="s">
        <v>11011</v>
      </c>
      <c r="F4" t="s">
        <v>11012</v>
      </c>
      <c r="G4" t="s">
        <v>11013</v>
      </c>
      <c r="H4" t="s">
        <v>11014</v>
      </c>
      <c r="I4" t="s">
        <v>27</v>
      </c>
      <c r="L4" t="s">
        <v>33</v>
      </c>
    </row>
    <row r="5" spans="1:12" x14ac:dyDescent="0.35">
      <c r="A5" t="s">
        <v>20</v>
      </c>
      <c r="B5">
        <v>17644</v>
      </c>
      <c r="C5" t="s">
        <v>21</v>
      </c>
      <c r="D5" t="s">
        <v>22</v>
      </c>
      <c r="E5" t="s">
        <v>11015</v>
      </c>
      <c r="F5" t="s">
        <v>7715</v>
      </c>
      <c r="G5" t="s">
        <v>7716</v>
      </c>
      <c r="H5" t="s">
        <v>7717</v>
      </c>
      <c r="I5" t="s">
        <v>27</v>
      </c>
      <c r="L5" t="s">
        <v>33</v>
      </c>
    </row>
    <row r="6" spans="1:12" x14ac:dyDescent="0.35">
      <c r="A6" t="s">
        <v>20</v>
      </c>
      <c r="B6">
        <v>17644</v>
      </c>
      <c r="C6" t="s">
        <v>21</v>
      </c>
      <c r="D6" t="s">
        <v>22</v>
      </c>
      <c r="E6" t="s">
        <v>11016</v>
      </c>
      <c r="F6" t="s">
        <v>7728</v>
      </c>
      <c r="G6" t="s">
        <v>11017</v>
      </c>
      <c r="H6" t="s">
        <v>11018</v>
      </c>
      <c r="I6" t="s">
        <v>27</v>
      </c>
      <c r="L6" t="s">
        <v>33</v>
      </c>
    </row>
    <row r="7" spans="1:12" x14ac:dyDescent="0.35">
      <c r="A7" t="s">
        <v>20</v>
      </c>
      <c r="B7">
        <v>17644</v>
      </c>
      <c r="C7" t="s">
        <v>21</v>
      </c>
      <c r="D7" t="s">
        <v>22</v>
      </c>
      <c r="E7" t="s">
        <v>11019</v>
      </c>
      <c r="F7" t="s">
        <v>11020</v>
      </c>
      <c r="G7" t="s">
        <v>11021</v>
      </c>
      <c r="H7" t="s">
        <v>11022</v>
      </c>
      <c r="I7" t="s">
        <v>27</v>
      </c>
      <c r="L7" t="s">
        <v>33</v>
      </c>
    </row>
    <row r="8" spans="1:12" x14ac:dyDescent="0.35">
      <c r="A8" t="s">
        <v>20</v>
      </c>
      <c r="B8">
        <v>17644</v>
      </c>
      <c r="C8" t="s">
        <v>21</v>
      </c>
      <c r="D8" t="s">
        <v>22</v>
      </c>
      <c r="E8" t="s">
        <v>11023</v>
      </c>
      <c r="F8" t="s">
        <v>7746</v>
      </c>
      <c r="G8" t="s">
        <v>7747</v>
      </c>
      <c r="H8" t="s">
        <v>7748</v>
      </c>
      <c r="I8" t="s">
        <v>27</v>
      </c>
      <c r="L8" t="s">
        <v>33</v>
      </c>
    </row>
    <row r="9" spans="1:12" x14ac:dyDescent="0.35">
      <c r="A9" t="s">
        <v>20</v>
      </c>
      <c r="B9">
        <v>17644</v>
      </c>
      <c r="C9" t="s">
        <v>21</v>
      </c>
      <c r="D9" t="s">
        <v>22</v>
      </c>
      <c r="E9" t="s">
        <v>11024</v>
      </c>
      <c r="F9" t="s">
        <v>7750</v>
      </c>
      <c r="G9" t="s">
        <v>7751</v>
      </c>
      <c r="H9" t="s">
        <v>7752</v>
      </c>
      <c r="I9" t="s">
        <v>27</v>
      </c>
      <c r="L9" t="s">
        <v>33</v>
      </c>
    </row>
    <row r="10" spans="1:12" x14ac:dyDescent="0.35">
      <c r="A10" t="s">
        <v>20</v>
      </c>
      <c r="B10">
        <v>17644</v>
      </c>
      <c r="C10" t="s">
        <v>21</v>
      </c>
      <c r="D10" t="s">
        <v>22</v>
      </c>
      <c r="E10" t="s">
        <v>11025</v>
      </c>
      <c r="F10" t="s">
        <v>7754</v>
      </c>
      <c r="G10" t="s">
        <v>11026</v>
      </c>
      <c r="H10" t="s">
        <v>11027</v>
      </c>
      <c r="I10" t="s">
        <v>27</v>
      </c>
      <c r="L10" t="s">
        <v>33</v>
      </c>
    </row>
    <row r="11" spans="1:12" x14ac:dyDescent="0.35">
      <c r="A11" t="s">
        <v>20</v>
      </c>
      <c r="B11">
        <v>17644</v>
      </c>
      <c r="C11" t="s">
        <v>21</v>
      </c>
      <c r="D11" t="s">
        <v>22</v>
      </c>
      <c r="E11" t="s">
        <v>11028</v>
      </c>
      <c r="F11" t="s">
        <v>7760</v>
      </c>
      <c r="G11" t="s">
        <v>7761</v>
      </c>
      <c r="H11" t="s">
        <v>7762</v>
      </c>
      <c r="I11" t="s">
        <v>27</v>
      </c>
      <c r="L11" t="s">
        <v>33</v>
      </c>
    </row>
    <row r="12" spans="1:12" x14ac:dyDescent="0.35">
      <c r="A12" t="s">
        <v>20</v>
      </c>
      <c r="B12">
        <v>17644</v>
      </c>
      <c r="C12" t="s">
        <v>21</v>
      </c>
      <c r="D12" t="s">
        <v>22</v>
      </c>
      <c r="E12" t="s">
        <v>11029</v>
      </c>
      <c r="F12" t="s">
        <v>7765</v>
      </c>
      <c r="G12" t="s">
        <v>7767</v>
      </c>
      <c r="H12" t="s">
        <v>7768</v>
      </c>
      <c r="I12" t="s">
        <v>27</v>
      </c>
      <c r="L12" t="s">
        <v>33</v>
      </c>
    </row>
    <row r="13" spans="1:12" x14ac:dyDescent="0.35">
      <c r="A13" t="s">
        <v>20</v>
      </c>
      <c r="B13">
        <v>17644</v>
      </c>
      <c r="C13" t="s">
        <v>21</v>
      </c>
      <c r="D13" t="s">
        <v>22</v>
      </c>
      <c r="E13" t="s">
        <v>11030</v>
      </c>
      <c r="F13" t="s">
        <v>7770</v>
      </c>
      <c r="G13" t="s">
        <v>11031</v>
      </c>
      <c r="H13" t="s">
        <v>11032</v>
      </c>
      <c r="I13" t="s">
        <v>27</v>
      </c>
      <c r="L13" t="s">
        <v>33</v>
      </c>
    </row>
    <row r="14" spans="1:12" x14ac:dyDescent="0.35">
      <c r="A14" t="s">
        <v>20</v>
      </c>
      <c r="B14">
        <v>17644</v>
      </c>
      <c r="C14" t="s">
        <v>21</v>
      </c>
      <c r="D14" t="s">
        <v>22</v>
      </c>
      <c r="E14" t="s">
        <v>11033</v>
      </c>
      <c r="F14" t="s">
        <v>7773</v>
      </c>
      <c r="G14" t="s">
        <v>11034</v>
      </c>
      <c r="H14" t="s">
        <v>7951</v>
      </c>
      <c r="I14" t="s">
        <v>27</v>
      </c>
      <c r="L14" t="s">
        <v>33</v>
      </c>
    </row>
    <row r="15" spans="1:12" x14ac:dyDescent="0.35">
      <c r="A15" t="s">
        <v>20</v>
      </c>
      <c r="B15">
        <v>17644</v>
      </c>
      <c r="C15" t="s">
        <v>21</v>
      </c>
      <c r="D15" t="s">
        <v>22</v>
      </c>
      <c r="E15" t="s">
        <v>11035</v>
      </c>
      <c r="F15" t="s">
        <v>7776</v>
      </c>
      <c r="G15" t="s">
        <v>7777</v>
      </c>
      <c r="H15" t="s">
        <v>7778</v>
      </c>
      <c r="I15" t="s">
        <v>27</v>
      </c>
      <c r="L15" t="s">
        <v>33</v>
      </c>
    </row>
    <row r="16" spans="1:12" x14ac:dyDescent="0.35">
      <c r="A16" t="s">
        <v>20</v>
      </c>
      <c r="B16">
        <v>17644</v>
      </c>
      <c r="C16" t="s">
        <v>21</v>
      </c>
      <c r="D16" t="s">
        <v>22</v>
      </c>
      <c r="E16" t="s">
        <v>11036</v>
      </c>
      <c r="F16" t="s">
        <v>7783</v>
      </c>
      <c r="G16" t="s">
        <v>7784</v>
      </c>
      <c r="H16" t="s">
        <v>7785</v>
      </c>
      <c r="I16" t="s">
        <v>27</v>
      </c>
      <c r="L16" t="s">
        <v>33</v>
      </c>
    </row>
    <row r="17" spans="1:12" x14ac:dyDescent="0.35">
      <c r="A17" t="s">
        <v>20</v>
      </c>
      <c r="B17">
        <v>17644</v>
      </c>
      <c r="C17" t="s">
        <v>21</v>
      </c>
      <c r="D17" t="s">
        <v>22</v>
      </c>
      <c r="E17" t="s">
        <v>11037</v>
      </c>
      <c r="F17" t="s">
        <v>7787</v>
      </c>
      <c r="G17" t="s">
        <v>7788</v>
      </c>
      <c r="H17" t="s">
        <v>7789</v>
      </c>
      <c r="I17" t="s">
        <v>27</v>
      </c>
      <c r="L17" t="s">
        <v>33</v>
      </c>
    </row>
    <row r="18" spans="1:12" x14ac:dyDescent="0.35">
      <c r="A18" t="s">
        <v>20</v>
      </c>
      <c r="B18">
        <v>17644</v>
      </c>
      <c r="C18" t="s">
        <v>21</v>
      </c>
      <c r="D18" t="s">
        <v>22</v>
      </c>
      <c r="E18" t="s">
        <v>11038</v>
      </c>
      <c r="F18" t="s">
        <v>7791</v>
      </c>
      <c r="G18" t="s">
        <v>11039</v>
      </c>
      <c r="H18" t="s">
        <v>11040</v>
      </c>
      <c r="I18" t="s">
        <v>27</v>
      </c>
      <c r="L18" t="s">
        <v>33</v>
      </c>
    </row>
    <row r="19" spans="1:12" x14ac:dyDescent="0.35">
      <c r="A19" t="s">
        <v>20</v>
      </c>
      <c r="B19">
        <v>17644</v>
      </c>
      <c r="C19" t="s">
        <v>21</v>
      </c>
      <c r="D19" t="s">
        <v>22</v>
      </c>
      <c r="E19" t="s">
        <v>11041</v>
      </c>
      <c r="F19" t="s">
        <v>7800</v>
      </c>
      <c r="G19" t="s">
        <v>7801</v>
      </c>
      <c r="H19" t="s">
        <v>7802</v>
      </c>
      <c r="I19" t="s">
        <v>27</v>
      </c>
      <c r="L19" t="s">
        <v>33</v>
      </c>
    </row>
    <row r="20" spans="1:12" x14ac:dyDescent="0.35">
      <c r="A20" t="s">
        <v>20</v>
      </c>
      <c r="B20">
        <v>17644</v>
      </c>
      <c r="C20" t="s">
        <v>21</v>
      </c>
      <c r="D20" t="s">
        <v>22</v>
      </c>
      <c r="E20" t="s">
        <v>11042</v>
      </c>
      <c r="F20" t="s">
        <v>7804</v>
      </c>
      <c r="G20" t="s">
        <v>7805</v>
      </c>
      <c r="H20" t="s">
        <v>7806</v>
      </c>
      <c r="I20" t="s">
        <v>27</v>
      </c>
      <c r="L20" t="s">
        <v>33</v>
      </c>
    </row>
    <row r="21" spans="1:12" x14ac:dyDescent="0.35">
      <c r="A21" t="s">
        <v>20</v>
      </c>
      <c r="B21">
        <v>17644</v>
      </c>
      <c r="C21" t="s">
        <v>21</v>
      </c>
      <c r="D21" t="s">
        <v>22</v>
      </c>
      <c r="E21" t="s">
        <v>11043</v>
      </c>
      <c r="F21" t="s">
        <v>11044</v>
      </c>
      <c r="G21" t="s">
        <v>11045</v>
      </c>
      <c r="H21" t="s">
        <v>11046</v>
      </c>
      <c r="I21" t="s">
        <v>27</v>
      </c>
      <c r="L21" t="s">
        <v>33</v>
      </c>
    </row>
    <row r="22" spans="1:12" x14ac:dyDescent="0.35">
      <c r="A22" t="s">
        <v>20</v>
      </c>
      <c r="B22">
        <v>17644</v>
      </c>
      <c r="C22" t="s">
        <v>21</v>
      </c>
      <c r="D22" t="s">
        <v>22</v>
      </c>
      <c r="E22" t="s">
        <v>11047</v>
      </c>
      <c r="F22" t="s">
        <v>7818</v>
      </c>
      <c r="G22" t="s">
        <v>11048</v>
      </c>
      <c r="H22" t="s">
        <v>11049</v>
      </c>
      <c r="I22" t="s">
        <v>27</v>
      </c>
      <c r="L22" t="s">
        <v>33</v>
      </c>
    </row>
    <row r="23" spans="1:12" x14ac:dyDescent="0.35">
      <c r="A23" t="s">
        <v>20</v>
      </c>
      <c r="B23">
        <v>17644</v>
      </c>
      <c r="C23" t="s">
        <v>21</v>
      </c>
      <c r="D23" t="s">
        <v>22</v>
      </c>
      <c r="E23" t="s">
        <v>11050</v>
      </c>
      <c r="F23" t="s">
        <v>7821</v>
      </c>
      <c r="G23" t="s">
        <v>11051</v>
      </c>
      <c r="H23" t="s">
        <v>11052</v>
      </c>
      <c r="I23" t="s">
        <v>27</v>
      </c>
      <c r="L23" t="s">
        <v>33</v>
      </c>
    </row>
    <row r="24" spans="1:12" x14ac:dyDescent="0.35">
      <c r="A24" t="s">
        <v>20</v>
      </c>
      <c r="B24">
        <v>17644</v>
      </c>
      <c r="C24" t="s">
        <v>21</v>
      </c>
      <c r="D24" t="s">
        <v>22</v>
      </c>
      <c r="E24" t="s">
        <v>11053</v>
      </c>
      <c r="F24" t="s">
        <v>7824</v>
      </c>
      <c r="G24" t="s">
        <v>7825</v>
      </c>
      <c r="H24" t="s">
        <v>7826</v>
      </c>
      <c r="I24" t="s">
        <v>27</v>
      </c>
      <c r="L24" t="s">
        <v>33</v>
      </c>
    </row>
    <row r="25" spans="1:12" x14ac:dyDescent="0.35">
      <c r="A25" t="s">
        <v>20</v>
      </c>
      <c r="B25">
        <v>17644</v>
      </c>
      <c r="C25" t="s">
        <v>21</v>
      </c>
      <c r="D25" t="s">
        <v>22</v>
      </c>
      <c r="E25" t="s">
        <v>11054</v>
      </c>
      <c r="F25" t="s">
        <v>7828</v>
      </c>
      <c r="G25" t="s">
        <v>7829</v>
      </c>
      <c r="H25" t="s">
        <v>7830</v>
      </c>
      <c r="I25" t="s">
        <v>27</v>
      </c>
      <c r="L25" t="s">
        <v>33</v>
      </c>
    </row>
    <row r="26" spans="1:12" x14ac:dyDescent="0.35">
      <c r="A26" t="s">
        <v>20</v>
      </c>
      <c r="B26">
        <v>17644</v>
      </c>
      <c r="C26" t="s">
        <v>21</v>
      </c>
      <c r="D26" t="s">
        <v>22</v>
      </c>
      <c r="E26" t="s">
        <v>11055</v>
      </c>
      <c r="F26" t="s">
        <v>7832</v>
      </c>
      <c r="G26" t="s">
        <v>7833</v>
      </c>
      <c r="H26" t="s">
        <v>7834</v>
      </c>
      <c r="I26" t="s">
        <v>27</v>
      </c>
      <c r="L26" t="s">
        <v>33</v>
      </c>
    </row>
    <row r="27" spans="1:12" x14ac:dyDescent="0.35">
      <c r="A27" t="s">
        <v>20</v>
      </c>
      <c r="B27">
        <v>17644</v>
      </c>
      <c r="C27" t="s">
        <v>21</v>
      </c>
      <c r="D27" t="s">
        <v>22</v>
      </c>
      <c r="E27" t="s">
        <v>11056</v>
      </c>
      <c r="F27" t="s">
        <v>7836</v>
      </c>
      <c r="G27" t="s">
        <v>7837</v>
      </c>
      <c r="H27" t="s">
        <v>7838</v>
      </c>
      <c r="I27" t="s">
        <v>27</v>
      </c>
      <c r="L27" t="s">
        <v>33</v>
      </c>
    </row>
    <row r="28" spans="1:12" x14ac:dyDescent="0.35">
      <c r="A28" t="s">
        <v>20</v>
      </c>
      <c r="B28">
        <v>17644</v>
      </c>
      <c r="C28" t="s">
        <v>21</v>
      </c>
      <c r="D28" t="s">
        <v>22</v>
      </c>
      <c r="E28" t="s">
        <v>11057</v>
      </c>
      <c r="F28" t="s">
        <v>7840</v>
      </c>
      <c r="G28" t="s">
        <v>7841</v>
      </c>
      <c r="H28" t="s">
        <v>7842</v>
      </c>
      <c r="I28" t="s">
        <v>27</v>
      </c>
      <c r="L28" t="s">
        <v>33</v>
      </c>
    </row>
    <row r="29" spans="1:12" x14ac:dyDescent="0.35">
      <c r="A29" t="s">
        <v>20</v>
      </c>
      <c r="B29">
        <v>17644</v>
      </c>
      <c r="C29" t="s">
        <v>21</v>
      </c>
      <c r="D29" t="s">
        <v>22</v>
      </c>
      <c r="E29" t="s">
        <v>11058</v>
      </c>
      <c r="F29" t="s">
        <v>7844</v>
      </c>
      <c r="G29" t="s">
        <v>7845</v>
      </c>
      <c r="H29" t="s">
        <v>7846</v>
      </c>
      <c r="I29" t="s">
        <v>27</v>
      </c>
      <c r="L29" t="s">
        <v>33</v>
      </c>
    </row>
    <row r="30" spans="1:12" x14ac:dyDescent="0.35">
      <c r="A30" t="s">
        <v>20</v>
      </c>
      <c r="B30">
        <v>17644</v>
      </c>
      <c r="C30" t="s">
        <v>21</v>
      </c>
      <c r="D30" t="s">
        <v>22</v>
      </c>
      <c r="E30" t="s">
        <v>11059</v>
      </c>
      <c r="F30" t="s">
        <v>7848</v>
      </c>
      <c r="G30" t="s">
        <v>7849</v>
      </c>
      <c r="H30" t="s">
        <v>7850</v>
      </c>
      <c r="I30" t="s">
        <v>27</v>
      </c>
      <c r="L30" t="s">
        <v>33</v>
      </c>
    </row>
    <row r="31" spans="1:12" x14ac:dyDescent="0.35">
      <c r="A31" t="s">
        <v>20</v>
      </c>
      <c r="B31">
        <v>17644</v>
      </c>
      <c r="C31" t="s">
        <v>21</v>
      </c>
      <c r="D31" t="s">
        <v>22</v>
      </c>
      <c r="E31" t="s">
        <v>11060</v>
      </c>
      <c r="F31" t="s">
        <v>7858</v>
      </c>
      <c r="G31" t="s">
        <v>7859</v>
      </c>
      <c r="H31" t="s">
        <v>7860</v>
      </c>
      <c r="I31" t="s">
        <v>27</v>
      </c>
      <c r="L31" t="s">
        <v>33</v>
      </c>
    </row>
    <row r="32" spans="1:12" x14ac:dyDescent="0.35">
      <c r="A32" t="s">
        <v>20</v>
      </c>
      <c r="B32">
        <v>17644</v>
      </c>
      <c r="C32" t="s">
        <v>21</v>
      </c>
      <c r="D32" t="s">
        <v>22</v>
      </c>
      <c r="E32" t="s">
        <v>11061</v>
      </c>
      <c r="F32" t="s">
        <v>7871</v>
      </c>
      <c r="G32" t="s">
        <v>7872</v>
      </c>
      <c r="H32" t="s">
        <v>7873</v>
      </c>
      <c r="I32" t="s">
        <v>27</v>
      </c>
      <c r="L32" t="s">
        <v>33</v>
      </c>
    </row>
    <row r="33" spans="1:12" x14ac:dyDescent="0.35">
      <c r="A33" t="s">
        <v>20</v>
      </c>
      <c r="B33">
        <v>17644</v>
      </c>
      <c r="C33" t="s">
        <v>21</v>
      </c>
      <c r="D33" t="s">
        <v>22</v>
      </c>
      <c r="E33" t="s">
        <v>11062</v>
      </c>
      <c r="F33" t="s">
        <v>11063</v>
      </c>
      <c r="G33" t="s">
        <v>11063</v>
      </c>
      <c r="H33" t="s">
        <v>11064</v>
      </c>
      <c r="I33" t="s">
        <v>238</v>
      </c>
      <c r="L33" t="s">
        <v>33</v>
      </c>
    </row>
    <row r="34" spans="1:12" x14ac:dyDescent="0.35">
      <c r="A34" t="s">
        <v>20</v>
      </c>
      <c r="B34">
        <v>17644</v>
      </c>
      <c r="C34" t="s">
        <v>21</v>
      </c>
      <c r="D34" t="s">
        <v>22</v>
      </c>
      <c r="E34" t="s">
        <v>11065</v>
      </c>
      <c r="F34" t="s">
        <v>7701</v>
      </c>
      <c r="G34" t="s">
        <v>7701</v>
      </c>
      <c r="H34" t="s">
        <v>7887</v>
      </c>
      <c r="I34" t="s">
        <v>238</v>
      </c>
      <c r="L34" t="s">
        <v>33</v>
      </c>
    </row>
    <row r="35" spans="1:12" x14ac:dyDescent="0.35">
      <c r="A35" t="s">
        <v>20</v>
      </c>
      <c r="B35">
        <v>17644</v>
      </c>
      <c r="C35" t="s">
        <v>21</v>
      </c>
      <c r="D35" t="s">
        <v>22</v>
      </c>
      <c r="E35" t="s">
        <v>11066</v>
      </c>
      <c r="F35" t="s">
        <v>11067</v>
      </c>
      <c r="G35" t="s">
        <v>11067</v>
      </c>
      <c r="H35" t="s">
        <v>11068</v>
      </c>
      <c r="I35" t="s">
        <v>238</v>
      </c>
      <c r="L35" t="s">
        <v>33</v>
      </c>
    </row>
    <row r="36" spans="1:12" x14ac:dyDescent="0.35">
      <c r="A36" t="s">
        <v>20</v>
      </c>
      <c r="B36">
        <v>17644</v>
      </c>
      <c r="C36" t="s">
        <v>21</v>
      </c>
      <c r="D36" t="s">
        <v>22</v>
      </c>
      <c r="E36" t="s">
        <v>11069</v>
      </c>
      <c r="F36" t="s">
        <v>7902</v>
      </c>
      <c r="G36" t="s">
        <v>7902</v>
      </c>
      <c r="H36" t="s">
        <v>11070</v>
      </c>
      <c r="I36" t="s">
        <v>238</v>
      </c>
      <c r="L36" t="s">
        <v>33</v>
      </c>
    </row>
    <row r="37" spans="1:12" x14ac:dyDescent="0.35">
      <c r="A37" t="s">
        <v>20</v>
      </c>
      <c r="B37">
        <v>17644</v>
      </c>
      <c r="C37" t="s">
        <v>21</v>
      </c>
      <c r="D37" t="s">
        <v>22</v>
      </c>
      <c r="E37" t="s">
        <v>11071</v>
      </c>
      <c r="F37" t="s">
        <v>7905</v>
      </c>
      <c r="G37" t="s">
        <v>7905</v>
      </c>
      <c r="H37" t="s">
        <v>11072</v>
      </c>
      <c r="I37" t="s">
        <v>238</v>
      </c>
      <c r="L37" t="s">
        <v>33</v>
      </c>
    </row>
    <row r="38" spans="1:12" x14ac:dyDescent="0.35">
      <c r="A38" t="s">
        <v>20</v>
      </c>
      <c r="B38">
        <v>17644</v>
      </c>
      <c r="C38" t="s">
        <v>21</v>
      </c>
      <c r="D38" t="s">
        <v>22</v>
      </c>
      <c r="E38" t="s">
        <v>11073</v>
      </c>
      <c r="F38" t="s">
        <v>7908</v>
      </c>
      <c r="G38" t="s">
        <v>7908</v>
      </c>
      <c r="H38" t="s">
        <v>11074</v>
      </c>
      <c r="I38" t="s">
        <v>238</v>
      </c>
      <c r="L38" t="s">
        <v>33</v>
      </c>
    </row>
    <row r="39" spans="1:12" x14ac:dyDescent="0.35">
      <c r="A39" t="s">
        <v>20</v>
      </c>
      <c r="B39">
        <v>17644</v>
      </c>
      <c r="C39" t="s">
        <v>21</v>
      </c>
      <c r="D39" t="s">
        <v>22</v>
      </c>
      <c r="E39" t="s">
        <v>11075</v>
      </c>
      <c r="F39" t="s">
        <v>7911</v>
      </c>
      <c r="G39" t="s">
        <v>7911</v>
      </c>
      <c r="H39" t="s">
        <v>7912</v>
      </c>
      <c r="I39" t="s">
        <v>238</v>
      </c>
      <c r="L39" t="s">
        <v>33</v>
      </c>
    </row>
    <row r="40" spans="1:12" x14ac:dyDescent="0.35">
      <c r="A40" t="s">
        <v>20</v>
      </c>
      <c r="B40">
        <v>17644</v>
      </c>
      <c r="C40" t="s">
        <v>21</v>
      </c>
      <c r="D40" t="s">
        <v>22</v>
      </c>
      <c r="E40" t="s">
        <v>11076</v>
      </c>
      <c r="F40" t="s">
        <v>11077</v>
      </c>
      <c r="G40" t="s">
        <v>11077</v>
      </c>
      <c r="H40" t="s">
        <v>11078</v>
      </c>
      <c r="I40" t="s">
        <v>238</v>
      </c>
      <c r="L40" t="s">
        <v>33</v>
      </c>
    </row>
    <row r="41" spans="1:12" x14ac:dyDescent="0.35">
      <c r="A41" t="s">
        <v>20</v>
      </c>
      <c r="B41">
        <v>17644</v>
      </c>
      <c r="C41" t="s">
        <v>21</v>
      </c>
      <c r="D41" t="s">
        <v>22</v>
      </c>
      <c r="E41" t="s">
        <v>11079</v>
      </c>
      <c r="F41" t="s">
        <v>7916</v>
      </c>
      <c r="G41" t="s">
        <v>7916</v>
      </c>
      <c r="H41" t="s">
        <v>11080</v>
      </c>
      <c r="I41" t="s">
        <v>238</v>
      </c>
      <c r="L41" t="s">
        <v>33</v>
      </c>
    </row>
    <row r="42" spans="1:12" x14ac:dyDescent="0.35">
      <c r="A42" t="s">
        <v>20</v>
      </c>
      <c r="B42">
        <v>17644</v>
      </c>
      <c r="C42" t="s">
        <v>21</v>
      </c>
      <c r="D42" t="s">
        <v>22</v>
      </c>
      <c r="E42" t="s">
        <v>11081</v>
      </c>
      <c r="F42" t="s">
        <v>7928</v>
      </c>
      <c r="G42" t="s">
        <v>7928</v>
      </c>
      <c r="H42" t="s">
        <v>11082</v>
      </c>
      <c r="I42" t="s">
        <v>238</v>
      </c>
      <c r="L42" t="s">
        <v>33</v>
      </c>
    </row>
    <row r="43" spans="1:12" x14ac:dyDescent="0.35">
      <c r="A43" t="s">
        <v>20</v>
      </c>
      <c r="B43">
        <v>17644</v>
      </c>
      <c r="C43" t="s">
        <v>21</v>
      </c>
      <c r="D43" t="s">
        <v>22</v>
      </c>
      <c r="E43" t="s">
        <v>11083</v>
      </c>
      <c r="F43" t="s">
        <v>7752</v>
      </c>
      <c r="G43" t="s">
        <v>7752</v>
      </c>
      <c r="H43" t="s">
        <v>11084</v>
      </c>
      <c r="I43" t="s">
        <v>238</v>
      </c>
      <c r="L43" t="s">
        <v>33</v>
      </c>
    </row>
    <row r="44" spans="1:12" x14ac:dyDescent="0.35">
      <c r="A44" t="s">
        <v>20</v>
      </c>
      <c r="B44">
        <v>17644</v>
      </c>
      <c r="C44" t="s">
        <v>21</v>
      </c>
      <c r="D44" t="s">
        <v>22</v>
      </c>
      <c r="E44" t="s">
        <v>11085</v>
      </c>
      <c r="F44" t="s">
        <v>7755</v>
      </c>
      <c r="G44" t="s">
        <v>7755</v>
      </c>
      <c r="H44" t="s">
        <v>7932</v>
      </c>
      <c r="I44" t="s">
        <v>238</v>
      </c>
      <c r="L44" t="s">
        <v>33</v>
      </c>
    </row>
    <row r="45" spans="1:12" x14ac:dyDescent="0.35">
      <c r="A45" t="s">
        <v>20</v>
      </c>
      <c r="B45">
        <v>17644</v>
      </c>
      <c r="C45" t="s">
        <v>21</v>
      </c>
      <c r="D45" t="s">
        <v>22</v>
      </c>
      <c r="E45" t="s">
        <v>11086</v>
      </c>
      <c r="F45" t="s">
        <v>7937</v>
      </c>
      <c r="G45" t="s">
        <v>7937</v>
      </c>
      <c r="H45" t="s">
        <v>7938</v>
      </c>
      <c r="I45" t="s">
        <v>238</v>
      </c>
      <c r="L45" t="s">
        <v>33</v>
      </c>
    </row>
    <row r="46" spans="1:12" x14ac:dyDescent="0.35">
      <c r="A46" t="s">
        <v>20</v>
      </c>
      <c r="B46">
        <v>17644</v>
      </c>
      <c r="C46" t="s">
        <v>21</v>
      </c>
      <c r="D46" t="s">
        <v>22</v>
      </c>
      <c r="E46" t="s">
        <v>11087</v>
      </c>
      <c r="F46" t="s">
        <v>7943</v>
      </c>
      <c r="G46" t="s">
        <v>7943</v>
      </c>
      <c r="H46" t="s">
        <v>7770</v>
      </c>
      <c r="I46" t="s">
        <v>238</v>
      </c>
      <c r="L46" t="s">
        <v>33</v>
      </c>
    </row>
    <row r="47" spans="1:12" x14ac:dyDescent="0.35">
      <c r="A47" t="s">
        <v>20</v>
      </c>
      <c r="B47">
        <v>17644</v>
      </c>
      <c r="C47" t="s">
        <v>21</v>
      </c>
      <c r="D47" t="s">
        <v>22</v>
      </c>
      <c r="E47" t="s">
        <v>11088</v>
      </c>
      <c r="F47" t="s">
        <v>7946</v>
      </c>
      <c r="G47" t="s">
        <v>7946</v>
      </c>
      <c r="H47" t="s">
        <v>7773</v>
      </c>
      <c r="I47" t="s">
        <v>238</v>
      </c>
      <c r="L47" t="s">
        <v>33</v>
      </c>
    </row>
    <row r="48" spans="1:12" x14ac:dyDescent="0.35">
      <c r="A48" t="s">
        <v>20</v>
      </c>
      <c r="B48">
        <v>17644</v>
      </c>
      <c r="C48" t="s">
        <v>21</v>
      </c>
      <c r="D48" t="s">
        <v>22</v>
      </c>
      <c r="E48" t="s">
        <v>11089</v>
      </c>
      <c r="F48" t="s">
        <v>7957</v>
      </c>
      <c r="G48" t="s">
        <v>7957</v>
      </c>
      <c r="H48" t="s">
        <v>11090</v>
      </c>
      <c r="I48" t="s">
        <v>238</v>
      </c>
      <c r="L48" t="s">
        <v>33</v>
      </c>
    </row>
    <row r="49" spans="1:12" x14ac:dyDescent="0.35">
      <c r="A49" t="s">
        <v>20</v>
      </c>
      <c r="B49">
        <v>17644</v>
      </c>
      <c r="C49" t="s">
        <v>21</v>
      </c>
      <c r="D49" t="s">
        <v>22</v>
      </c>
      <c r="E49" t="s">
        <v>11091</v>
      </c>
      <c r="F49" t="s">
        <v>7778</v>
      </c>
      <c r="G49" t="s">
        <v>7778</v>
      </c>
      <c r="H49" t="s">
        <v>11092</v>
      </c>
      <c r="I49" t="s">
        <v>238</v>
      </c>
      <c r="L49" t="s">
        <v>33</v>
      </c>
    </row>
    <row r="50" spans="1:12" x14ac:dyDescent="0.35">
      <c r="A50" t="s">
        <v>20</v>
      </c>
      <c r="B50">
        <v>17644</v>
      </c>
      <c r="C50" t="s">
        <v>21</v>
      </c>
      <c r="D50" t="s">
        <v>22</v>
      </c>
      <c r="E50" t="s">
        <v>11093</v>
      </c>
      <c r="F50" t="s">
        <v>7963</v>
      </c>
      <c r="G50" t="s">
        <v>7963</v>
      </c>
      <c r="H50" t="s">
        <v>7794</v>
      </c>
      <c r="I50" t="s">
        <v>238</v>
      </c>
      <c r="L50" t="s">
        <v>33</v>
      </c>
    </row>
    <row r="51" spans="1:12" x14ac:dyDescent="0.35">
      <c r="A51" t="s">
        <v>20</v>
      </c>
      <c r="B51">
        <v>17644</v>
      </c>
      <c r="C51" t="s">
        <v>21</v>
      </c>
      <c r="D51" t="s">
        <v>22</v>
      </c>
      <c r="E51" t="s">
        <v>11094</v>
      </c>
      <c r="F51" t="s">
        <v>7968</v>
      </c>
      <c r="G51" t="s">
        <v>7968</v>
      </c>
      <c r="H51" t="s">
        <v>7797</v>
      </c>
      <c r="I51" t="s">
        <v>238</v>
      </c>
      <c r="L51" t="s">
        <v>33</v>
      </c>
    </row>
    <row r="52" spans="1:12" x14ac:dyDescent="0.35">
      <c r="A52" t="s">
        <v>20</v>
      </c>
      <c r="B52">
        <v>17644</v>
      </c>
      <c r="C52" t="s">
        <v>21</v>
      </c>
      <c r="D52" t="s">
        <v>22</v>
      </c>
      <c r="E52" t="s">
        <v>11095</v>
      </c>
      <c r="F52" t="s">
        <v>7977</v>
      </c>
      <c r="G52" t="s">
        <v>7977</v>
      </c>
      <c r="H52" t="s">
        <v>11096</v>
      </c>
      <c r="I52" t="s">
        <v>238</v>
      </c>
      <c r="L52" t="s">
        <v>33</v>
      </c>
    </row>
    <row r="53" spans="1:12" x14ac:dyDescent="0.35">
      <c r="A53" t="s">
        <v>20</v>
      </c>
      <c r="B53">
        <v>17644</v>
      </c>
      <c r="C53" t="s">
        <v>21</v>
      </c>
      <c r="D53" t="s">
        <v>22</v>
      </c>
      <c r="E53" t="s">
        <v>11097</v>
      </c>
      <c r="F53" t="s">
        <v>7980</v>
      </c>
      <c r="G53" t="s">
        <v>7980</v>
      </c>
      <c r="H53" t="s">
        <v>7982</v>
      </c>
      <c r="I53" t="s">
        <v>238</v>
      </c>
      <c r="L53" t="s">
        <v>33</v>
      </c>
    </row>
    <row r="54" spans="1:12" x14ac:dyDescent="0.35">
      <c r="A54" t="s">
        <v>20</v>
      </c>
      <c r="B54">
        <v>17644</v>
      </c>
      <c r="C54" t="s">
        <v>21</v>
      </c>
      <c r="D54" t="s">
        <v>22</v>
      </c>
      <c r="E54" t="s">
        <v>11098</v>
      </c>
      <c r="F54" t="s">
        <v>7984</v>
      </c>
      <c r="G54" t="s">
        <v>7984</v>
      </c>
      <c r="H54" t="s">
        <v>7988</v>
      </c>
      <c r="I54" t="s">
        <v>238</v>
      </c>
      <c r="L54" t="s">
        <v>33</v>
      </c>
    </row>
    <row r="55" spans="1:12" x14ac:dyDescent="0.35">
      <c r="A55" t="s">
        <v>20</v>
      </c>
      <c r="B55">
        <v>17644</v>
      </c>
      <c r="C55" t="s">
        <v>21</v>
      </c>
      <c r="D55" t="s">
        <v>22</v>
      </c>
      <c r="E55" t="s">
        <v>11099</v>
      </c>
      <c r="F55" t="s">
        <v>7990</v>
      </c>
      <c r="G55" t="s">
        <v>7990</v>
      </c>
      <c r="H55" t="s">
        <v>7832</v>
      </c>
      <c r="I55" t="s">
        <v>238</v>
      </c>
      <c r="L55" t="s">
        <v>33</v>
      </c>
    </row>
    <row r="56" spans="1:12" x14ac:dyDescent="0.35">
      <c r="A56" t="s">
        <v>20</v>
      </c>
      <c r="B56">
        <v>17644</v>
      </c>
      <c r="C56" t="s">
        <v>21</v>
      </c>
      <c r="D56" t="s">
        <v>22</v>
      </c>
      <c r="E56" t="s">
        <v>11100</v>
      </c>
      <c r="F56" t="s">
        <v>7834</v>
      </c>
      <c r="G56" t="s">
        <v>7834</v>
      </c>
      <c r="H56" t="s">
        <v>11101</v>
      </c>
      <c r="I56" t="s">
        <v>238</v>
      </c>
      <c r="L56" t="s">
        <v>33</v>
      </c>
    </row>
    <row r="57" spans="1:12" x14ac:dyDescent="0.35">
      <c r="A57" t="s">
        <v>20</v>
      </c>
      <c r="B57">
        <v>17644</v>
      </c>
      <c r="C57" t="s">
        <v>21</v>
      </c>
      <c r="D57" t="s">
        <v>22</v>
      </c>
      <c r="E57" t="s">
        <v>11102</v>
      </c>
      <c r="F57" t="s">
        <v>7994</v>
      </c>
      <c r="G57" t="s">
        <v>7994</v>
      </c>
      <c r="H57" t="s">
        <v>7995</v>
      </c>
      <c r="I57" t="s">
        <v>238</v>
      </c>
      <c r="L57" t="s">
        <v>33</v>
      </c>
    </row>
    <row r="58" spans="1:12" x14ac:dyDescent="0.35">
      <c r="A58" t="s">
        <v>20</v>
      </c>
      <c r="B58">
        <v>17644</v>
      </c>
      <c r="C58" t="s">
        <v>21</v>
      </c>
      <c r="D58" t="s">
        <v>22</v>
      </c>
      <c r="E58" t="s">
        <v>11103</v>
      </c>
      <c r="F58" t="s">
        <v>7999</v>
      </c>
      <c r="G58" t="s">
        <v>7999</v>
      </c>
      <c r="H58" t="s">
        <v>8000</v>
      </c>
      <c r="I58" t="s">
        <v>238</v>
      </c>
      <c r="L58" t="s">
        <v>33</v>
      </c>
    </row>
    <row r="59" spans="1:12" x14ac:dyDescent="0.35">
      <c r="A59" t="s">
        <v>20</v>
      </c>
      <c r="B59">
        <v>17644</v>
      </c>
      <c r="C59" t="s">
        <v>21</v>
      </c>
      <c r="D59" t="s">
        <v>22</v>
      </c>
      <c r="E59" t="s">
        <v>11104</v>
      </c>
      <c r="F59" t="s">
        <v>7850</v>
      </c>
      <c r="G59" t="s">
        <v>7850</v>
      </c>
      <c r="H59" t="s">
        <v>7852</v>
      </c>
      <c r="I59" t="s">
        <v>238</v>
      </c>
      <c r="L59" t="s">
        <v>33</v>
      </c>
    </row>
    <row r="60" spans="1:12" x14ac:dyDescent="0.35">
      <c r="A60" t="s">
        <v>20</v>
      </c>
      <c r="B60">
        <v>17644</v>
      </c>
      <c r="C60" t="s">
        <v>21</v>
      </c>
      <c r="D60" t="s">
        <v>22</v>
      </c>
      <c r="E60" t="s">
        <v>11105</v>
      </c>
      <c r="F60" t="s">
        <v>8008</v>
      </c>
      <c r="G60" t="s">
        <v>8008</v>
      </c>
      <c r="H60" t="s">
        <v>8009</v>
      </c>
      <c r="I60" t="s">
        <v>238</v>
      </c>
      <c r="L60" t="s">
        <v>33</v>
      </c>
    </row>
    <row r="61" spans="1:12" x14ac:dyDescent="0.35">
      <c r="A61" t="s">
        <v>20</v>
      </c>
      <c r="B61">
        <v>17644</v>
      </c>
      <c r="C61" t="s">
        <v>21</v>
      </c>
      <c r="D61" t="s">
        <v>22</v>
      </c>
      <c r="E61" t="s">
        <v>11106</v>
      </c>
      <c r="F61" t="s">
        <v>7873</v>
      </c>
      <c r="G61" t="s">
        <v>7873</v>
      </c>
      <c r="H61" t="s">
        <v>7875</v>
      </c>
      <c r="I61" t="s">
        <v>238</v>
      </c>
      <c r="L61" t="s">
        <v>33</v>
      </c>
    </row>
    <row r="62" spans="1:12" x14ac:dyDescent="0.35">
      <c r="A62" t="s">
        <v>20</v>
      </c>
      <c r="B62">
        <v>17645</v>
      </c>
      <c r="C62" t="s">
        <v>949</v>
      </c>
      <c r="D62" t="s">
        <v>950</v>
      </c>
      <c r="E62" t="s">
        <v>11009</v>
      </c>
      <c r="F62" t="s">
        <v>8140</v>
      </c>
      <c r="G62" t="s">
        <v>11107</v>
      </c>
      <c r="H62" t="s">
        <v>11108</v>
      </c>
      <c r="I62" t="s">
        <v>954</v>
      </c>
      <c r="L62" t="s">
        <v>33</v>
      </c>
    </row>
    <row r="63" spans="1:12" x14ac:dyDescent="0.35">
      <c r="A63" t="s">
        <v>20</v>
      </c>
      <c r="B63">
        <v>17645</v>
      </c>
      <c r="C63" t="s">
        <v>949</v>
      </c>
      <c r="D63" t="s">
        <v>950</v>
      </c>
      <c r="E63" t="s">
        <v>11010</v>
      </c>
      <c r="F63" t="s">
        <v>10937</v>
      </c>
      <c r="G63" t="s">
        <v>11109</v>
      </c>
      <c r="H63" t="s">
        <v>11110</v>
      </c>
      <c r="I63" t="s">
        <v>954</v>
      </c>
      <c r="L63" t="s">
        <v>33</v>
      </c>
    </row>
    <row r="64" spans="1:12" x14ac:dyDescent="0.35">
      <c r="A64" t="s">
        <v>20</v>
      </c>
      <c r="B64">
        <v>17645</v>
      </c>
      <c r="C64" t="s">
        <v>949</v>
      </c>
      <c r="D64" t="s">
        <v>950</v>
      </c>
      <c r="E64" t="s">
        <v>11011</v>
      </c>
      <c r="F64" t="s">
        <v>11111</v>
      </c>
      <c r="G64" t="s">
        <v>11112</v>
      </c>
      <c r="H64" t="s">
        <v>11113</v>
      </c>
      <c r="I64" t="s">
        <v>954</v>
      </c>
      <c r="L64" t="s">
        <v>33</v>
      </c>
    </row>
    <row r="65" spans="1:12" x14ac:dyDescent="0.35">
      <c r="A65" t="s">
        <v>20</v>
      </c>
      <c r="B65">
        <v>17645</v>
      </c>
      <c r="C65" t="s">
        <v>949</v>
      </c>
      <c r="D65" t="s">
        <v>950</v>
      </c>
      <c r="E65" t="s">
        <v>11015</v>
      </c>
      <c r="F65" t="s">
        <v>8147</v>
      </c>
      <c r="G65" t="s">
        <v>11114</v>
      </c>
      <c r="H65" t="s">
        <v>11115</v>
      </c>
      <c r="I65" t="s">
        <v>954</v>
      </c>
      <c r="L65" t="s">
        <v>33</v>
      </c>
    </row>
    <row r="66" spans="1:12" x14ac:dyDescent="0.35">
      <c r="A66" t="s">
        <v>20</v>
      </c>
      <c r="B66">
        <v>17645</v>
      </c>
      <c r="C66" t="s">
        <v>949</v>
      </c>
      <c r="D66" t="s">
        <v>950</v>
      </c>
      <c r="E66" t="s">
        <v>11016</v>
      </c>
      <c r="F66" t="s">
        <v>11116</v>
      </c>
      <c r="G66" t="s">
        <v>11117</v>
      </c>
      <c r="H66" t="s">
        <v>11118</v>
      </c>
      <c r="I66" t="s">
        <v>954</v>
      </c>
      <c r="L66" t="s">
        <v>33</v>
      </c>
    </row>
    <row r="67" spans="1:12" x14ac:dyDescent="0.35">
      <c r="A67" t="s">
        <v>20</v>
      </c>
      <c r="B67">
        <v>17645</v>
      </c>
      <c r="C67" t="s">
        <v>949</v>
      </c>
      <c r="D67" t="s">
        <v>950</v>
      </c>
      <c r="E67" t="s">
        <v>11019</v>
      </c>
      <c r="F67" t="s">
        <v>10940</v>
      </c>
      <c r="G67" t="s">
        <v>11119</v>
      </c>
      <c r="H67" t="s">
        <v>10941</v>
      </c>
      <c r="I67" t="s">
        <v>954</v>
      </c>
      <c r="L67" t="s">
        <v>33</v>
      </c>
    </row>
    <row r="68" spans="1:12" x14ac:dyDescent="0.35">
      <c r="A68" t="s">
        <v>20</v>
      </c>
      <c r="B68">
        <v>17645</v>
      </c>
      <c r="C68" t="s">
        <v>949</v>
      </c>
      <c r="D68" t="s">
        <v>950</v>
      </c>
      <c r="E68" t="s">
        <v>11023</v>
      </c>
      <c r="F68" t="s">
        <v>8154</v>
      </c>
      <c r="G68" t="s">
        <v>11120</v>
      </c>
      <c r="H68" t="s">
        <v>11121</v>
      </c>
      <c r="I68" t="s">
        <v>954</v>
      </c>
      <c r="L68" t="s">
        <v>33</v>
      </c>
    </row>
    <row r="69" spans="1:12" x14ac:dyDescent="0.35">
      <c r="A69" t="s">
        <v>20</v>
      </c>
      <c r="B69">
        <v>17645</v>
      </c>
      <c r="C69" t="s">
        <v>949</v>
      </c>
      <c r="D69" t="s">
        <v>950</v>
      </c>
      <c r="E69" t="s">
        <v>11024</v>
      </c>
      <c r="F69" t="s">
        <v>8159</v>
      </c>
      <c r="G69" t="s">
        <v>11122</v>
      </c>
      <c r="H69" t="s">
        <v>11123</v>
      </c>
      <c r="I69" t="s">
        <v>954</v>
      </c>
      <c r="L69" t="s">
        <v>33</v>
      </c>
    </row>
    <row r="70" spans="1:12" x14ac:dyDescent="0.35">
      <c r="A70" t="s">
        <v>20</v>
      </c>
      <c r="B70">
        <v>17645</v>
      </c>
      <c r="C70" t="s">
        <v>949</v>
      </c>
      <c r="D70" t="s">
        <v>950</v>
      </c>
      <c r="E70" t="s">
        <v>11025</v>
      </c>
      <c r="F70" t="s">
        <v>8164</v>
      </c>
      <c r="G70" t="s">
        <v>11124</v>
      </c>
      <c r="H70" t="s">
        <v>11125</v>
      </c>
      <c r="I70" t="s">
        <v>954</v>
      </c>
      <c r="L70" t="s">
        <v>33</v>
      </c>
    </row>
    <row r="71" spans="1:12" x14ac:dyDescent="0.35">
      <c r="A71" t="s">
        <v>20</v>
      </c>
      <c r="B71">
        <v>17645</v>
      </c>
      <c r="C71" t="s">
        <v>949</v>
      </c>
      <c r="D71" t="s">
        <v>950</v>
      </c>
      <c r="E71" t="s">
        <v>11028</v>
      </c>
      <c r="F71" t="s">
        <v>8064</v>
      </c>
      <c r="G71" t="s">
        <v>11126</v>
      </c>
      <c r="H71" t="s">
        <v>11127</v>
      </c>
      <c r="I71" t="s">
        <v>954</v>
      </c>
      <c r="L71" t="s">
        <v>33</v>
      </c>
    </row>
    <row r="72" spans="1:12" x14ac:dyDescent="0.35">
      <c r="A72" t="s">
        <v>20</v>
      </c>
      <c r="B72">
        <v>17645</v>
      </c>
      <c r="C72" t="s">
        <v>949</v>
      </c>
      <c r="D72" t="s">
        <v>950</v>
      </c>
      <c r="E72" t="s">
        <v>11029</v>
      </c>
      <c r="F72" t="s">
        <v>8177</v>
      </c>
      <c r="G72" t="s">
        <v>11128</v>
      </c>
      <c r="H72" t="s">
        <v>8074</v>
      </c>
      <c r="I72" t="s">
        <v>954</v>
      </c>
      <c r="L72" t="s">
        <v>33</v>
      </c>
    </row>
    <row r="73" spans="1:12" x14ac:dyDescent="0.35">
      <c r="A73" t="s">
        <v>20</v>
      </c>
      <c r="B73">
        <v>17645</v>
      </c>
      <c r="C73" t="s">
        <v>949</v>
      </c>
      <c r="D73" t="s">
        <v>950</v>
      </c>
      <c r="E73" t="s">
        <v>11030</v>
      </c>
      <c r="F73" t="s">
        <v>8182</v>
      </c>
      <c r="G73" t="s">
        <v>11129</v>
      </c>
      <c r="H73" t="s">
        <v>8077</v>
      </c>
      <c r="I73" t="s">
        <v>954</v>
      </c>
      <c r="L73" t="s">
        <v>33</v>
      </c>
    </row>
    <row r="74" spans="1:12" x14ac:dyDescent="0.35">
      <c r="A74" t="s">
        <v>20</v>
      </c>
      <c r="B74">
        <v>17645</v>
      </c>
      <c r="C74" t="s">
        <v>949</v>
      </c>
      <c r="D74" t="s">
        <v>950</v>
      </c>
      <c r="E74" t="s">
        <v>11033</v>
      </c>
      <c r="F74" t="s">
        <v>8185</v>
      </c>
      <c r="G74" t="s">
        <v>11130</v>
      </c>
      <c r="H74" t="s">
        <v>11131</v>
      </c>
      <c r="I74" t="s">
        <v>954</v>
      </c>
      <c r="L74" t="s">
        <v>33</v>
      </c>
    </row>
    <row r="75" spans="1:12" x14ac:dyDescent="0.35">
      <c r="A75" t="s">
        <v>20</v>
      </c>
      <c r="B75">
        <v>17645</v>
      </c>
      <c r="C75" t="s">
        <v>949</v>
      </c>
      <c r="D75" t="s">
        <v>950</v>
      </c>
      <c r="E75" t="s">
        <v>11035</v>
      </c>
      <c r="F75" t="s">
        <v>8187</v>
      </c>
      <c r="G75" t="s">
        <v>11132</v>
      </c>
      <c r="H75" t="s">
        <v>8082</v>
      </c>
      <c r="I75" t="s">
        <v>954</v>
      </c>
      <c r="L75" t="s">
        <v>33</v>
      </c>
    </row>
    <row r="76" spans="1:12" x14ac:dyDescent="0.35">
      <c r="A76" t="s">
        <v>20</v>
      </c>
      <c r="B76">
        <v>17645</v>
      </c>
      <c r="C76" t="s">
        <v>949</v>
      </c>
      <c r="D76" t="s">
        <v>950</v>
      </c>
      <c r="E76" t="s">
        <v>11036</v>
      </c>
      <c r="F76" t="s">
        <v>8190</v>
      </c>
      <c r="G76" t="s">
        <v>11133</v>
      </c>
      <c r="H76" t="s">
        <v>8084</v>
      </c>
      <c r="I76" t="s">
        <v>954</v>
      </c>
      <c r="L76" t="s">
        <v>33</v>
      </c>
    </row>
    <row r="77" spans="1:12" x14ac:dyDescent="0.35">
      <c r="A77" t="s">
        <v>20</v>
      </c>
      <c r="B77">
        <v>17645</v>
      </c>
      <c r="C77" t="s">
        <v>949</v>
      </c>
      <c r="D77" t="s">
        <v>950</v>
      </c>
      <c r="E77" t="s">
        <v>11037</v>
      </c>
      <c r="F77" t="s">
        <v>8195</v>
      </c>
      <c r="G77" t="s">
        <v>11134</v>
      </c>
      <c r="H77" t="s">
        <v>11135</v>
      </c>
      <c r="I77" t="s">
        <v>954</v>
      </c>
      <c r="L77" t="s">
        <v>33</v>
      </c>
    </row>
    <row r="78" spans="1:12" x14ac:dyDescent="0.35">
      <c r="A78" t="s">
        <v>20</v>
      </c>
      <c r="B78">
        <v>17645</v>
      </c>
      <c r="C78" t="s">
        <v>949</v>
      </c>
      <c r="D78" t="s">
        <v>950</v>
      </c>
      <c r="E78" t="s">
        <v>11038</v>
      </c>
      <c r="F78" t="s">
        <v>8200</v>
      </c>
      <c r="G78" t="s">
        <v>11136</v>
      </c>
      <c r="H78" t="s">
        <v>8089</v>
      </c>
      <c r="I78" t="s">
        <v>954</v>
      </c>
      <c r="L78" t="s">
        <v>33</v>
      </c>
    </row>
    <row r="79" spans="1:12" x14ac:dyDescent="0.35">
      <c r="A79" t="s">
        <v>20</v>
      </c>
      <c r="B79">
        <v>17645</v>
      </c>
      <c r="C79" t="s">
        <v>949</v>
      </c>
      <c r="D79" t="s">
        <v>950</v>
      </c>
      <c r="E79" t="s">
        <v>11041</v>
      </c>
      <c r="F79" t="s">
        <v>10954</v>
      </c>
      <c r="G79" t="s">
        <v>11137</v>
      </c>
      <c r="H79" t="s">
        <v>11138</v>
      </c>
      <c r="I79" t="s">
        <v>954</v>
      </c>
      <c r="L79" t="s">
        <v>33</v>
      </c>
    </row>
    <row r="80" spans="1:12" x14ac:dyDescent="0.35">
      <c r="A80" t="s">
        <v>20</v>
      </c>
      <c r="B80">
        <v>17645</v>
      </c>
      <c r="C80" t="s">
        <v>949</v>
      </c>
      <c r="D80" t="s">
        <v>950</v>
      </c>
      <c r="E80" t="s">
        <v>11042</v>
      </c>
      <c r="F80" t="s">
        <v>10955</v>
      </c>
      <c r="G80" t="s">
        <v>11139</v>
      </c>
      <c r="H80" t="s">
        <v>8092</v>
      </c>
      <c r="I80" t="s">
        <v>954</v>
      </c>
      <c r="L80" t="s">
        <v>33</v>
      </c>
    </row>
    <row r="81" spans="1:12" x14ac:dyDescent="0.35">
      <c r="A81" t="s">
        <v>20</v>
      </c>
      <c r="B81">
        <v>17645</v>
      </c>
      <c r="C81" t="s">
        <v>949</v>
      </c>
      <c r="D81" t="s">
        <v>950</v>
      </c>
      <c r="E81" t="s">
        <v>11043</v>
      </c>
      <c r="F81" t="s">
        <v>8207</v>
      </c>
      <c r="G81" t="s">
        <v>11140</v>
      </c>
      <c r="H81" t="s">
        <v>8094</v>
      </c>
      <c r="I81" t="s">
        <v>954</v>
      </c>
      <c r="L81" t="s">
        <v>33</v>
      </c>
    </row>
    <row r="82" spans="1:12" x14ac:dyDescent="0.35">
      <c r="A82" t="s">
        <v>20</v>
      </c>
      <c r="B82">
        <v>17645</v>
      </c>
      <c r="C82" t="s">
        <v>949</v>
      </c>
      <c r="D82" t="s">
        <v>950</v>
      </c>
      <c r="E82" t="s">
        <v>11047</v>
      </c>
      <c r="F82" t="s">
        <v>11141</v>
      </c>
      <c r="G82" t="s">
        <v>11142</v>
      </c>
      <c r="H82" t="s">
        <v>8097</v>
      </c>
      <c r="I82" t="s">
        <v>954</v>
      </c>
      <c r="L82" t="s">
        <v>33</v>
      </c>
    </row>
    <row r="83" spans="1:12" x14ac:dyDescent="0.35">
      <c r="A83" t="s">
        <v>20</v>
      </c>
      <c r="B83">
        <v>17645</v>
      </c>
      <c r="C83" t="s">
        <v>949</v>
      </c>
      <c r="D83" t="s">
        <v>950</v>
      </c>
      <c r="E83" t="s">
        <v>11050</v>
      </c>
      <c r="F83" t="s">
        <v>11143</v>
      </c>
      <c r="G83" t="s">
        <v>11144</v>
      </c>
      <c r="H83" t="s">
        <v>11145</v>
      </c>
      <c r="I83" t="s">
        <v>954</v>
      </c>
      <c r="L83" t="s">
        <v>33</v>
      </c>
    </row>
    <row r="84" spans="1:12" x14ac:dyDescent="0.35">
      <c r="A84" t="s">
        <v>20</v>
      </c>
      <c r="B84">
        <v>17645</v>
      </c>
      <c r="C84" t="s">
        <v>949</v>
      </c>
      <c r="D84" t="s">
        <v>950</v>
      </c>
      <c r="E84" t="s">
        <v>11053</v>
      </c>
      <c r="F84" t="s">
        <v>5376</v>
      </c>
      <c r="G84" t="s">
        <v>11146</v>
      </c>
      <c r="H84" t="s">
        <v>10957</v>
      </c>
      <c r="I84" t="s">
        <v>954</v>
      </c>
      <c r="L84" t="s">
        <v>33</v>
      </c>
    </row>
    <row r="85" spans="1:12" x14ac:dyDescent="0.35">
      <c r="A85" t="s">
        <v>20</v>
      </c>
      <c r="B85">
        <v>17645</v>
      </c>
      <c r="C85" t="s">
        <v>949</v>
      </c>
      <c r="D85" t="s">
        <v>950</v>
      </c>
      <c r="E85" t="s">
        <v>11054</v>
      </c>
      <c r="F85" t="s">
        <v>8219</v>
      </c>
      <c r="G85" t="s">
        <v>11147</v>
      </c>
      <c r="H85" t="s">
        <v>10959</v>
      </c>
      <c r="I85" t="s">
        <v>954</v>
      </c>
      <c r="L85" t="s">
        <v>33</v>
      </c>
    </row>
    <row r="86" spans="1:12" x14ac:dyDescent="0.35">
      <c r="A86" t="s">
        <v>20</v>
      </c>
      <c r="B86">
        <v>17645</v>
      </c>
      <c r="C86" t="s">
        <v>949</v>
      </c>
      <c r="D86" t="s">
        <v>950</v>
      </c>
      <c r="E86" t="s">
        <v>11055</v>
      </c>
      <c r="F86" t="s">
        <v>8231</v>
      </c>
      <c r="G86" t="s">
        <v>11148</v>
      </c>
      <c r="H86" t="s">
        <v>11149</v>
      </c>
      <c r="I86" t="s">
        <v>954</v>
      </c>
      <c r="L86" t="s">
        <v>33</v>
      </c>
    </row>
    <row r="87" spans="1:12" x14ac:dyDescent="0.35">
      <c r="A87" t="s">
        <v>20</v>
      </c>
      <c r="B87">
        <v>17645</v>
      </c>
      <c r="C87" t="s">
        <v>949</v>
      </c>
      <c r="D87" t="s">
        <v>950</v>
      </c>
      <c r="E87" t="s">
        <v>11056</v>
      </c>
      <c r="F87" t="s">
        <v>8236</v>
      </c>
      <c r="G87" t="s">
        <v>11150</v>
      </c>
      <c r="H87" t="s">
        <v>8121</v>
      </c>
      <c r="I87" t="s">
        <v>954</v>
      </c>
      <c r="L87" t="s">
        <v>33</v>
      </c>
    </row>
    <row r="88" spans="1:12" x14ac:dyDescent="0.35">
      <c r="A88" t="s">
        <v>20</v>
      </c>
      <c r="B88">
        <v>17645</v>
      </c>
      <c r="C88" t="s">
        <v>949</v>
      </c>
      <c r="D88" t="s">
        <v>950</v>
      </c>
      <c r="E88" t="s">
        <v>11057</v>
      </c>
      <c r="F88" t="s">
        <v>8239</v>
      </c>
      <c r="G88" t="s">
        <v>11151</v>
      </c>
      <c r="H88" t="s">
        <v>8123</v>
      </c>
      <c r="I88" t="s">
        <v>954</v>
      </c>
      <c r="L88" t="s">
        <v>33</v>
      </c>
    </row>
    <row r="89" spans="1:12" x14ac:dyDescent="0.35">
      <c r="A89" t="s">
        <v>20</v>
      </c>
      <c r="B89">
        <v>17645</v>
      </c>
      <c r="C89" t="s">
        <v>949</v>
      </c>
      <c r="D89" t="s">
        <v>950</v>
      </c>
      <c r="E89" t="s">
        <v>11062</v>
      </c>
      <c r="F89" t="s">
        <v>11152</v>
      </c>
      <c r="G89" t="s">
        <v>11152</v>
      </c>
      <c r="H89" t="s">
        <v>11153</v>
      </c>
      <c r="I89" t="s">
        <v>1090</v>
      </c>
      <c r="L89" t="s">
        <v>33</v>
      </c>
    </row>
    <row r="90" spans="1:12" x14ac:dyDescent="0.35">
      <c r="A90" t="s">
        <v>20</v>
      </c>
      <c r="B90">
        <v>17645</v>
      </c>
      <c r="C90" t="s">
        <v>949</v>
      </c>
      <c r="D90" t="s">
        <v>950</v>
      </c>
      <c r="E90" t="s">
        <v>11065</v>
      </c>
      <c r="F90" t="s">
        <v>8016</v>
      </c>
      <c r="G90" t="s">
        <v>8016</v>
      </c>
      <c r="H90" t="s">
        <v>11154</v>
      </c>
      <c r="I90" t="s">
        <v>1090</v>
      </c>
      <c r="L90" t="s">
        <v>33</v>
      </c>
    </row>
    <row r="91" spans="1:12" x14ac:dyDescent="0.35">
      <c r="A91" t="s">
        <v>20</v>
      </c>
      <c r="B91">
        <v>17645</v>
      </c>
      <c r="C91" t="s">
        <v>949</v>
      </c>
      <c r="D91" t="s">
        <v>950</v>
      </c>
      <c r="E91" t="s">
        <v>11066</v>
      </c>
      <c r="F91" t="s">
        <v>8018</v>
      </c>
      <c r="G91" t="s">
        <v>8018</v>
      </c>
      <c r="H91" t="s">
        <v>11155</v>
      </c>
      <c r="I91" t="s">
        <v>1090</v>
      </c>
      <c r="L91" t="s">
        <v>33</v>
      </c>
    </row>
    <row r="92" spans="1:12" x14ac:dyDescent="0.35">
      <c r="A92" t="s">
        <v>20</v>
      </c>
      <c r="B92">
        <v>17645</v>
      </c>
      <c r="C92" t="s">
        <v>949</v>
      </c>
      <c r="D92" t="s">
        <v>950</v>
      </c>
      <c r="E92" t="s">
        <v>11069</v>
      </c>
      <c r="F92" t="s">
        <v>11110</v>
      </c>
      <c r="G92" t="s">
        <v>11110</v>
      </c>
      <c r="H92" t="s">
        <v>11111</v>
      </c>
      <c r="I92" t="s">
        <v>1090</v>
      </c>
      <c r="L92" t="s">
        <v>33</v>
      </c>
    </row>
    <row r="93" spans="1:12" x14ac:dyDescent="0.35">
      <c r="A93" t="s">
        <v>20</v>
      </c>
      <c r="B93">
        <v>17645</v>
      </c>
      <c r="C93" t="s">
        <v>949</v>
      </c>
      <c r="D93" t="s">
        <v>950</v>
      </c>
      <c r="E93" t="s">
        <v>11071</v>
      </c>
      <c r="F93" t="s">
        <v>8029</v>
      </c>
      <c r="G93" t="s">
        <v>8029</v>
      </c>
      <c r="H93" t="s">
        <v>11156</v>
      </c>
      <c r="I93" t="s">
        <v>1090</v>
      </c>
      <c r="L93" t="s">
        <v>33</v>
      </c>
    </row>
    <row r="94" spans="1:12" x14ac:dyDescent="0.35">
      <c r="A94" t="s">
        <v>20</v>
      </c>
      <c r="B94">
        <v>17645</v>
      </c>
      <c r="C94" t="s">
        <v>949</v>
      </c>
      <c r="D94" t="s">
        <v>950</v>
      </c>
      <c r="E94" t="s">
        <v>11075</v>
      </c>
      <c r="F94" t="s">
        <v>8042</v>
      </c>
      <c r="G94" t="s">
        <v>8042</v>
      </c>
      <c r="H94" t="s">
        <v>11157</v>
      </c>
      <c r="I94" t="s">
        <v>1090</v>
      </c>
      <c r="L94" t="s">
        <v>33</v>
      </c>
    </row>
    <row r="95" spans="1:12" x14ac:dyDescent="0.35">
      <c r="A95" t="s">
        <v>20</v>
      </c>
      <c r="B95">
        <v>17645</v>
      </c>
      <c r="C95" t="s">
        <v>949</v>
      </c>
      <c r="D95" t="s">
        <v>950</v>
      </c>
      <c r="E95" t="s">
        <v>11073</v>
      </c>
      <c r="F95" t="s">
        <v>11158</v>
      </c>
      <c r="G95" t="s">
        <v>11158</v>
      </c>
      <c r="H95" t="s">
        <v>11159</v>
      </c>
      <c r="I95" t="s">
        <v>1090</v>
      </c>
      <c r="L95" t="s">
        <v>33</v>
      </c>
    </row>
    <row r="96" spans="1:12" x14ac:dyDescent="0.35">
      <c r="A96" t="s">
        <v>20</v>
      </c>
      <c r="B96">
        <v>17645</v>
      </c>
      <c r="C96" t="s">
        <v>949</v>
      </c>
      <c r="D96" t="s">
        <v>950</v>
      </c>
      <c r="E96" t="s">
        <v>11076</v>
      </c>
      <c r="F96" t="s">
        <v>8049</v>
      </c>
      <c r="G96" t="s">
        <v>8049</v>
      </c>
      <c r="H96" t="s">
        <v>11160</v>
      </c>
      <c r="I96" t="s">
        <v>1090</v>
      </c>
      <c r="L96" t="s">
        <v>33</v>
      </c>
    </row>
    <row r="97" spans="1:12" x14ac:dyDescent="0.35">
      <c r="A97" t="s">
        <v>20</v>
      </c>
      <c r="B97">
        <v>17645</v>
      </c>
      <c r="C97" t="s">
        <v>949</v>
      </c>
      <c r="D97" t="s">
        <v>950</v>
      </c>
      <c r="E97" t="s">
        <v>11079</v>
      </c>
      <c r="F97" t="s">
        <v>11123</v>
      </c>
      <c r="G97" t="s">
        <v>11123</v>
      </c>
      <c r="H97" t="s">
        <v>8162</v>
      </c>
      <c r="I97" t="s">
        <v>1090</v>
      </c>
      <c r="L97" t="s">
        <v>33</v>
      </c>
    </row>
    <row r="98" spans="1:12" x14ac:dyDescent="0.35">
      <c r="A98" t="s">
        <v>20</v>
      </c>
      <c r="B98">
        <v>17645</v>
      </c>
      <c r="C98" t="s">
        <v>949</v>
      </c>
      <c r="D98" t="s">
        <v>950</v>
      </c>
      <c r="E98" t="s">
        <v>11081</v>
      </c>
      <c r="F98" t="s">
        <v>8054</v>
      </c>
      <c r="G98" t="s">
        <v>8054</v>
      </c>
      <c r="H98" t="s">
        <v>8167</v>
      </c>
      <c r="I98" t="s">
        <v>1090</v>
      </c>
      <c r="L98" t="s">
        <v>33</v>
      </c>
    </row>
    <row r="99" spans="1:12" x14ac:dyDescent="0.35">
      <c r="A99" t="s">
        <v>20</v>
      </c>
      <c r="B99">
        <v>17645</v>
      </c>
      <c r="C99" t="s">
        <v>949</v>
      </c>
      <c r="D99" t="s">
        <v>950</v>
      </c>
      <c r="E99" t="s">
        <v>11083</v>
      </c>
      <c r="F99" t="s">
        <v>8057</v>
      </c>
      <c r="G99" t="s">
        <v>8057</v>
      </c>
      <c r="H99" t="s">
        <v>8168</v>
      </c>
      <c r="I99" t="s">
        <v>1090</v>
      </c>
      <c r="L99" t="s">
        <v>33</v>
      </c>
    </row>
    <row r="100" spans="1:12" x14ac:dyDescent="0.35">
      <c r="A100" t="s">
        <v>20</v>
      </c>
      <c r="B100">
        <v>17645</v>
      </c>
      <c r="C100" t="s">
        <v>949</v>
      </c>
      <c r="D100" t="s">
        <v>950</v>
      </c>
      <c r="E100" t="s">
        <v>11085</v>
      </c>
      <c r="F100" t="s">
        <v>11161</v>
      </c>
      <c r="G100" t="s">
        <v>11161</v>
      </c>
      <c r="H100" t="s">
        <v>11162</v>
      </c>
      <c r="I100" t="s">
        <v>1090</v>
      </c>
      <c r="L100" t="s">
        <v>33</v>
      </c>
    </row>
    <row r="101" spans="1:12" x14ac:dyDescent="0.35">
      <c r="A101" t="s">
        <v>20</v>
      </c>
      <c r="B101">
        <v>17645</v>
      </c>
      <c r="C101" t="s">
        <v>949</v>
      </c>
      <c r="D101" t="s">
        <v>950</v>
      </c>
      <c r="E101" t="s">
        <v>11086</v>
      </c>
      <c r="F101" t="s">
        <v>11163</v>
      </c>
      <c r="G101" t="s">
        <v>11163</v>
      </c>
      <c r="H101" t="s">
        <v>11164</v>
      </c>
      <c r="I101" t="s">
        <v>1090</v>
      </c>
      <c r="L101" t="s">
        <v>33</v>
      </c>
    </row>
    <row r="102" spans="1:12" x14ac:dyDescent="0.35">
      <c r="A102" t="s">
        <v>20</v>
      </c>
      <c r="B102">
        <v>17645</v>
      </c>
      <c r="C102" t="s">
        <v>949</v>
      </c>
      <c r="D102" t="s">
        <v>950</v>
      </c>
      <c r="E102" t="s">
        <v>11087</v>
      </c>
      <c r="F102" t="s">
        <v>10983</v>
      </c>
      <c r="G102" t="s">
        <v>10983</v>
      </c>
      <c r="H102" t="s">
        <v>11165</v>
      </c>
      <c r="I102" t="s">
        <v>1090</v>
      </c>
      <c r="L102" t="s">
        <v>33</v>
      </c>
    </row>
    <row r="103" spans="1:12" x14ac:dyDescent="0.35">
      <c r="A103" t="s">
        <v>20</v>
      </c>
      <c r="B103">
        <v>17645</v>
      </c>
      <c r="C103" t="s">
        <v>949</v>
      </c>
      <c r="D103" t="s">
        <v>950</v>
      </c>
      <c r="E103" t="s">
        <v>11088</v>
      </c>
      <c r="F103" t="s">
        <v>11166</v>
      </c>
      <c r="G103" t="s">
        <v>11166</v>
      </c>
      <c r="H103" t="s">
        <v>10984</v>
      </c>
      <c r="I103" t="s">
        <v>1090</v>
      </c>
      <c r="L103" t="s">
        <v>33</v>
      </c>
    </row>
    <row r="104" spans="1:12" x14ac:dyDescent="0.35">
      <c r="A104" t="s">
        <v>20</v>
      </c>
      <c r="B104">
        <v>17645</v>
      </c>
      <c r="C104" t="s">
        <v>949</v>
      </c>
      <c r="D104" t="s">
        <v>950</v>
      </c>
      <c r="E104" t="s">
        <v>11089</v>
      </c>
      <c r="F104" t="s">
        <v>11167</v>
      </c>
      <c r="G104" t="s">
        <v>11167</v>
      </c>
      <c r="H104" t="s">
        <v>8177</v>
      </c>
      <c r="I104" t="s">
        <v>1090</v>
      </c>
      <c r="L104" t="s">
        <v>33</v>
      </c>
    </row>
    <row r="105" spans="1:12" x14ac:dyDescent="0.35">
      <c r="A105" t="s">
        <v>20</v>
      </c>
      <c r="B105">
        <v>17645</v>
      </c>
      <c r="C105" t="s">
        <v>949</v>
      </c>
      <c r="D105" t="s">
        <v>950</v>
      </c>
      <c r="E105" t="s">
        <v>11091</v>
      </c>
      <c r="F105" t="s">
        <v>8074</v>
      </c>
      <c r="G105" t="s">
        <v>8074</v>
      </c>
      <c r="H105" t="s">
        <v>8180</v>
      </c>
      <c r="I105" t="s">
        <v>1090</v>
      </c>
      <c r="L105" t="s">
        <v>33</v>
      </c>
    </row>
    <row r="106" spans="1:12" x14ac:dyDescent="0.35">
      <c r="A106" t="s">
        <v>20</v>
      </c>
      <c r="B106">
        <v>17645</v>
      </c>
      <c r="C106" t="s">
        <v>949</v>
      </c>
      <c r="D106" t="s">
        <v>950</v>
      </c>
      <c r="E106" t="s">
        <v>11093</v>
      </c>
      <c r="F106" t="s">
        <v>8077</v>
      </c>
      <c r="G106" t="s">
        <v>8077</v>
      </c>
      <c r="H106" t="s">
        <v>8185</v>
      </c>
      <c r="I106" t="s">
        <v>1090</v>
      </c>
      <c r="L106" t="s">
        <v>33</v>
      </c>
    </row>
    <row r="107" spans="1:12" x14ac:dyDescent="0.35">
      <c r="A107" t="s">
        <v>20</v>
      </c>
      <c r="B107">
        <v>17645</v>
      </c>
      <c r="C107" t="s">
        <v>949</v>
      </c>
      <c r="D107" t="s">
        <v>950</v>
      </c>
      <c r="E107" t="s">
        <v>11094</v>
      </c>
      <c r="F107" t="s">
        <v>8084</v>
      </c>
      <c r="G107" t="s">
        <v>8084</v>
      </c>
      <c r="H107" t="s">
        <v>11168</v>
      </c>
      <c r="I107" t="s">
        <v>1090</v>
      </c>
      <c r="L107" t="s">
        <v>33</v>
      </c>
    </row>
    <row r="108" spans="1:12" x14ac:dyDescent="0.35">
      <c r="A108" t="s">
        <v>20</v>
      </c>
      <c r="B108">
        <v>17645</v>
      </c>
      <c r="C108" t="s">
        <v>949</v>
      </c>
      <c r="D108" t="s">
        <v>950</v>
      </c>
      <c r="E108" t="s">
        <v>11095</v>
      </c>
      <c r="F108" t="s">
        <v>8087</v>
      </c>
      <c r="G108" t="s">
        <v>8087</v>
      </c>
      <c r="H108" t="s">
        <v>8195</v>
      </c>
      <c r="I108" t="s">
        <v>1090</v>
      </c>
      <c r="L108" t="s">
        <v>33</v>
      </c>
    </row>
    <row r="109" spans="1:12" x14ac:dyDescent="0.35">
      <c r="A109" t="s">
        <v>20</v>
      </c>
      <c r="B109">
        <v>17645</v>
      </c>
      <c r="C109" t="s">
        <v>949</v>
      </c>
      <c r="D109" t="s">
        <v>950</v>
      </c>
      <c r="E109" t="s">
        <v>11097</v>
      </c>
      <c r="F109" t="s">
        <v>8089</v>
      </c>
      <c r="G109" t="s">
        <v>8089</v>
      </c>
      <c r="H109" t="s">
        <v>8202</v>
      </c>
      <c r="I109" t="s">
        <v>1090</v>
      </c>
      <c r="L109" t="s">
        <v>33</v>
      </c>
    </row>
    <row r="110" spans="1:12" x14ac:dyDescent="0.35">
      <c r="A110" t="s">
        <v>20</v>
      </c>
      <c r="B110">
        <v>17645</v>
      </c>
      <c r="C110" t="s">
        <v>949</v>
      </c>
      <c r="D110" t="s">
        <v>950</v>
      </c>
      <c r="E110" t="s">
        <v>11098</v>
      </c>
      <c r="F110" t="s">
        <v>10987</v>
      </c>
      <c r="G110" t="s">
        <v>10987</v>
      </c>
      <c r="H110" t="s">
        <v>8207</v>
      </c>
      <c r="I110" t="s">
        <v>1090</v>
      </c>
      <c r="L110" t="s">
        <v>33</v>
      </c>
    </row>
    <row r="111" spans="1:12" x14ac:dyDescent="0.35">
      <c r="A111" t="s">
        <v>20</v>
      </c>
      <c r="B111">
        <v>17645</v>
      </c>
      <c r="C111" t="s">
        <v>949</v>
      </c>
      <c r="D111" t="s">
        <v>950</v>
      </c>
      <c r="E111" t="s">
        <v>11099</v>
      </c>
      <c r="F111" t="s">
        <v>8094</v>
      </c>
      <c r="G111" t="s">
        <v>8094</v>
      </c>
      <c r="H111" t="s">
        <v>11169</v>
      </c>
      <c r="I111" t="s">
        <v>1090</v>
      </c>
      <c r="L111" t="s">
        <v>33</v>
      </c>
    </row>
    <row r="112" spans="1:12" x14ac:dyDescent="0.35">
      <c r="A112" t="s">
        <v>20</v>
      </c>
      <c r="B112">
        <v>17645</v>
      </c>
      <c r="C112" t="s">
        <v>949</v>
      </c>
      <c r="D112" t="s">
        <v>950</v>
      </c>
      <c r="E112" t="s">
        <v>11100</v>
      </c>
      <c r="F112" t="s">
        <v>11170</v>
      </c>
      <c r="G112" t="s">
        <v>11170</v>
      </c>
      <c r="H112" t="s">
        <v>5376</v>
      </c>
      <c r="I112" t="s">
        <v>1090</v>
      </c>
      <c r="L112" t="s">
        <v>33</v>
      </c>
    </row>
    <row r="113" spans="1:12" x14ac:dyDescent="0.35">
      <c r="A113" t="s">
        <v>20</v>
      </c>
      <c r="B113">
        <v>17645</v>
      </c>
      <c r="C113" t="s">
        <v>949</v>
      </c>
      <c r="D113" t="s">
        <v>950</v>
      </c>
      <c r="E113" t="s">
        <v>11102</v>
      </c>
      <c r="F113" t="s">
        <v>11171</v>
      </c>
      <c r="G113" t="s">
        <v>11171</v>
      </c>
      <c r="H113" t="s">
        <v>8219</v>
      </c>
      <c r="I113" t="s">
        <v>1090</v>
      </c>
      <c r="L113" t="s">
        <v>33</v>
      </c>
    </row>
    <row r="114" spans="1:12" x14ac:dyDescent="0.35">
      <c r="A114" t="s">
        <v>20</v>
      </c>
      <c r="B114">
        <v>17645</v>
      </c>
      <c r="C114" t="s">
        <v>949</v>
      </c>
      <c r="D114" t="s">
        <v>950</v>
      </c>
      <c r="E114" t="s">
        <v>11103</v>
      </c>
      <c r="F114" t="s">
        <v>8107</v>
      </c>
      <c r="G114" t="s">
        <v>8107</v>
      </c>
      <c r="H114" t="s">
        <v>8221</v>
      </c>
      <c r="I114" t="s">
        <v>1090</v>
      </c>
      <c r="L114" t="s">
        <v>33</v>
      </c>
    </row>
    <row r="115" spans="1:12" x14ac:dyDescent="0.35">
      <c r="A115" t="s">
        <v>20</v>
      </c>
      <c r="B115">
        <v>17645</v>
      </c>
      <c r="C115" t="s">
        <v>949</v>
      </c>
      <c r="D115" t="s">
        <v>950</v>
      </c>
      <c r="E115" t="s">
        <v>11104</v>
      </c>
      <c r="F115" t="s">
        <v>8109</v>
      </c>
      <c r="G115" t="s">
        <v>8109</v>
      </c>
      <c r="H115" t="s">
        <v>11172</v>
      </c>
      <c r="I115" t="s">
        <v>1090</v>
      </c>
      <c r="L115" t="s">
        <v>33</v>
      </c>
    </row>
    <row r="116" spans="1:12" x14ac:dyDescent="0.35">
      <c r="A116" t="s">
        <v>20</v>
      </c>
      <c r="B116">
        <v>17645</v>
      </c>
      <c r="C116" t="s">
        <v>949</v>
      </c>
      <c r="D116" t="s">
        <v>950</v>
      </c>
      <c r="E116" t="s">
        <v>11105</v>
      </c>
      <c r="F116" t="s">
        <v>10993</v>
      </c>
      <c r="G116" t="s">
        <v>10993</v>
      </c>
      <c r="H116" t="s">
        <v>11173</v>
      </c>
      <c r="I116" t="s">
        <v>1090</v>
      </c>
      <c r="L116" t="s">
        <v>33</v>
      </c>
    </row>
    <row r="117" spans="1:12" x14ac:dyDescent="0.35">
      <c r="A117" t="s">
        <v>20</v>
      </c>
      <c r="B117">
        <v>17645</v>
      </c>
      <c r="C117" t="s">
        <v>949</v>
      </c>
      <c r="D117" t="s">
        <v>950</v>
      </c>
      <c r="E117" t="s">
        <v>11106</v>
      </c>
      <c r="F117" t="s">
        <v>8119</v>
      </c>
      <c r="G117" t="s">
        <v>8119</v>
      </c>
      <c r="H117" t="s">
        <v>8224</v>
      </c>
      <c r="I117" t="s">
        <v>1090</v>
      </c>
      <c r="L117" t="s">
        <v>33</v>
      </c>
    </row>
    <row r="118" spans="1:12" x14ac:dyDescent="0.35">
      <c r="A118" t="s">
        <v>20</v>
      </c>
      <c r="B118">
        <v>17645</v>
      </c>
      <c r="C118" t="s">
        <v>949</v>
      </c>
      <c r="D118" t="s">
        <v>950</v>
      </c>
      <c r="E118" t="s">
        <v>11174</v>
      </c>
      <c r="F118" t="s">
        <v>10997</v>
      </c>
      <c r="G118" t="s">
        <v>10997</v>
      </c>
      <c r="H118" t="s">
        <v>10999</v>
      </c>
      <c r="I118" t="s">
        <v>1090</v>
      </c>
      <c r="L118" t="s">
        <v>33</v>
      </c>
    </row>
    <row r="119" spans="1:12" x14ac:dyDescent="0.35">
      <c r="A119" t="s">
        <v>20</v>
      </c>
      <c r="B119">
        <v>17645</v>
      </c>
      <c r="C119" t="s">
        <v>949</v>
      </c>
      <c r="D119" t="s">
        <v>950</v>
      </c>
      <c r="E119" t="s">
        <v>11175</v>
      </c>
      <c r="F119" t="s">
        <v>11008</v>
      </c>
      <c r="G119" t="s">
        <v>11008</v>
      </c>
      <c r="H119" t="s">
        <v>8241</v>
      </c>
      <c r="I119" t="s">
        <v>1090</v>
      </c>
      <c r="L119" t="s">
        <v>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6"/>
  <sheetViews>
    <sheetView workbookViewId="0">
      <selection activeCell="I3" sqref="I3:I2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2548</v>
      </c>
      <c r="L1" t="s">
        <v>15</v>
      </c>
      <c r="M1" t="s">
        <v>19</v>
      </c>
    </row>
    <row r="2" spans="1:13" x14ac:dyDescent="0.35">
      <c r="A2" t="s">
        <v>20</v>
      </c>
      <c r="B2">
        <v>17644</v>
      </c>
      <c r="C2" t="s">
        <v>21</v>
      </c>
      <c r="D2" t="s">
        <v>22</v>
      </c>
      <c r="E2" t="s">
        <v>11176</v>
      </c>
      <c r="F2" t="s">
        <v>51</v>
      </c>
      <c r="G2" t="s">
        <v>52</v>
      </c>
      <c r="H2" t="s">
        <v>53</v>
      </c>
      <c r="I2" t="s">
        <v>27</v>
      </c>
      <c r="K2" t="s">
        <v>54</v>
      </c>
      <c r="L2" t="s">
        <v>33</v>
      </c>
    </row>
    <row r="3" spans="1:13" x14ac:dyDescent="0.35">
      <c r="A3" t="s">
        <v>20</v>
      </c>
      <c r="B3">
        <v>17644</v>
      </c>
      <c r="C3" t="s">
        <v>21</v>
      </c>
      <c r="D3" t="s">
        <v>22</v>
      </c>
      <c r="E3" t="s">
        <v>11177</v>
      </c>
      <c r="F3" t="s">
        <v>58</v>
      </c>
      <c r="G3" t="s">
        <v>59</v>
      </c>
      <c r="H3" t="s">
        <v>60</v>
      </c>
      <c r="I3" t="s">
        <v>27</v>
      </c>
      <c r="K3" t="s">
        <v>62</v>
      </c>
      <c r="L3" t="s">
        <v>33</v>
      </c>
    </row>
    <row r="4" spans="1:13" x14ac:dyDescent="0.35">
      <c r="A4" t="s">
        <v>20</v>
      </c>
      <c r="B4">
        <v>17644</v>
      </c>
      <c r="C4" t="s">
        <v>21</v>
      </c>
      <c r="D4" t="s">
        <v>22</v>
      </c>
      <c r="E4" t="s">
        <v>11178</v>
      </c>
      <c r="F4" t="s">
        <v>69</v>
      </c>
      <c r="G4" t="s">
        <v>70</v>
      </c>
      <c r="H4" t="s">
        <v>71</v>
      </c>
      <c r="I4" t="s">
        <v>27</v>
      </c>
      <c r="K4" t="s">
        <v>62</v>
      </c>
      <c r="L4" t="s">
        <v>33</v>
      </c>
    </row>
    <row r="5" spans="1:13" x14ac:dyDescent="0.35">
      <c r="A5" t="s">
        <v>20</v>
      </c>
      <c r="B5">
        <v>17644</v>
      </c>
      <c r="C5" t="s">
        <v>21</v>
      </c>
      <c r="D5" t="s">
        <v>22</v>
      </c>
      <c r="E5" t="s">
        <v>11179</v>
      </c>
      <c r="F5" t="s">
        <v>92</v>
      </c>
      <c r="G5" t="s">
        <v>93</v>
      </c>
      <c r="H5" t="s">
        <v>94</v>
      </c>
      <c r="I5" t="s">
        <v>27</v>
      </c>
      <c r="K5" t="s">
        <v>54</v>
      </c>
      <c r="L5" t="s">
        <v>33</v>
      </c>
    </row>
    <row r="6" spans="1:13" x14ac:dyDescent="0.35">
      <c r="A6" t="s">
        <v>20</v>
      </c>
      <c r="B6">
        <v>17644</v>
      </c>
      <c r="C6" t="s">
        <v>21</v>
      </c>
      <c r="D6" t="s">
        <v>22</v>
      </c>
      <c r="E6" t="s">
        <v>11180</v>
      </c>
      <c r="F6" t="s">
        <v>96</v>
      </c>
      <c r="G6" t="s">
        <v>97</v>
      </c>
      <c r="H6" t="s">
        <v>98</v>
      </c>
      <c r="I6" t="s">
        <v>27</v>
      </c>
      <c r="K6" t="s">
        <v>62</v>
      </c>
      <c r="L6" t="s">
        <v>33</v>
      </c>
    </row>
    <row r="7" spans="1:13" x14ac:dyDescent="0.35">
      <c r="A7" t="s">
        <v>20</v>
      </c>
      <c r="B7">
        <v>17644</v>
      </c>
      <c r="C7" t="s">
        <v>21</v>
      </c>
      <c r="D7" t="s">
        <v>22</v>
      </c>
      <c r="E7" t="s">
        <v>11181</v>
      </c>
      <c r="F7" t="s">
        <v>100</v>
      </c>
      <c r="G7" t="s">
        <v>101</v>
      </c>
      <c r="H7" t="s">
        <v>102</v>
      </c>
      <c r="I7" t="s">
        <v>27</v>
      </c>
      <c r="K7" t="s">
        <v>62</v>
      </c>
      <c r="L7" t="s">
        <v>33</v>
      </c>
    </row>
    <row r="8" spans="1:13" x14ac:dyDescent="0.35">
      <c r="A8" t="s">
        <v>20</v>
      </c>
      <c r="B8">
        <v>17644</v>
      </c>
      <c r="C8" t="s">
        <v>21</v>
      </c>
      <c r="D8" t="s">
        <v>22</v>
      </c>
      <c r="E8" t="s">
        <v>11182</v>
      </c>
      <c r="F8" t="s">
        <v>108</v>
      </c>
      <c r="G8" t="s">
        <v>109</v>
      </c>
      <c r="H8" t="s">
        <v>110</v>
      </c>
      <c r="I8" t="s">
        <v>27</v>
      </c>
      <c r="K8" t="s">
        <v>62</v>
      </c>
      <c r="L8" t="s">
        <v>33</v>
      </c>
    </row>
    <row r="9" spans="1:13" x14ac:dyDescent="0.35">
      <c r="A9" t="s">
        <v>20</v>
      </c>
      <c r="B9">
        <v>17644</v>
      </c>
      <c r="C9" t="s">
        <v>21</v>
      </c>
      <c r="D9" t="s">
        <v>22</v>
      </c>
      <c r="E9" t="s">
        <v>11183</v>
      </c>
      <c r="F9" t="s">
        <v>133</v>
      </c>
      <c r="G9" t="s">
        <v>134</v>
      </c>
      <c r="H9" t="s">
        <v>135</v>
      </c>
      <c r="I9" t="s">
        <v>27</v>
      </c>
      <c r="K9" t="s">
        <v>62</v>
      </c>
      <c r="L9" t="s">
        <v>33</v>
      </c>
    </row>
    <row r="10" spans="1:13" x14ac:dyDescent="0.35">
      <c r="A10" t="s">
        <v>20</v>
      </c>
      <c r="B10">
        <v>17644</v>
      </c>
      <c r="C10" t="s">
        <v>21</v>
      </c>
      <c r="D10" t="s">
        <v>22</v>
      </c>
      <c r="E10" t="s">
        <v>11184</v>
      </c>
      <c r="F10" t="s">
        <v>141</v>
      </c>
      <c r="G10" t="s">
        <v>142</v>
      </c>
      <c r="H10" t="s">
        <v>143</v>
      </c>
      <c r="I10" t="s">
        <v>27</v>
      </c>
      <c r="K10" t="s">
        <v>54</v>
      </c>
      <c r="L10" t="s">
        <v>33</v>
      </c>
    </row>
    <row r="11" spans="1:13" x14ac:dyDescent="0.35">
      <c r="A11" t="s">
        <v>20</v>
      </c>
      <c r="B11">
        <v>17644</v>
      </c>
      <c r="C11" t="s">
        <v>21</v>
      </c>
      <c r="D11" t="s">
        <v>22</v>
      </c>
      <c r="E11" t="s">
        <v>11185</v>
      </c>
      <c r="F11" t="s">
        <v>154</v>
      </c>
      <c r="G11" t="s">
        <v>155</v>
      </c>
      <c r="H11" t="s">
        <v>156</v>
      </c>
      <c r="I11" t="s">
        <v>27</v>
      </c>
      <c r="K11" t="s">
        <v>62</v>
      </c>
      <c r="L11" t="s">
        <v>33</v>
      </c>
    </row>
    <row r="12" spans="1:13" x14ac:dyDescent="0.35">
      <c r="A12" t="s">
        <v>20</v>
      </c>
      <c r="B12">
        <v>17644</v>
      </c>
      <c r="C12" t="s">
        <v>21</v>
      </c>
      <c r="D12" t="s">
        <v>22</v>
      </c>
      <c r="E12" t="s">
        <v>11186</v>
      </c>
      <c r="F12" t="s">
        <v>158</v>
      </c>
      <c r="G12" t="s">
        <v>159</v>
      </c>
      <c r="H12" t="s">
        <v>160</v>
      </c>
      <c r="I12" t="s">
        <v>27</v>
      </c>
      <c r="K12" t="s">
        <v>54</v>
      </c>
      <c r="L12" t="s">
        <v>33</v>
      </c>
    </row>
    <row r="13" spans="1:13" x14ac:dyDescent="0.35">
      <c r="A13" t="s">
        <v>20</v>
      </c>
      <c r="B13">
        <v>17644</v>
      </c>
      <c r="C13" t="s">
        <v>21</v>
      </c>
      <c r="D13" t="s">
        <v>22</v>
      </c>
      <c r="E13" t="s">
        <v>11187</v>
      </c>
      <c r="F13" t="s">
        <v>166</v>
      </c>
      <c r="G13" t="s">
        <v>167</v>
      </c>
      <c r="H13" t="s">
        <v>168</v>
      </c>
      <c r="I13" t="s">
        <v>27</v>
      </c>
      <c r="K13" t="s">
        <v>62</v>
      </c>
      <c r="L13" t="s">
        <v>33</v>
      </c>
    </row>
    <row r="14" spans="1:13" x14ac:dyDescent="0.35">
      <c r="A14" t="s">
        <v>20</v>
      </c>
      <c r="B14">
        <v>17644</v>
      </c>
      <c r="C14" t="s">
        <v>21</v>
      </c>
      <c r="D14" t="s">
        <v>22</v>
      </c>
      <c r="E14" t="s">
        <v>11188</v>
      </c>
      <c r="F14" t="s">
        <v>174</v>
      </c>
      <c r="G14" t="s">
        <v>175</v>
      </c>
      <c r="H14" t="s">
        <v>176</v>
      </c>
      <c r="I14" t="s">
        <v>27</v>
      </c>
      <c r="K14" t="s">
        <v>54</v>
      </c>
      <c r="L14" t="s">
        <v>33</v>
      </c>
    </row>
    <row r="15" spans="1:13" x14ac:dyDescent="0.35">
      <c r="A15" t="s">
        <v>20</v>
      </c>
      <c r="B15">
        <v>17644</v>
      </c>
      <c r="C15" t="s">
        <v>21</v>
      </c>
      <c r="D15" t="s">
        <v>22</v>
      </c>
      <c r="E15" t="s">
        <v>11189</v>
      </c>
      <c r="F15" t="s">
        <v>183</v>
      </c>
      <c r="G15" t="s">
        <v>184</v>
      </c>
      <c r="H15" t="s">
        <v>185</v>
      </c>
      <c r="I15" t="s">
        <v>27</v>
      </c>
      <c r="K15" t="s">
        <v>62</v>
      </c>
      <c r="L15" t="s">
        <v>33</v>
      </c>
    </row>
    <row r="16" spans="1:13" x14ac:dyDescent="0.35">
      <c r="A16" t="s">
        <v>20</v>
      </c>
      <c r="B16">
        <v>17644</v>
      </c>
      <c r="C16" t="s">
        <v>21</v>
      </c>
      <c r="D16" t="s">
        <v>22</v>
      </c>
      <c r="E16" t="s">
        <v>11190</v>
      </c>
      <c r="F16" t="s">
        <v>191</v>
      </c>
      <c r="G16" t="s">
        <v>192</v>
      </c>
      <c r="H16" t="s">
        <v>193</v>
      </c>
      <c r="I16" t="s">
        <v>27</v>
      </c>
      <c r="K16" t="s">
        <v>62</v>
      </c>
      <c r="L16" t="s">
        <v>33</v>
      </c>
    </row>
    <row r="17" spans="1:12" x14ac:dyDescent="0.35">
      <c r="A17" t="s">
        <v>20</v>
      </c>
      <c r="B17">
        <v>17644</v>
      </c>
      <c r="C17" t="s">
        <v>21</v>
      </c>
      <c r="D17" t="s">
        <v>22</v>
      </c>
      <c r="E17" t="s">
        <v>11191</v>
      </c>
      <c r="F17" t="s">
        <v>195</v>
      </c>
      <c r="G17" t="s">
        <v>196</v>
      </c>
      <c r="H17" t="s">
        <v>197</v>
      </c>
      <c r="I17" t="s">
        <v>27</v>
      </c>
      <c r="K17" t="s">
        <v>62</v>
      </c>
      <c r="L17" t="s">
        <v>33</v>
      </c>
    </row>
    <row r="18" spans="1:12" x14ac:dyDescent="0.35">
      <c r="A18" t="s">
        <v>20</v>
      </c>
      <c r="B18">
        <v>17644</v>
      </c>
      <c r="C18" t="s">
        <v>21</v>
      </c>
      <c r="D18" t="s">
        <v>22</v>
      </c>
      <c r="E18" t="s">
        <v>11192</v>
      </c>
      <c r="F18" t="s">
        <v>203</v>
      </c>
      <c r="G18" t="s">
        <v>204</v>
      </c>
      <c r="H18" t="s">
        <v>205</v>
      </c>
      <c r="I18" t="s">
        <v>27</v>
      </c>
      <c r="K18" t="s">
        <v>62</v>
      </c>
      <c r="L18" t="s">
        <v>33</v>
      </c>
    </row>
    <row r="19" spans="1:12" x14ac:dyDescent="0.35">
      <c r="A19" t="s">
        <v>20</v>
      </c>
      <c r="B19">
        <v>17644</v>
      </c>
      <c r="C19" t="s">
        <v>21</v>
      </c>
      <c r="D19" t="s">
        <v>22</v>
      </c>
      <c r="E19" t="s">
        <v>11193</v>
      </c>
      <c r="F19" t="s">
        <v>211</v>
      </c>
      <c r="G19" t="s">
        <v>212</v>
      </c>
      <c r="H19" t="s">
        <v>213</v>
      </c>
      <c r="I19" t="s">
        <v>27</v>
      </c>
      <c r="K19" t="s">
        <v>54</v>
      </c>
      <c r="L19" t="s">
        <v>33</v>
      </c>
    </row>
    <row r="20" spans="1:12" x14ac:dyDescent="0.35">
      <c r="A20" t="s">
        <v>20</v>
      </c>
      <c r="B20">
        <v>17644</v>
      </c>
      <c r="C20" t="s">
        <v>21</v>
      </c>
      <c r="D20" t="s">
        <v>22</v>
      </c>
      <c r="E20" t="s">
        <v>11194</v>
      </c>
      <c r="F20" t="s">
        <v>223</v>
      </c>
      <c r="G20" t="s">
        <v>224</v>
      </c>
      <c r="H20" t="s">
        <v>225</v>
      </c>
      <c r="I20" t="s">
        <v>27</v>
      </c>
      <c r="K20" t="s">
        <v>62</v>
      </c>
      <c r="L20" t="s">
        <v>33</v>
      </c>
    </row>
    <row r="21" spans="1:12" x14ac:dyDescent="0.35">
      <c r="A21" t="s">
        <v>20</v>
      </c>
      <c r="B21">
        <v>17644</v>
      </c>
      <c r="C21" t="s">
        <v>21</v>
      </c>
      <c r="D21" t="s">
        <v>22</v>
      </c>
      <c r="E21" t="s">
        <v>11195</v>
      </c>
      <c r="F21" t="s">
        <v>227</v>
      </c>
      <c r="G21" t="s">
        <v>228</v>
      </c>
      <c r="H21" t="s">
        <v>229</v>
      </c>
      <c r="I21" t="s">
        <v>27</v>
      </c>
      <c r="K21" t="s">
        <v>62</v>
      </c>
      <c r="L21" t="s">
        <v>33</v>
      </c>
    </row>
    <row r="22" spans="1:12" x14ac:dyDescent="0.35">
      <c r="A22" t="s">
        <v>20</v>
      </c>
      <c r="B22">
        <v>17644</v>
      </c>
      <c r="C22" t="s">
        <v>21</v>
      </c>
      <c r="D22" t="s">
        <v>22</v>
      </c>
      <c r="E22" t="s">
        <v>11196</v>
      </c>
      <c r="F22" t="s">
        <v>231</v>
      </c>
      <c r="G22" t="s">
        <v>232</v>
      </c>
      <c r="H22" t="s">
        <v>233</v>
      </c>
      <c r="I22" t="s">
        <v>27</v>
      </c>
      <c r="K22" t="s">
        <v>62</v>
      </c>
      <c r="L22" t="s">
        <v>33</v>
      </c>
    </row>
    <row r="23" spans="1:12" x14ac:dyDescent="0.35">
      <c r="A23" t="s">
        <v>20</v>
      </c>
      <c r="B23">
        <v>17644</v>
      </c>
      <c r="C23" t="s">
        <v>21</v>
      </c>
      <c r="D23" t="s">
        <v>22</v>
      </c>
      <c r="E23" t="s">
        <v>11197</v>
      </c>
      <c r="F23" t="s">
        <v>248</v>
      </c>
      <c r="G23" t="s">
        <v>249</v>
      </c>
      <c r="H23" t="s">
        <v>250</v>
      </c>
      <c r="I23" t="s">
        <v>238</v>
      </c>
      <c r="K23" t="s">
        <v>62</v>
      </c>
      <c r="L23" t="s">
        <v>33</v>
      </c>
    </row>
    <row r="24" spans="1:12" x14ac:dyDescent="0.35">
      <c r="A24" t="s">
        <v>20</v>
      </c>
      <c r="B24">
        <v>17644</v>
      </c>
      <c r="C24" t="s">
        <v>21</v>
      </c>
      <c r="D24" t="s">
        <v>22</v>
      </c>
      <c r="E24" t="s">
        <v>11198</v>
      </c>
      <c r="F24" t="s">
        <v>256</v>
      </c>
      <c r="G24" t="s">
        <v>257</v>
      </c>
      <c r="H24" t="s">
        <v>258</v>
      </c>
      <c r="I24" t="s">
        <v>238</v>
      </c>
      <c r="K24" t="s">
        <v>54</v>
      </c>
      <c r="L24" t="s">
        <v>33</v>
      </c>
    </row>
    <row r="25" spans="1:12" x14ac:dyDescent="0.35">
      <c r="A25" t="s">
        <v>20</v>
      </c>
      <c r="B25">
        <v>17644</v>
      </c>
      <c r="C25" t="s">
        <v>21</v>
      </c>
      <c r="D25" t="s">
        <v>22</v>
      </c>
      <c r="E25" t="s">
        <v>11199</v>
      </c>
      <c r="F25" t="s">
        <v>260</v>
      </c>
      <c r="G25" t="s">
        <v>261</v>
      </c>
      <c r="H25" t="s">
        <v>262</v>
      </c>
      <c r="I25" t="s">
        <v>238</v>
      </c>
      <c r="K25" t="s">
        <v>54</v>
      </c>
      <c r="L25" t="s">
        <v>33</v>
      </c>
    </row>
    <row r="26" spans="1:12" x14ac:dyDescent="0.35">
      <c r="A26" t="s">
        <v>20</v>
      </c>
      <c r="B26">
        <v>17644</v>
      </c>
      <c r="C26" t="s">
        <v>21</v>
      </c>
      <c r="D26" t="s">
        <v>22</v>
      </c>
      <c r="E26" t="s">
        <v>11200</v>
      </c>
      <c r="F26" t="s">
        <v>264</v>
      </c>
      <c r="G26" t="s">
        <v>265</v>
      </c>
      <c r="H26" t="s">
        <v>266</v>
      </c>
      <c r="I26" t="s">
        <v>238</v>
      </c>
      <c r="K26" t="s">
        <v>54</v>
      </c>
      <c r="L26" t="s">
        <v>33</v>
      </c>
    </row>
    <row r="27" spans="1:12" x14ac:dyDescent="0.35">
      <c r="A27" t="s">
        <v>20</v>
      </c>
      <c r="B27">
        <v>17644</v>
      </c>
      <c r="C27" t="s">
        <v>21</v>
      </c>
      <c r="D27" t="s">
        <v>22</v>
      </c>
      <c r="E27" t="s">
        <v>11201</v>
      </c>
      <c r="F27" t="s">
        <v>272</v>
      </c>
      <c r="G27" t="s">
        <v>273</v>
      </c>
      <c r="H27" t="s">
        <v>274</v>
      </c>
      <c r="I27" t="s">
        <v>238</v>
      </c>
      <c r="K27" t="s">
        <v>62</v>
      </c>
      <c r="L27" t="s">
        <v>33</v>
      </c>
    </row>
    <row r="28" spans="1:12" x14ac:dyDescent="0.35">
      <c r="A28" t="s">
        <v>20</v>
      </c>
      <c r="B28">
        <v>17644</v>
      </c>
      <c r="C28" t="s">
        <v>21</v>
      </c>
      <c r="D28" t="s">
        <v>22</v>
      </c>
      <c r="E28" t="s">
        <v>11202</v>
      </c>
      <c r="F28" t="s">
        <v>276</v>
      </c>
      <c r="G28" t="s">
        <v>277</v>
      </c>
      <c r="H28" t="s">
        <v>278</v>
      </c>
      <c r="I28" t="s">
        <v>238</v>
      </c>
      <c r="K28" t="s">
        <v>54</v>
      </c>
      <c r="L28" t="s">
        <v>33</v>
      </c>
    </row>
    <row r="29" spans="1:12" x14ac:dyDescent="0.35">
      <c r="A29" t="s">
        <v>20</v>
      </c>
      <c r="B29">
        <v>17644</v>
      </c>
      <c r="C29" t="s">
        <v>21</v>
      </c>
      <c r="D29" t="s">
        <v>22</v>
      </c>
      <c r="E29" t="s">
        <v>11203</v>
      </c>
      <c r="F29" t="s">
        <v>280</v>
      </c>
      <c r="G29" t="s">
        <v>281</v>
      </c>
      <c r="H29" t="s">
        <v>282</v>
      </c>
      <c r="I29" t="s">
        <v>238</v>
      </c>
      <c r="K29" t="s">
        <v>62</v>
      </c>
      <c r="L29" t="s">
        <v>33</v>
      </c>
    </row>
    <row r="30" spans="1:12" x14ac:dyDescent="0.35">
      <c r="A30" t="s">
        <v>20</v>
      </c>
      <c r="B30">
        <v>17644</v>
      </c>
      <c r="C30" t="s">
        <v>21</v>
      </c>
      <c r="D30" t="s">
        <v>22</v>
      </c>
      <c r="E30" t="s">
        <v>11204</v>
      </c>
      <c r="F30" t="s">
        <v>289</v>
      </c>
      <c r="G30" t="s">
        <v>290</v>
      </c>
      <c r="H30" t="s">
        <v>291</v>
      </c>
      <c r="I30" t="s">
        <v>238</v>
      </c>
      <c r="K30" t="s">
        <v>54</v>
      </c>
      <c r="L30" t="s">
        <v>33</v>
      </c>
    </row>
    <row r="31" spans="1:12" x14ac:dyDescent="0.35">
      <c r="A31" t="s">
        <v>20</v>
      </c>
      <c r="B31">
        <v>17644</v>
      </c>
      <c r="C31" t="s">
        <v>21</v>
      </c>
      <c r="D31" t="s">
        <v>22</v>
      </c>
      <c r="E31" t="s">
        <v>11205</v>
      </c>
      <c r="F31" t="s">
        <v>309</v>
      </c>
      <c r="G31" t="s">
        <v>310</v>
      </c>
      <c r="H31" t="s">
        <v>311</v>
      </c>
      <c r="I31" t="s">
        <v>238</v>
      </c>
      <c r="K31" t="s">
        <v>62</v>
      </c>
      <c r="L31" t="s">
        <v>33</v>
      </c>
    </row>
    <row r="32" spans="1:12" x14ac:dyDescent="0.35">
      <c r="A32" t="s">
        <v>20</v>
      </c>
      <c r="B32">
        <v>17644</v>
      </c>
      <c r="C32" t="s">
        <v>21</v>
      </c>
      <c r="D32" t="s">
        <v>22</v>
      </c>
      <c r="E32" t="s">
        <v>11206</v>
      </c>
      <c r="F32" t="s">
        <v>317</v>
      </c>
      <c r="G32" t="s">
        <v>318</v>
      </c>
      <c r="H32" t="s">
        <v>319</v>
      </c>
      <c r="I32" t="s">
        <v>238</v>
      </c>
      <c r="K32" t="s">
        <v>54</v>
      </c>
      <c r="L32" t="s">
        <v>33</v>
      </c>
    </row>
    <row r="33" spans="1:13" x14ac:dyDescent="0.35">
      <c r="A33" t="s">
        <v>20</v>
      </c>
      <c r="B33">
        <v>17644</v>
      </c>
      <c r="C33" t="s">
        <v>21</v>
      </c>
      <c r="D33" t="s">
        <v>22</v>
      </c>
      <c r="E33" t="s">
        <v>11207</v>
      </c>
      <c r="F33" t="s">
        <v>329</v>
      </c>
      <c r="G33" t="s">
        <v>330</v>
      </c>
      <c r="H33" t="s">
        <v>331</v>
      </c>
      <c r="I33" t="s">
        <v>238</v>
      </c>
      <c r="K33" t="s">
        <v>54</v>
      </c>
      <c r="L33" t="s">
        <v>33</v>
      </c>
    </row>
    <row r="34" spans="1:13" x14ac:dyDescent="0.35">
      <c r="A34" t="s">
        <v>20</v>
      </c>
      <c r="B34">
        <v>17644</v>
      </c>
      <c r="C34" t="s">
        <v>21</v>
      </c>
      <c r="D34" t="s">
        <v>22</v>
      </c>
      <c r="E34" t="s">
        <v>11208</v>
      </c>
      <c r="F34" t="s">
        <v>337</v>
      </c>
      <c r="G34" t="s">
        <v>338</v>
      </c>
      <c r="H34" t="s">
        <v>339</v>
      </c>
      <c r="I34" t="s">
        <v>238</v>
      </c>
      <c r="K34" t="s">
        <v>54</v>
      </c>
      <c r="L34" t="s">
        <v>33</v>
      </c>
    </row>
    <row r="35" spans="1:13" x14ac:dyDescent="0.35">
      <c r="A35" t="s">
        <v>20</v>
      </c>
      <c r="B35">
        <v>17644</v>
      </c>
      <c r="C35" t="s">
        <v>21</v>
      </c>
      <c r="D35" t="s">
        <v>22</v>
      </c>
      <c r="E35" t="s">
        <v>11209</v>
      </c>
      <c r="F35" t="s">
        <v>341</v>
      </c>
      <c r="G35" t="s">
        <v>342</v>
      </c>
      <c r="H35" t="s">
        <v>343</v>
      </c>
      <c r="I35" t="s">
        <v>238</v>
      </c>
      <c r="K35" t="s">
        <v>62</v>
      </c>
      <c r="L35" t="s">
        <v>33</v>
      </c>
    </row>
    <row r="36" spans="1:13" x14ac:dyDescent="0.35">
      <c r="A36" t="s">
        <v>20</v>
      </c>
      <c r="B36">
        <v>17644</v>
      </c>
      <c r="C36" t="s">
        <v>21</v>
      </c>
      <c r="D36" t="s">
        <v>22</v>
      </c>
      <c r="E36" t="s">
        <v>11210</v>
      </c>
      <c r="F36" t="s">
        <v>349</v>
      </c>
      <c r="G36" t="s">
        <v>350</v>
      </c>
      <c r="H36" t="s">
        <v>351</v>
      </c>
      <c r="I36" t="s">
        <v>238</v>
      </c>
      <c r="K36" t="s">
        <v>54</v>
      </c>
      <c r="L36" t="s">
        <v>33</v>
      </c>
    </row>
    <row r="37" spans="1:13" x14ac:dyDescent="0.35">
      <c r="A37" t="s">
        <v>20</v>
      </c>
      <c r="B37">
        <v>17644</v>
      </c>
      <c r="C37" t="s">
        <v>21</v>
      </c>
      <c r="D37" t="s">
        <v>22</v>
      </c>
      <c r="E37" t="s">
        <v>11211</v>
      </c>
      <c r="F37" t="s">
        <v>357</v>
      </c>
      <c r="G37" t="s">
        <v>358</v>
      </c>
      <c r="H37" t="s">
        <v>359</v>
      </c>
      <c r="I37" t="s">
        <v>238</v>
      </c>
      <c r="K37" t="s">
        <v>62</v>
      </c>
      <c r="L37" t="s">
        <v>33</v>
      </c>
    </row>
    <row r="38" spans="1:13" x14ac:dyDescent="0.35">
      <c r="A38" t="s">
        <v>20</v>
      </c>
      <c r="B38">
        <v>17644</v>
      </c>
      <c r="C38" t="s">
        <v>21</v>
      </c>
      <c r="D38" t="s">
        <v>22</v>
      </c>
      <c r="E38" t="s">
        <v>11212</v>
      </c>
      <c r="F38" t="s">
        <v>361</v>
      </c>
      <c r="G38" t="s">
        <v>362</v>
      </c>
      <c r="H38" t="s">
        <v>363</v>
      </c>
      <c r="I38" t="s">
        <v>238</v>
      </c>
      <c r="K38" t="s">
        <v>62</v>
      </c>
      <c r="L38" t="s">
        <v>33</v>
      </c>
    </row>
    <row r="39" spans="1:13" x14ac:dyDescent="0.35">
      <c r="A39" t="s">
        <v>20</v>
      </c>
      <c r="B39">
        <v>17644</v>
      </c>
      <c r="C39" t="s">
        <v>21</v>
      </c>
      <c r="D39" t="s">
        <v>22</v>
      </c>
      <c r="E39" t="s">
        <v>11213</v>
      </c>
      <c r="F39" t="s">
        <v>365</v>
      </c>
      <c r="G39" t="s">
        <v>366</v>
      </c>
      <c r="H39" t="s">
        <v>367</v>
      </c>
      <c r="I39" t="s">
        <v>238</v>
      </c>
      <c r="K39" t="s">
        <v>62</v>
      </c>
      <c r="L39" t="s">
        <v>33</v>
      </c>
    </row>
    <row r="40" spans="1:13" x14ac:dyDescent="0.35">
      <c r="A40" t="s">
        <v>20</v>
      </c>
      <c r="B40">
        <v>17644</v>
      </c>
      <c r="C40" t="s">
        <v>21</v>
      </c>
      <c r="D40" t="s">
        <v>22</v>
      </c>
      <c r="E40" t="s">
        <v>11214</v>
      </c>
      <c r="F40" t="s">
        <v>369</v>
      </c>
      <c r="G40" t="s">
        <v>370</v>
      </c>
      <c r="H40" t="s">
        <v>371</v>
      </c>
      <c r="I40" t="s">
        <v>238</v>
      </c>
      <c r="K40" t="s">
        <v>54</v>
      </c>
      <c r="L40" t="s">
        <v>33</v>
      </c>
    </row>
    <row r="41" spans="1:13" x14ac:dyDescent="0.35">
      <c r="A41" t="s">
        <v>20</v>
      </c>
      <c r="B41">
        <v>17644</v>
      </c>
      <c r="C41" t="s">
        <v>21</v>
      </c>
      <c r="D41" t="s">
        <v>22</v>
      </c>
      <c r="E41" t="s">
        <v>11215</v>
      </c>
      <c r="F41" t="s">
        <v>388</v>
      </c>
      <c r="G41" t="s">
        <v>389</v>
      </c>
      <c r="H41" t="s">
        <v>390</v>
      </c>
      <c r="I41" t="s">
        <v>238</v>
      </c>
      <c r="K41" t="s">
        <v>54</v>
      </c>
      <c r="L41" t="s">
        <v>33</v>
      </c>
    </row>
    <row r="42" spans="1:13" x14ac:dyDescent="0.35">
      <c r="A42" t="s">
        <v>20</v>
      </c>
      <c r="B42">
        <v>17644</v>
      </c>
      <c r="C42" t="s">
        <v>21</v>
      </c>
      <c r="D42" t="s">
        <v>22</v>
      </c>
      <c r="E42" t="s">
        <v>11216</v>
      </c>
      <c r="F42" t="s">
        <v>399</v>
      </c>
      <c r="G42" t="s">
        <v>400</v>
      </c>
      <c r="H42" t="s">
        <v>401</v>
      </c>
      <c r="I42" t="s">
        <v>238</v>
      </c>
      <c r="K42" t="s">
        <v>11217</v>
      </c>
      <c r="L42" t="s">
        <v>33</v>
      </c>
    </row>
    <row r="43" spans="1:13" x14ac:dyDescent="0.35">
      <c r="A43" t="s">
        <v>20</v>
      </c>
      <c r="B43">
        <v>17644</v>
      </c>
      <c r="C43" t="s">
        <v>21</v>
      </c>
      <c r="D43" t="s">
        <v>22</v>
      </c>
      <c r="E43" t="s">
        <v>11218</v>
      </c>
      <c r="F43" t="s">
        <v>403</v>
      </c>
      <c r="G43" t="s">
        <v>404</v>
      </c>
      <c r="H43" t="s">
        <v>405</v>
      </c>
      <c r="I43" t="s">
        <v>238</v>
      </c>
      <c r="K43" t="s">
        <v>62</v>
      </c>
      <c r="L43" t="s">
        <v>33</v>
      </c>
    </row>
    <row r="44" spans="1:13" x14ac:dyDescent="0.35">
      <c r="A44" t="s">
        <v>20</v>
      </c>
      <c r="B44">
        <v>17643</v>
      </c>
      <c r="C44" t="s">
        <v>426</v>
      </c>
      <c r="D44" t="s">
        <v>427</v>
      </c>
      <c r="E44" t="s">
        <v>11219</v>
      </c>
      <c r="F44" t="s">
        <v>554</v>
      </c>
      <c r="G44" t="s">
        <v>555</v>
      </c>
      <c r="H44" t="s">
        <v>556</v>
      </c>
      <c r="I44" t="s">
        <v>557</v>
      </c>
      <c r="K44" t="s">
        <v>11217</v>
      </c>
      <c r="L44" t="s">
        <v>33</v>
      </c>
      <c r="M44" t="s">
        <v>432</v>
      </c>
    </row>
    <row r="45" spans="1:13" x14ac:dyDescent="0.35">
      <c r="A45" t="s">
        <v>20</v>
      </c>
      <c r="B45">
        <v>17643</v>
      </c>
      <c r="C45" t="s">
        <v>426</v>
      </c>
      <c r="D45" t="s">
        <v>427</v>
      </c>
      <c r="E45" t="s">
        <v>11176</v>
      </c>
      <c r="F45" t="s">
        <v>558</v>
      </c>
      <c r="G45" t="s">
        <v>559</v>
      </c>
      <c r="H45" t="s">
        <v>560</v>
      </c>
      <c r="I45" t="s">
        <v>557</v>
      </c>
      <c r="K45" t="s">
        <v>11217</v>
      </c>
      <c r="L45" t="s">
        <v>33</v>
      </c>
      <c r="M45" t="s">
        <v>432</v>
      </c>
    </row>
    <row r="46" spans="1:13" x14ac:dyDescent="0.35">
      <c r="A46" t="s">
        <v>20</v>
      </c>
      <c r="B46">
        <v>17643</v>
      </c>
      <c r="C46" t="s">
        <v>426</v>
      </c>
      <c r="D46" t="s">
        <v>427</v>
      </c>
      <c r="E46" t="s">
        <v>11177</v>
      </c>
      <c r="F46" t="s">
        <v>567</v>
      </c>
      <c r="G46" t="s">
        <v>568</v>
      </c>
      <c r="H46" t="s">
        <v>569</v>
      </c>
      <c r="I46" t="s">
        <v>557</v>
      </c>
      <c r="K46" t="s">
        <v>62</v>
      </c>
      <c r="L46" t="s">
        <v>33</v>
      </c>
      <c r="M46" t="s">
        <v>432</v>
      </c>
    </row>
    <row r="47" spans="1:13" x14ac:dyDescent="0.35">
      <c r="A47" t="s">
        <v>20</v>
      </c>
      <c r="B47">
        <v>17643</v>
      </c>
      <c r="C47" t="s">
        <v>426</v>
      </c>
      <c r="D47" t="s">
        <v>427</v>
      </c>
      <c r="E47" t="s">
        <v>11178</v>
      </c>
      <c r="F47" t="s">
        <v>570</v>
      </c>
      <c r="G47" t="s">
        <v>571</v>
      </c>
      <c r="H47" t="s">
        <v>572</v>
      </c>
      <c r="I47" t="s">
        <v>557</v>
      </c>
      <c r="K47" t="s">
        <v>11217</v>
      </c>
      <c r="L47" t="s">
        <v>33</v>
      </c>
      <c r="M47" t="s">
        <v>432</v>
      </c>
    </row>
    <row r="48" spans="1:13" x14ac:dyDescent="0.35">
      <c r="A48" t="s">
        <v>20</v>
      </c>
      <c r="B48">
        <v>17643</v>
      </c>
      <c r="C48" t="s">
        <v>426</v>
      </c>
      <c r="D48" t="s">
        <v>427</v>
      </c>
      <c r="E48" t="s">
        <v>11220</v>
      </c>
      <c r="F48" t="s">
        <v>576</v>
      </c>
      <c r="G48" t="s">
        <v>577</v>
      </c>
      <c r="H48" t="s">
        <v>578</v>
      </c>
      <c r="I48" t="s">
        <v>557</v>
      </c>
      <c r="K48" t="s">
        <v>54</v>
      </c>
      <c r="L48" t="s">
        <v>33</v>
      </c>
      <c r="M48" t="s">
        <v>432</v>
      </c>
    </row>
    <row r="49" spans="1:13" x14ac:dyDescent="0.35">
      <c r="A49" t="s">
        <v>20</v>
      </c>
      <c r="B49">
        <v>17643</v>
      </c>
      <c r="C49" t="s">
        <v>426</v>
      </c>
      <c r="D49" t="s">
        <v>427</v>
      </c>
      <c r="E49" t="s">
        <v>11179</v>
      </c>
      <c r="F49" t="s">
        <v>587</v>
      </c>
      <c r="G49" t="s">
        <v>588</v>
      </c>
      <c r="H49" t="s">
        <v>589</v>
      </c>
      <c r="I49" t="s">
        <v>557</v>
      </c>
      <c r="K49" t="s">
        <v>54</v>
      </c>
      <c r="L49" t="s">
        <v>33</v>
      </c>
      <c r="M49" t="s">
        <v>432</v>
      </c>
    </row>
    <row r="50" spans="1:13" x14ac:dyDescent="0.35">
      <c r="A50" t="s">
        <v>20</v>
      </c>
      <c r="B50">
        <v>17643</v>
      </c>
      <c r="C50" t="s">
        <v>426</v>
      </c>
      <c r="D50" t="s">
        <v>427</v>
      </c>
      <c r="E50" t="s">
        <v>11180</v>
      </c>
      <c r="F50" t="s">
        <v>590</v>
      </c>
      <c r="G50" t="s">
        <v>591</v>
      </c>
      <c r="H50" t="s">
        <v>592</v>
      </c>
      <c r="I50" t="s">
        <v>557</v>
      </c>
      <c r="K50" t="s">
        <v>11217</v>
      </c>
      <c r="L50" t="s">
        <v>33</v>
      </c>
      <c r="M50" t="s">
        <v>432</v>
      </c>
    </row>
    <row r="51" spans="1:13" x14ac:dyDescent="0.35">
      <c r="A51" t="s">
        <v>20</v>
      </c>
      <c r="B51">
        <v>17643</v>
      </c>
      <c r="C51" t="s">
        <v>426</v>
      </c>
      <c r="D51" t="s">
        <v>427</v>
      </c>
      <c r="E51" t="s">
        <v>11181</v>
      </c>
      <c r="F51" t="s">
        <v>593</v>
      </c>
      <c r="G51" t="s">
        <v>594</v>
      </c>
      <c r="H51" t="s">
        <v>595</v>
      </c>
      <c r="I51" t="s">
        <v>557</v>
      </c>
      <c r="K51" t="s">
        <v>54</v>
      </c>
      <c r="L51" t="s">
        <v>33</v>
      </c>
      <c r="M51" t="s">
        <v>432</v>
      </c>
    </row>
    <row r="52" spans="1:13" x14ac:dyDescent="0.35">
      <c r="A52" t="s">
        <v>20</v>
      </c>
      <c r="B52">
        <v>17643</v>
      </c>
      <c r="C52" t="s">
        <v>426</v>
      </c>
      <c r="D52" t="s">
        <v>427</v>
      </c>
      <c r="E52" t="s">
        <v>11221</v>
      </c>
      <c r="F52" t="s">
        <v>596</v>
      </c>
      <c r="G52" t="s">
        <v>597</v>
      </c>
      <c r="H52" t="s">
        <v>598</v>
      </c>
      <c r="I52" t="s">
        <v>557</v>
      </c>
      <c r="K52" t="s">
        <v>54</v>
      </c>
      <c r="L52" t="s">
        <v>33</v>
      </c>
      <c r="M52" t="s">
        <v>432</v>
      </c>
    </row>
    <row r="53" spans="1:13" x14ac:dyDescent="0.35">
      <c r="A53" t="s">
        <v>20</v>
      </c>
      <c r="B53">
        <v>17643</v>
      </c>
      <c r="C53" t="s">
        <v>426</v>
      </c>
      <c r="D53" t="s">
        <v>427</v>
      </c>
      <c r="E53" t="s">
        <v>11182</v>
      </c>
      <c r="F53" t="s">
        <v>599</v>
      </c>
      <c r="G53" t="s">
        <v>600</v>
      </c>
      <c r="H53" t="s">
        <v>601</v>
      </c>
      <c r="I53" t="s">
        <v>557</v>
      </c>
      <c r="K53" t="s">
        <v>62</v>
      </c>
      <c r="L53" t="s">
        <v>33</v>
      </c>
      <c r="M53" t="s">
        <v>432</v>
      </c>
    </row>
    <row r="54" spans="1:13" x14ac:dyDescent="0.35">
      <c r="A54" t="s">
        <v>20</v>
      </c>
      <c r="B54">
        <v>17643</v>
      </c>
      <c r="C54" t="s">
        <v>426</v>
      </c>
      <c r="D54" t="s">
        <v>427</v>
      </c>
      <c r="E54" t="s">
        <v>11222</v>
      </c>
      <c r="F54" t="s">
        <v>602</v>
      </c>
      <c r="G54" t="s">
        <v>603</v>
      </c>
      <c r="H54" t="s">
        <v>604</v>
      </c>
      <c r="I54" t="s">
        <v>557</v>
      </c>
      <c r="K54" t="s">
        <v>54</v>
      </c>
      <c r="L54" t="s">
        <v>33</v>
      </c>
      <c r="M54" t="s">
        <v>432</v>
      </c>
    </row>
    <row r="55" spans="1:13" x14ac:dyDescent="0.35">
      <c r="A55" t="s">
        <v>20</v>
      </c>
      <c r="B55">
        <v>17643</v>
      </c>
      <c r="C55" t="s">
        <v>426</v>
      </c>
      <c r="D55" t="s">
        <v>427</v>
      </c>
      <c r="E55" t="s">
        <v>11183</v>
      </c>
      <c r="F55" t="s">
        <v>605</v>
      </c>
      <c r="G55" t="s">
        <v>606</v>
      </c>
      <c r="H55" t="s">
        <v>607</v>
      </c>
      <c r="I55" t="s">
        <v>557</v>
      </c>
      <c r="K55" t="s">
        <v>54</v>
      </c>
      <c r="L55" t="s">
        <v>33</v>
      </c>
      <c r="M55" t="s">
        <v>432</v>
      </c>
    </row>
    <row r="56" spans="1:13" x14ac:dyDescent="0.35">
      <c r="A56" t="s">
        <v>20</v>
      </c>
      <c r="B56">
        <v>17643</v>
      </c>
      <c r="C56" t="s">
        <v>426</v>
      </c>
      <c r="D56" t="s">
        <v>427</v>
      </c>
      <c r="E56" t="s">
        <v>11184</v>
      </c>
      <c r="F56" t="s">
        <v>608</v>
      </c>
      <c r="G56" t="s">
        <v>609</v>
      </c>
      <c r="H56" t="s">
        <v>610</v>
      </c>
      <c r="I56" t="s">
        <v>557</v>
      </c>
      <c r="K56" t="s">
        <v>54</v>
      </c>
      <c r="L56" t="s">
        <v>33</v>
      </c>
      <c r="M56" t="s">
        <v>432</v>
      </c>
    </row>
    <row r="57" spans="1:13" x14ac:dyDescent="0.35">
      <c r="A57" t="s">
        <v>20</v>
      </c>
      <c r="B57">
        <v>17643</v>
      </c>
      <c r="C57" t="s">
        <v>426</v>
      </c>
      <c r="D57" t="s">
        <v>427</v>
      </c>
      <c r="E57" t="s">
        <v>11185</v>
      </c>
      <c r="F57" t="s">
        <v>613</v>
      </c>
      <c r="G57" t="s">
        <v>614</v>
      </c>
      <c r="H57" t="s">
        <v>615</v>
      </c>
      <c r="I57" t="s">
        <v>557</v>
      </c>
      <c r="K57" t="s">
        <v>54</v>
      </c>
      <c r="L57" t="s">
        <v>33</v>
      </c>
      <c r="M57" t="s">
        <v>432</v>
      </c>
    </row>
    <row r="58" spans="1:13" x14ac:dyDescent="0.35">
      <c r="A58" t="s">
        <v>20</v>
      </c>
      <c r="B58">
        <v>17643</v>
      </c>
      <c r="C58" t="s">
        <v>426</v>
      </c>
      <c r="D58" t="s">
        <v>427</v>
      </c>
      <c r="E58" t="s">
        <v>11186</v>
      </c>
      <c r="F58" t="s">
        <v>618</v>
      </c>
      <c r="G58" t="s">
        <v>619</v>
      </c>
      <c r="H58" t="s">
        <v>620</v>
      </c>
      <c r="I58" t="s">
        <v>557</v>
      </c>
      <c r="K58" t="s">
        <v>54</v>
      </c>
      <c r="L58" t="s">
        <v>33</v>
      </c>
      <c r="M58" t="s">
        <v>432</v>
      </c>
    </row>
    <row r="59" spans="1:13" x14ac:dyDescent="0.35">
      <c r="A59" t="s">
        <v>20</v>
      </c>
      <c r="B59">
        <v>17643</v>
      </c>
      <c r="C59" t="s">
        <v>426</v>
      </c>
      <c r="D59" t="s">
        <v>427</v>
      </c>
      <c r="E59" t="s">
        <v>11187</v>
      </c>
      <c r="F59" t="s">
        <v>636</v>
      </c>
      <c r="G59" t="s">
        <v>637</v>
      </c>
      <c r="H59" t="s">
        <v>638</v>
      </c>
      <c r="I59" t="s">
        <v>557</v>
      </c>
      <c r="K59" t="s">
        <v>62</v>
      </c>
      <c r="L59" t="s">
        <v>33</v>
      </c>
      <c r="M59" t="s">
        <v>432</v>
      </c>
    </row>
    <row r="60" spans="1:13" x14ac:dyDescent="0.35">
      <c r="A60" t="s">
        <v>20</v>
      </c>
      <c r="B60">
        <v>17643</v>
      </c>
      <c r="C60" t="s">
        <v>426</v>
      </c>
      <c r="D60" t="s">
        <v>427</v>
      </c>
      <c r="E60" t="s">
        <v>11223</v>
      </c>
      <c r="F60" t="s">
        <v>639</v>
      </c>
      <c r="G60" t="s">
        <v>640</v>
      </c>
      <c r="H60" t="s">
        <v>641</v>
      </c>
      <c r="I60" t="s">
        <v>557</v>
      </c>
      <c r="K60" t="s">
        <v>62</v>
      </c>
      <c r="L60" t="s">
        <v>33</v>
      </c>
      <c r="M60" t="s">
        <v>432</v>
      </c>
    </row>
    <row r="61" spans="1:13" x14ac:dyDescent="0.35">
      <c r="A61" t="s">
        <v>20</v>
      </c>
      <c r="B61">
        <v>17643</v>
      </c>
      <c r="C61" t="s">
        <v>426</v>
      </c>
      <c r="D61" t="s">
        <v>427</v>
      </c>
      <c r="E61" t="s">
        <v>11188</v>
      </c>
      <c r="F61" t="s">
        <v>645</v>
      </c>
      <c r="G61" t="s">
        <v>646</v>
      </c>
      <c r="H61" t="s">
        <v>647</v>
      </c>
      <c r="I61" t="s">
        <v>557</v>
      </c>
      <c r="K61" t="s">
        <v>54</v>
      </c>
      <c r="L61" t="s">
        <v>33</v>
      </c>
      <c r="M61" t="s">
        <v>432</v>
      </c>
    </row>
    <row r="62" spans="1:13" x14ac:dyDescent="0.35">
      <c r="A62" t="s">
        <v>20</v>
      </c>
      <c r="B62">
        <v>17643</v>
      </c>
      <c r="C62" t="s">
        <v>426</v>
      </c>
      <c r="D62" t="s">
        <v>427</v>
      </c>
      <c r="E62" t="s">
        <v>11189</v>
      </c>
      <c r="F62" t="s">
        <v>648</v>
      </c>
      <c r="G62" t="s">
        <v>649</v>
      </c>
      <c r="H62" t="s">
        <v>650</v>
      </c>
      <c r="I62" t="s">
        <v>557</v>
      </c>
      <c r="K62" t="s">
        <v>11217</v>
      </c>
      <c r="L62" t="s">
        <v>33</v>
      </c>
      <c r="M62" t="s">
        <v>432</v>
      </c>
    </row>
    <row r="63" spans="1:13" x14ac:dyDescent="0.35">
      <c r="A63" t="s">
        <v>20</v>
      </c>
      <c r="B63">
        <v>17643</v>
      </c>
      <c r="C63" t="s">
        <v>426</v>
      </c>
      <c r="D63" t="s">
        <v>427</v>
      </c>
      <c r="E63" t="s">
        <v>11224</v>
      </c>
      <c r="F63" t="s">
        <v>651</v>
      </c>
      <c r="G63" t="s">
        <v>652</v>
      </c>
      <c r="H63" t="s">
        <v>653</v>
      </c>
      <c r="I63" t="s">
        <v>557</v>
      </c>
      <c r="K63" t="s">
        <v>54</v>
      </c>
      <c r="L63" t="s">
        <v>33</v>
      </c>
      <c r="M63" t="s">
        <v>432</v>
      </c>
    </row>
    <row r="64" spans="1:13" x14ac:dyDescent="0.35">
      <c r="A64" t="s">
        <v>20</v>
      </c>
      <c r="B64">
        <v>17643</v>
      </c>
      <c r="C64" t="s">
        <v>426</v>
      </c>
      <c r="D64" t="s">
        <v>427</v>
      </c>
      <c r="E64" t="s">
        <v>11190</v>
      </c>
      <c r="F64" t="s">
        <v>657</v>
      </c>
      <c r="G64" t="s">
        <v>658</v>
      </c>
      <c r="H64" t="s">
        <v>659</v>
      </c>
      <c r="I64" t="s">
        <v>557</v>
      </c>
      <c r="K64" t="s">
        <v>11217</v>
      </c>
      <c r="L64" t="s">
        <v>33</v>
      </c>
      <c r="M64" t="s">
        <v>432</v>
      </c>
    </row>
    <row r="65" spans="1:13" x14ac:dyDescent="0.35">
      <c r="A65" t="s">
        <v>20</v>
      </c>
      <c r="B65">
        <v>17643</v>
      </c>
      <c r="C65" t="s">
        <v>426</v>
      </c>
      <c r="D65" t="s">
        <v>427</v>
      </c>
      <c r="E65" t="s">
        <v>11191</v>
      </c>
      <c r="F65" t="s">
        <v>660</v>
      </c>
      <c r="G65" t="s">
        <v>661</v>
      </c>
      <c r="H65" t="s">
        <v>662</v>
      </c>
      <c r="I65" t="s">
        <v>557</v>
      </c>
      <c r="K65" t="s">
        <v>62</v>
      </c>
      <c r="L65" t="s">
        <v>33</v>
      </c>
      <c r="M65" t="s">
        <v>432</v>
      </c>
    </row>
    <row r="66" spans="1:13" x14ac:dyDescent="0.35">
      <c r="A66" t="s">
        <v>20</v>
      </c>
      <c r="B66">
        <v>17643</v>
      </c>
      <c r="C66" t="s">
        <v>426</v>
      </c>
      <c r="D66" t="s">
        <v>427</v>
      </c>
      <c r="E66" t="s">
        <v>11225</v>
      </c>
      <c r="F66" t="s">
        <v>663</v>
      </c>
      <c r="G66" t="s">
        <v>664</v>
      </c>
      <c r="H66" t="s">
        <v>665</v>
      </c>
      <c r="I66" t="s">
        <v>557</v>
      </c>
      <c r="K66" t="s">
        <v>11217</v>
      </c>
      <c r="L66" t="s">
        <v>33</v>
      </c>
      <c r="M66" t="s">
        <v>432</v>
      </c>
    </row>
    <row r="67" spans="1:13" x14ac:dyDescent="0.35">
      <c r="A67" t="s">
        <v>20</v>
      </c>
      <c r="B67">
        <v>17643</v>
      </c>
      <c r="C67" t="s">
        <v>426</v>
      </c>
      <c r="D67" t="s">
        <v>427</v>
      </c>
      <c r="E67" t="s">
        <v>11197</v>
      </c>
      <c r="F67" t="s">
        <v>433</v>
      </c>
      <c r="G67" t="s">
        <v>434</v>
      </c>
      <c r="H67" t="s">
        <v>435</v>
      </c>
      <c r="I67" t="s">
        <v>431</v>
      </c>
      <c r="K67" t="s">
        <v>11217</v>
      </c>
      <c r="L67" t="s">
        <v>33</v>
      </c>
      <c r="M67" t="s">
        <v>432</v>
      </c>
    </row>
    <row r="68" spans="1:13" x14ac:dyDescent="0.35">
      <c r="A68" t="s">
        <v>20</v>
      </c>
      <c r="B68">
        <v>17643</v>
      </c>
      <c r="C68" t="s">
        <v>426</v>
      </c>
      <c r="D68" t="s">
        <v>427</v>
      </c>
      <c r="E68" t="s">
        <v>11198</v>
      </c>
      <c r="F68" t="s">
        <v>436</v>
      </c>
      <c r="G68" t="s">
        <v>437</v>
      </c>
      <c r="H68" t="s">
        <v>438</v>
      </c>
      <c r="I68" t="s">
        <v>431</v>
      </c>
      <c r="K68" t="s">
        <v>62</v>
      </c>
      <c r="L68" t="s">
        <v>33</v>
      </c>
      <c r="M68" t="s">
        <v>432</v>
      </c>
    </row>
    <row r="69" spans="1:13" x14ac:dyDescent="0.35">
      <c r="A69" t="s">
        <v>20</v>
      </c>
      <c r="B69">
        <v>17643</v>
      </c>
      <c r="C69" t="s">
        <v>426</v>
      </c>
      <c r="D69" t="s">
        <v>427</v>
      </c>
      <c r="E69" t="s">
        <v>11199</v>
      </c>
      <c r="F69" t="s">
        <v>442</v>
      </c>
      <c r="G69" t="s">
        <v>443</v>
      </c>
      <c r="H69" t="s">
        <v>444</v>
      </c>
      <c r="I69" t="s">
        <v>431</v>
      </c>
      <c r="K69" t="s">
        <v>11217</v>
      </c>
      <c r="L69" t="s">
        <v>33</v>
      </c>
      <c r="M69" t="s">
        <v>432</v>
      </c>
    </row>
    <row r="70" spans="1:13" x14ac:dyDescent="0.35">
      <c r="A70" t="s">
        <v>20</v>
      </c>
      <c r="B70">
        <v>17643</v>
      </c>
      <c r="C70" t="s">
        <v>426</v>
      </c>
      <c r="D70" t="s">
        <v>427</v>
      </c>
      <c r="E70" t="s">
        <v>11200</v>
      </c>
      <c r="F70" t="s">
        <v>460</v>
      </c>
      <c r="G70" t="s">
        <v>461</v>
      </c>
      <c r="H70" t="s">
        <v>462</v>
      </c>
      <c r="I70" t="s">
        <v>431</v>
      </c>
      <c r="K70" t="s">
        <v>11217</v>
      </c>
      <c r="L70" t="s">
        <v>33</v>
      </c>
      <c r="M70" t="s">
        <v>432</v>
      </c>
    </row>
    <row r="71" spans="1:13" x14ac:dyDescent="0.35">
      <c r="A71" t="s">
        <v>20</v>
      </c>
      <c r="B71">
        <v>17643</v>
      </c>
      <c r="C71" t="s">
        <v>426</v>
      </c>
      <c r="D71" t="s">
        <v>427</v>
      </c>
      <c r="E71" t="s">
        <v>11201</v>
      </c>
      <c r="F71" t="s">
        <v>463</v>
      </c>
      <c r="G71" t="s">
        <v>464</v>
      </c>
      <c r="H71" t="s">
        <v>465</v>
      </c>
      <c r="I71" t="s">
        <v>431</v>
      </c>
      <c r="K71" t="s">
        <v>62</v>
      </c>
      <c r="L71" t="s">
        <v>33</v>
      </c>
      <c r="M71" t="s">
        <v>432</v>
      </c>
    </row>
    <row r="72" spans="1:13" x14ac:dyDescent="0.35">
      <c r="A72" t="s">
        <v>20</v>
      </c>
      <c r="B72">
        <v>17643</v>
      </c>
      <c r="C72" t="s">
        <v>426</v>
      </c>
      <c r="D72" t="s">
        <v>427</v>
      </c>
      <c r="E72" t="s">
        <v>11202</v>
      </c>
      <c r="F72" t="s">
        <v>466</v>
      </c>
      <c r="G72" t="s">
        <v>467</v>
      </c>
      <c r="H72" t="s">
        <v>468</v>
      </c>
      <c r="I72" t="s">
        <v>431</v>
      </c>
      <c r="K72" t="s">
        <v>62</v>
      </c>
      <c r="L72" t="s">
        <v>33</v>
      </c>
      <c r="M72" t="s">
        <v>432</v>
      </c>
    </row>
    <row r="73" spans="1:13" x14ac:dyDescent="0.35">
      <c r="A73" t="s">
        <v>20</v>
      </c>
      <c r="B73">
        <v>17643</v>
      </c>
      <c r="C73" t="s">
        <v>426</v>
      </c>
      <c r="D73" t="s">
        <v>427</v>
      </c>
      <c r="E73" t="s">
        <v>11203</v>
      </c>
      <c r="F73" t="s">
        <v>469</v>
      </c>
      <c r="G73" t="s">
        <v>470</v>
      </c>
      <c r="H73" t="s">
        <v>471</v>
      </c>
      <c r="I73" t="s">
        <v>431</v>
      </c>
      <c r="K73" t="s">
        <v>54</v>
      </c>
      <c r="L73" t="s">
        <v>33</v>
      </c>
      <c r="M73" t="s">
        <v>432</v>
      </c>
    </row>
    <row r="74" spans="1:13" x14ac:dyDescent="0.35">
      <c r="A74" t="s">
        <v>20</v>
      </c>
      <c r="B74">
        <v>17643</v>
      </c>
      <c r="C74" t="s">
        <v>426</v>
      </c>
      <c r="D74" t="s">
        <v>427</v>
      </c>
      <c r="E74" t="s">
        <v>11204</v>
      </c>
      <c r="F74" t="s">
        <v>479</v>
      </c>
      <c r="G74" t="s">
        <v>480</v>
      </c>
      <c r="H74" t="s">
        <v>481</v>
      </c>
      <c r="I74" t="s">
        <v>431</v>
      </c>
      <c r="K74" t="s">
        <v>11217</v>
      </c>
      <c r="L74" t="s">
        <v>33</v>
      </c>
      <c r="M74" t="s">
        <v>432</v>
      </c>
    </row>
    <row r="75" spans="1:13" x14ac:dyDescent="0.35">
      <c r="A75" t="s">
        <v>20</v>
      </c>
      <c r="B75">
        <v>17643</v>
      </c>
      <c r="C75" t="s">
        <v>426</v>
      </c>
      <c r="D75" t="s">
        <v>427</v>
      </c>
      <c r="E75" t="s">
        <v>11226</v>
      </c>
      <c r="F75" t="s">
        <v>482</v>
      </c>
      <c r="G75" t="s">
        <v>483</v>
      </c>
      <c r="H75" t="s">
        <v>484</v>
      </c>
      <c r="I75" t="s">
        <v>431</v>
      </c>
      <c r="K75" t="s">
        <v>54</v>
      </c>
      <c r="L75" t="s">
        <v>33</v>
      </c>
      <c r="M75" t="s">
        <v>432</v>
      </c>
    </row>
    <row r="76" spans="1:13" x14ac:dyDescent="0.35">
      <c r="A76" t="s">
        <v>20</v>
      </c>
      <c r="B76">
        <v>17643</v>
      </c>
      <c r="C76" t="s">
        <v>426</v>
      </c>
      <c r="D76" t="s">
        <v>427</v>
      </c>
      <c r="E76" t="s">
        <v>11205</v>
      </c>
      <c r="F76" t="s">
        <v>485</v>
      </c>
      <c r="G76" t="s">
        <v>486</v>
      </c>
      <c r="H76" t="s">
        <v>487</v>
      </c>
      <c r="I76" t="s">
        <v>431</v>
      </c>
      <c r="K76" t="s">
        <v>54</v>
      </c>
      <c r="L76" t="s">
        <v>33</v>
      </c>
      <c r="M76" t="s">
        <v>432</v>
      </c>
    </row>
    <row r="77" spans="1:13" x14ac:dyDescent="0.35">
      <c r="A77" t="s">
        <v>20</v>
      </c>
      <c r="B77">
        <v>17643</v>
      </c>
      <c r="C77" t="s">
        <v>426</v>
      </c>
      <c r="D77" t="s">
        <v>427</v>
      </c>
      <c r="E77" t="s">
        <v>11206</v>
      </c>
      <c r="F77" t="s">
        <v>491</v>
      </c>
      <c r="G77" t="s">
        <v>492</v>
      </c>
      <c r="H77" t="s">
        <v>493</v>
      </c>
      <c r="I77" t="s">
        <v>431</v>
      </c>
      <c r="K77" t="s">
        <v>62</v>
      </c>
      <c r="L77" t="s">
        <v>33</v>
      </c>
      <c r="M77" t="s">
        <v>432</v>
      </c>
    </row>
    <row r="78" spans="1:13" x14ac:dyDescent="0.35">
      <c r="A78" t="s">
        <v>20</v>
      </c>
      <c r="B78">
        <v>17643</v>
      </c>
      <c r="C78" t="s">
        <v>426</v>
      </c>
      <c r="D78" t="s">
        <v>427</v>
      </c>
      <c r="E78" t="s">
        <v>11227</v>
      </c>
      <c r="F78" t="s">
        <v>494</v>
      </c>
      <c r="G78" t="s">
        <v>495</v>
      </c>
      <c r="H78" t="s">
        <v>496</v>
      </c>
      <c r="I78" t="s">
        <v>431</v>
      </c>
      <c r="K78" t="s">
        <v>11217</v>
      </c>
      <c r="L78" t="s">
        <v>33</v>
      </c>
      <c r="M78" t="s">
        <v>432</v>
      </c>
    </row>
    <row r="79" spans="1:13" x14ac:dyDescent="0.35">
      <c r="A79" t="s">
        <v>20</v>
      </c>
      <c r="B79">
        <v>17643</v>
      </c>
      <c r="C79" t="s">
        <v>426</v>
      </c>
      <c r="D79" t="s">
        <v>427</v>
      </c>
      <c r="E79" t="s">
        <v>11228</v>
      </c>
      <c r="F79" t="s">
        <v>497</v>
      </c>
      <c r="G79" t="s">
        <v>498</v>
      </c>
      <c r="H79" t="s">
        <v>499</v>
      </c>
      <c r="I79" t="s">
        <v>431</v>
      </c>
      <c r="K79" t="s">
        <v>62</v>
      </c>
      <c r="L79" t="s">
        <v>33</v>
      </c>
      <c r="M79" t="s">
        <v>432</v>
      </c>
    </row>
    <row r="80" spans="1:13" x14ac:dyDescent="0.35">
      <c r="A80" t="s">
        <v>20</v>
      </c>
      <c r="B80">
        <v>17643</v>
      </c>
      <c r="C80" t="s">
        <v>426</v>
      </c>
      <c r="D80" t="s">
        <v>427</v>
      </c>
      <c r="E80" t="s">
        <v>11207</v>
      </c>
      <c r="F80" t="s">
        <v>500</v>
      </c>
      <c r="G80" t="s">
        <v>501</v>
      </c>
      <c r="H80" t="s">
        <v>502</v>
      </c>
      <c r="I80" t="s">
        <v>431</v>
      </c>
      <c r="K80" t="s">
        <v>54</v>
      </c>
      <c r="L80" t="s">
        <v>33</v>
      </c>
      <c r="M80" t="s">
        <v>432</v>
      </c>
    </row>
    <row r="81" spans="1:13" x14ac:dyDescent="0.35">
      <c r="A81" t="s">
        <v>20</v>
      </c>
      <c r="B81">
        <v>17643</v>
      </c>
      <c r="C81" t="s">
        <v>426</v>
      </c>
      <c r="D81" t="s">
        <v>427</v>
      </c>
      <c r="E81" t="s">
        <v>11208</v>
      </c>
      <c r="F81" t="s">
        <v>503</v>
      </c>
      <c r="G81" t="s">
        <v>504</v>
      </c>
      <c r="H81" t="s">
        <v>505</v>
      </c>
      <c r="I81" t="s">
        <v>431</v>
      </c>
      <c r="K81" t="s">
        <v>62</v>
      </c>
      <c r="L81" t="s">
        <v>33</v>
      </c>
      <c r="M81" t="s">
        <v>432</v>
      </c>
    </row>
    <row r="82" spans="1:13" x14ac:dyDescent="0.35">
      <c r="A82" t="s">
        <v>20</v>
      </c>
      <c r="B82">
        <v>17643</v>
      </c>
      <c r="C82" t="s">
        <v>426</v>
      </c>
      <c r="D82" t="s">
        <v>427</v>
      </c>
      <c r="E82" t="s">
        <v>11209</v>
      </c>
      <c r="F82" t="s">
        <v>506</v>
      </c>
      <c r="G82" t="s">
        <v>507</v>
      </c>
      <c r="H82" t="s">
        <v>508</v>
      </c>
      <c r="I82" t="s">
        <v>431</v>
      </c>
      <c r="K82" t="s">
        <v>62</v>
      </c>
      <c r="L82" t="s">
        <v>33</v>
      </c>
      <c r="M82" t="s">
        <v>432</v>
      </c>
    </row>
    <row r="83" spans="1:13" x14ac:dyDescent="0.35">
      <c r="A83" t="s">
        <v>20</v>
      </c>
      <c r="B83">
        <v>17643</v>
      </c>
      <c r="C83" t="s">
        <v>426</v>
      </c>
      <c r="D83" t="s">
        <v>427</v>
      </c>
      <c r="E83" t="s">
        <v>11210</v>
      </c>
      <c r="F83" t="s">
        <v>509</v>
      </c>
      <c r="G83" t="s">
        <v>510</v>
      </c>
      <c r="H83" t="s">
        <v>511</v>
      </c>
      <c r="I83" t="s">
        <v>431</v>
      </c>
      <c r="K83" t="s">
        <v>62</v>
      </c>
      <c r="L83" t="s">
        <v>33</v>
      </c>
      <c r="M83" t="s">
        <v>432</v>
      </c>
    </row>
    <row r="84" spans="1:13" x14ac:dyDescent="0.35">
      <c r="A84" t="s">
        <v>20</v>
      </c>
      <c r="B84">
        <v>17643</v>
      </c>
      <c r="C84" t="s">
        <v>426</v>
      </c>
      <c r="D84" t="s">
        <v>427</v>
      </c>
      <c r="E84" t="s">
        <v>11211</v>
      </c>
      <c r="F84" t="s">
        <v>512</v>
      </c>
      <c r="G84" t="s">
        <v>513</v>
      </c>
      <c r="H84" t="s">
        <v>514</v>
      </c>
      <c r="I84" t="s">
        <v>431</v>
      </c>
      <c r="K84" t="s">
        <v>62</v>
      </c>
      <c r="L84" t="s">
        <v>33</v>
      </c>
      <c r="M84" t="s">
        <v>432</v>
      </c>
    </row>
    <row r="85" spans="1:13" x14ac:dyDescent="0.35">
      <c r="A85" t="s">
        <v>20</v>
      </c>
      <c r="B85">
        <v>17643</v>
      </c>
      <c r="C85" t="s">
        <v>426</v>
      </c>
      <c r="D85" t="s">
        <v>427</v>
      </c>
      <c r="E85" t="s">
        <v>11212</v>
      </c>
      <c r="F85" t="s">
        <v>518</v>
      </c>
      <c r="G85" t="s">
        <v>519</v>
      </c>
      <c r="H85" t="s">
        <v>520</v>
      </c>
      <c r="I85" t="s">
        <v>431</v>
      </c>
      <c r="K85" t="s">
        <v>11217</v>
      </c>
      <c r="L85" t="s">
        <v>33</v>
      </c>
      <c r="M85" t="s">
        <v>432</v>
      </c>
    </row>
    <row r="86" spans="1:13" x14ac:dyDescent="0.35">
      <c r="A86" t="s">
        <v>20</v>
      </c>
      <c r="B86">
        <v>17643</v>
      </c>
      <c r="C86" t="s">
        <v>426</v>
      </c>
      <c r="D86" t="s">
        <v>427</v>
      </c>
      <c r="E86" t="s">
        <v>11213</v>
      </c>
      <c r="F86" t="s">
        <v>521</v>
      </c>
      <c r="G86" t="s">
        <v>522</v>
      </c>
      <c r="H86" t="s">
        <v>523</v>
      </c>
      <c r="I86" t="s">
        <v>431</v>
      </c>
      <c r="K86" t="s">
        <v>62</v>
      </c>
      <c r="L86" t="s">
        <v>33</v>
      </c>
      <c r="M86" t="s">
        <v>432</v>
      </c>
    </row>
    <row r="87" spans="1:13" x14ac:dyDescent="0.35">
      <c r="A87" t="s">
        <v>20</v>
      </c>
      <c r="B87">
        <v>17643</v>
      </c>
      <c r="C87" t="s">
        <v>426</v>
      </c>
      <c r="D87" t="s">
        <v>427</v>
      </c>
      <c r="E87" t="s">
        <v>11214</v>
      </c>
      <c r="F87" t="s">
        <v>527</v>
      </c>
      <c r="G87" t="s">
        <v>528</v>
      </c>
      <c r="H87" t="s">
        <v>529</v>
      </c>
      <c r="I87" t="s">
        <v>431</v>
      </c>
      <c r="K87" t="s">
        <v>62</v>
      </c>
      <c r="L87" t="s">
        <v>33</v>
      </c>
      <c r="M87" t="s">
        <v>432</v>
      </c>
    </row>
    <row r="88" spans="1:13" x14ac:dyDescent="0.35">
      <c r="A88" t="s">
        <v>20</v>
      </c>
      <c r="B88">
        <v>17643</v>
      </c>
      <c r="C88" t="s">
        <v>426</v>
      </c>
      <c r="D88" t="s">
        <v>427</v>
      </c>
      <c r="E88" t="s">
        <v>11229</v>
      </c>
      <c r="F88" t="s">
        <v>530</v>
      </c>
      <c r="G88" t="s">
        <v>531</v>
      </c>
      <c r="H88" t="s">
        <v>532</v>
      </c>
      <c r="I88" t="s">
        <v>431</v>
      </c>
      <c r="K88" t="s">
        <v>62</v>
      </c>
      <c r="L88" t="s">
        <v>33</v>
      </c>
      <c r="M88" t="s">
        <v>432</v>
      </c>
    </row>
    <row r="89" spans="1:13" x14ac:dyDescent="0.35">
      <c r="A89" t="s">
        <v>20</v>
      </c>
      <c r="B89">
        <v>17643</v>
      </c>
      <c r="C89" t="s">
        <v>426</v>
      </c>
      <c r="D89" t="s">
        <v>427</v>
      </c>
      <c r="E89" t="s">
        <v>11230</v>
      </c>
      <c r="F89" t="s">
        <v>533</v>
      </c>
      <c r="G89" t="s">
        <v>534</v>
      </c>
      <c r="H89" t="s">
        <v>535</v>
      </c>
      <c r="I89" t="s">
        <v>431</v>
      </c>
      <c r="K89" t="s">
        <v>62</v>
      </c>
      <c r="L89" t="s">
        <v>33</v>
      </c>
      <c r="M89" t="s">
        <v>432</v>
      </c>
    </row>
    <row r="90" spans="1:13" x14ac:dyDescent="0.35">
      <c r="A90" t="s">
        <v>20</v>
      </c>
      <c r="B90">
        <v>17643</v>
      </c>
      <c r="C90" t="s">
        <v>426</v>
      </c>
      <c r="D90" t="s">
        <v>427</v>
      </c>
      <c r="E90" t="s">
        <v>11215</v>
      </c>
      <c r="F90" t="s">
        <v>536</v>
      </c>
      <c r="G90" t="s">
        <v>537</v>
      </c>
      <c r="H90" t="s">
        <v>538</v>
      </c>
      <c r="I90" t="s">
        <v>431</v>
      </c>
      <c r="K90" t="s">
        <v>54</v>
      </c>
      <c r="L90" t="s">
        <v>33</v>
      </c>
      <c r="M90" t="s">
        <v>432</v>
      </c>
    </row>
    <row r="91" spans="1:13" x14ac:dyDescent="0.35">
      <c r="A91" t="s">
        <v>20</v>
      </c>
      <c r="B91">
        <v>17643</v>
      </c>
      <c r="C91" t="s">
        <v>426</v>
      </c>
      <c r="D91" t="s">
        <v>427</v>
      </c>
      <c r="E91" t="s">
        <v>11216</v>
      </c>
      <c r="F91" t="s">
        <v>539</v>
      </c>
      <c r="G91" t="s">
        <v>540</v>
      </c>
      <c r="H91" t="s">
        <v>541</v>
      </c>
      <c r="I91" t="s">
        <v>431</v>
      </c>
      <c r="K91" t="s">
        <v>54</v>
      </c>
      <c r="L91" t="s">
        <v>33</v>
      </c>
      <c r="M91" t="s">
        <v>432</v>
      </c>
    </row>
    <row r="92" spans="1:13" x14ac:dyDescent="0.35">
      <c r="A92" t="s">
        <v>20</v>
      </c>
      <c r="B92">
        <v>17643</v>
      </c>
      <c r="C92" t="s">
        <v>426</v>
      </c>
      <c r="D92" t="s">
        <v>427</v>
      </c>
      <c r="E92" t="s">
        <v>11218</v>
      </c>
      <c r="F92" t="s">
        <v>548</v>
      </c>
      <c r="G92" t="s">
        <v>549</v>
      </c>
      <c r="H92" t="s">
        <v>550</v>
      </c>
      <c r="I92" t="s">
        <v>431</v>
      </c>
      <c r="K92" t="s">
        <v>11217</v>
      </c>
      <c r="L92" t="s">
        <v>33</v>
      </c>
      <c r="M92" t="s">
        <v>432</v>
      </c>
    </row>
    <row r="93" spans="1:13" x14ac:dyDescent="0.35">
      <c r="A93" t="s">
        <v>20</v>
      </c>
      <c r="B93">
        <v>17646</v>
      </c>
      <c r="C93" t="s">
        <v>666</v>
      </c>
      <c r="D93" t="s">
        <v>667</v>
      </c>
      <c r="E93" t="s">
        <v>11219</v>
      </c>
      <c r="F93" t="s">
        <v>817</v>
      </c>
      <c r="G93" t="s">
        <v>818</v>
      </c>
      <c r="H93" t="s">
        <v>819</v>
      </c>
      <c r="I93" t="s">
        <v>809</v>
      </c>
      <c r="K93" t="s">
        <v>62</v>
      </c>
      <c r="L93" t="s">
        <v>33</v>
      </c>
    </row>
    <row r="94" spans="1:13" x14ac:dyDescent="0.35">
      <c r="A94" t="s">
        <v>20</v>
      </c>
      <c r="B94">
        <v>17646</v>
      </c>
      <c r="C94" t="s">
        <v>666</v>
      </c>
      <c r="D94" t="s">
        <v>667</v>
      </c>
      <c r="E94" t="s">
        <v>11176</v>
      </c>
      <c r="F94" t="s">
        <v>823</v>
      </c>
      <c r="G94" t="s">
        <v>824</v>
      </c>
      <c r="H94" t="s">
        <v>825</v>
      </c>
      <c r="I94" t="s">
        <v>809</v>
      </c>
      <c r="K94" t="s">
        <v>11217</v>
      </c>
      <c r="L94" t="s">
        <v>33</v>
      </c>
    </row>
    <row r="95" spans="1:13" x14ac:dyDescent="0.35">
      <c r="A95" t="s">
        <v>20</v>
      </c>
      <c r="B95">
        <v>17646</v>
      </c>
      <c r="C95" t="s">
        <v>666</v>
      </c>
      <c r="D95" t="s">
        <v>667</v>
      </c>
      <c r="E95" t="s">
        <v>11177</v>
      </c>
      <c r="F95" t="s">
        <v>826</v>
      </c>
      <c r="G95" t="s">
        <v>827</v>
      </c>
      <c r="H95" t="s">
        <v>828</v>
      </c>
      <c r="I95" t="s">
        <v>809</v>
      </c>
      <c r="K95" t="s">
        <v>62</v>
      </c>
      <c r="L95" t="s">
        <v>33</v>
      </c>
    </row>
    <row r="96" spans="1:13" x14ac:dyDescent="0.35">
      <c r="A96" t="s">
        <v>20</v>
      </c>
      <c r="B96">
        <v>17646</v>
      </c>
      <c r="C96" t="s">
        <v>666</v>
      </c>
      <c r="D96" t="s">
        <v>667</v>
      </c>
      <c r="E96" t="s">
        <v>11178</v>
      </c>
      <c r="F96" t="s">
        <v>829</v>
      </c>
      <c r="G96" t="s">
        <v>830</v>
      </c>
      <c r="H96" t="s">
        <v>831</v>
      </c>
      <c r="I96" t="s">
        <v>809</v>
      </c>
      <c r="K96" t="s">
        <v>62</v>
      </c>
      <c r="L96" t="s">
        <v>33</v>
      </c>
    </row>
    <row r="97" spans="1:12" x14ac:dyDescent="0.35">
      <c r="A97" t="s">
        <v>20</v>
      </c>
      <c r="B97">
        <v>17646</v>
      </c>
      <c r="C97" t="s">
        <v>666</v>
      </c>
      <c r="D97" t="s">
        <v>667</v>
      </c>
      <c r="E97" t="s">
        <v>11220</v>
      </c>
      <c r="F97" t="s">
        <v>832</v>
      </c>
      <c r="G97" t="s">
        <v>833</v>
      </c>
      <c r="H97" t="s">
        <v>834</v>
      </c>
      <c r="I97" t="s">
        <v>809</v>
      </c>
      <c r="K97" t="s">
        <v>62</v>
      </c>
      <c r="L97" t="s">
        <v>33</v>
      </c>
    </row>
    <row r="98" spans="1:12" x14ac:dyDescent="0.35">
      <c r="A98" t="s">
        <v>20</v>
      </c>
      <c r="B98">
        <v>17646</v>
      </c>
      <c r="C98" t="s">
        <v>666</v>
      </c>
      <c r="D98" t="s">
        <v>667</v>
      </c>
      <c r="E98" t="s">
        <v>11179</v>
      </c>
      <c r="F98" t="s">
        <v>838</v>
      </c>
      <c r="G98" t="s">
        <v>839</v>
      </c>
      <c r="H98" t="s">
        <v>840</v>
      </c>
      <c r="I98" t="s">
        <v>809</v>
      </c>
      <c r="K98" t="s">
        <v>62</v>
      </c>
      <c r="L98" t="s">
        <v>33</v>
      </c>
    </row>
    <row r="99" spans="1:12" x14ac:dyDescent="0.35">
      <c r="A99" t="s">
        <v>20</v>
      </c>
      <c r="B99">
        <v>17646</v>
      </c>
      <c r="C99" t="s">
        <v>666</v>
      </c>
      <c r="D99" t="s">
        <v>667</v>
      </c>
      <c r="E99" t="s">
        <v>11180</v>
      </c>
      <c r="F99" t="s">
        <v>844</v>
      </c>
      <c r="G99" t="s">
        <v>845</v>
      </c>
      <c r="H99" t="s">
        <v>846</v>
      </c>
      <c r="I99" t="s">
        <v>809</v>
      </c>
      <c r="K99" t="s">
        <v>62</v>
      </c>
      <c r="L99" t="s">
        <v>33</v>
      </c>
    </row>
    <row r="100" spans="1:12" x14ac:dyDescent="0.35">
      <c r="A100" t="s">
        <v>20</v>
      </c>
      <c r="B100">
        <v>17646</v>
      </c>
      <c r="C100" t="s">
        <v>666</v>
      </c>
      <c r="D100" t="s">
        <v>667</v>
      </c>
      <c r="E100" t="s">
        <v>11181</v>
      </c>
      <c r="F100" t="s">
        <v>847</v>
      </c>
      <c r="G100" t="s">
        <v>848</v>
      </c>
      <c r="H100" t="s">
        <v>849</v>
      </c>
      <c r="I100" t="s">
        <v>809</v>
      </c>
      <c r="K100" t="s">
        <v>54</v>
      </c>
      <c r="L100" t="s">
        <v>33</v>
      </c>
    </row>
    <row r="101" spans="1:12" x14ac:dyDescent="0.35">
      <c r="A101" t="s">
        <v>20</v>
      </c>
      <c r="B101">
        <v>17646</v>
      </c>
      <c r="C101" t="s">
        <v>666</v>
      </c>
      <c r="D101" t="s">
        <v>667</v>
      </c>
      <c r="E101" t="s">
        <v>11221</v>
      </c>
      <c r="F101" t="s">
        <v>860</v>
      </c>
      <c r="G101" t="s">
        <v>861</v>
      </c>
      <c r="H101" t="s">
        <v>862</v>
      </c>
      <c r="I101" t="s">
        <v>809</v>
      </c>
      <c r="K101" t="s">
        <v>11217</v>
      </c>
      <c r="L101" t="s">
        <v>33</v>
      </c>
    </row>
    <row r="102" spans="1:12" x14ac:dyDescent="0.35">
      <c r="A102" t="s">
        <v>20</v>
      </c>
      <c r="B102">
        <v>17646</v>
      </c>
      <c r="C102" t="s">
        <v>666</v>
      </c>
      <c r="D102" t="s">
        <v>667</v>
      </c>
      <c r="E102" t="s">
        <v>11182</v>
      </c>
      <c r="F102" t="s">
        <v>863</v>
      </c>
      <c r="G102" t="s">
        <v>864</v>
      </c>
      <c r="H102" t="s">
        <v>865</v>
      </c>
      <c r="I102" t="s">
        <v>809</v>
      </c>
      <c r="K102" t="s">
        <v>62</v>
      </c>
      <c r="L102" t="s">
        <v>33</v>
      </c>
    </row>
    <row r="103" spans="1:12" x14ac:dyDescent="0.35">
      <c r="A103" t="s">
        <v>20</v>
      </c>
      <c r="B103">
        <v>17646</v>
      </c>
      <c r="C103" t="s">
        <v>666</v>
      </c>
      <c r="D103" t="s">
        <v>667</v>
      </c>
      <c r="E103" t="s">
        <v>11222</v>
      </c>
      <c r="F103" t="s">
        <v>869</v>
      </c>
      <c r="G103" t="s">
        <v>870</v>
      </c>
      <c r="H103" t="s">
        <v>871</v>
      </c>
      <c r="I103" t="s">
        <v>809</v>
      </c>
      <c r="K103" t="s">
        <v>11217</v>
      </c>
      <c r="L103" t="s">
        <v>33</v>
      </c>
    </row>
    <row r="104" spans="1:12" x14ac:dyDescent="0.35">
      <c r="A104" t="s">
        <v>20</v>
      </c>
      <c r="B104">
        <v>17646</v>
      </c>
      <c r="C104" t="s">
        <v>666</v>
      </c>
      <c r="D104" t="s">
        <v>667</v>
      </c>
      <c r="E104" t="s">
        <v>11183</v>
      </c>
      <c r="F104" t="s">
        <v>872</v>
      </c>
      <c r="G104" t="s">
        <v>873</v>
      </c>
      <c r="H104" t="s">
        <v>874</v>
      </c>
      <c r="I104" t="s">
        <v>809</v>
      </c>
      <c r="K104" t="s">
        <v>62</v>
      </c>
      <c r="L104" t="s">
        <v>33</v>
      </c>
    </row>
    <row r="105" spans="1:12" x14ac:dyDescent="0.35">
      <c r="A105" t="s">
        <v>20</v>
      </c>
      <c r="B105">
        <v>17646</v>
      </c>
      <c r="C105" t="s">
        <v>666</v>
      </c>
      <c r="D105" t="s">
        <v>667</v>
      </c>
      <c r="E105" t="s">
        <v>11184</v>
      </c>
      <c r="F105" t="s">
        <v>889</v>
      </c>
      <c r="G105" t="s">
        <v>890</v>
      </c>
      <c r="H105" t="s">
        <v>891</v>
      </c>
      <c r="I105" t="s">
        <v>809</v>
      </c>
      <c r="K105" t="s">
        <v>62</v>
      </c>
      <c r="L105" t="s">
        <v>33</v>
      </c>
    </row>
    <row r="106" spans="1:12" x14ac:dyDescent="0.35">
      <c r="A106" t="s">
        <v>20</v>
      </c>
      <c r="B106">
        <v>17646</v>
      </c>
      <c r="C106" t="s">
        <v>666</v>
      </c>
      <c r="D106" t="s">
        <v>667</v>
      </c>
      <c r="E106" t="s">
        <v>11185</v>
      </c>
      <c r="F106" t="s">
        <v>892</v>
      </c>
      <c r="G106" t="s">
        <v>893</v>
      </c>
      <c r="H106" t="s">
        <v>894</v>
      </c>
      <c r="I106" t="s">
        <v>809</v>
      </c>
      <c r="K106" t="s">
        <v>62</v>
      </c>
      <c r="L106" t="s">
        <v>33</v>
      </c>
    </row>
    <row r="107" spans="1:12" x14ac:dyDescent="0.35">
      <c r="A107" t="s">
        <v>20</v>
      </c>
      <c r="B107">
        <v>17646</v>
      </c>
      <c r="C107" t="s">
        <v>666</v>
      </c>
      <c r="D107" t="s">
        <v>667</v>
      </c>
      <c r="E107" t="s">
        <v>11186</v>
      </c>
      <c r="F107" t="s">
        <v>895</v>
      </c>
      <c r="G107" t="s">
        <v>896</v>
      </c>
      <c r="H107" t="s">
        <v>897</v>
      </c>
      <c r="I107" t="s">
        <v>809</v>
      </c>
      <c r="K107" t="s">
        <v>54</v>
      </c>
      <c r="L107" t="s">
        <v>33</v>
      </c>
    </row>
    <row r="108" spans="1:12" x14ac:dyDescent="0.35">
      <c r="A108" t="s">
        <v>20</v>
      </c>
      <c r="B108">
        <v>17646</v>
      </c>
      <c r="C108" t="s">
        <v>666</v>
      </c>
      <c r="D108" t="s">
        <v>667</v>
      </c>
      <c r="E108" t="s">
        <v>11187</v>
      </c>
      <c r="F108" t="s">
        <v>898</v>
      </c>
      <c r="G108" t="s">
        <v>899</v>
      </c>
      <c r="H108" t="s">
        <v>900</v>
      </c>
      <c r="I108" t="s">
        <v>809</v>
      </c>
      <c r="K108" t="s">
        <v>62</v>
      </c>
      <c r="L108" t="s">
        <v>33</v>
      </c>
    </row>
    <row r="109" spans="1:12" x14ac:dyDescent="0.35">
      <c r="A109" t="s">
        <v>20</v>
      </c>
      <c r="B109">
        <v>17646</v>
      </c>
      <c r="C109" t="s">
        <v>666</v>
      </c>
      <c r="D109" t="s">
        <v>667</v>
      </c>
      <c r="E109" t="s">
        <v>11223</v>
      </c>
      <c r="F109" t="s">
        <v>907</v>
      </c>
      <c r="G109" t="s">
        <v>908</v>
      </c>
      <c r="H109" t="s">
        <v>909</v>
      </c>
      <c r="I109" t="s">
        <v>809</v>
      </c>
      <c r="K109" t="s">
        <v>11217</v>
      </c>
      <c r="L109" t="s">
        <v>33</v>
      </c>
    </row>
    <row r="110" spans="1:12" x14ac:dyDescent="0.35">
      <c r="A110" t="s">
        <v>20</v>
      </c>
      <c r="B110">
        <v>17646</v>
      </c>
      <c r="C110" t="s">
        <v>666</v>
      </c>
      <c r="D110" t="s">
        <v>667</v>
      </c>
      <c r="E110" t="s">
        <v>11188</v>
      </c>
      <c r="F110" t="s">
        <v>913</v>
      </c>
      <c r="G110" t="s">
        <v>914</v>
      </c>
      <c r="H110" t="s">
        <v>915</v>
      </c>
      <c r="I110" t="s">
        <v>809</v>
      </c>
      <c r="K110" t="s">
        <v>54</v>
      </c>
      <c r="L110" t="s">
        <v>33</v>
      </c>
    </row>
    <row r="111" spans="1:12" x14ac:dyDescent="0.35">
      <c r="A111" t="s">
        <v>20</v>
      </c>
      <c r="B111">
        <v>17646</v>
      </c>
      <c r="C111" t="s">
        <v>666</v>
      </c>
      <c r="D111" t="s">
        <v>667</v>
      </c>
      <c r="E111" t="s">
        <v>11189</v>
      </c>
      <c r="F111" t="s">
        <v>916</v>
      </c>
      <c r="G111" t="s">
        <v>917</v>
      </c>
      <c r="H111" t="s">
        <v>776</v>
      </c>
      <c r="I111" t="s">
        <v>809</v>
      </c>
      <c r="K111" t="s">
        <v>62</v>
      </c>
      <c r="L111" t="s">
        <v>33</v>
      </c>
    </row>
    <row r="112" spans="1:12" x14ac:dyDescent="0.35">
      <c r="A112" t="s">
        <v>20</v>
      </c>
      <c r="B112">
        <v>17646</v>
      </c>
      <c r="C112" t="s">
        <v>666</v>
      </c>
      <c r="D112" t="s">
        <v>667</v>
      </c>
      <c r="E112" t="s">
        <v>11224</v>
      </c>
      <c r="F112" t="s">
        <v>918</v>
      </c>
      <c r="G112" t="s">
        <v>919</v>
      </c>
      <c r="H112" t="s">
        <v>779</v>
      </c>
      <c r="I112" t="s">
        <v>809</v>
      </c>
      <c r="K112" t="s">
        <v>54</v>
      </c>
      <c r="L112" t="s">
        <v>33</v>
      </c>
    </row>
    <row r="113" spans="1:12" x14ac:dyDescent="0.35">
      <c r="A113" t="s">
        <v>20</v>
      </c>
      <c r="B113">
        <v>17646</v>
      </c>
      <c r="C113" t="s">
        <v>666</v>
      </c>
      <c r="D113" t="s">
        <v>667</v>
      </c>
      <c r="E113" t="s">
        <v>11190</v>
      </c>
      <c r="F113" t="s">
        <v>920</v>
      </c>
      <c r="G113" t="s">
        <v>921</v>
      </c>
      <c r="H113" t="s">
        <v>922</v>
      </c>
      <c r="I113" t="s">
        <v>809</v>
      </c>
      <c r="K113" t="s">
        <v>11217</v>
      </c>
      <c r="L113" t="s">
        <v>33</v>
      </c>
    </row>
    <row r="114" spans="1:12" x14ac:dyDescent="0.35">
      <c r="A114" t="s">
        <v>20</v>
      </c>
      <c r="B114">
        <v>17646</v>
      </c>
      <c r="C114" t="s">
        <v>666</v>
      </c>
      <c r="D114" t="s">
        <v>667</v>
      </c>
      <c r="E114" t="s">
        <v>11191</v>
      </c>
      <c r="F114" t="s">
        <v>923</v>
      </c>
      <c r="G114" t="s">
        <v>924</v>
      </c>
      <c r="H114" t="s">
        <v>925</v>
      </c>
      <c r="I114" t="s">
        <v>809</v>
      </c>
      <c r="K114" t="s">
        <v>62</v>
      </c>
      <c r="L114" t="s">
        <v>33</v>
      </c>
    </row>
    <row r="115" spans="1:12" x14ac:dyDescent="0.35">
      <c r="A115" t="s">
        <v>20</v>
      </c>
      <c r="B115">
        <v>17646</v>
      </c>
      <c r="C115" t="s">
        <v>666</v>
      </c>
      <c r="D115" t="s">
        <v>667</v>
      </c>
      <c r="E115" t="s">
        <v>11225</v>
      </c>
      <c r="F115" t="s">
        <v>926</v>
      </c>
      <c r="G115" t="s">
        <v>927</v>
      </c>
      <c r="H115" t="s">
        <v>928</v>
      </c>
      <c r="I115" t="s">
        <v>809</v>
      </c>
      <c r="K115" t="s">
        <v>11217</v>
      </c>
      <c r="L115" t="s">
        <v>33</v>
      </c>
    </row>
    <row r="116" spans="1:12" x14ac:dyDescent="0.35">
      <c r="A116" t="s">
        <v>20</v>
      </c>
      <c r="B116">
        <v>17646</v>
      </c>
      <c r="C116" t="s">
        <v>666</v>
      </c>
      <c r="D116" t="s">
        <v>667</v>
      </c>
      <c r="E116" t="s">
        <v>11192</v>
      </c>
      <c r="F116" t="s">
        <v>929</v>
      </c>
      <c r="G116" t="s">
        <v>930</v>
      </c>
      <c r="H116" t="s">
        <v>931</v>
      </c>
      <c r="I116" t="s">
        <v>809</v>
      </c>
      <c r="K116" t="s">
        <v>54</v>
      </c>
      <c r="L116" t="s">
        <v>33</v>
      </c>
    </row>
    <row r="117" spans="1:12" x14ac:dyDescent="0.35">
      <c r="A117" t="s">
        <v>20</v>
      </c>
      <c r="B117">
        <v>17646</v>
      </c>
      <c r="C117" t="s">
        <v>666</v>
      </c>
      <c r="D117" t="s">
        <v>667</v>
      </c>
      <c r="E117" t="s">
        <v>11231</v>
      </c>
      <c r="F117" t="s">
        <v>932</v>
      </c>
      <c r="G117" t="s">
        <v>933</v>
      </c>
      <c r="H117" t="s">
        <v>934</v>
      </c>
      <c r="I117" t="s">
        <v>809</v>
      </c>
      <c r="K117" t="s">
        <v>62</v>
      </c>
      <c r="L117" t="s">
        <v>33</v>
      </c>
    </row>
    <row r="118" spans="1:12" x14ac:dyDescent="0.35">
      <c r="A118" t="s">
        <v>20</v>
      </c>
      <c r="B118">
        <v>17646</v>
      </c>
      <c r="C118" t="s">
        <v>666</v>
      </c>
      <c r="D118" t="s">
        <v>667</v>
      </c>
      <c r="E118" t="s">
        <v>11193</v>
      </c>
      <c r="F118" t="s">
        <v>935</v>
      </c>
      <c r="G118" t="s">
        <v>936</v>
      </c>
      <c r="H118" t="s">
        <v>937</v>
      </c>
      <c r="I118" t="s">
        <v>809</v>
      </c>
      <c r="K118" t="s">
        <v>54</v>
      </c>
      <c r="L118" t="s">
        <v>33</v>
      </c>
    </row>
    <row r="119" spans="1:12" x14ac:dyDescent="0.35">
      <c r="A119" t="s">
        <v>20</v>
      </c>
      <c r="B119">
        <v>17646</v>
      </c>
      <c r="C119" t="s">
        <v>666</v>
      </c>
      <c r="D119" t="s">
        <v>667</v>
      </c>
      <c r="E119" t="s">
        <v>11232</v>
      </c>
      <c r="F119" t="s">
        <v>938</v>
      </c>
      <c r="G119" t="s">
        <v>939</v>
      </c>
      <c r="H119" t="s">
        <v>940</v>
      </c>
      <c r="I119" t="s">
        <v>809</v>
      </c>
      <c r="K119" t="s">
        <v>62</v>
      </c>
      <c r="L119" t="s">
        <v>33</v>
      </c>
    </row>
    <row r="120" spans="1:12" x14ac:dyDescent="0.35">
      <c r="A120" t="s">
        <v>20</v>
      </c>
      <c r="B120">
        <v>17646</v>
      </c>
      <c r="C120" t="s">
        <v>666</v>
      </c>
      <c r="D120" t="s">
        <v>667</v>
      </c>
      <c r="E120" t="s">
        <v>11197</v>
      </c>
      <c r="F120" t="s">
        <v>668</v>
      </c>
      <c r="G120" t="s">
        <v>669</v>
      </c>
      <c r="H120" t="s">
        <v>670</v>
      </c>
      <c r="I120" t="s">
        <v>671</v>
      </c>
      <c r="K120" t="s">
        <v>62</v>
      </c>
      <c r="L120" t="s">
        <v>33</v>
      </c>
    </row>
    <row r="121" spans="1:12" x14ac:dyDescent="0.35">
      <c r="A121" t="s">
        <v>20</v>
      </c>
      <c r="B121">
        <v>17646</v>
      </c>
      <c r="C121" t="s">
        <v>666</v>
      </c>
      <c r="D121" t="s">
        <v>667</v>
      </c>
      <c r="E121" t="s">
        <v>11198</v>
      </c>
      <c r="F121" t="s">
        <v>675</v>
      </c>
      <c r="G121" t="s">
        <v>676</v>
      </c>
      <c r="H121" t="s">
        <v>677</v>
      </c>
      <c r="I121" t="s">
        <v>671</v>
      </c>
      <c r="K121" t="s">
        <v>62</v>
      </c>
      <c r="L121" t="s">
        <v>33</v>
      </c>
    </row>
    <row r="122" spans="1:12" x14ac:dyDescent="0.35">
      <c r="A122" t="s">
        <v>20</v>
      </c>
      <c r="B122">
        <v>17646</v>
      </c>
      <c r="C122" t="s">
        <v>666</v>
      </c>
      <c r="D122" t="s">
        <v>667</v>
      </c>
      <c r="E122" t="s">
        <v>11199</v>
      </c>
      <c r="F122" t="s">
        <v>681</v>
      </c>
      <c r="G122" t="s">
        <v>682</v>
      </c>
      <c r="H122" t="s">
        <v>683</v>
      </c>
      <c r="I122" t="s">
        <v>671</v>
      </c>
      <c r="K122" t="s">
        <v>11217</v>
      </c>
      <c r="L122" t="s">
        <v>33</v>
      </c>
    </row>
    <row r="123" spans="1:12" x14ac:dyDescent="0.35">
      <c r="A123" t="s">
        <v>20</v>
      </c>
      <c r="B123">
        <v>17646</v>
      </c>
      <c r="C123" t="s">
        <v>666</v>
      </c>
      <c r="D123" t="s">
        <v>667</v>
      </c>
      <c r="E123" t="s">
        <v>11200</v>
      </c>
      <c r="F123" t="s">
        <v>690</v>
      </c>
      <c r="G123" t="s">
        <v>691</v>
      </c>
      <c r="H123" t="s">
        <v>692</v>
      </c>
      <c r="I123" t="s">
        <v>671</v>
      </c>
      <c r="K123" t="s">
        <v>62</v>
      </c>
      <c r="L123" t="s">
        <v>33</v>
      </c>
    </row>
    <row r="124" spans="1:12" x14ac:dyDescent="0.35">
      <c r="A124" t="s">
        <v>20</v>
      </c>
      <c r="B124">
        <v>17646</v>
      </c>
      <c r="C124" t="s">
        <v>666</v>
      </c>
      <c r="D124" t="s">
        <v>667</v>
      </c>
      <c r="E124" t="s">
        <v>11201</v>
      </c>
      <c r="F124" t="s">
        <v>696</v>
      </c>
      <c r="G124" t="s">
        <v>697</v>
      </c>
      <c r="H124" t="s">
        <v>696</v>
      </c>
      <c r="I124" t="s">
        <v>671</v>
      </c>
      <c r="K124" t="s">
        <v>11217</v>
      </c>
      <c r="L124" t="s">
        <v>33</v>
      </c>
    </row>
    <row r="125" spans="1:12" x14ac:dyDescent="0.35">
      <c r="A125" t="s">
        <v>20</v>
      </c>
      <c r="B125">
        <v>17646</v>
      </c>
      <c r="C125" t="s">
        <v>666</v>
      </c>
      <c r="D125" t="s">
        <v>667</v>
      </c>
      <c r="E125" t="s">
        <v>11202</v>
      </c>
      <c r="F125" t="s">
        <v>698</v>
      </c>
      <c r="G125" t="s">
        <v>699</v>
      </c>
      <c r="H125" t="s">
        <v>700</v>
      </c>
      <c r="I125" t="s">
        <v>671</v>
      </c>
      <c r="K125" t="s">
        <v>54</v>
      </c>
      <c r="L125" t="s">
        <v>33</v>
      </c>
    </row>
    <row r="126" spans="1:12" x14ac:dyDescent="0.35">
      <c r="A126" t="s">
        <v>20</v>
      </c>
      <c r="B126">
        <v>17646</v>
      </c>
      <c r="C126" t="s">
        <v>666</v>
      </c>
      <c r="D126" t="s">
        <v>667</v>
      </c>
      <c r="E126" t="s">
        <v>11203</v>
      </c>
      <c r="F126" t="s">
        <v>701</v>
      </c>
      <c r="G126" t="s">
        <v>702</v>
      </c>
      <c r="H126" t="s">
        <v>703</v>
      </c>
      <c r="I126" t="s">
        <v>671</v>
      </c>
      <c r="K126" t="s">
        <v>62</v>
      </c>
      <c r="L126" t="s">
        <v>33</v>
      </c>
    </row>
    <row r="127" spans="1:12" x14ac:dyDescent="0.35">
      <c r="A127" t="s">
        <v>20</v>
      </c>
      <c r="B127">
        <v>17646</v>
      </c>
      <c r="C127" t="s">
        <v>666</v>
      </c>
      <c r="D127" t="s">
        <v>667</v>
      </c>
      <c r="E127" t="s">
        <v>11204</v>
      </c>
      <c r="F127" t="s">
        <v>704</v>
      </c>
      <c r="G127" t="s">
        <v>705</v>
      </c>
      <c r="H127" t="s">
        <v>706</v>
      </c>
      <c r="I127" t="s">
        <v>671</v>
      </c>
      <c r="K127" t="s">
        <v>11217</v>
      </c>
      <c r="L127" t="s">
        <v>33</v>
      </c>
    </row>
    <row r="128" spans="1:12" x14ac:dyDescent="0.35">
      <c r="A128" t="s">
        <v>20</v>
      </c>
      <c r="B128">
        <v>17646</v>
      </c>
      <c r="C128" t="s">
        <v>666</v>
      </c>
      <c r="D128" t="s">
        <v>667</v>
      </c>
      <c r="E128" t="s">
        <v>11226</v>
      </c>
      <c r="F128" t="s">
        <v>707</v>
      </c>
      <c r="G128" t="s">
        <v>708</v>
      </c>
      <c r="H128" t="s">
        <v>709</v>
      </c>
      <c r="I128" t="s">
        <v>671</v>
      </c>
      <c r="K128" t="s">
        <v>54</v>
      </c>
      <c r="L128" t="s">
        <v>33</v>
      </c>
    </row>
    <row r="129" spans="1:12" x14ac:dyDescent="0.35">
      <c r="A129" t="s">
        <v>20</v>
      </c>
      <c r="B129">
        <v>17646</v>
      </c>
      <c r="C129" t="s">
        <v>666</v>
      </c>
      <c r="D129" t="s">
        <v>667</v>
      </c>
      <c r="E129" t="s">
        <v>11205</v>
      </c>
      <c r="F129" t="s">
        <v>715</v>
      </c>
      <c r="G129" t="s">
        <v>716</v>
      </c>
      <c r="H129" t="s">
        <v>717</v>
      </c>
      <c r="I129" t="s">
        <v>671</v>
      </c>
      <c r="K129" t="s">
        <v>11217</v>
      </c>
      <c r="L129" t="s">
        <v>33</v>
      </c>
    </row>
    <row r="130" spans="1:12" x14ac:dyDescent="0.35">
      <c r="A130" t="s">
        <v>20</v>
      </c>
      <c r="B130">
        <v>17646</v>
      </c>
      <c r="C130" t="s">
        <v>666</v>
      </c>
      <c r="D130" t="s">
        <v>667</v>
      </c>
      <c r="E130" t="s">
        <v>11206</v>
      </c>
      <c r="F130" t="s">
        <v>721</v>
      </c>
      <c r="G130" t="s">
        <v>722</v>
      </c>
      <c r="H130" t="s">
        <v>723</v>
      </c>
      <c r="I130" t="s">
        <v>671</v>
      </c>
      <c r="K130" t="s">
        <v>54</v>
      </c>
      <c r="L130" t="s">
        <v>33</v>
      </c>
    </row>
    <row r="131" spans="1:12" x14ac:dyDescent="0.35">
      <c r="A131" t="s">
        <v>20</v>
      </c>
      <c r="B131">
        <v>17646</v>
      </c>
      <c r="C131" t="s">
        <v>666</v>
      </c>
      <c r="D131" t="s">
        <v>667</v>
      </c>
      <c r="E131" t="s">
        <v>11227</v>
      </c>
      <c r="F131" t="s">
        <v>724</v>
      </c>
      <c r="G131" t="s">
        <v>725</v>
      </c>
      <c r="H131" t="s">
        <v>726</v>
      </c>
      <c r="I131" t="s">
        <v>671</v>
      </c>
      <c r="K131" t="s">
        <v>62</v>
      </c>
      <c r="L131" t="s">
        <v>33</v>
      </c>
    </row>
    <row r="132" spans="1:12" x14ac:dyDescent="0.35">
      <c r="A132" t="s">
        <v>20</v>
      </c>
      <c r="B132">
        <v>17646</v>
      </c>
      <c r="C132" t="s">
        <v>666</v>
      </c>
      <c r="D132" t="s">
        <v>667</v>
      </c>
      <c r="E132" t="s">
        <v>11228</v>
      </c>
      <c r="F132" t="s">
        <v>731</v>
      </c>
      <c r="G132" t="s">
        <v>732</v>
      </c>
      <c r="H132" t="s">
        <v>733</v>
      </c>
      <c r="I132" t="s">
        <v>671</v>
      </c>
      <c r="K132" t="s">
        <v>11217</v>
      </c>
      <c r="L132" t="s">
        <v>33</v>
      </c>
    </row>
    <row r="133" spans="1:12" x14ac:dyDescent="0.35">
      <c r="A133" t="s">
        <v>20</v>
      </c>
      <c r="B133">
        <v>17646</v>
      </c>
      <c r="C133" t="s">
        <v>666</v>
      </c>
      <c r="D133" t="s">
        <v>667</v>
      </c>
      <c r="E133" t="s">
        <v>11207</v>
      </c>
      <c r="F133" t="s">
        <v>737</v>
      </c>
      <c r="G133" t="s">
        <v>738</v>
      </c>
      <c r="H133" t="s">
        <v>739</v>
      </c>
      <c r="I133" t="s">
        <v>671</v>
      </c>
      <c r="K133" t="s">
        <v>11217</v>
      </c>
      <c r="L133" t="s">
        <v>33</v>
      </c>
    </row>
    <row r="134" spans="1:12" x14ac:dyDescent="0.35">
      <c r="A134" t="s">
        <v>20</v>
      </c>
      <c r="B134">
        <v>17646</v>
      </c>
      <c r="C134" t="s">
        <v>666</v>
      </c>
      <c r="D134" t="s">
        <v>667</v>
      </c>
      <c r="E134" t="s">
        <v>11208</v>
      </c>
      <c r="F134" t="s">
        <v>740</v>
      </c>
      <c r="G134" t="s">
        <v>741</v>
      </c>
      <c r="H134" t="s">
        <v>742</v>
      </c>
      <c r="I134" t="s">
        <v>671</v>
      </c>
      <c r="K134" t="s">
        <v>62</v>
      </c>
      <c r="L134" t="s">
        <v>33</v>
      </c>
    </row>
    <row r="135" spans="1:12" x14ac:dyDescent="0.35">
      <c r="A135" t="s">
        <v>20</v>
      </c>
      <c r="B135">
        <v>17646</v>
      </c>
      <c r="C135" t="s">
        <v>666</v>
      </c>
      <c r="D135" t="s">
        <v>667</v>
      </c>
      <c r="E135" t="s">
        <v>11209</v>
      </c>
      <c r="F135" t="s">
        <v>743</v>
      </c>
      <c r="G135" t="s">
        <v>744</v>
      </c>
      <c r="H135" t="s">
        <v>745</v>
      </c>
      <c r="I135" t="s">
        <v>671</v>
      </c>
      <c r="K135" t="s">
        <v>11217</v>
      </c>
      <c r="L135" t="s">
        <v>33</v>
      </c>
    </row>
    <row r="136" spans="1:12" x14ac:dyDescent="0.35">
      <c r="A136" t="s">
        <v>20</v>
      </c>
      <c r="B136">
        <v>17646</v>
      </c>
      <c r="C136" t="s">
        <v>666</v>
      </c>
      <c r="D136" t="s">
        <v>667</v>
      </c>
      <c r="E136" t="s">
        <v>11210</v>
      </c>
      <c r="F136" t="s">
        <v>746</v>
      </c>
      <c r="G136" t="s">
        <v>747</v>
      </c>
      <c r="H136" t="s">
        <v>748</v>
      </c>
      <c r="I136" t="s">
        <v>671</v>
      </c>
      <c r="K136" t="s">
        <v>54</v>
      </c>
      <c r="L136" t="s">
        <v>33</v>
      </c>
    </row>
    <row r="137" spans="1:12" x14ac:dyDescent="0.35">
      <c r="A137" t="s">
        <v>20</v>
      </c>
      <c r="B137">
        <v>17646</v>
      </c>
      <c r="C137" t="s">
        <v>666</v>
      </c>
      <c r="D137" t="s">
        <v>667</v>
      </c>
      <c r="E137" t="s">
        <v>11211</v>
      </c>
      <c r="F137" t="s">
        <v>752</v>
      </c>
      <c r="G137" t="s">
        <v>753</v>
      </c>
      <c r="H137" t="s">
        <v>754</v>
      </c>
      <c r="I137" t="s">
        <v>671</v>
      </c>
      <c r="K137" t="s">
        <v>11217</v>
      </c>
      <c r="L137" t="s">
        <v>33</v>
      </c>
    </row>
    <row r="138" spans="1:12" x14ac:dyDescent="0.35">
      <c r="A138" t="s">
        <v>20</v>
      </c>
      <c r="B138">
        <v>17646</v>
      </c>
      <c r="C138" t="s">
        <v>666</v>
      </c>
      <c r="D138" t="s">
        <v>667</v>
      </c>
      <c r="E138" t="s">
        <v>11212</v>
      </c>
      <c r="F138" t="s">
        <v>761</v>
      </c>
      <c r="G138" t="s">
        <v>762</v>
      </c>
      <c r="H138" t="s">
        <v>763</v>
      </c>
      <c r="I138" t="s">
        <v>671</v>
      </c>
      <c r="K138" t="s">
        <v>11217</v>
      </c>
      <c r="L138" t="s">
        <v>33</v>
      </c>
    </row>
    <row r="139" spans="1:12" x14ac:dyDescent="0.35">
      <c r="A139" t="s">
        <v>20</v>
      </c>
      <c r="B139">
        <v>17646</v>
      </c>
      <c r="C139" t="s">
        <v>666</v>
      </c>
      <c r="D139" t="s">
        <v>667</v>
      </c>
      <c r="E139" t="s">
        <v>11213</v>
      </c>
      <c r="F139" t="s">
        <v>764</v>
      </c>
      <c r="G139" t="s">
        <v>765</v>
      </c>
      <c r="H139" t="s">
        <v>766</v>
      </c>
      <c r="I139" t="s">
        <v>671</v>
      </c>
      <c r="K139" t="s">
        <v>11217</v>
      </c>
      <c r="L139" t="s">
        <v>33</v>
      </c>
    </row>
    <row r="140" spans="1:12" x14ac:dyDescent="0.35">
      <c r="A140" t="s">
        <v>20</v>
      </c>
      <c r="B140">
        <v>17646</v>
      </c>
      <c r="C140" t="s">
        <v>666</v>
      </c>
      <c r="D140" t="s">
        <v>667</v>
      </c>
      <c r="E140" t="s">
        <v>11214</v>
      </c>
      <c r="F140" t="s">
        <v>767</v>
      </c>
      <c r="G140" t="s">
        <v>768</v>
      </c>
      <c r="H140" t="s">
        <v>769</v>
      </c>
      <c r="I140" t="s">
        <v>671</v>
      </c>
      <c r="K140" t="s">
        <v>62</v>
      </c>
      <c r="L140" t="s">
        <v>33</v>
      </c>
    </row>
    <row r="141" spans="1:12" x14ac:dyDescent="0.35">
      <c r="A141" t="s">
        <v>20</v>
      </c>
      <c r="B141">
        <v>17646</v>
      </c>
      <c r="C141" t="s">
        <v>666</v>
      </c>
      <c r="D141" t="s">
        <v>667</v>
      </c>
      <c r="E141" t="s">
        <v>11229</v>
      </c>
      <c r="F141" t="s">
        <v>770</v>
      </c>
      <c r="G141" t="s">
        <v>771</v>
      </c>
      <c r="H141" t="s">
        <v>772</v>
      </c>
      <c r="I141" t="s">
        <v>671</v>
      </c>
      <c r="K141" t="s">
        <v>62</v>
      </c>
      <c r="L141" t="s">
        <v>33</v>
      </c>
    </row>
    <row r="142" spans="1:12" x14ac:dyDescent="0.35">
      <c r="A142" t="s">
        <v>20</v>
      </c>
      <c r="B142">
        <v>17646</v>
      </c>
      <c r="C142" t="s">
        <v>666</v>
      </c>
      <c r="D142" t="s">
        <v>667</v>
      </c>
      <c r="E142" t="s">
        <v>11230</v>
      </c>
      <c r="F142" t="s">
        <v>782</v>
      </c>
      <c r="G142" t="s">
        <v>783</v>
      </c>
      <c r="H142" t="s">
        <v>784</v>
      </c>
      <c r="I142" t="s">
        <v>671</v>
      </c>
      <c r="K142" t="s">
        <v>11217</v>
      </c>
      <c r="L142" t="s">
        <v>33</v>
      </c>
    </row>
    <row r="143" spans="1:12" x14ac:dyDescent="0.35">
      <c r="A143" t="s">
        <v>20</v>
      </c>
      <c r="B143">
        <v>17646</v>
      </c>
      <c r="C143" t="s">
        <v>666</v>
      </c>
      <c r="D143" t="s">
        <v>667</v>
      </c>
      <c r="E143" t="s">
        <v>11215</v>
      </c>
      <c r="F143" t="s">
        <v>785</v>
      </c>
      <c r="G143" t="s">
        <v>786</v>
      </c>
      <c r="H143" t="s">
        <v>787</v>
      </c>
      <c r="I143" t="s">
        <v>671</v>
      </c>
      <c r="K143" t="s">
        <v>62</v>
      </c>
      <c r="L143" t="s">
        <v>33</v>
      </c>
    </row>
    <row r="144" spans="1:12" x14ac:dyDescent="0.35">
      <c r="A144" t="s">
        <v>20</v>
      </c>
      <c r="B144">
        <v>17646</v>
      </c>
      <c r="C144" t="s">
        <v>666</v>
      </c>
      <c r="D144" t="s">
        <v>667</v>
      </c>
      <c r="E144" t="s">
        <v>11216</v>
      </c>
      <c r="F144" t="s">
        <v>788</v>
      </c>
      <c r="G144" t="s">
        <v>789</v>
      </c>
      <c r="H144" t="s">
        <v>790</v>
      </c>
      <c r="I144" t="s">
        <v>671</v>
      </c>
      <c r="K144" t="s">
        <v>62</v>
      </c>
      <c r="L144" t="s">
        <v>33</v>
      </c>
    </row>
    <row r="145" spans="1:12" x14ac:dyDescent="0.35">
      <c r="A145" t="s">
        <v>20</v>
      </c>
      <c r="B145">
        <v>17646</v>
      </c>
      <c r="C145" t="s">
        <v>666</v>
      </c>
      <c r="D145" t="s">
        <v>667</v>
      </c>
      <c r="E145" t="s">
        <v>11218</v>
      </c>
      <c r="F145" t="s">
        <v>794</v>
      </c>
      <c r="G145" t="s">
        <v>795</v>
      </c>
      <c r="H145" t="s">
        <v>796</v>
      </c>
      <c r="I145" t="s">
        <v>671</v>
      </c>
      <c r="K145" t="s">
        <v>62</v>
      </c>
      <c r="L145" t="s">
        <v>33</v>
      </c>
    </row>
    <row r="146" spans="1:12" x14ac:dyDescent="0.35">
      <c r="A146" t="s">
        <v>20</v>
      </c>
      <c r="B146">
        <v>17646</v>
      </c>
      <c r="C146" t="s">
        <v>666</v>
      </c>
      <c r="D146" t="s">
        <v>667</v>
      </c>
      <c r="E146" t="s">
        <v>11233</v>
      </c>
      <c r="F146" t="s">
        <v>797</v>
      </c>
      <c r="G146" t="s">
        <v>798</v>
      </c>
      <c r="H146" t="s">
        <v>799</v>
      </c>
      <c r="I146" t="s">
        <v>671</v>
      </c>
      <c r="K146" t="s">
        <v>54</v>
      </c>
      <c r="L146" t="s">
        <v>33</v>
      </c>
    </row>
    <row r="147" spans="1:12" x14ac:dyDescent="0.35">
      <c r="A147" t="s">
        <v>20</v>
      </c>
      <c r="B147">
        <v>17645</v>
      </c>
      <c r="C147" t="s">
        <v>949</v>
      </c>
      <c r="D147" t="s">
        <v>950</v>
      </c>
      <c r="E147" t="s">
        <v>11219</v>
      </c>
      <c r="F147" t="s">
        <v>951</v>
      </c>
      <c r="G147" t="s">
        <v>952</v>
      </c>
      <c r="H147" t="s">
        <v>953</v>
      </c>
      <c r="I147" t="s">
        <v>954</v>
      </c>
      <c r="K147" t="s">
        <v>54</v>
      </c>
      <c r="L147" t="s">
        <v>33</v>
      </c>
    </row>
    <row r="148" spans="1:12" x14ac:dyDescent="0.35">
      <c r="A148" t="s">
        <v>20</v>
      </c>
      <c r="B148">
        <v>17645</v>
      </c>
      <c r="C148" t="s">
        <v>949</v>
      </c>
      <c r="D148" t="s">
        <v>950</v>
      </c>
      <c r="E148" t="s">
        <v>11176</v>
      </c>
      <c r="F148" t="s">
        <v>964</v>
      </c>
      <c r="G148" t="s">
        <v>965</v>
      </c>
      <c r="H148" t="s">
        <v>966</v>
      </c>
      <c r="I148" t="s">
        <v>954</v>
      </c>
      <c r="K148" t="s">
        <v>62</v>
      </c>
      <c r="L148" t="s">
        <v>33</v>
      </c>
    </row>
    <row r="149" spans="1:12" x14ac:dyDescent="0.35">
      <c r="A149" t="s">
        <v>20</v>
      </c>
      <c r="B149">
        <v>17645</v>
      </c>
      <c r="C149" t="s">
        <v>949</v>
      </c>
      <c r="D149" t="s">
        <v>950</v>
      </c>
      <c r="E149" t="s">
        <v>11177</v>
      </c>
      <c r="F149" t="s">
        <v>970</v>
      </c>
      <c r="G149" t="s">
        <v>971</v>
      </c>
      <c r="H149" t="s">
        <v>972</v>
      </c>
      <c r="I149" t="s">
        <v>954</v>
      </c>
      <c r="K149" t="s">
        <v>62</v>
      </c>
      <c r="L149" t="s">
        <v>33</v>
      </c>
    </row>
    <row r="150" spans="1:12" x14ac:dyDescent="0.35">
      <c r="A150" t="s">
        <v>20</v>
      </c>
      <c r="B150">
        <v>17645</v>
      </c>
      <c r="C150" t="s">
        <v>949</v>
      </c>
      <c r="D150" t="s">
        <v>950</v>
      </c>
      <c r="E150" t="s">
        <v>11178</v>
      </c>
      <c r="F150" t="s">
        <v>973</v>
      </c>
      <c r="G150" t="s">
        <v>974</v>
      </c>
      <c r="H150" t="s">
        <v>975</v>
      </c>
      <c r="I150" t="s">
        <v>954</v>
      </c>
      <c r="K150" t="s">
        <v>62</v>
      </c>
      <c r="L150" t="s">
        <v>33</v>
      </c>
    </row>
    <row r="151" spans="1:12" x14ac:dyDescent="0.35">
      <c r="A151" t="s">
        <v>20</v>
      </c>
      <c r="B151">
        <v>17645</v>
      </c>
      <c r="C151" t="s">
        <v>949</v>
      </c>
      <c r="D151" t="s">
        <v>950</v>
      </c>
      <c r="E151" t="s">
        <v>11220</v>
      </c>
      <c r="F151" t="s">
        <v>976</v>
      </c>
      <c r="G151" t="s">
        <v>977</v>
      </c>
      <c r="H151" t="s">
        <v>978</v>
      </c>
      <c r="I151" t="s">
        <v>954</v>
      </c>
      <c r="K151" t="s">
        <v>62</v>
      </c>
      <c r="L151" t="s">
        <v>33</v>
      </c>
    </row>
    <row r="152" spans="1:12" x14ac:dyDescent="0.35">
      <c r="A152" t="s">
        <v>20</v>
      </c>
      <c r="B152">
        <v>17645</v>
      </c>
      <c r="C152" t="s">
        <v>949</v>
      </c>
      <c r="D152" t="s">
        <v>950</v>
      </c>
      <c r="E152" t="s">
        <v>11179</v>
      </c>
      <c r="F152" t="s">
        <v>979</v>
      </c>
      <c r="G152" t="s">
        <v>980</v>
      </c>
      <c r="H152" t="s">
        <v>981</v>
      </c>
      <c r="I152" t="s">
        <v>954</v>
      </c>
      <c r="K152" t="s">
        <v>62</v>
      </c>
      <c r="L152" t="s">
        <v>33</v>
      </c>
    </row>
    <row r="153" spans="1:12" x14ac:dyDescent="0.35">
      <c r="A153" t="s">
        <v>20</v>
      </c>
      <c r="B153">
        <v>17645</v>
      </c>
      <c r="C153" t="s">
        <v>949</v>
      </c>
      <c r="D153" t="s">
        <v>950</v>
      </c>
      <c r="E153" t="s">
        <v>11180</v>
      </c>
      <c r="F153" t="s">
        <v>982</v>
      </c>
      <c r="G153" t="s">
        <v>983</v>
      </c>
      <c r="H153" t="s">
        <v>984</v>
      </c>
      <c r="I153" t="s">
        <v>954</v>
      </c>
      <c r="K153" t="s">
        <v>62</v>
      </c>
      <c r="L153" t="s">
        <v>33</v>
      </c>
    </row>
    <row r="154" spans="1:12" x14ac:dyDescent="0.35">
      <c r="A154" t="s">
        <v>20</v>
      </c>
      <c r="B154">
        <v>17645</v>
      </c>
      <c r="C154" t="s">
        <v>949</v>
      </c>
      <c r="D154" t="s">
        <v>950</v>
      </c>
      <c r="E154" t="s">
        <v>11181</v>
      </c>
      <c r="F154" t="s">
        <v>985</v>
      </c>
      <c r="G154" t="s">
        <v>986</v>
      </c>
      <c r="H154" t="s">
        <v>987</v>
      </c>
      <c r="I154" t="s">
        <v>954</v>
      </c>
      <c r="K154" t="s">
        <v>54</v>
      </c>
      <c r="L154" t="s">
        <v>33</v>
      </c>
    </row>
    <row r="155" spans="1:12" x14ac:dyDescent="0.35">
      <c r="A155" t="s">
        <v>20</v>
      </c>
      <c r="B155">
        <v>17645</v>
      </c>
      <c r="C155" t="s">
        <v>949</v>
      </c>
      <c r="D155" t="s">
        <v>950</v>
      </c>
      <c r="E155" t="s">
        <v>11182</v>
      </c>
      <c r="F155" t="s">
        <v>997</v>
      </c>
      <c r="G155" t="s">
        <v>998</v>
      </c>
      <c r="H155" t="s">
        <v>999</v>
      </c>
      <c r="I155" t="s">
        <v>954</v>
      </c>
      <c r="K155" t="s">
        <v>62</v>
      </c>
      <c r="L155" t="s">
        <v>33</v>
      </c>
    </row>
    <row r="156" spans="1:12" x14ac:dyDescent="0.35">
      <c r="A156" t="s">
        <v>20</v>
      </c>
      <c r="B156">
        <v>17645</v>
      </c>
      <c r="C156" t="s">
        <v>949</v>
      </c>
      <c r="D156" t="s">
        <v>950</v>
      </c>
      <c r="E156" t="s">
        <v>11222</v>
      </c>
      <c r="F156" t="s">
        <v>1000</v>
      </c>
      <c r="G156" t="s">
        <v>1001</v>
      </c>
      <c r="H156" t="s">
        <v>1002</v>
      </c>
      <c r="I156" t="s">
        <v>954</v>
      </c>
      <c r="K156" t="s">
        <v>54</v>
      </c>
      <c r="L156" t="s">
        <v>33</v>
      </c>
    </row>
    <row r="157" spans="1:12" x14ac:dyDescent="0.35">
      <c r="A157" t="s">
        <v>20</v>
      </c>
      <c r="B157">
        <v>17645</v>
      </c>
      <c r="C157" t="s">
        <v>949</v>
      </c>
      <c r="D157" t="s">
        <v>950</v>
      </c>
      <c r="E157" t="s">
        <v>11183</v>
      </c>
      <c r="F157" t="s">
        <v>1003</v>
      </c>
      <c r="G157" t="s">
        <v>1004</v>
      </c>
      <c r="H157" t="s">
        <v>1005</v>
      </c>
      <c r="I157" t="s">
        <v>954</v>
      </c>
      <c r="K157" t="s">
        <v>62</v>
      </c>
      <c r="L157" t="s">
        <v>33</v>
      </c>
    </row>
    <row r="158" spans="1:12" x14ac:dyDescent="0.35">
      <c r="A158" t="s">
        <v>20</v>
      </c>
      <c r="B158">
        <v>17645</v>
      </c>
      <c r="C158" t="s">
        <v>949</v>
      </c>
      <c r="D158" t="s">
        <v>950</v>
      </c>
      <c r="E158" t="s">
        <v>11184</v>
      </c>
      <c r="F158" t="s">
        <v>1009</v>
      </c>
      <c r="G158" t="s">
        <v>1010</v>
      </c>
      <c r="H158" t="s">
        <v>1011</v>
      </c>
      <c r="I158" t="s">
        <v>954</v>
      </c>
      <c r="K158" t="s">
        <v>62</v>
      </c>
      <c r="L158" t="s">
        <v>33</v>
      </c>
    </row>
    <row r="159" spans="1:12" x14ac:dyDescent="0.35">
      <c r="A159" t="s">
        <v>20</v>
      </c>
      <c r="B159">
        <v>17645</v>
      </c>
      <c r="C159" t="s">
        <v>949</v>
      </c>
      <c r="D159" t="s">
        <v>950</v>
      </c>
      <c r="E159" t="s">
        <v>11185</v>
      </c>
      <c r="F159" t="s">
        <v>1018</v>
      </c>
      <c r="G159" t="s">
        <v>1019</v>
      </c>
      <c r="H159" t="s">
        <v>1020</v>
      </c>
      <c r="I159" t="s">
        <v>954</v>
      </c>
      <c r="K159" t="s">
        <v>54</v>
      </c>
      <c r="L159" t="s">
        <v>33</v>
      </c>
    </row>
    <row r="160" spans="1:12" x14ac:dyDescent="0.35">
      <c r="A160" t="s">
        <v>20</v>
      </c>
      <c r="B160">
        <v>17645</v>
      </c>
      <c r="C160" t="s">
        <v>949</v>
      </c>
      <c r="D160" t="s">
        <v>950</v>
      </c>
      <c r="E160" t="s">
        <v>11186</v>
      </c>
      <c r="F160" t="s">
        <v>1024</v>
      </c>
      <c r="G160" t="s">
        <v>1025</v>
      </c>
      <c r="H160" t="s">
        <v>1026</v>
      </c>
      <c r="I160" t="s">
        <v>954</v>
      </c>
      <c r="K160" t="s">
        <v>62</v>
      </c>
      <c r="L160" t="s">
        <v>33</v>
      </c>
    </row>
    <row r="161" spans="1:12" x14ac:dyDescent="0.35">
      <c r="A161" t="s">
        <v>20</v>
      </c>
      <c r="B161">
        <v>17645</v>
      </c>
      <c r="C161" t="s">
        <v>949</v>
      </c>
      <c r="D161" t="s">
        <v>950</v>
      </c>
      <c r="E161" t="s">
        <v>11187</v>
      </c>
      <c r="F161" t="s">
        <v>1030</v>
      </c>
      <c r="G161" t="s">
        <v>1031</v>
      </c>
      <c r="H161" t="s">
        <v>1032</v>
      </c>
      <c r="I161" t="s">
        <v>954</v>
      </c>
      <c r="K161" t="s">
        <v>62</v>
      </c>
      <c r="L161" t="s">
        <v>33</v>
      </c>
    </row>
    <row r="162" spans="1:12" x14ac:dyDescent="0.35">
      <c r="A162" t="s">
        <v>20</v>
      </c>
      <c r="B162">
        <v>17645</v>
      </c>
      <c r="C162" t="s">
        <v>949</v>
      </c>
      <c r="D162" t="s">
        <v>950</v>
      </c>
      <c r="E162" t="s">
        <v>11188</v>
      </c>
      <c r="F162" t="s">
        <v>1036</v>
      </c>
      <c r="G162" t="s">
        <v>1037</v>
      </c>
      <c r="H162" t="s">
        <v>1038</v>
      </c>
      <c r="I162" t="s">
        <v>954</v>
      </c>
      <c r="K162" t="s">
        <v>11217</v>
      </c>
      <c r="L162" t="s">
        <v>33</v>
      </c>
    </row>
    <row r="163" spans="1:12" x14ac:dyDescent="0.35">
      <c r="A163" t="s">
        <v>20</v>
      </c>
      <c r="B163">
        <v>17645</v>
      </c>
      <c r="C163" t="s">
        <v>949</v>
      </c>
      <c r="D163" t="s">
        <v>950</v>
      </c>
      <c r="E163" t="s">
        <v>11224</v>
      </c>
      <c r="F163" t="s">
        <v>1045</v>
      </c>
      <c r="G163" t="s">
        <v>1046</v>
      </c>
      <c r="H163" t="s">
        <v>1047</v>
      </c>
      <c r="I163" t="s">
        <v>954</v>
      </c>
      <c r="K163" t="s">
        <v>62</v>
      </c>
      <c r="L163" t="s">
        <v>33</v>
      </c>
    </row>
    <row r="164" spans="1:12" x14ac:dyDescent="0.35">
      <c r="A164" t="s">
        <v>20</v>
      </c>
      <c r="B164">
        <v>17645</v>
      </c>
      <c r="C164" t="s">
        <v>949</v>
      </c>
      <c r="D164" t="s">
        <v>950</v>
      </c>
      <c r="E164" t="s">
        <v>11190</v>
      </c>
      <c r="F164" t="s">
        <v>1051</v>
      </c>
      <c r="G164" t="s">
        <v>1052</v>
      </c>
      <c r="H164" t="s">
        <v>1053</v>
      </c>
      <c r="I164" t="s">
        <v>954</v>
      </c>
      <c r="K164" t="s">
        <v>62</v>
      </c>
      <c r="L164" t="s">
        <v>33</v>
      </c>
    </row>
    <row r="165" spans="1:12" x14ac:dyDescent="0.35">
      <c r="A165" t="s">
        <v>20</v>
      </c>
      <c r="B165">
        <v>17645</v>
      </c>
      <c r="C165" t="s">
        <v>949</v>
      </c>
      <c r="D165" t="s">
        <v>950</v>
      </c>
      <c r="E165" t="s">
        <v>11191</v>
      </c>
      <c r="F165" t="s">
        <v>1060</v>
      </c>
      <c r="G165" t="s">
        <v>1061</v>
      </c>
      <c r="H165" t="s">
        <v>1062</v>
      </c>
      <c r="I165" t="s">
        <v>954</v>
      </c>
      <c r="K165" t="s">
        <v>54</v>
      </c>
      <c r="L165" t="s">
        <v>33</v>
      </c>
    </row>
    <row r="166" spans="1:12" x14ac:dyDescent="0.35">
      <c r="A166" t="s">
        <v>20</v>
      </c>
      <c r="B166">
        <v>17645</v>
      </c>
      <c r="C166" t="s">
        <v>949</v>
      </c>
      <c r="D166" t="s">
        <v>950</v>
      </c>
      <c r="E166" t="s">
        <v>11225</v>
      </c>
      <c r="F166" t="s">
        <v>1063</v>
      </c>
      <c r="G166" t="s">
        <v>1064</v>
      </c>
      <c r="H166" t="s">
        <v>1065</v>
      </c>
      <c r="I166" t="s">
        <v>954</v>
      </c>
      <c r="K166" t="s">
        <v>62</v>
      </c>
      <c r="L166" t="s">
        <v>33</v>
      </c>
    </row>
    <row r="167" spans="1:12" x14ac:dyDescent="0.35">
      <c r="A167" t="s">
        <v>20</v>
      </c>
      <c r="B167">
        <v>17645</v>
      </c>
      <c r="C167" t="s">
        <v>949</v>
      </c>
      <c r="D167" t="s">
        <v>950</v>
      </c>
      <c r="E167" t="s">
        <v>11192</v>
      </c>
      <c r="F167" t="s">
        <v>1066</v>
      </c>
      <c r="G167" t="s">
        <v>1067</v>
      </c>
      <c r="H167" t="s">
        <v>1068</v>
      </c>
      <c r="I167" t="s">
        <v>954</v>
      </c>
      <c r="K167" t="s">
        <v>54</v>
      </c>
      <c r="L167" t="s">
        <v>33</v>
      </c>
    </row>
    <row r="168" spans="1:12" x14ac:dyDescent="0.35">
      <c r="A168" t="s">
        <v>20</v>
      </c>
      <c r="B168">
        <v>17645</v>
      </c>
      <c r="C168" t="s">
        <v>949</v>
      </c>
      <c r="D168" t="s">
        <v>950</v>
      </c>
      <c r="E168" t="s">
        <v>11231</v>
      </c>
      <c r="F168" t="s">
        <v>1069</v>
      </c>
      <c r="G168" t="s">
        <v>1070</v>
      </c>
      <c r="H168" t="s">
        <v>1071</v>
      </c>
      <c r="I168" t="s">
        <v>954</v>
      </c>
      <c r="K168" t="s">
        <v>62</v>
      </c>
      <c r="L168" t="s">
        <v>33</v>
      </c>
    </row>
    <row r="169" spans="1:12" x14ac:dyDescent="0.35">
      <c r="A169" t="s">
        <v>20</v>
      </c>
      <c r="B169">
        <v>17645</v>
      </c>
      <c r="C169" t="s">
        <v>949</v>
      </c>
      <c r="D169" t="s">
        <v>950</v>
      </c>
      <c r="E169" t="s">
        <v>11193</v>
      </c>
      <c r="F169" t="s">
        <v>1072</v>
      </c>
      <c r="G169" t="s">
        <v>1073</v>
      </c>
      <c r="H169" t="s">
        <v>1074</v>
      </c>
      <c r="I169" t="s">
        <v>954</v>
      </c>
      <c r="K169" t="s">
        <v>54</v>
      </c>
      <c r="L169" t="s">
        <v>33</v>
      </c>
    </row>
    <row r="170" spans="1:12" x14ac:dyDescent="0.35">
      <c r="A170" t="s">
        <v>20</v>
      </c>
      <c r="B170">
        <v>17645</v>
      </c>
      <c r="C170" t="s">
        <v>949</v>
      </c>
      <c r="D170" t="s">
        <v>950</v>
      </c>
      <c r="E170" t="s">
        <v>11232</v>
      </c>
      <c r="F170" t="s">
        <v>1078</v>
      </c>
      <c r="G170" t="s">
        <v>1079</v>
      </c>
      <c r="H170" t="s">
        <v>1080</v>
      </c>
      <c r="I170" t="s">
        <v>954</v>
      </c>
      <c r="K170" t="s">
        <v>54</v>
      </c>
      <c r="L170" t="s">
        <v>33</v>
      </c>
    </row>
    <row r="171" spans="1:12" x14ac:dyDescent="0.35">
      <c r="A171" t="s">
        <v>20</v>
      </c>
      <c r="B171">
        <v>17645</v>
      </c>
      <c r="C171" t="s">
        <v>949</v>
      </c>
      <c r="D171" t="s">
        <v>950</v>
      </c>
      <c r="E171" t="s">
        <v>11194</v>
      </c>
      <c r="F171" t="s">
        <v>1081</v>
      </c>
      <c r="G171" t="s">
        <v>1082</v>
      </c>
      <c r="H171" t="s">
        <v>1083</v>
      </c>
      <c r="I171" t="s">
        <v>954</v>
      </c>
      <c r="K171" t="s">
        <v>54</v>
      </c>
      <c r="L171" t="s">
        <v>33</v>
      </c>
    </row>
    <row r="172" spans="1:12" x14ac:dyDescent="0.35">
      <c r="A172" t="s">
        <v>20</v>
      </c>
      <c r="B172">
        <v>17645</v>
      </c>
      <c r="C172" t="s">
        <v>949</v>
      </c>
      <c r="D172" t="s">
        <v>950</v>
      </c>
      <c r="E172" t="s">
        <v>11195</v>
      </c>
      <c r="F172" t="s">
        <v>1084</v>
      </c>
      <c r="G172" t="s">
        <v>1085</v>
      </c>
      <c r="H172" t="s">
        <v>1086</v>
      </c>
      <c r="I172" t="s">
        <v>954</v>
      </c>
      <c r="K172" t="s">
        <v>54</v>
      </c>
      <c r="L172" t="s">
        <v>33</v>
      </c>
    </row>
    <row r="173" spans="1:12" x14ac:dyDescent="0.35">
      <c r="A173" t="s">
        <v>20</v>
      </c>
      <c r="B173">
        <v>17645</v>
      </c>
      <c r="C173" t="s">
        <v>949</v>
      </c>
      <c r="D173" t="s">
        <v>950</v>
      </c>
      <c r="E173" t="s">
        <v>11197</v>
      </c>
      <c r="F173" t="s">
        <v>1087</v>
      </c>
      <c r="G173" t="s">
        <v>1088</v>
      </c>
      <c r="H173" t="s">
        <v>1089</v>
      </c>
      <c r="I173" t="s">
        <v>1090</v>
      </c>
      <c r="K173" t="s">
        <v>62</v>
      </c>
      <c r="L173" t="s">
        <v>33</v>
      </c>
    </row>
    <row r="174" spans="1:12" x14ac:dyDescent="0.35">
      <c r="A174" t="s">
        <v>20</v>
      </c>
      <c r="B174">
        <v>17645</v>
      </c>
      <c r="C174" t="s">
        <v>949</v>
      </c>
      <c r="D174" t="s">
        <v>950</v>
      </c>
      <c r="E174" t="s">
        <v>11198</v>
      </c>
      <c r="F174" t="s">
        <v>1091</v>
      </c>
      <c r="G174" t="s">
        <v>1092</v>
      </c>
      <c r="H174" t="s">
        <v>1093</v>
      </c>
      <c r="I174" t="s">
        <v>1090</v>
      </c>
      <c r="K174" t="s">
        <v>62</v>
      </c>
      <c r="L174" t="s">
        <v>33</v>
      </c>
    </row>
    <row r="175" spans="1:12" x14ac:dyDescent="0.35">
      <c r="A175" t="s">
        <v>20</v>
      </c>
      <c r="B175">
        <v>17645</v>
      </c>
      <c r="C175" t="s">
        <v>949</v>
      </c>
      <c r="D175" t="s">
        <v>950</v>
      </c>
      <c r="E175" t="s">
        <v>11199</v>
      </c>
      <c r="F175" t="s">
        <v>1094</v>
      </c>
      <c r="G175" t="s">
        <v>1095</v>
      </c>
      <c r="H175" t="s">
        <v>1096</v>
      </c>
      <c r="I175" t="s">
        <v>1090</v>
      </c>
      <c r="K175" t="s">
        <v>62</v>
      </c>
      <c r="L175" t="s">
        <v>33</v>
      </c>
    </row>
    <row r="176" spans="1:12" x14ac:dyDescent="0.35">
      <c r="A176" t="s">
        <v>20</v>
      </c>
      <c r="B176">
        <v>17645</v>
      </c>
      <c r="C176" t="s">
        <v>949</v>
      </c>
      <c r="D176" t="s">
        <v>950</v>
      </c>
      <c r="E176" t="s">
        <v>11201</v>
      </c>
      <c r="F176" t="s">
        <v>1103</v>
      </c>
      <c r="G176" t="s">
        <v>1104</v>
      </c>
      <c r="H176" t="s">
        <v>1105</v>
      </c>
      <c r="I176" t="s">
        <v>1090</v>
      </c>
      <c r="K176" t="s">
        <v>54</v>
      </c>
      <c r="L176" t="s">
        <v>33</v>
      </c>
    </row>
    <row r="177" spans="1:12" x14ac:dyDescent="0.35">
      <c r="A177" t="s">
        <v>20</v>
      </c>
      <c r="B177">
        <v>17645</v>
      </c>
      <c r="C177" t="s">
        <v>949</v>
      </c>
      <c r="D177" t="s">
        <v>950</v>
      </c>
      <c r="E177" t="s">
        <v>11202</v>
      </c>
      <c r="F177" t="s">
        <v>1106</v>
      </c>
      <c r="G177" t="s">
        <v>1107</v>
      </c>
      <c r="H177" t="s">
        <v>1108</v>
      </c>
      <c r="I177" t="s">
        <v>1090</v>
      </c>
      <c r="K177" t="s">
        <v>62</v>
      </c>
      <c r="L177" t="s">
        <v>33</v>
      </c>
    </row>
    <row r="178" spans="1:12" x14ac:dyDescent="0.35">
      <c r="A178" t="s">
        <v>20</v>
      </c>
      <c r="B178">
        <v>17645</v>
      </c>
      <c r="C178" t="s">
        <v>949</v>
      </c>
      <c r="D178" t="s">
        <v>950</v>
      </c>
      <c r="E178" t="s">
        <v>11204</v>
      </c>
      <c r="F178" t="s">
        <v>1114</v>
      </c>
      <c r="G178" t="s">
        <v>1115</v>
      </c>
      <c r="H178" t="s">
        <v>1116</v>
      </c>
      <c r="I178" t="s">
        <v>1090</v>
      </c>
      <c r="K178" t="s">
        <v>54</v>
      </c>
      <c r="L178" t="s">
        <v>33</v>
      </c>
    </row>
    <row r="179" spans="1:12" x14ac:dyDescent="0.35">
      <c r="A179" t="s">
        <v>20</v>
      </c>
      <c r="B179">
        <v>17645</v>
      </c>
      <c r="C179" t="s">
        <v>949</v>
      </c>
      <c r="D179" t="s">
        <v>950</v>
      </c>
      <c r="E179" t="s">
        <v>11226</v>
      </c>
      <c r="F179" t="s">
        <v>1123</v>
      </c>
      <c r="G179" t="s">
        <v>1124</v>
      </c>
      <c r="H179" t="s">
        <v>1125</v>
      </c>
      <c r="I179" t="s">
        <v>1090</v>
      </c>
      <c r="K179" t="s">
        <v>54</v>
      </c>
      <c r="L179" t="s">
        <v>33</v>
      </c>
    </row>
    <row r="180" spans="1:12" x14ac:dyDescent="0.35">
      <c r="A180" t="s">
        <v>20</v>
      </c>
      <c r="B180">
        <v>17645</v>
      </c>
      <c r="C180" t="s">
        <v>949</v>
      </c>
      <c r="D180" t="s">
        <v>950</v>
      </c>
      <c r="E180" t="s">
        <v>11205</v>
      </c>
      <c r="F180" t="s">
        <v>1137</v>
      </c>
      <c r="G180" t="s">
        <v>1138</v>
      </c>
      <c r="H180" t="s">
        <v>1139</v>
      </c>
      <c r="I180" t="s">
        <v>1090</v>
      </c>
      <c r="K180" t="s">
        <v>54</v>
      </c>
      <c r="L180" t="s">
        <v>33</v>
      </c>
    </row>
    <row r="181" spans="1:12" x14ac:dyDescent="0.35">
      <c r="A181" t="s">
        <v>20</v>
      </c>
      <c r="B181">
        <v>17645</v>
      </c>
      <c r="C181" t="s">
        <v>949</v>
      </c>
      <c r="D181" t="s">
        <v>950</v>
      </c>
      <c r="E181" t="s">
        <v>11206</v>
      </c>
      <c r="F181" t="s">
        <v>1140</v>
      </c>
      <c r="G181" t="s">
        <v>1141</v>
      </c>
      <c r="H181" t="s">
        <v>1142</v>
      </c>
      <c r="I181" t="s">
        <v>1090</v>
      </c>
      <c r="K181" t="s">
        <v>62</v>
      </c>
      <c r="L181" t="s">
        <v>33</v>
      </c>
    </row>
    <row r="182" spans="1:12" x14ac:dyDescent="0.35">
      <c r="A182" t="s">
        <v>20</v>
      </c>
      <c r="B182">
        <v>17645</v>
      </c>
      <c r="C182" t="s">
        <v>949</v>
      </c>
      <c r="D182" t="s">
        <v>950</v>
      </c>
      <c r="E182" t="s">
        <v>11228</v>
      </c>
      <c r="F182" t="s">
        <v>1148</v>
      </c>
      <c r="G182" t="s">
        <v>1149</v>
      </c>
      <c r="H182" t="s">
        <v>1150</v>
      </c>
      <c r="I182" t="s">
        <v>1090</v>
      </c>
      <c r="K182" t="s">
        <v>62</v>
      </c>
      <c r="L182" t="s">
        <v>33</v>
      </c>
    </row>
    <row r="183" spans="1:12" x14ac:dyDescent="0.35">
      <c r="A183" t="s">
        <v>20</v>
      </c>
      <c r="B183">
        <v>17645</v>
      </c>
      <c r="C183" t="s">
        <v>949</v>
      </c>
      <c r="D183" t="s">
        <v>950</v>
      </c>
      <c r="E183" t="s">
        <v>11207</v>
      </c>
      <c r="F183" t="s">
        <v>1151</v>
      </c>
      <c r="G183" t="s">
        <v>1152</v>
      </c>
      <c r="H183" t="s">
        <v>1153</v>
      </c>
      <c r="I183" t="s">
        <v>1090</v>
      </c>
      <c r="K183" t="s">
        <v>62</v>
      </c>
      <c r="L183" t="s">
        <v>33</v>
      </c>
    </row>
    <row r="184" spans="1:12" x14ac:dyDescent="0.35">
      <c r="A184" t="s">
        <v>20</v>
      </c>
      <c r="B184">
        <v>17645</v>
      </c>
      <c r="C184" t="s">
        <v>949</v>
      </c>
      <c r="D184" t="s">
        <v>950</v>
      </c>
      <c r="E184" t="s">
        <v>11211</v>
      </c>
      <c r="F184" t="s">
        <v>1175</v>
      </c>
      <c r="G184" t="s">
        <v>1176</v>
      </c>
      <c r="H184" t="s">
        <v>1177</v>
      </c>
      <c r="I184" t="s">
        <v>1090</v>
      </c>
      <c r="K184" t="s">
        <v>62</v>
      </c>
      <c r="L184" t="s">
        <v>33</v>
      </c>
    </row>
    <row r="185" spans="1:12" x14ac:dyDescent="0.35">
      <c r="A185" t="s">
        <v>20</v>
      </c>
      <c r="B185">
        <v>17645</v>
      </c>
      <c r="C185" t="s">
        <v>949</v>
      </c>
      <c r="D185" t="s">
        <v>950</v>
      </c>
      <c r="E185" t="s">
        <v>11212</v>
      </c>
      <c r="F185" t="s">
        <v>1184</v>
      </c>
      <c r="G185" t="s">
        <v>1185</v>
      </c>
      <c r="H185" t="s">
        <v>1186</v>
      </c>
      <c r="I185" t="s">
        <v>1090</v>
      </c>
      <c r="K185" t="s">
        <v>54</v>
      </c>
      <c r="L185" t="s">
        <v>33</v>
      </c>
    </row>
    <row r="186" spans="1:12" x14ac:dyDescent="0.35">
      <c r="A186" t="s">
        <v>20</v>
      </c>
      <c r="B186">
        <v>17645</v>
      </c>
      <c r="C186" t="s">
        <v>949</v>
      </c>
      <c r="D186" t="s">
        <v>950</v>
      </c>
      <c r="E186" t="s">
        <v>11213</v>
      </c>
      <c r="F186" t="s">
        <v>1190</v>
      </c>
      <c r="G186" t="s">
        <v>1191</v>
      </c>
      <c r="H186" t="s">
        <v>1192</v>
      </c>
      <c r="I186" t="s">
        <v>1090</v>
      </c>
      <c r="K186" t="s">
        <v>62</v>
      </c>
      <c r="L186" t="s">
        <v>33</v>
      </c>
    </row>
    <row r="187" spans="1:12" x14ac:dyDescent="0.35">
      <c r="A187" t="s">
        <v>20</v>
      </c>
      <c r="B187">
        <v>17645</v>
      </c>
      <c r="C187" t="s">
        <v>949</v>
      </c>
      <c r="D187" t="s">
        <v>950</v>
      </c>
      <c r="E187" t="s">
        <v>11215</v>
      </c>
      <c r="F187" t="s">
        <v>1229</v>
      </c>
      <c r="G187" t="s">
        <v>1230</v>
      </c>
      <c r="H187" t="s">
        <v>1231</v>
      </c>
      <c r="I187" t="s">
        <v>1090</v>
      </c>
      <c r="K187" t="s">
        <v>54</v>
      </c>
      <c r="L187" t="s">
        <v>33</v>
      </c>
    </row>
    <row r="188" spans="1:12" x14ac:dyDescent="0.35">
      <c r="A188" t="s">
        <v>20</v>
      </c>
      <c r="B188">
        <v>17645</v>
      </c>
      <c r="C188" t="s">
        <v>949</v>
      </c>
      <c r="D188" t="s">
        <v>950</v>
      </c>
      <c r="E188" t="s">
        <v>11216</v>
      </c>
      <c r="F188" t="s">
        <v>1233</v>
      </c>
      <c r="G188" t="s">
        <v>1234</v>
      </c>
      <c r="H188" t="s">
        <v>1235</v>
      </c>
      <c r="I188" t="s">
        <v>1090</v>
      </c>
      <c r="K188" t="s">
        <v>62</v>
      </c>
      <c r="L188" t="s">
        <v>33</v>
      </c>
    </row>
    <row r="189" spans="1:12" x14ac:dyDescent="0.35">
      <c r="A189" t="s">
        <v>20</v>
      </c>
      <c r="B189">
        <v>17645</v>
      </c>
      <c r="C189" t="s">
        <v>949</v>
      </c>
      <c r="D189" t="s">
        <v>950</v>
      </c>
      <c r="E189" t="s">
        <v>11218</v>
      </c>
      <c r="F189" t="s">
        <v>1237</v>
      </c>
      <c r="G189" t="s">
        <v>1238</v>
      </c>
      <c r="H189" t="s">
        <v>1239</v>
      </c>
      <c r="I189" t="s">
        <v>1090</v>
      </c>
      <c r="K189" t="s">
        <v>62</v>
      </c>
      <c r="L189" t="s">
        <v>33</v>
      </c>
    </row>
    <row r="190" spans="1:12" x14ac:dyDescent="0.35">
      <c r="A190" t="s">
        <v>20</v>
      </c>
      <c r="B190">
        <v>17645</v>
      </c>
      <c r="C190" t="s">
        <v>949</v>
      </c>
      <c r="D190" t="s">
        <v>950</v>
      </c>
      <c r="E190" t="s">
        <v>11233</v>
      </c>
      <c r="F190" t="s">
        <v>1241</v>
      </c>
      <c r="G190" t="s">
        <v>1242</v>
      </c>
      <c r="H190" t="s">
        <v>1243</v>
      </c>
      <c r="I190" t="s">
        <v>1090</v>
      </c>
      <c r="K190" t="s">
        <v>62</v>
      </c>
      <c r="L190" t="s">
        <v>33</v>
      </c>
    </row>
    <row r="191" spans="1:12" x14ac:dyDescent="0.35">
      <c r="A191" t="s">
        <v>20</v>
      </c>
      <c r="B191">
        <v>17647</v>
      </c>
      <c r="C191" t="s">
        <v>1252</v>
      </c>
      <c r="D191" t="s">
        <v>1253</v>
      </c>
      <c r="E191" t="s">
        <v>11219</v>
      </c>
      <c r="F191" t="s">
        <v>1264</v>
      </c>
      <c r="G191" t="s">
        <v>1265</v>
      </c>
      <c r="H191" t="s">
        <v>1266</v>
      </c>
      <c r="I191" t="s">
        <v>1257</v>
      </c>
      <c r="K191" t="s">
        <v>62</v>
      </c>
      <c r="L191" t="s">
        <v>33</v>
      </c>
    </row>
    <row r="192" spans="1:12" x14ac:dyDescent="0.35">
      <c r="A192" t="s">
        <v>20</v>
      </c>
      <c r="B192">
        <v>17647</v>
      </c>
      <c r="C192" t="s">
        <v>1252</v>
      </c>
      <c r="D192" t="s">
        <v>1253</v>
      </c>
      <c r="E192" t="s">
        <v>11176</v>
      </c>
      <c r="F192" t="s">
        <v>1267</v>
      </c>
      <c r="G192" t="s">
        <v>1268</v>
      </c>
      <c r="H192" t="s">
        <v>1269</v>
      </c>
      <c r="I192" t="s">
        <v>1257</v>
      </c>
      <c r="K192" t="s">
        <v>54</v>
      </c>
      <c r="L192" t="s">
        <v>33</v>
      </c>
    </row>
    <row r="193" spans="1:12" x14ac:dyDescent="0.35">
      <c r="A193" t="s">
        <v>20</v>
      </c>
      <c r="B193">
        <v>17647</v>
      </c>
      <c r="C193" t="s">
        <v>1252</v>
      </c>
      <c r="D193" t="s">
        <v>1253</v>
      </c>
      <c r="E193" t="s">
        <v>11177</v>
      </c>
      <c r="F193" t="s">
        <v>1273</v>
      </c>
      <c r="G193" t="s">
        <v>1274</v>
      </c>
      <c r="H193" t="s">
        <v>1275</v>
      </c>
      <c r="I193" t="s">
        <v>1257</v>
      </c>
      <c r="K193" t="s">
        <v>62</v>
      </c>
      <c r="L193" t="s">
        <v>33</v>
      </c>
    </row>
    <row r="194" spans="1:12" x14ac:dyDescent="0.35">
      <c r="A194" t="s">
        <v>20</v>
      </c>
      <c r="B194">
        <v>17647</v>
      </c>
      <c r="C194" t="s">
        <v>1252</v>
      </c>
      <c r="D194" t="s">
        <v>1253</v>
      </c>
      <c r="E194" t="s">
        <v>11178</v>
      </c>
      <c r="F194" t="s">
        <v>1276</v>
      </c>
      <c r="G194" t="s">
        <v>1277</v>
      </c>
      <c r="H194" t="s">
        <v>1278</v>
      </c>
      <c r="I194" t="s">
        <v>1257</v>
      </c>
      <c r="K194" t="s">
        <v>54</v>
      </c>
      <c r="L194" t="s">
        <v>33</v>
      </c>
    </row>
    <row r="195" spans="1:12" x14ac:dyDescent="0.35">
      <c r="A195" t="s">
        <v>20</v>
      </c>
      <c r="B195">
        <v>17647</v>
      </c>
      <c r="C195" t="s">
        <v>1252</v>
      </c>
      <c r="D195" t="s">
        <v>1253</v>
      </c>
      <c r="E195" t="s">
        <v>11220</v>
      </c>
      <c r="F195" t="s">
        <v>1279</v>
      </c>
      <c r="G195" t="s">
        <v>1280</v>
      </c>
      <c r="H195" t="s">
        <v>1281</v>
      </c>
      <c r="I195" t="s">
        <v>1257</v>
      </c>
      <c r="K195" t="s">
        <v>54</v>
      </c>
      <c r="L195" t="s">
        <v>33</v>
      </c>
    </row>
    <row r="196" spans="1:12" x14ac:dyDescent="0.35">
      <c r="A196" t="s">
        <v>20</v>
      </c>
      <c r="B196">
        <v>17647</v>
      </c>
      <c r="C196" t="s">
        <v>1252</v>
      </c>
      <c r="D196" t="s">
        <v>1253</v>
      </c>
      <c r="E196" t="s">
        <v>11179</v>
      </c>
      <c r="F196" t="s">
        <v>1282</v>
      </c>
      <c r="G196" t="s">
        <v>1283</v>
      </c>
      <c r="H196" t="s">
        <v>1284</v>
      </c>
      <c r="I196" t="s">
        <v>1257</v>
      </c>
      <c r="K196" t="s">
        <v>62</v>
      </c>
      <c r="L196" t="s">
        <v>33</v>
      </c>
    </row>
    <row r="197" spans="1:12" x14ac:dyDescent="0.35">
      <c r="A197" t="s">
        <v>20</v>
      </c>
      <c r="B197">
        <v>17647</v>
      </c>
      <c r="C197" t="s">
        <v>1252</v>
      </c>
      <c r="D197" t="s">
        <v>1253</v>
      </c>
      <c r="E197" t="s">
        <v>11180</v>
      </c>
      <c r="F197" t="s">
        <v>1285</v>
      </c>
      <c r="G197" t="s">
        <v>1286</v>
      </c>
      <c r="H197" t="s">
        <v>1287</v>
      </c>
      <c r="I197" t="s">
        <v>1257</v>
      </c>
      <c r="K197" t="s">
        <v>11217</v>
      </c>
      <c r="L197" t="s">
        <v>33</v>
      </c>
    </row>
    <row r="198" spans="1:12" x14ac:dyDescent="0.35">
      <c r="A198" t="s">
        <v>20</v>
      </c>
      <c r="B198">
        <v>17647</v>
      </c>
      <c r="C198" t="s">
        <v>1252</v>
      </c>
      <c r="D198" t="s">
        <v>1253</v>
      </c>
      <c r="E198" t="s">
        <v>11181</v>
      </c>
      <c r="F198" t="s">
        <v>1288</v>
      </c>
      <c r="G198" t="s">
        <v>1289</v>
      </c>
      <c r="H198" t="s">
        <v>1290</v>
      </c>
      <c r="I198" t="s">
        <v>1257</v>
      </c>
      <c r="K198" t="s">
        <v>62</v>
      </c>
      <c r="L198" t="s">
        <v>33</v>
      </c>
    </row>
    <row r="199" spans="1:12" x14ac:dyDescent="0.35">
      <c r="A199" t="s">
        <v>20</v>
      </c>
      <c r="B199">
        <v>17647</v>
      </c>
      <c r="C199" t="s">
        <v>1252</v>
      </c>
      <c r="D199" t="s">
        <v>1253</v>
      </c>
      <c r="E199" t="s">
        <v>11221</v>
      </c>
      <c r="F199" t="s">
        <v>1297</v>
      </c>
      <c r="G199" t="s">
        <v>1298</v>
      </c>
      <c r="H199" t="s">
        <v>1299</v>
      </c>
      <c r="I199" t="s">
        <v>1257</v>
      </c>
      <c r="K199" t="s">
        <v>11217</v>
      </c>
      <c r="L199" t="s">
        <v>33</v>
      </c>
    </row>
    <row r="200" spans="1:12" x14ac:dyDescent="0.35">
      <c r="A200" t="s">
        <v>20</v>
      </c>
      <c r="B200">
        <v>17647</v>
      </c>
      <c r="C200" t="s">
        <v>1252</v>
      </c>
      <c r="D200" t="s">
        <v>1253</v>
      </c>
      <c r="E200" t="s">
        <v>11182</v>
      </c>
      <c r="F200" t="s">
        <v>1303</v>
      </c>
      <c r="G200" t="s">
        <v>1304</v>
      </c>
      <c r="H200" t="s">
        <v>1305</v>
      </c>
      <c r="I200" t="s">
        <v>1257</v>
      </c>
      <c r="K200" t="s">
        <v>54</v>
      </c>
      <c r="L200" t="s">
        <v>33</v>
      </c>
    </row>
    <row r="201" spans="1:12" x14ac:dyDescent="0.35">
      <c r="A201" t="s">
        <v>20</v>
      </c>
      <c r="B201">
        <v>17647</v>
      </c>
      <c r="C201" t="s">
        <v>1252</v>
      </c>
      <c r="D201" t="s">
        <v>1253</v>
      </c>
      <c r="E201" t="s">
        <v>11222</v>
      </c>
      <c r="F201" t="s">
        <v>1306</v>
      </c>
      <c r="G201" t="s">
        <v>1307</v>
      </c>
      <c r="H201" t="s">
        <v>1308</v>
      </c>
      <c r="I201" t="s">
        <v>1257</v>
      </c>
      <c r="K201" t="s">
        <v>62</v>
      </c>
      <c r="L201" t="s">
        <v>33</v>
      </c>
    </row>
    <row r="202" spans="1:12" x14ac:dyDescent="0.35">
      <c r="A202" t="s">
        <v>20</v>
      </c>
      <c r="B202">
        <v>17647</v>
      </c>
      <c r="C202" t="s">
        <v>1252</v>
      </c>
      <c r="D202" t="s">
        <v>1253</v>
      </c>
      <c r="E202" t="s">
        <v>11183</v>
      </c>
      <c r="F202" t="s">
        <v>1309</v>
      </c>
      <c r="G202" t="s">
        <v>1310</v>
      </c>
      <c r="H202" t="s">
        <v>1311</v>
      </c>
      <c r="I202" t="s">
        <v>1257</v>
      </c>
      <c r="K202" t="s">
        <v>54</v>
      </c>
      <c r="L202" t="s">
        <v>33</v>
      </c>
    </row>
    <row r="203" spans="1:12" x14ac:dyDescent="0.35">
      <c r="A203" t="s">
        <v>20</v>
      </c>
      <c r="B203">
        <v>17647</v>
      </c>
      <c r="C203" t="s">
        <v>1252</v>
      </c>
      <c r="D203" t="s">
        <v>1253</v>
      </c>
      <c r="E203" t="s">
        <v>11184</v>
      </c>
      <c r="F203" t="s">
        <v>1312</v>
      </c>
      <c r="G203" t="s">
        <v>1313</v>
      </c>
      <c r="H203" t="s">
        <v>1314</v>
      </c>
      <c r="I203" t="s">
        <v>1257</v>
      </c>
      <c r="K203" t="s">
        <v>62</v>
      </c>
      <c r="L203" t="s">
        <v>33</v>
      </c>
    </row>
    <row r="204" spans="1:12" x14ac:dyDescent="0.35">
      <c r="A204" t="s">
        <v>20</v>
      </c>
      <c r="B204">
        <v>17647</v>
      </c>
      <c r="C204" t="s">
        <v>1252</v>
      </c>
      <c r="D204" t="s">
        <v>1253</v>
      </c>
      <c r="E204" t="s">
        <v>11185</v>
      </c>
      <c r="F204" t="s">
        <v>1315</v>
      </c>
      <c r="G204" t="s">
        <v>1316</v>
      </c>
      <c r="H204" t="s">
        <v>1317</v>
      </c>
      <c r="I204" t="s">
        <v>1257</v>
      </c>
      <c r="K204" t="s">
        <v>54</v>
      </c>
      <c r="L204" t="s">
        <v>33</v>
      </c>
    </row>
    <row r="205" spans="1:12" x14ac:dyDescent="0.35">
      <c r="A205" t="s">
        <v>20</v>
      </c>
      <c r="B205">
        <v>17647</v>
      </c>
      <c r="C205" t="s">
        <v>1252</v>
      </c>
      <c r="D205" t="s">
        <v>1253</v>
      </c>
      <c r="E205" t="s">
        <v>11186</v>
      </c>
      <c r="F205" t="s">
        <v>1318</v>
      </c>
      <c r="G205" t="s">
        <v>1319</v>
      </c>
      <c r="H205" t="s">
        <v>1320</v>
      </c>
      <c r="I205" t="s">
        <v>1257</v>
      </c>
      <c r="K205" t="s">
        <v>62</v>
      </c>
      <c r="L205" t="s">
        <v>33</v>
      </c>
    </row>
    <row r="206" spans="1:12" x14ac:dyDescent="0.35">
      <c r="A206" t="s">
        <v>20</v>
      </c>
      <c r="B206">
        <v>17647</v>
      </c>
      <c r="C206" t="s">
        <v>1252</v>
      </c>
      <c r="D206" t="s">
        <v>1253</v>
      </c>
      <c r="E206" t="s">
        <v>11187</v>
      </c>
      <c r="F206" t="s">
        <v>1324</v>
      </c>
      <c r="G206" t="s">
        <v>1325</v>
      </c>
      <c r="H206" t="s">
        <v>1326</v>
      </c>
      <c r="I206" t="s">
        <v>1257</v>
      </c>
      <c r="K206" t="s">
        <v>54</v>
      </c>
      <c r="L206" t="s">
        <v>33</v>
      </c>
    </row>
    <row r="207" spans="1:12" x14ac:dyDescent="0.35">
      <c r="A207" t="s">
        <v>20</v>
      </c>
      <c r="B207">
        <v>17647</v>
      </c>
      <c r="C207" t="s">
        <v>1252</v>
      </c>
      <c r="D207" t="s">
        <v>1253</v>
      </c>
      <c r="E207" t="s">
        <v>11223</v>
      </c>
      <c r="F207" t="s">
        <v>1330</v>
      </c>
      <c r="G207" t="s">
        <v>1331</v>
      </c>
      <c r="H207" t="s">
        <v>1332</v>
      </c>
      <c r="I207" t="s">
        <v>1257</v>
      </c>
      <c r="K207" t="s">
        <v>11217</v>
      </c>
      <c r="L207" t="s">
        <v>33</v>
      </c>
    </row>
    <row r="208" spans="1:12" x14ac:dyDescent="0.35">
      <c r="A208" t="s">
        <v>20</v>
      </c>
      <c r="B208">
        <v>17647</v>
      </c>
      <c r="C208" t="s">
        <v>1252</v>
      </c>
      <c r="D208" t="s">
        <v>1253</v>
      </c>
      <c r="E208" t="s">
        <v>11188</v>
      </c>
      <c r="F208" t="s">
        <v>1333</v>
      </c>
      <c r="G208" t="s">
        <v>1334</v>
      </c>
      <c r="H208" t="s">
        <v>1335</v>
      </c>
      <c r="I208" t="s">
        <v>1257</v>
      </c>
      <c r="K208" t="s">
        <v>62</v>
      </c>
      <c r="L208" t="s">
        <v>33</v>
      </c>
    </row>
    <row r="209" spans="1:12" x14ac:dyDescent="0.35">
      <c r="A209" t="s">
        <v>20</v>
      </c>
      <c r="B209">
        <v>17647</v>
      </c>
      <c r="C209" t="s">
        <v>1252</v>
      </c>
      <c r="D209" t="s">
        <v>1253</v>
      </c>
      <c r="E209" t="s">
        <v>11189</v>
      </c>
      <c r="F209" t="s">
        <v>1339</v>
      </c>
      <c r="G209" t="s">
        <v>1340</v>
      </c>
      <c r="H209" t="s">
        <v>1341</v>
      </c>
      <c r="I209" t="s">
        <v>1257</v>
      </c>
      <c r="K209" t="s">
        <v>62</v>
      </c>
      <c r="L209" t="s">
        <v>33</v>
      </c>
    </row>
    <row r="210" spans="1:12" x14ac:dyDescent="0.35">
      <c r="A210" t="s">
        <v>20</v>
      </c>
      <c r="B210">
        <v>17647</v>
      </c>
      <c r="C210" t="s">
        <v>1252</v>
      </c>
      <c r="D210" t="s">
        <v>1253</v>
      </c>
      <c r="E210" t="s">
        <v>11224</v>
      </c>
      <c r="F210" t="s">
        <v>1348</v>
      </c>
      <c r="G210" t="s">
        <v>1349</v>
      </c>
      <c r="H210" t="s">
        <v>1350</v>
      </c>
      <c r="I210" t="s">
        <v>1257</v>
      </c>
      <c r="K210" t="s">
        <v>62</v>
      </c>
      <c r="L210" t="s">
        <v>33</v>
      </c>
    </row>
    <row r="211" spans="1:12" x14ac:dyDescent="0.35">
      <c r="A211" t="s">
        <v>20</v>
      </c>
      <c r="B211">
        <v>17647</v>
      </c>
      <c r="C211" t="s">
        <v>1252</v>
      </c>
      <c r="D211" t="s">
        <v>1253</v>
      </c>
      <c r="E211" t="s">
        <v>11190</v>
      </c>
      <c r="F211" t="s">
        <v>1353</v>
      </c>
      <c r="G211" t="s">
        <v>1354</v>
      </c>
      <c r="H211" t="s">
        <v>1355</v>
      </c>
      <c r="I211" t="s">
        <v>1257</v>
      </c>
      <c r="K211" t="s">
        <v>62</v>
      </c>
      <c r="L211" t="s">
        <v>33</v>
      </c>
    </row>
    <row r="212" spans="1:12" x14ac:dyDescent="0.35">
      <c r="A212" t="s">
        <v>20</v>
      </c>
      <c r="B212">
        <v>17647</v>
      </c>
      <c r="C212" t="s">
        <v>1252</v>
      </c>
      <c r="D212" t="s">
        <v>1253</v>
      </c>
      <c r="E212" t="s">
        <v>11191</v>
      </c>
      <c r="F212" t="s">
        <v>1356</v>
      </c>
      <c r="G212" t="s">
        <v>1357</v>
      </c>
      <c r="H212" t="s">
        <v>1358</v>
      </c>
      <c r="I212" t="s">
        <v>1257</v>
      </c>
      <c r="K212" t="s">
        <v>11217</v>
      </c>
      <c r="L212" t="s">
        <v>33</v>
      </c>
    </row>
    <row r="213" spans="1:12" x14ac:dyDescent="0.35">
      <c r="A213" t="s">
        <v>20</v>
      </c>
      <c r="B213">
        <v>17647</v>
      </c>
      <c r="C213" t="s">
        <v>1252</v>
      </c>
      <c r="D213" t="s">
        <v>1253</v>
      </c>
      <c r="E213" t="s">
        <v>11225</v>
      </c>
      <c r="F213" t="s">
        <v>1359</v>
      </c>
      <c r="G213" t="s">
        <v>1360</v>
      </c>
      <c r="H213" t="s">
        <v>1361</v>
      </c>
      <c r="I213" t="s">
        <v>1257</v>
      </c>
      <c r="K213" t="s">
        <v>62</v>
      </c>
      <c r="L213" t="s">
        <v>33</v>
      </c>
    </row>
    <row r="214" spans="1:12" x14ac:dyDescent="0.35">
      <c r="A214" t="s">
        <v>20</v>
      </c>
      <c r="B214">
        <v>17647</v>
      </c>
      <c r="C214" t="s">
        <v>1252</v>
      </c>
      <c r="D214" t="s">
        <v>1253</v>
      </c>
      <c r="E214" t="s">
        <v>11192</v>
      </c>
      <c r="F214" t="s">
        <v>1365</v>
      </c>
      <c r="G214" t="s">
        <v>1366</v>
      </c>
      <c r="H214" t="s">
        <v>1367</v>
      </c>
      <c r="I214" t="s">
        <v>1257</v>
      </c>
      <c r="K214" t="s">
        <v>11217</v>
      </c>
      <c r="L214" t="s">
        <v>33</v>
      </c>
    </row>
    <row r="215" spans="1:12" x14ac:dyDescent="0.35">
      <c r="A215" t="s">
        <v>20</v>
      </c>
      <c r="B215">
        <v>17647</v>
      </c>
      <c r="C215" t="s">
        <v>1252</v>
      </c>
      <c r="D215" t="s">
        <v>1253</v>
      </c>
      <c r="E215" t="s">
        <v>11231</v>
      </c>
      <c r="F215" t="s">
        <v>1368</v>
      </c>
      <c r="G215" t="s">
        <v>1369</v>
      </c>
      <c r="H215" t="s">
        <v>1370</v>
      </c>
      <c r="I215" t="s">
        <v>1257</v>
      </c>
      <c r="K215" t="s">
        <v>54</v>
      </c>
      <c r="L215" t="s">
        <v>33</v>
      </c>
    </row>
    <row r="216" spans="1:12" x14ac:dyDescent="0.35">
      <c r="A216" t="s">
        <v>20</v>
      </c>
      <c r="B216">
        <v>17647</v>
      </c>
      <c r="C216" t="s">
        <v>1252</v>
      </c>
      <c r="D216" t="s">
        <v>1253</v>
      </c>
      <c r="E216" t="s">
        <v>11193</v>
      </c>
      <c r="F216" t="s">
        <v>1374</v>
      </c>
      <c r="G216" t="s">
        <v>1375</v>
      </c>
      <c r="H216" t="s">
        <v>1376</v>
      </c>
      <c r="I216" t="s">
        <v>1257</v>
      </c>
      <c r="K216" t="s">
        <v>11217</v>
      </c>
      <c r="L216" t="s">
        <v>33</v>
      </c>
    </row>
    <row r="217" spans="1:12" x14ac:dyDescent="0.35">
      <c r="A217" t="s">
        <v>20</v>
      </c>
      <c r="B217">
        <v>17647</v>
      </c>
      <c r="C217" t="s">
        <v>1252</v>
      </c>
      <c r="D217" t="s">
        <v>1253</v>
      </c>
      <c r="E217" t="s">
        <v>11232</v>
      </c>
      <c r="F217" t="s">
        <v>1377</v>
      </c>
      <c r="G217" t="s">
        <v>1378</v>
      </c>
      <c r="H217" t="s">
        <v>1379</v>
      </c>
      <c r="I217" t="s">
        <v>1257</v>
      </c>
      <c r="K217" t="s">
        <v>54</v>
      </c>
      <c r="L217" t="s">
        <v>33</v>
      </c>
    </row>
    <row r="218" spans="1:12" x14ac:dyDescent="0.35">
      <c r="A218" t="s">
        <v>20</v>
      </c>
      <c r="B218">
        <v>17647</v>
      </c>
      <c r="C218" t="s">
        <v>1252</v>
      </c>
      <c r="D218" t="s">
        <v>1253</v>
      </c>
      <c r="E218" t="s">
        <v>11194</v>
      </c>
      <c r="F218" t="s">
        <v>1383</v>
      </c>
      <c r="G218" t="s">
        <v>1384</v>
      </c>
      <c r="H218" t="s">
        <v>1385</v>
      </c>
      <c r="I218" t="s">
        <v>1257</v>
      </c>
      <c r="K218" t="s">
        <v>11217</v>
      </c>
      <c r="L218" t="s">
        <v>33</v>
      </c>
    </row>
    <row r="219" spans="1:12" x14ac:dyDescent="0.35">
      <c r="A219" t="s">
        <v>20</v>
      </c>
      <c r="B219">
        <v>17647</v>
      </c>
      <c r="C219" t="s">
        <v>1252</v>
      </c>
      <c r="D219" t="s">
        <v>1253</v>
      </c>
      <c r="E219" t="s">
        <v>11195</v>
      </c>
      <c r="F219" t="s">
        <v>1386</v>
      </c>
      <c r="G219" t="s">
        <v>1387</v>
      </c>
      <c r="H219" t="s">
        <v>1388</v>
      </c>
      <c r="I219" t="s">
        <v>1257</v>
      </c>
      <c r="K219" t="s">
        <v>54</v>
      </c>
      <c r="L219" t="s">
        <v>33</v>
      </c>
    </row>
    <row r="220" spans="1:12" x14ac:dyDescent="0.35">
      <c r="A220" t="s">
        <v>20</v>
      </c>
      <c r="B220">
        <v>17647</v>
      </c>
      <c r="C220" t="s">
        <v>1252</v>
      </c>
      <c r="D220" t="s">
        <v>1253</v>
      </c>
      <c r="E220" t="s">
        <v>11196</v>
      </c>
      <c r="F220" t="s">
        <v>1389</v>
      </c>
      <c r="G220" t="s">
        <v>1390</v>
      </c>
      <c r="H220" t="s">
        <v>1391</v>
      </c>
      <c r="I220" t="s">
        <v>1257</v>
      </c>
      <c r="K220" t="s">
        <v>62</v>
      </c>
      <c r="L220" t="s">
        <v>33</v>
      </c>
    </row>
    <row r="221" spans="1:12" x14ac:dyDescent="0.35">
      <c r="A221" t="s">
        <v>20</v>
      </c>
      <c r="B221">
        <v>17647</v>
      </c>
      <c r="C221" t="s">
        <v>1252</v>
      </c>
      <c r="D221" t="s">
        <v>1253</v>
      </c>
      <c r="E221" t="s">
        <v>11197</v>
      </c>
      <c r="F221" t="s">
        <v>1396</v>
      </c>
      <c r="G221" t="s">
        <v>1397</v>
      </c>
      <c r="H221" t="s">
        <v>1398</v>
      </c>
      <c r="I221" t="s">
        <v>1395</v>
      </c>
      <c r="K221" t="s">
        <v>54</v>
      </c>
      <c r="L221" t="s">
        <v>33</v>
      </c>
    </row>
    <row r="222" spans="1:12" x14ac:dyDescent="0.35">
      <c r="A222" t="s">
        <v>20</v>
      </c>
      <c r="B222">
        <v>17647</v>
      </c>
      <c r="C222" t="s">
        <v>1252</v>
      </c>
      <c r="D222" t="s">
        <v>1253</v>
      </c>
      <c r="E222" t="s">
        <v>11198</v>
      </c>
      <c r="F222" t="s">
        <v>1409</v>
      </c>
      <c r="G222" t="s">
        <v>1410</v>
      </c>
      <c r="H222" t="s">
        <v>1411</v>
      </c>
      <c r="I222" t="s">
        <v>1395</v>
      </c>
      <c r="K222" t="s">
        <v>11217</v>
      </c>
      <c r="L222" t="s">
        <v>33</v>
      </c>
    </row>
    <row r="223" spans="1:12" x14ac:dyDescent="0.35">
      <c r="A223" t="s">
        <v>20</v>
      </c>
      <c r="B223">
        <v>17647</v>
      </c>
      <c r="C223" t="s">
        <v>1252</v>
      </c>
      <c r="D223" t="s">
        <v>1253</v>
      </c>
      <c r="E223" t="s">
        <v>11199</v>
      </c>
      <c r="F223" t="s">
        <v>1415</v>
      </c>
      <c r="G223" t="s">
        <v>1416</v>
      </c>
      <c r="H223" t="s">
        <v>1417</v>
      </c>
      <c r="I223" t="s">
        <v>1395</v>
      </c>
      <c r="K223" t="s">
        <v>62</v>
      </c>
      <c r="L223" t="s">
        <v>33</v>
      </c>
    </row>
    <row r="224" spans="1:12" x14ac:dyDescent="0.35">
      <c r="A224" t="s">
        <v>20</v>
      </c>
      <c r="B224">
        <v>17647</v>
      </c>
      <c r="C224" t="s">
        <v>1252</v>
      </c>
      <c r="D224" t="s">
        <v>1253</v>
      </c>
      <c r="E224" t="s">
        <v>11200</v>
      </c>
      <c r="F224" t="s">
        <v>1418</v>
      </c>
      <c r="G224" t="s">
        <v>1419</v>
      </c>
      <c r="H224" t="s">
        <v>1420</v>
      </c>
      <c r="I224" t="s">
        <v>1395</v>
      </c>
      <c r="K224" t="s">
        <v>62</v>
      </c>
      <c r="L224" t="s">
        <v>33</v>
      </c>
    </row>
    <row r="225" spans="1:12" x14ac:dyDescent="0.35">
      <c r="A225" t="s">
        <v>20</v>
      </c>
      <c r="B225">
        <v>17647</v>
      </c>
      <c r="C225" t="s">
        <v>1252</v>
      </c>
      <c r="D225" t="s">
        <v>1253</v>
      </c>
      <c r="E225" t="s">
        <v>11201</v>
      </c>
      <c r="F225" t="s">
        <v>1424</v>
      </c>
      <c r="G225" t="s">
        <v>1425</v>
      </c>
      <c r="H225" t="s">
        <v>1426</v>
      </c>
      <c r="I225" t="s">
        <v>1395</v>
      </c>
      <c r="K225" t="s">
        <v>62</v>
      </c>
      <c r="L225" t="s">
        <v>33</v>
      </c>
    </row>
    <row r="226" spans="1:12" x14ac:dyDescent="0.35">
      <c r="A226" t="s">
        <v>20</v>
      </c>
      <c r="B226">
        <v>17647</v>
      </c>
      <c r="C226" t="s">
        <v>1252</v>
      </c>
      <c r="D226" t="s">
        <v>1253</v>
      </c>
      <c r="E226" t="s">
        <v>11202</v>
      </c>
      <c r="F226" t="s">
        <v>1427</v>
      </c>
      <c r="G226" t="s">
        <v>1428</v>
      </c>
      <c r="H226" t="s">
        <v>1285</v>
      </c>
      <c r="I226" t="s">
        <v>1395</v>
      </c>
      <c r="K226" t="s">
        <v>11217</v>
      </c>
      <c r="L226" t="s">
        <v>33</v>
      </c>
    </row>
    <row r="227" spans="1:12" x14ac:dyDescent="0.35">
      <c r="A227" t="s">
        <v>20</v>
      </c>
      <c r="B227">
        <v>17647</v>
      </c>
      <c r="C227" t="s">
        <v>1252</v>
      </c>
      <c r="D227" t="s">
        <v>1253</v>
      </c>
      <c r="E227" t="s">
        <v>11203</v>
      </c>
      <c r="F227" t="s">
        <v>1429</v>
      </c>
      <c r="G227" t="s">
        <v>1430</v>
      </c>
      <c r="H227" t="s">
        <v>1431</v>
      </c>
      <c r="I227" t="s">
        <v>1395</v>
      </c>
      <c r="K227" t="s">
        <v>62</v>
      </c>
      <c r="L227" t="s">
        <v>33</v>
      </c>
    </row>
    <row r="228" spans="1:12" x14ac:dyDescent="0.35">
      <c r="A228" t="s">
        <v>20</v>
      </c>
      <c r="B228">
        <v>17647</v>
      </c>
      <c r="C228" t="s">
        <v>1252</v>
      </c>
      <c r="D228" t="s">
        <v>1253</v>
      </c>
      <c r="E228" t="s">
        <v>11204</v>
      </c>
      <c r="F228" t="s">
        <v>1432</v>
      </c>
      <c r="G228" t="s">
        <v>1433</v>
      </c>
      <c r="H228" t="s">
        <v>1434</v>
      </c>
      <c r="I228" t="s">
        <v>1395</v>
      </c>
      <c r="K228" t="s">
        <v>54</v>
      </c>
      <c r="L228" t="s">
        <v>33</v>
      </c>
    </row>
    <row r="229" spans="1:12" x14ac:dyDescent="0.35">
      <c r="A229" t="s">
        <v>20</v>
      </c>
      <c r="B229">
        <v>17647</v>
      </c>
      <c r="C229" t="s">
        <v>1252</v>
      </c>
      <c r="D229" t="s">
        <v>1253</v>
      </c>
      <c r="E229" t="s">
        <v>11226</v>
      </c>
      <c r="F229" t="s">
        <v>1435</v>
      </c>
      <c r="G229" t="s">
        <v>1436</v>
      </c>
      <c r="H229" t="s">
        <v>1437</v>
      </c>
      <c r="I229" t="s">
        <v>1395</v>
      </c>
      <c r="K229" t="s">
        <v>11217</v>
      </c>
      <c r="L229" t="s">
        <v>33</v>
      </c>
    </row>
    <row r="230" spans="1:12" x14ac:dyDescent="0.35">
      <c r="A230" t="s">
        <v>20</v>
      </c>
      <c r="B230">
        <v>17647</v>
      </c>
      <c r="C230" t="s">
        <v>1252</v>
      </c>
      <c r="D230" t="s">
        <v>1253</v>
      </c>
      <c r="E230" t="s">
        <v>11205</v>
      </c>
      <c r="F230" t="s">
        <v>1441</v>
      </c>
      <c r="G230" t="s">
        <v>1442</v>
      </c>
      <c r="H230" t="s">
        <v>1443</v>
      </c>
      <c r="I230" t="s">
        <v>1395</v>
      </c>
      <c r="K230" t="s">
        <v>62</v>
      </c>
      <c r="L230" t="s">
        <v>33</v>
      </c>
    </row>
    <row r="231" spans="1:12" x14ac:dyDescent="0.35">
      <c r="A231" t="s">
        <v>20</v>
      </c>
      <c r="B231">
        <v>17647</v>
      </c>
      <c r="C231" t="s">
        <v>1252</v>
      </c>
      <c r="D231" t="s">
        <v>1253</v>
      </c>
      <c r="E231" t="s">
        <v>11206</v>
      </c>
      <c r="F231" t="s">
        <v>1447</v>
      </c>
      <c r="G231" t="s">
        <v>1448</v>
      </c>
      <c r="H231" t="s">
        <v>1449</v>
      </c>
      <c r="I231" t="s">
        <v>1395</v>
      </c>
      <c r="K231" t="s">
        <v>62</v>
      </c>
      <c r="L231" t="s">
        <v>33</v>
      </c>
    </row>
    <row r="232" spans="1:12" x14ac:dyDescent="0.35">
      <c r="A232" t="s">
        <v>20</v>
      </c>
      <c r="B232">
        <v>17647</v>
      </c>
      <c r="C232" t="s">
        <v>1252</v>
      </c>
      <c r="D232" t="s">
        <v>1253</v>
      </c>
      <c r="E232" t="s">
        <v>11227</v>
      </c>
      <c r="F232" t="s">
        <v>1317</v>
      </c>
      <c r="G232" t="s">
        <v>1456</v>
      </c>
      <c r="H232" t="s">
        <v>1457</v>
      </c>
      <c r="I232" t="s">
        <v>1395</v>
      </c>
      <c r="K232" t="s">
        <v>11217</v>
      </c>
      <c r="L232" t="s">
        <v>33</v>
      </c>
    </row>
    <row r="233" spans="1:12" x14ac:dyDescent="0.35">
      <c r="A233" t="s">
        <v>20</v>
      </c>
      <c r="B233">
        <v>17647</v>
      </c>
      <c r="C233" t="s">
        <v>1252</v>
      </c>
      <c r="D233" t="s">
        <v>1253</v>
      </c>
      <c r="E233" t="s">
        <v>11228</v>
      </c>
      <c r="F233" t="s">
        <v>1458</v>
      </c>
      <c r="G233" t="s">
        <v>1459</v>
      </c>
      <c r="H233" t="s">
        <v>1460</v>
      </c>
      <c r="I233" t="s">
        <v>1395</v>
      </c>
      <c r="K233" t="s">
        <v>62</v>
      </c>
      <c r="L233" t="s">
        <v>33</v>
      </c>
    </row>
    <row r="234" spans="1:12" x14ac:dyDescent="0.35">
      <c r="A234" t="s">
        <v>20</v>
      </c>
      <c r="B234">
        <v>17647</v>
      </c>
      <c r="C234" t="s">
        <v>1252</v>
      </c>
      <c r="D234" t="s">
        <v>1253</v>
      </c>
      <c r="E234" t="s">
        <v>11207</v>
      </c>
      <c r="F234" t="s">
        <v>1466</v>
      </c>
      <c r="G234" t="s">
        <v>1467</v>
      </c>
      <c r="H234" t="s">
        <v>1468</v>
      </c>
      <c r="I234" t="s">
        <v>1395</v>
      </c>
      <c r="K234" t="s">
        <v>62</v>
      </c>
      <c r="L234" t="s">
        <v>33</v>
      </c>
    </row>
    <row r="235" spans="1:12" x14ac:dyDescent="0.35">
      <c r="A235" t="s">
        <v>20</v>
      </c>
      <c r="B235">
        <v>17647</v>
      </c>
      <c r="C235" t="s">
        <v>1252</v>
      </c>
      <c r="D235" t="s">
        <v>1253</v>
      </c>
      <c r="E235" t="s">
        <v>11208</v>
      </c>
      <c r="F235" t="s">
        <v>1469</v>
      </c>
      <c r="G235" t="s">
        <v>1470</v>
      </c>
      <c r="H235" t="s">
        <v>1471</v>
      </c>
      <c r="I235" t="s">
        <v>1395</v>
      </c>
      <c r="K235" t="s">
        <v>54</v>
      </c>
      <c r="L235" t="s">
        <v>33</v>
      </c>
    </row>
    <row r="236" spans="1:12" x14ac:dyDescent="0.35">
      <c r="A236" t="s">
        <v>20</v>
      </c>
      <c r="B236">
        <v>17647</v>
      </c>
      <c r="C236" t="s">
        <v>1252</v>
      </c>
      <c r="D236" t="s">
        <v>1253</v>
      </c>
      <c r="E236" t="s">
        <v>11209</v>
      </c>
      <c r="F236" t="s">
        <v>1472</v>
      </c>
      <c r="G236" t="s">
        <v>1473</v>
      </c>
      <c r="H236" t="s">
        <v>1474</v>
      </c>
      <c r="I236" t="s">
        <v>1395</v>
      </c>
      <c r="K236" t="s">
        <v>54</v>
      </c>
      <c r="L236" t="s">
        <v>33</v>
      </c>
    </row>
    <row r="237" spans="1:12" x14ac:dyDescent="0.35">
      <c r="A237" t="s">
        <v>20</v>
      </c>
      <c r="B237">
        <v>17647</v>
      </c>
      <c r="C237" t="s">
        <v>1252</v>
      </c>
      <c r="D237" t="s">
        <v>1253</v>
      </c>
      <c r="E237" t="s">
        <v>11210</v>
      </c>
      <c r="F237" t="s">
        <v>1481</v>
      </c>
      <c r="G237" t="s">
        <v>1482</v>
      </c>
      <c r="H237" t="s">
        <v>1483</v>
      </c>
      <c r="I237" t="s">
        <v>1395</v>
      </c>
      <c r="K237" t="s">
        <v>11217</v>
      </c>
      <c r="L237" t="s">
        <v>33</v>
      </c>
    </row>
    <row r="238" spans="1:12" x14ac:dyDescent="0.35">
      <c r="A238" t="s">
        <v>20</v>
      </c>
      <c r="B238">
        <v>17647</v>
      </c>
      <c r="C238" t="s">
        <v>1252</v>
      </c>
      <c r="D238" t="s">
        <v>1253</v>
      </c>
      <c r="E238" t="s">
        <v>11211</v>
      </c>
      <c r="F238" t="s">
        <v>1484</v>
      </c>
      <c r="G238" t="s">
        <v>1485</v>
      </c>
      <c r="H238" t="s">
        <v>1486</v>
      </c>
      <c r="I238" t="s">
        <v>1395</v>
      </c>
      <c r="K238" t="s">
        <v>62</v>
      </c>
      <c r="L238" t="s">
        <v>33</v>
      </c>
    </row>
    <row r="239" spans="1:12" x14ac:dyDescent="0.35">
      <c r="A239" t="s">
        <v>20</v>
      </c>
      <c r="B239">
        <v>17647</v>
      </c>
      <c r="C239" t="s">
        <v>1252</v>
      </c>
      <c r="D239" t="s">
        <v>1253</v>
      </c>
      <c r="E239" t="s">
        <v>11212</v>
      </c>
      <c r="F239" t="s">
        <v>1489</v>
      </c>
      <c r="G239" t="s">
        <v>1490</v>
      </c>
      <c r="H239" t="s">
        <v>1491</v>
      </c>
      <c r="I239" t="s">
        <v>1395</v>
      </c>
      <c r="K239" t="s">
        <v>62</v>
      </c>
      <c r="L239" t="s">
        <v>33</v>
      </c>
    </row>
    <row r="240" spans="1:12" x14ac:dyDescent="0.35">
      <c r="A240" t="s">
        <v>20</v>
      </c>
      <c r="B240">
        <v>17647</v>
      </c>
      <c r="C240" t="s">
        <v>1252</v>
      </c>
      <c r="D240" t="s">
        <v>1253</v>
      </c>
      <c r="E240" t="s">
        <v>11213</v>
      </c>
      <c r="F240" t="s">
        <v>1492</v>
      </c>
      <c r="G240" t="s">
        <v>1493</v>
      </c>
      <c r="H240" t="s">
        <v>1494</v>
      </c>
      <c r="I240" t="s">
        <v>1395</v>
      </c>
      <c r="K240" t="s">
        <v>62</v>
      </c>
      <c r="L240" t="s">
        <v>33</v>
      </c>
    </row>
    <row r="241" spans="1:12" x14ac:dyDescent="0.35">
      <c r="A241" t="s">
        <v>20</v>
      </c>
      <c r="B241">
        <v>17647</v>
      </c>
      <c r="C241" t="s">
        <v>1252</v>
      </c>
      <c r="D241" t="s">
        <v>1253</v>
      </c>
      <c r="E241" t="s">
        <v>11214</v>
      </c>
      <c r="F241" t="s">
        <v>1495</v>
      </c>
      <c r="G241" t="s">
        <v>1496</v>
      </c>
      <c r="H241" t="s">
        <v>1497</v>
      </c>
      <c r="I241" t="s">
        <v>1395</v>
      </c>
      <c r="K241" t="s">
        <v>11217</v>
      </c>
      <c r="L241" t="s">
        <v>33</v>
      </c>
    </row>
    <row r="242" spans="1:12" x14ac:dyDescent="0.35">
      <c r="A242" t="s">
        <v>20</v>
      </c>
      <c r="B242">
        <v>17647</v>
      </c>
      <c r="C242" t="s">
        <v>1252</v>
      </c>
      <c r="D242" t="s">
        <v>1253</v>
      </c>
      <c r="E242" t="s">
        <v>11229</v>
      </c>
      <c r="F242" t="s">
        <v>1498</v>
      </c>
      <c r="G242" t="s">
        <v>1499</v>
      </c>
      <c r="H242" t="s">
        <v>1500</v>
      </c>
      <c r="I242" t="s">
        <v>1395</v>
      </c>
      <c r="K242" t="s">
        <v>62</v>
      </c>
      <c r="L242" t="s">
        <v>33</v>
      </c>
    </row>
    <row r="243" spans="1:12" x14ac:dyDescent="0.35">
      <c r="A243" t="s">
        <v>20</v>
      </c>
      <c r="B243">
        <v>17647</v>
      </c>
      <c r="C243" t="s">
        <v>1252</v>
      </c>
      <c r="D243" t="s">
        <v>1253</v>
      </c>
      <c r="E243" t="s">
        <v>11230</v>
      </c>
      <c r="F243" t="s">
        <v>1501</v>
      </c>
      <c r="G243" t="s">
        <v>1502</v>
      </c>
      <c r="H243" t="s">
        <v>1503</v>
      </c>
      <c r="I243" t="s">
        <v>1395</v>
      </c>
      <c r="K243" t="s">
        <v>11217</v>
      </c>
      <c r="L243" t="s">
        <v>33</v>
      </c>
    </row>
    <row r="244" spans="1:12" x14ac:dyDescent="0.35">
      <c r="A244" t="s">
        <v>20</v>
      </c>
      <c r="B244">
        <v>17647</v>
      </c>
      <c r="C244" t="s">
        <v>1252</v>
      </c>
      <c r="D244" t="s">
        <v>1253</v>
      </c>
      <c r="E244" t="s">
        <v>11215</v>
      </c>
      <c r="F244" t="s">
        <v>1508</v>
      </c>
      <c r="G244" t="s">
        <v>1509</v>
      </c>
      <c r="H244" t="s">
        <v>1510</v>
      </c>
      <c r="I244" t="s">
        <v>1395</v>
      </c>
      <c r="K244" t="s">
        <v>54</v>
      </c>
      <c r="L244" t="s">
        <v>33</v>
      </c>
    </row>
    <row r="245" spans="1:12" x14ac:dyDescent="0.35">
      <c r="A245" t="s">
        <v>20</v>
      </c>
      <c r="B245">
        <v>17647</v>
      </c>
      <c r="C245" t="s">
        <v>1252</v>
      </c>
      <c r="D245" t="s">
        <v>1253</v>
      </c>
      <c r="E245" t="s">
        <v>11216</v>
      </c>
      <c r="F245" t="s">
        <v>1516</v>
      </c>
      <c r="G245" t="s">
        <v>1517</v>
      </c>
      <c r="H245" t="s">
        <v>1518</v>
      </c>
      <c r="I245" t="s">
        <v>1395</v>
      </c>
      <c r="K245" t="s">
        <v>11217</v>
      </c>
      <c r="L245" t="s">
        <v>33</v>
      </c>
    </row>
    <row r="246" spans="1:12" x14ac:dyDescent="0.35">
      <c r="A246" t="s">
        <v>20</v>
      </c>
      <c r="B246">
        <v>17647</v>
      </c>
      <c r="C246" t="s">
        <v>1252</v>
      </c>
      <c r="D246" t="s">
        <v>1253</v>
      </c>
      <c r="E246" t="s">
        <v>11218</v>
      </c>
      <c r="F246" t="s">
        <v>1519</v>
      </c>
      <c r="G246" t="s">
        <v>1520</v>
      </c>
      <c r="H246" t="s">
        <v>1521</v>
      </c>
      <c r="I246" t="s">
        <v>1395</v>
      </c>
      <c r="K246" t="s">
        <v>62</v>
      </c>
      <c r="L246" t="s">
        <v>33</v>
      </c>
    </row>
    <row r="247" spans="1:12" x14ac:dyDescent="0.35">
      <c r="A247" t="s">
        <v>20</v>
      </c>
      <c r="B247">
        <v>17647</v>
      </c>
      <c r="C247" t="s">
        <v>1252</v>
      </c>
      <c r="D247" t="s">
        <v>1253</v>
      </c>
      <c r="E247" t="s">
        <v>11233</v>
      </c>
      <c r="F247" t="s">
        <v>1525</v>
      </c>
      <c r="G247" t="s">
        <v>1526</v>
      </c>
      <c r="H247" t="s">
        <v>1527</v>
      </c>
      <c r="I247" t="s">
        <v>1395</v>
      </c>
      <c r="K247" t="s">
        <v>62</v>
      </c>
      <c r="L247" t="s">
        <v>33</v>
      </c>
    </row>
    <row r="248" spans="1:12" x14ac:dyDescent="0.35">
      <c r="A248" t="s">
        <v>20</v>
      </c>
      <c r="B248">
        <v>17643</v>
      </c>
      <c r="C248" t="s">
        <v>426</v>
      </c>
      <c r="D248" t="s">
        <v>427</v>
      </c>
      <c r="E248" t="s">
        <v>11219</v>
      </c>
      <c r="F248" t="s">
        <v>554</v>
      </c>
      <c r="G248" t="s">
        <v>555</v>
      </c>
      <c r="H248" t="s">
        <v>556</v>
      </c>
      <c r="I248" t="s">
        <v>557</v>
      </c>
      <c r="K248" t="s">
        <v>11217</v>
      </c>
      <c r="L248" t="s">
        <v>33</v>
      </c>
    </row>
    <row r="249" spans="1:12" x14ac:dyDescent="0.35">
      <c r="A249" t="s">
        <v>20</v>
      </c>
      <c r="B249">
        <v>17643</v>
      </c>
      <c r="C249" t="s">
        <v>426</v>
      </c>
      <c r="D249" t="s">
        <v>427</v>
      </c>
      <c r="E249" t="s">
        <v>11176</v>
      </c>
      <c r="F249" t="s">
        <v>558</v>
      </c>
      <c r="G249" t="s">
        <v>559</v>
      </c>
      <c r="H249" t="s">
        <v>560</v>
      </c>
      <c r="I249" t="s">
        <v>557</v>
      </c>
      <c r="K249" t="s">
        <v>11217</v>
      </c>
      <c r="L249" t="s">
        <v>33</v>
      </c>
    </row>
    <row r="250" spans="1:12" x14ac:dyDescent="0.35">
      <c r="A250" t="s">
        <v>20</v>
      </c>
      <c r="B250">
        <v>17643</v>
      </c>
      <c r="C250" t="s">
        <v>426</v>
      </c>
      <c r="D250" t="s">
        <v>427</v>
      </c>
      <c r="E250" t="s">
        <v>11177</v>
      </c>
      <c r="F250" t="s">
        <v>567</v>
      </c>
      <c r="G250" t="s">
        <v>568</v>
      </c>
      <c r="H250" t="s">
        <v>569</v>
      </c>
      <c r="I250" t="s">
        <v>557</v>
      </c>
      <c r="K250" t="s">
        <v>62</v>
      </c>
      <c r="L250" t="s">
        <v>33</v>
      </c>
    </row>
    <row r="251" spans="1:12" x14ac:dyDescent="0.35">
      <c r="A251" t="s">
        <v>20</v>
      </c>
      <c r="B251">
        <v>17643</v>
      </c>
      <c r="C251" t="s">
        <v>426</v>
      </c>
      <c r="D251" t="s">
        <v>427</v>
      </c>
      <c r="E251" t="s">
        <v>11178</v>
      </c>
      <c r="F251" t="s">
        <v>570</v>
      </c>
      <c r="G251" t="s">
        <v>571</v>
      </c>
      <c r="H251" t="s">
        <v>572</v>
      </c>
      <c r="I251" t="s">
        <v>557</v>
      </c>
      <c r="K251" t="s">
        <v>11217</v>
      </c>
      <c r="L251" t="s">
        <v>33</v>
      </c>
    </row>
    <row r="252" spans="1:12" x14ac:dyDescent="0.35">
      <c r="A252" t="s">
        <v>20</v>
      </c>
      <c r="B252">
        <v>17643</v>
      </c>
      <c r="C252" t="s">
        <v>426</v>
      </c>
      <c r="D252" t="s">
        <v>427</v>
      </c>
      <c r="E252" t="s">
        <v>11220</v>
      </c>
      <c r="F252" t="s">
        <v>576</v>
      </c>
      <c r="G252" t="s">
        <v>577</v>
      </c>
      <c r="H252" t="s">
        <v>578</v>
      </c>
      <c r="I252" t="s">
        <v>557</v>
      </c>
      <c r="K252" t="s">
        <v>54</v>
      </c>
      <c r="L252" t="s">
        <v>33</v>
      </c>
    </row>
    <row r="253" spans="1:12" x14ac:dyDescent="0.35">
      <c r="A253" t="s">
        <v>20</v>
      </c>
      <c r="B253">
        <v>17643</v>
      </c>
      <c r="C253" t="s">
        <v>426</v>
      </c>
      <c r="D253" t="s">
        <v>427</v>
      </c>
      <c r="E253" t="s">
        <v>11179</v>
      </c>
      <c r="F253" t="s">
        <v>587</v>
      </c>
      <c r="G253" t="s">
        <v>588</v>
      </c>
      <c r="H253" t="s">
        <v>589</v>
      </c>
      <c r="I253" t="s">
        <v>557</v>
      </c>
      <c r="K253" t="s">
        <v>54</v>
      </c>
      <c r="L253" t="s">
        <v>33</v>
      </c>
    </row>
    <row r="254" spans="1:12" x14ac:dyDescent="0.35">
      <c r="A254" t="s">
        <v>20</v>
      </c>
      <c r="B254">
        <v>17643</v>
      </c>
      <c r="C254" t="s">
        <v>426</v>
      </c>
      <c r="D254" t="s">
        <v>427</v>
      </c>
      <c r="E254" t="s">
        <v>11180</v>
      </c>
      <c r="F254" t="s">
        <v>590</v>
      </c>
      <c r="G254" t="s">
        <v>591</v>
      </c>
      <c r="H254" t="s">
        <v>592</v>
      </c>
      <c r="I254" t="s">
        <v>557</v>
      </c>
      <c r="K254" t="s">
        <v>11217</v>
      </c>
      <c r="L254" t="s">
        <v>33</v>
      </c>
    </row>
    <row r="255" spans="1:12" x14ac:dyDescent="0.35">
      <c r="A255" t="s">
        <v>20</v>
      </c>
      <c r="B255">
        <v>17643</v>
      </c>
      <c r="C255" t="s">
        <v>426</v>
      </c>
      <c r="D255" t="s">
        <v>427</v>
      </c>
      <c r="E255" t="s">
        <v>11181</v>
      </c>
      <c r="F255" t="s">
        <v>593</v>
      </c>
      <c r="G255" t="s">
        <v>594</v>
      </c>
      <c r="H255" t="s">
        <v>595</v>
      </c>
      <c r="I255" t="s">
        <v>557</v>
      </c>
      <c r="K255" t="s">
        <v>54</v>
      </c>
      <c r="L255" t="s">
        <v>33</v>
      </c>
    </row>
    <row r="256" spans="1:12" x14ac:dyDescent="0.35">
      <c r="A256" t="s">
        <v>20</v>
      </c>
      <c r="B256">
        <v>17643</v>
      </c>
      <c r="C256" t="s">
        <v>426</v>
      </c>
      <c r="D256" t="s">
        <v>427</v>
      </c>
      <c r="E256" t="s">
        <v>11221</v>
      </c>
      <c r="F256" t="s">
        <v>596</v>
      </c>
      <c r="G256" t="s">
        <v>597</v>
      </c>
      <c r="H256" t="s">
        <v>598</v>
      </c>
      <c r="I256" t="s">
        <v>557</v>
      </c>
      <c r="K256" t="s">
        <v>54</v>
      </c>
      <c r="L256" t="s">
        <v>33</v>
      </c>
    </row>
    <row r="257" spans="1:12" x14ac:dyDescent="0.35">
      <c r="A257" t="s">
        <v>20</v>
      </c>
      <c r="B257">
        <v>17643</v>
      </c>
      <c r="C257" t="s">
        <v>426</v>
      </c>
      <c r="D257" t="s">
        <v>427</v>
      </c>
      <c r="E257" t="s">
        <v>11182</v>
      </c>
      <c r="F257" t="s">
        <v>599</v>
      </c>
      <c r="G257" t="s">
        <v>600</v>
      </c>
      <c r="H257" t="s">
        <v>601</v>
      </c>
      <c r="I257" t="s">
        <v>557</v>
      </c>
      <c r="K257" t="s">
        <v>62</v>
      </c>
      <c r="L257" t="s">
        <v>33</v>
      </c>
    </row>
    <row r="258" spans="1:12" x14ac:dyDescent="0.35">
      <c r="A258" t="s">
        <v>20</v>
      </c>
      <c r="B258">
        <v>17643</v>
      </c>
      <c r="C258" t="s">
        <v>426</v>
      </c>
      <c r="D258" t="s">
        <v>427</v>
      </c>
      <c r="E258" t="s">
        <v>11222</v>
      </c>
      <c r="F258" t="s">
        <v>602</v>
      </c>
      <c r="G258" t="s">
        <v>603</v>
      </c>
      <c r="H258" t="s">
        <v>604</v>
      </c>
      <c r="I258" t="s">
        <v>557</v>
      </c>
      <c r="K258" t="s">
        <v>54</v>
      </c>
      <c r="L258" t="s">
        <v>33</v>
      </c>
    </row>
    <row r="259" spans="1:12" x14ac:dyDescent="0.35">
      <c r="A259" t="s">
        <v>20</v>
      </c>
      <c r="B259">
        <v>17643</v>
      </c>
      <c r="C259" t="s">
        <v>426</v>
      </c>
      <c r="D259" t="s">
        <v>427</v>
      </c>
      <c r="E259" t="s">
        <v>11183</v>
      </c>
      <c r="F259" t="s">
        <v>605</v>
      </c>
      <c r="G259" t="s">
        <v>606</v>
      </c>
      <c r="H259" t="s">
        <v>607</v>
      </c>
      <c r="I259" t="s">
        <v>557</v>
      </c>
      <c r="K259" t="s">
        <v>54</v>
      </c>
      <c r="L259" t="s">
        <v>33</v>
      </c>
    </row>
    <row r="260" spans="1:12" x14ac:dyDescent="0.35">
      <c r="A260" t="s">
        <v>20</v>
      </c>
      <c r="B260">
        <v>17643</v>
      </c>
      <c r="C260" t="s">
        <v>426</v>
      </c>
      <c r="D260" t="s">
        <v>427</v>
      </c>
      <c r="E260" t="s">
        <v>11184</v>
      </c>
      <c r="F260" t="s">
        <v>608</v>
      </c>
      <c r="G260" t="s">
        <v>609</v>
      </c>
      <c r="H260" t="s">
        <v>610</v>
      </c>
      <c r="I260" t="s">
        <v>557</v>
      </c>
      <c r="K260" t="s">
        <v>54</v>
      </c>
      <c r="L260" t="s">
        <v>33</v>
      </c>
    </row>
    <row r="261" spans="1:12" x14ac:dyDescent="0.35">
      <c r="A261" t="s">
        <v>20</v>
      </c>
      <c r="B261">
        <v>17643</v>
      </c>
      <c r="C261" t="s">
        <v>426</v>
      </c>
      <c r="D261" t="s">
        <v>427</v>
      </c>
      <c r="E261" t="s">
        <v>11185</v>
      </c>
      <c r="F261" t="s">
        <v>613</v>
      </c>
      <c r="G261" t="s">
        <v>614</v>
      </c>
      <c r="H261" t="s">
        <v>615</v>
      </c>
      <c r="I261" t="s">
        <v>557</v>
      </c>
      <c r="K261" t="s">
        <v>54</v>
      </c>
      <c r="L261" t="s">
        <v>33</v>
      </c>
    </row>
    <row r="262" spans="1:12" x14ac:dyDescent="0.35">
      <c r="A262" t="s">
        <v>20</v>
      </c>
      <c r="B262">
        <v>17643</v>
      </c>
      <c r="C262" t="s">
        <v>426</v>
      </c>
      <c r="D262" t="s">
        <v>427</v>
      </c>
      <c r="E262" t="s">
        <v>11186</v>
      </c>
      <c r="F262" t="s">
        <v>618</v>
      </c>
      <c r="G262" t="s">
        <v>619</v>
      </c>
      <c r="H262" t="s">
        <v>620</v>
      </c>
      <c r="I262" t="s">
        <v>557</v>
      </c>
      <c r="K262" t="s">
        <v>54</v>
      </c>
      <c r="L262" t="s">
        <v>33</v>
      </c>
    </row>
    <row r="263" spans="1:12" x14ac:dyDescent="0.35">
      <c r="A263" t="s">
        <v>20</v>
      </c>
      <c r="B263">
        <v>17643</v>
      </c>
      <c r="C263" t="s">
        <v>426</v>
      </c>
      <c r="D263" t="s">
        <v>427</v>
      </c>
      <c r="E263" t="s">
        <v>11187</v>
      </c>
      <c r="F263" t="s">
        <v>636</v>
      </c>
      <c r="G263" t="s">
        <v>637</v>
      </c>
      <c r="H263" t="s">
        <v>638</v>
      </c>
      <c r="I263" t="s">
        <v>557</v>
      </c>
      <c r="K263" t="s">
        <v>62</v>
      </c>
      <c r="L263" t="s">
        <v>33</v>
      </c>
    </row>
    <row r="264" spans="1:12" x14ac:dyDescent="0.35">
      <c r="A264" t="s">
        <v>20</v>
      </c>
      <c r="B264">
        <v>17643</v>
      </c>
      <c r="C264" t="s">
        <v>426</v>
      </c>
      <c r="D264" t="s">
        <v>427</v>
      </c>
      <c r="E264" t="s">
        <v>11223</v>
      </c>
      <c r="F264" t="s">
        <v>639</v>
      </c>
      <c r="G264" t="s">
        <v>640</v>
      </c>
      <c r="H264" t="s">
        <v>641</v>
      </c>
      <c r="I264" t="s">
        <v>557</v>
      </c>
      <c r="K264" t="s">
        <v>62</v>
      </c>
      <c r="L264" t="s">
        <v>33</v>
      </c>
    </row>
    <row r="265" spans="1:12" x14ac:dyDescent="0.35">
      <c r="A265" t="s">
        <v>20</v>
      </c>
      <c r="B265">
        <v>17643</v>
      </c>
      <c r="C265" t="s">
        <v>426</v>
      </c>
      <c r="D265" t="s">
        <v>427</v>
      </c>
      <c r="E265" t="s">
        <v>11188</v>
      </c>
      <c r="F265" t="s">
        <v>645</v>
      </c>
      <c r="G265" t="s">
        <v>646</v>
      </c>
      <c r="H265" t="s">
        <v>647</v>
      </c>
      <c r="I265" t="s">
        <v>557</v>
      </c>
      <c r="K265" t="s">
        <v>54</v>
      </c>
      <c r="L265" t="s">
        <v>33</v>
      </c>
    </row>
    <row r="266" spans="1:12" x14ac:dyDescent="0.35">
      <c r="A266" t="s">
        <v>20</v>
      </c>
      <c r="B266">
        <v>17643</v>
      </c>
      <c r="C266" t="s">
        <v>426</v>
      </c>
      <c r="D266" t="s">
        <v>427</v>
      </c>
      <c r="E266" t="s">
        <v>11189</v>
      </c>
      <c r="F266" t="s">
        <v>648</v>
      </c>
      <c r="G266" t="s">
        <v>649</v>
      </c>
      <c r="H266" t="s">
        <v>650</v>
      </c>
      <c r="I266" t="s">
        <v>557</v>
      </c>
      <c r="K266" t="s">
        <v>11217</v>
      </c>
      <c r="L266" t="s">
        <v>33</v>
      </c>
    </row>
    <row r="267" spans="1:12" x14ac:dyDescent="0.35">
      <c r="A267" t="s">
        <v>20</v>
      </c>
      <c r="B267">
        <v>17643</v>
      </c>
      <c r="C267" t="s">
        <v>426</v>
      </c>
      <c r="D267" t="s">
        <v>427</v>
      </c>
      <c r="E267" t="s">
        <v>11224</v>
      </c>
      <c r="F267" t="s">
        <v>651</v>
      </c>
      <c r="G267" t="s">
        <v>652</v>
      </c>
      <c r="H267" t="s">
        <v>653</v>
      </c>
      <c r="I267" t="s">
        <v>557</v>
      </c>
      <c r="K267" t="s">
        <v>54</v>
      </c>
      <c r="L267" t="s">
        <v>33</v>
      </c>
    </row>
    <row r="268" spans="1:12" x14ac:dyDescent="0.35">
      <c r="A268" t="s">
        <v>20</v>
      </c>
      <c r="B268">
        <v>17643</v>
      </c>
      <c r="C268" t="s">
        <v>426</v>
      </c>
      <c r="D268" t="s">
        <v>427</v>
      </c>
      <c r="E268" t="s">
        <v>11190</v>
      </c>
      <c r="F268" t="s">
        <v>657</v>
      </c>
      <c r="G268" t="s">
        <v>658</v>
      </c>
      <c r="H268" t="s">
        <v>659</v>
      </c>
      <c r="I268" t="s">
        <v>557</v>
      </c>
      <c r="K268" t="s">
        <v>11217</v>
      </c>
      <c r="L268" t="s">
        <v>33</v>
      </c>
    </row>
    <row r="269" spans="1:12" x14ac:dyDescent="0.35">
      <c r="A269" t="s">
        <v>20</v>
      </c>
      <c r="B269">
        <v>17643</v>
      </c>
      <c r="C269" t="s">
        <v>426</v>
      </c>
      <c r="D269" t="s">
        <v>427</v>
      </c>
      <c r="E269" t="s">
        <v>11191</v>
      </c>
      <c r="F269" t="s">
        <v>660</v>
      </c>
      <c r="G269" t="s">
        <v>661</v>
      </c>
      <c r="H269" t="s">
        <v>662</v>
      </c>
      <c r="I269" t="s">
        <v>557</v>
      </c>
      <c r="K269" t="s">
        <v>62</v>
      </c>
      <c r="L269" t="s">
        <v>33</v>
      </c>
    </row>
    <row r="270" spans="1:12" x14ac:dyDescent="0.35">
      <c r="A270" t="s">
        <v>20</v>
      </c>
      <c r="B270">
        <v>17643</v>
      </c>
      <c r="C270" t="s">
        <v>426</v>
      </c>
      <c r="D270" t="s">
        <v>427</v>
      </c>
      <c r="E270" t="s">
        <v>11225</v>
      </c>
      <c r="F270" t="s">
        <v>663</v>
      </c>
      <c r="G270" t="s">
        <v>664</v>
      </c>
      <c r="H270" t="s">
        <v>665</v>
      </c>
      <c r="I270" t="s">
        <v>557</v>
      </c>
      <c r="K270" t="s">
        <v>11217</v>
      </c>
      <c r="L270" t="s">
        <v>33</v>
      </c>
    </row>
    <row r="271" spans="1:12" x14ac:dyDescent="0.35">
      <c r="A271" t="s">
        <v>20</v>
      </c>
      <c r="B271">
        <v>17643</v>
      </c>
      <c r="C271" t="s">
        <v>426</v>
      </c>
      <c r="D271" t="s">
        <v>427</v>
      </c>
      <c r="E271" t="s">
        <v>11197</v>
      </c>
      <c r="F271" t="s">
        <v>433</v>
      </c>
      <c r="G271" t="s">
        <v>434</v>
      </c>
      <c r="H271" t="s">
        <v>435</v>
      </c>
      <c r="I271" t="s">
        <v>431</v>
      </c>
      <c r="K271" t="s">
        <v>11217</v>
      </c>
      <c r="L271" t="s">
        <v>33</v>
      </c>
    </row>
    <row r="272" spans="1:12" x14ac:dyDescent="0.35">
      <c r="A272" t="s">
        <v>20</v>
      </c>
      <c r="B272">
        <v>17643</v>
      </c>
      <c r="C272" t="s">
        <v>426</v>
      </c>
      <c r="D272" t="s">
        <v>427</v>
      </c>
      <c r="E272" t="s">
        <v>11198</v>
      </c>
      <c r="F272" t="s">
        <v>436</v>
      </c>
      <c r="G272" t="s">
        <v>437</v>
      </c>
      <c r="H272" t="s">
        <v>438</v>
      </c>
      <c r="I272" t="s">
        <v>431</v>
      </c>
      <c r="K272" t="s">
        <v>62</v>
      </c>
      <c r="L272" t="s">
        <v>33</v>
      </c>
    </row>
    <row r="273" spans="1:12" x14ac:dyDescent="0.35">
      <c r="A273" t="s">
        <v>20</v>
      </c>
      <c r="B273">
        <v>17643</v>
      </c>
      <c r="C273" t="s">
        <v>426</v>
      </c>
      <c r="D273" t="s">
        <v>427</v>
      </c>
      <c r="E273" t="s">
        <v>11199</v>
      </c>
      <c r="F273" t="s">
        <v>442</v>
      </c>
      <c r="G273" t="s">
        <v>443</v>
      </c>
      <c r="H273" t="s">
        <v>444</v>
      </c>
      <c r="I273" t="s">
        <v>431</v>
      </c>
      <c r="K273" t="s">
        <v>11217</v>
      </c>
      <c r="L273" t="s">
        <v>33</v>
      </c>
    </row>
    <row r="274" spans="1:12" x14ac:dyDescent="0.35">
      <c r="A274" t="s">
        <v>20</v>
      </c>
      <c r="B274">
        <v>17643</v>
      </c>
      <c r="C274" t="s">
        <v>426</v>
      </c>
      <c r="D274" t="s">
        <v>427</v>
      </c>
      <c r="E274" t="s">
        <v>11200</v>
      </c>
      <c r="F274" t="s">
        <v>460</v>
      </c>
      <c r="G274" t="s">
        <v>461</v>
      </c>
      <c r="H274" t="s">
        <v>462</v>
      </c>
      <c r="I274" t="s">
        <v>431</v>
      </c>
      <c r="K274" t="s">
        <v>11217</v>
      </c>
      <c r="L274" t="s">
        <v>33</v>
      </c>
    </row>
    <row r="275" spans="1:12" x14ac:dyDescent="0.35">
      <c r="A275" t="s">
        <v>20</v>
      </c>
      <c r="B275">
        <v>17643</v>
      </c>
      <c r="C275" t="s">
        <v>426</v>
      </c>
      <c r="D275" t="s">
        <v>427</v>
      </c>
      <c r="E275" t="s">
        <v>11201</v>
      </c>
      <c r="F275" t="s">
        <v>463</v>
      </c>
      <c r="G275" t="s">
        <v>464</v>
      </c>
      <c r="H275" t="s">
        <v>465</v>
      </c>
      <c r="I275" t="s">
        <v>431</v>
      </c>
      <c r="K275" t="s">
        <v>62</v>
      </c>
      <c r="L275" t="s">
        <v>33</v>
      </c>
    </row>
    <row r="276" spans="1:12" x14ac:dyDescent="0.35">
      <c r="A276" t="s">
        <v>20</v>
      </c>
      <c r="B276">
        <v>17643</v>
      </c>
      <c r="C276" t="s">
        <v>426</v>
      </c>
      <c r="D276" t="s">
        <v>427</v>
      </c>
      <c r="E276" t="s">
        <v>11202</v>
      </c>
      <c r="F276" t="s">
        <v>466</v>
      </c>
      <c r="G276" t="s">
        <v>467</v>
      </c>
      <c r="H276" t="s">
        <v>468</v>
      </c>
      <c r="I276" t="s">
        <v>431</v>
      </c>
      <c r="K276" t="s">
        <v>62</v>
      </c>
      <c r="L276" t="s">
        <v>33</v>
      </c>
    </row>
    <row r="277" spans="1:12" x14ac:dyDescent="0.35">
      <c r="A277" t="s">
        <v>20</v>
      </c>
      <c r="B277">
        <v>17643</v>
      </c>
      <c r="C277" t="s">
        <v>426</v>
      </c>
      <c r="D277" t="s">
        <v>427</v>
      </c>
      <c r="E277" t="s">
        <v>11203</v>
      </c>
      <c r="F277" t="s">
        <v>469</v>
      </c>
      <c r="G277" t="s">
        <v>470</v>
      </c>
      <c r="H277" t="s">
        <v>471</v>
      </c>
      <c r="I277" t="s">
        <v>431</v>
      </c>
      <c r="K277" t="s">
        <v>54</v>
      </c>
      <c r="L277" t="s">
        <v>33</v>
      </c>
    </row>
    <row r="278" spans="1:12" x14ac:dyDescent="0.35">
      <c r="A278" t="s">
        <v>20</v>
      </c>
      <c r="B278">
        <v>17643</v>
      </c>
      <c r="C278" t="s">
        <v>426</v>
      </c>
      <c r="D278" t="s">
        <v>427</v>
      </c>
      <c r="E278" t="s">
        <v>11204</v>
      </c>
      <c r="F278" t="s">
        <v>479</v>
      </c>
      <c r="G278" t="s">
        <v>480</v>
      </c>
      <c r="H278" t="s">
        <v>481</v>
      </c>
      <c r="I278" t="s">
        <v>431</v>
      </c>
      <c r="K278" t="s">
        <v>11217</v>
      </c>
      <c r="L278" t="s">
        <v>33</v>
      </c>
    </row>
    <row r="279" spans="1:12" x14ac:dyDescent="0.35">
      <c r="A279" t="s">
        <v>20</v>
      </c>
      <c r="B279">
        <v>17643</v>
      </c>
      <c r="C279" t="s">
        <v>426</v>
      </c>
      <c r="D279" t="s">
        <v>427</v>
      </c>
      <c r="E279" t="s">
        <v>11226</v>
      </c>
      <c r="F279" t="s">
        <v>482</v>
      </c>
      <c r="G279" t="s">
        <v>483</v>
      </c>
      <c r="H279" t="s">
        <v>484</v>
      </c>
      <c r="I279" t="s">
        <v>431</v>
      </c>
      <c r="K279" t="s">
        <v>54</v>
      </c>
      <c r="L279" t="s">
        <v>33</v>
      </c>
    </row>
    <row r="280" spans="1:12" x14ac:dyDescent="0.35">
      <c r="A280" t="s">
        <v>20</v>
      </c>
      <c r="B280">
        <v>17643</v>
      </c>
      <c r="C280" t="s">
        <v>426</v>
      </c>
      <c r="D280" t="s">
        <v>427</v>
      </c>
      <c r="E280" t="s">
        <v>11205</v>
      </c>
      <c r="F280" t="s">
        <v>485</v>
      </c>
      <c r="G280" t="s">
        <v>486</v>
      </c>
      <c r="H280" t="s">
        <v>487</v>
      </c>
      <c r="I280" t="s">
        <v>431</v>
      </c>
      <c r="K280" t="s">
        <v>54</v>
      </c>
      <c r="L280" t="s">
        <v>33</v>
      </c>
    </row>
    <row r="281" spans="1:12" x14ac:dyDescent="0.35">
      <c r="A281" t="s">
        <v>20</v>
      </c>
      <c r="B281">
        <v>17643</v>
      </c>
      <c r="C281" t="s">
        <v>426</v>
      </c>
      <c r="D281" t="s">
        <v>427</v>
      </c>
      <c r="E281" t="s">
        <v>11206</v>
      </c>
      <c r="F281" t="s">
        <v>491</v>
      </c>
      <c r="G281" t="s">
        <v>492</v>
      </c>
      <c r="H281" t="s">
        <v>493</v>
      </c>
      <c r="I281" t="s">
        <v>431</v>
      </c>
      <c r="K281" t="s">
        <v>62</v>
      </c>
      <c r="L281" t="s">
        <v>33</v>
      </c>
    </row>
    <row r="282" spans="1:12" x14ac:dyDescent="0.35">
      <c r="A282" t="s">
        <v>20</v>
      </c>
      <c r="B282">
        <v>17643</v>
      </c>
      <c r="C282" t="s">
        <v>426</v>
      </c>
      <c r="D282" t="s">
        <v>427</v>
      </c>
      <c r="E282" t="s">
        <v>11227</v>
      </c>
      <c r="F282" t="s">
        <v>494</v>
      </c>
      <c r="G282" t="s">
        <v>495</v>
      </c>
      <c r="H282" t="s">
        <v>496</v>
      </c>
      <c r="I282" t="s">
        <v>431</v>
      </c>
      <c r="K282" t="s">
        <v>11217</v>
      </c>
      <c r="L282" t="s">
        <v>33</v>
      </c>
    </row>
    <row r="283" spans="1:12" x14ac:dyDescent="0.35">
      <c r="A283" t="s">
        <v>20</v>
      </c>
      <c r="B283">
        <v>17643</v>
      </c>
      <c r="C283" t="s">
        <v>426</v>
      </c>
      <c r="D283" t="s">
        <v>427</v>
      </c>
      <c r="E283" t="s">
        <v>11228</v>
      </c>
      <c r="F283" t="s">
        <v>497</v>
      </c>
      <c r="G283" t="s">
        <v>498</v>
      </c>
      <c r="H283" t="s">
        <v>499</v>
      </c>
      <c r="I283" t="s">
        <v>431</v>
      </c>
      <c r="K283" t="s">
        <v>62</v>
      </c>
      <c r="L283" t="s">
        <v>33</v>
      </c>
    </row>
    <row r="284" spans="1:12" x14ac:dyDescent="0.35">
      <c r="A284" t="s">
        <v>20</v>
      </c>
      <c r="B284">
        <v>17643</v>
      </c>
      <c r="C284" t="s">
        <v>426</v>
      </c>
      <c r="D284" t="s">
        <v>427</v>
      </c>
      <c r="E284" t="s">
        <v>11207</v>
      </c>
      <c r="F284" t="s">
        <v>500</v>
      </c>
      <c r="G284" t="s">
        <v>501</v>
      </c>
      <c r="H284" t="s">
        <v>502</v>
      </c>
      <c r="I284" t="s">
        <v>431</v>
      </c>
      <c r="K284" t="s">
        <v>54</v>
      </c>
      <c r="L284" t="s">
        <v>33</v>
      </c>
    </row>
    <row r="285" spans="1:12" x14ac:dyDescent="0.35">
      <c r="A285" t="s">
        <v>20</v>
      </c>
      <c r="B285">
        <v>17643</v>
      </c>
      <c r="C285" t="s">
        <v>426</v>
      </c>
      <c r="D285" t="s">
        <v>427</v>
      </c>
      <c r="E285" t="s">
        <v>11208</v>
      </c>
      <c r="F285" t="s">
        <v>503</v>
      </c>
      <c r="G285" t="s">
        <v>504</v>
      </c>
      <c r="H285" t="s">
        <v>505</v>
      </c>
      <c r="I285" t="s">
        <v>431</v>
      </c>
      <c r="K285" t="s">
        <v>62</v>
      </c>
      <c r="L285" t="s">
        <v>33</v>
      </c>
    </row>
    <row r="286" spans="1:12" x14ac:dyDescent="0.35">
      <c r="A286" t="s">
        <v>20</v>
      </c>
      <c r="B286">
        <v>17643</v>
      </c>
      <c r="C286" t="s">
        <v>426</v>
      </c>
      <c r="D286" t="s">
        <v>427</v>
      </c>
      <c r="E286" t="s">
        <v>11209</v>
      </c>
      <c r="F286" t="s">
        <v>506</v>
      </c>
      <c r="G286" t="s">
        <v>507</v>
      </c>
      <c r="H286" t="s">
        <v>508</v>
      </c>
      <c r="I286" t="s">
        <v>431</v>
      </c>
      <c r="K286" t="s">
        <v>62</v>
      </c>
      <c r="L286" t="s">
        <v>33</v>
      </c>
    </row>
    <row r="287" spans="1:12" x14ac:dyDescent="0.35">
      <c r="A287" t="s">
        <v>20</v>
      </c>
      <c r="B287">
        <v>17643</v>
      </c>
      <c r="C287" t="s">
        <v>426</v>
      </c>
      <c r="D287" t="s">
        <v>427</v>
      </c>
      <c r="E287" t="s">
        <v>11210</v>
      </c>
      <c r="F287" t="s">
        <v>509</v>
      </c>
      <c r="G287" t="s">
        <v>510</v>
      </c>
      <c r="H287" t="s">
        <v>511</v>
      </c>
      <c r="I287" t="s">
        <v>431</v>
      </c>
      <c r="K287" t="s">
        <v>62</v>
      </c>
      <c r="L287" t="s">
        <v>33</v>
      </c>
    </row>
    <row r="288" spans="1:12" x14ac:dyDescent="0.35">
      <c r="A288" t="s">
        <v>20</v>
      </c>
      <c r="B288">
        <v>17643</v>
      </c>
      <c r="C288" t="s">
        <v>426</v>
      </c>
      <c r="D288" t="s">
        <v>427</v>
      </c>
      <c r="E288" t="s">
        <v>11211</v>
      </c>
      <c r="F288" t="s">
        <v>512</v>
      </c>
      <c r="G288" t="s">
        <v>513</v>
      </c>
      <c r="H288" t="s">
        <v>514</v>
      </c>
      <c r="I288" t="s">
        <v>431</v>
      </c>
      <c r="K288" t="s">
        <v>62</v>
      </c>
      <c r="L288" t="s">
        <v>33</v>
      </c>
    </row>
    <row r="289" spans="1:12" x14ac:dyDescent="0.35">
      <c r="A289" t="s">
        <v>20</v>
      </c>
      <c r="B289">
        <v>17643</v>
      </c>
      <c r="C289" t="s">
        <v>426</v>
      </c>
      <c r="D289" t="s">
        <v>427</v>
      </c>
      <c r="E289" t="s">
        <v>11212</v>
      </c>
      <c r="F289" t="s">
        <v>518</v>
      </c>
      <c r="G289" t="s">
        <v>519</v>
      </c>
      <c r="H289" t="s">
        <v>520</v>
      </c>
      <c r="I289" t="s">
        <v>431</v>
      </c>
      <c r="K289" t="s">
        <v>11217</v>
      </c>
      <c r="L289" t="s">
        <v>33</v>
      </c>
    </row>
    <row r="290" spans="1:12" x14ac:dyDescent="0.35">
      <c r="A290" t="s">
        <v>20</v>
      </c>
      <c r="B290">
        <v>17643</v>
      </c>
      <c r="C290" t="s">
        <v>426</v>
      </c>
      <c r="D290" t="s">
        <v>427</v>
      </c>
      <c r="E290" t="s">
        <v>11213</v>
      </c>
      <c r="F290" t="s">
        <v>521</v>
      </c>
      <c r="G290" t="s">
        <v>522</v>
      </c>
      <c r="H290" t="s">
        <v>523</v>
      </c>
      <c r="I290" t="s">
        <v>431</v>
      </c>
      <c r="K290" t="s">
        <v>62</v>
      </c>
      <c r="L290" t="s">
        <v>33</v>
      </c>
    </row>
    <row r="291" spans="1:12" x14ac:dyDescent="0.35">
      <c r="A291" t="s">
        <v>20</v>
      </c>
      <c r="B291">
        <v>17643</v>
      </c>
      <c r="C291" t="s">
        <v>426</v>
      </c>
      <c r="D291" t="s">
        <v>427</v>
      </c>
      <c r="E291" t="s">
        <v>11214</v>
      </c>
      <c r="F291" t="s">
        <v>527</v>
      </c>
      <c r="G291" t="s">
        <v>528</v>
      </c>
      <c r="H291" t="s">
        <v>529</v>
      </c>
      <c r="I291" t="s">
        <v>431</v>
      </c>
      <c r="K291" t="s">
        <v>62</v>
      </c>
      <c r="L291" t="s">
        <v>33</v>
      </c>
    </row>
    <row r="292" spans="1:12" x14ac:dyDescent="0.35">
      <c r="A292" t="s">
        <v>20</v>
      </c>
      <c r="B292">
        <v>17643</v>
      </c>
      <c r="C292" t="s">
        <v>426</v>
      </c>
      <c r="D292" t="s">
        <v>427</v>
      </c>
      <c r="E292" t="s">
        <v>11229</v>
      </c>
      <c r="F292" t="s">
        <v>530</v>
      </c>
      <c r="G292" t="s">
        <v>531</v>
      </c>
      <c r="H292" t="s">
        <v>532</v>
      </c>
      <c r="I292" t="s">
        <v>431</v>
      </c>
      <c r="K292" t="s">
        <v>62</v>
      </c>
      <c r="L292" t="s">
        <v>33</v>
      </c>
    </row>
    <row r="293" spans="1:12" x14ac:dyDescent="0.35">
      <c r="A293" t="s">
        <v>20</v>
      </c>
      <c r="B293">
        <v>17643</v>
      </c>
      <c r="C293" t="s">
        <v>426</v>
      </c>
      <c r="D293" t="s">
        <v>427</v>
      </c>
      <c r="E293" t="s">
        <v>11230</v>
      </c>
      <c r="F293" t="s">
        <v>533</v>
      </c>
      <c r="G293" t="s">
        <v>534</v>
      </c>
      <c r="H293" t="s">
        <v>535</v>
      </c>
      <c r="I293" t="s">
        <v>431</v>
      </c>
      <c r="K293" t="s">
        <v>62</v>
      </c>
      <c r="L293" t="s">
        <v>33</v>
      </c>
    </row>
    <row r="294" spans="1:12" x14ac:dyDescent="0.35">
      <c r="A294" t="s">
        <v>20</v>
      </c>
      <c r="B294">
        <v>17643</v>
      </c>
      <c r="C294" t="s">
        <v>426</v>
      </c>
      <c r="D294" t="s">
        <v>427</v>
      </c>
      <c r="E294" t="s">
        <v>11215</v>
      </c>
      <c r="F294" t="s">
        <v>536</v>
      </c>
      <c r="G294" t="s">
        <v>537</v>
      </c>
      <c r="H294" t="s">
        <v>538</v>
      </c>
      <c r="I294" t="s">
        <v>431</v>
      </c>
      <c r="K294" t="s">
        <v>54</v>
      </c>
      <c r="L294" t="s">
        <v>33</v>
      </c>
    </row>
    <row r="295" spans="1:12" x14ac:dyDescent="0.35">
      <c r="A295" t="s">
        <v>20</v>
      </c>
      <c r="B295">
        <v>17643</v>
      </c>
      <c r="C295" t="s">
        <v>426</v>
      </c>
      <c r="D295" t="s">
        <v>427</v>
      </c>
      <c r="E295" t="s">
        <v>11216</v>
      </c>
      <c r="F295" t="s">
        <v>539</v>
      </c>
      <c r="G295" t="s">
        <v>540</v>
      </c>
      <c r="H295" t="s">
        <v>541</v>
      </c>
      <c r="I295" t="s">
        <v>431</v>
      </c>
      <c r="K295" t="s">
        <v>54</v>
      </c>
      <c r="L295" t="s">
        <v>33</v>
      </c>
    </row>
    <row r="296" spans="1:12" x14ac:dyDescent="0.35">
      <c r="A296" t="s">
        <v>20</v>
      </c>
      <c r="B296">
        <v>17643</v>
      </c>
      <c r="C296" t="s">
        <v>426</v>
      </c>
      <c r="D296" t="s">
        <v>427</v>
      </c>
      <c r="E296" t="s">
        <v>11218</v>
      </c>
      <c r="F296" t="s">
        <v>548</v>
      </c>
      <c r="G296" t="s">
        <v>549</v>
      </c>
      <c r="H296" t="s">
        <v>550</v>
      </c>
      <c r="I296" t="s">
        <v>431</v>
      </c>
      <c r="K296" t="s">
        <v>11217</v>
      </c>
      <c r="L296" t="s">
        <v>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1611</v>
      </c>
      <c r="M1" t="s">
        <v>1612</v>
      </c>
      <c r="N1" t="s">
        <v>1613</v>
      </c>
      <c r="O1" t="s">
        <v>1614</v>
      </c>
      <c r="P1" t="s">
        <v>15</v>
      </c>
    </row>
    <row r="2" spans="1:16" x14ac:dyDescent="0.35">
      <c r="A2" t="s">
        <v>20</v>
      </c>
      <c r="B2">
        <v>17647</v>
      </c>
      <c r="C2" t="s">
        <v>1252</v>
      </c>
      <c r="D2" t="s">
        <v>1253</v>
      </c>
      <c r="E2" t="s">
        <v>11234</v>
      </c>
      <c r="F2" t="s">
        <v>7596</v>
      </c>
      <c r="G2" t="s">
        <v>7597</v>
      </c>
      <c r="H2" t="s">
        <v>7598</v>
      </c>
      <c r="I2" t="s">
        <v>1257</v>
      </c>
      <c r="K2">
        <v>3</v>
      </c>
      <c r="P2" t="s">
        <v>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8"/>
  <sheetViews>
    <sheetView workbookViewId="0">
      <selection activeCell="I3" sqref="I3:I138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2548</v>
      </c>
      <c r="M1" t="s">
        <v>15</v>
      </c>
      <c r="N1" t="s">
        <v>19</v>
      </c>
    </row>
    <row r="2" spans="1:14" x14ac:dyDescent="0.35">
      <c r="A2" t="s">
        <v>20</v>
      </c>
      <c r="B2">
        <v>17644</v>
      </c>
      <c r="C2" t="s">
        <v>21</v>
      </c>
      <c r="D2" t="s">
        <v>22</v>
      </c>
      <c r="E2" t="s">
        <v>11235</v>
      </c>
      <c r="F2" t="s">
        <v>11236</v>
      </c>
      <c r="G2" t="s">
        <v>11237</v>
      </c>
      <c r="H2" t="s">
        <v>11238</v>
      </c>
      <c r="I2" t="s">
        <v>27</v>
      </c>
      <c r="K2" t="s">
        <v>1686</v>
      </c>
      <c r="M2" t="s">
        <v>33</v>
      </c>
    </row>
    <row r="3" spans="1:14" x14ac:dyDescent="0.35">
      <c r="A3" t="s">
        <v>20</v>
      </c>
      <c r="B3">
        <v>17644</v>
      </c>
      <c r="C3" t="s">
        <v>21</v>
      </c>
      <c r="D3" t="s">
        <v>22</v>
      </c>
      <c r="E3" t="s">
        <v>11239</v>
      </c>
      <c r="F3" t="s">
        <v>11240</v>
      </c>
      <c r="G3" t="s">
        <v>11241</v>
      </c>
      <c r="H3" t="s">
        <v>11242</v>
      </c>
      <c r="I3" t="s">
        <v>27</v>
      </c>
      <c r="K3" t="s">
        <v>1686</v>
      </c>
      <c r="M3" t="s">
        <v>33</v>
      </c>
    </row>
    <row r="4" spans="1:14" x14ac:dyDescent="0.35">
      <c r="A4" t="s">
        <v>20</v>
      </c>
      <c r="B4">
        <v>17644</v>
      </c>
      <c r="C4" t="s">
        <v>21</v>
      </c>
      <c r="D4" t="s">
        <v>22</v>
      </c>
      <c r="E4" t="s">
        <v>11243</v>
      </c>
      <c r="F4" t="s">
        <v>11244</v>
      </c>
      <c r="G4" t="s">
        <v>11245</v>
      </c>
      <c r="H4" t="s">
        <v>11246</v>
      </c>
      <c r="I4" t="s">
        <v>27</v>
      </c>
      <c r="K4" t="s">
        <v>1686</v>
      </c>
      <c r="M4" t="s">
        <v>33</v>
      </c>
    </row>
    <row r="5" spans="1:14" x14ac:dyDescent="0.35">
      <c r="A5" t="s">
        <v>20</v>
      </c>
      <c r="B5">
        <v>17644</v>
      </c>
      <c r="C5" t="s">
        <v>21</v>
      </c>
      <c r="D5" t="s">
        <v>22</v>
      </c>
      <c r="E5" t="s">
        <v>11247</v>
      </c>
      <c r="F5" t="s">
        <v>11248</v>
      </c>
      <c r="G5" t="s">
        <v>11249</v>
      </c>
      <c r="H5" t="s">
        <v>11250</v>
      </c>
      <c r="I5" t="s">
        <v>27</v>
      </c>
      <c r="K5" t="s">
        <v>1686</v>
      </c>
      <c r="M5" t="s">
        <v>33</v>
      </c>
    </row>
    <row r="6" spans="1:14" x14ac:dyDescent="0.35">
      <c r="A6" t="s">
        <v>20</v>
      </c>
      <c r="B6">
        <v>17644</v>
      </c>
      <c r="C6" t="s">
        <v>21</v>
      </c>
      <c r="D6" t="s">
        <v>22</v>
      </c>
      <c r="E6" t="s">
        <v>11251</v>
      </c>
      <c r="F6" t="s">
        <v>9591</v>
      </c>
      <c r="G6" t="s">
        <v>9592</v>
      </c>
      <c r="H6" t="s">
        <v>9593</v>
      </c>
      <c r="I6" t="s">
        <v>27</v>
      </c>
      <c r="K6" t="s">
        <v>1686</v>
      </c>
      <c r="M6" t="s">
        <v>33</v>
      </c>
    </row>
    <row r="7" spans="1:14" x14ac:dyDescent="0.35">
      <c r="A7" t="s">
        <v>20</v>
      </c>
      <c r="B7">
        <v>17644</v>
      </c>
      <c r="C7" t="s">
        <v>21</v>
      </c>
      <c r="D7" t="s">
        <v>22</v>
      </c>
      <c r="E7" t="s">
        <v>11252</v>
      </c>
      <c r="F7" t="s">
        <v>11253</v>
      </c>
      <c r="G7" t="s">
        <v>11254</v>
      </c>
      <c r="H7" t="s">
        <v>11255</v>
      </c>
      <c r="I7" t="s">
        <v>27</v>
      </c>
      <c r="K7" t="s">
        <v>1686</v>
      </c>
      <c r="M7" t="s">
        <v>33</v>
      </c>
    </row>
    <row r="8" spans="1:14" x14ac:dyDescent="0.35">
      <c r="A8" t="s">
        <v>20</v>
      </c>
      <c r="B8">
        <v>17644</v>
      </c>
      <c r="C8" t="s">
        <v>21</v>
      </c>
      <c r="D8" t="s">
        <v>22</v>
      </c>
      <c r="E8" t="s">
        <v>11256</v>
      </c>
      <c r="F8" t="s">
        <v>11257</v>
      </c>
      <c r="G8" t="s">
        <v>11258</v>
      </c>
      <c r="H8" t="s">
        <v>11259</v>
      </c>
      <c r="I8" t="s">
        <v>27</v>
      </c>
      <c r="K8" t="s">
        <v>1686</v>
      </c>
      <c r="M8" t="s">
        <v>33</v>
      </c>
    </row>
    <row r="9" spans="1:14" x14ac:dyDescent="0.35">
      <c r="A9" t="s">
        <v>20</v>
      </c>
      <c r="B9">
        <v>17644</v>
      </c>
      <c r="C9" t="s">
        <v>21</v>
      </c>
      <c r="D9" t="s">
        <v>22</v>
      </c>
      <c r="E9" t="s">
        <v>11260</v>
      </c>
      <c r="F9" t="s">
        <v>11261</v>
      </c>
      <c r="G9" t="s">
        <v>11262</v>
      </c>
      <c r="H9" t="s">
        <v>11263</v>
      </c>
      <c r="I9" t="s">
        <v>27</v>
      </c>
      <c r="K9" t="s">
        <v>1686</v>
      </c>
      <c r="M9" t="s">
        <v>33</v>
      </c>
    </row>
    <row r="10" spans="1:14" x14ac:dyDescent="0.35">
      <c r="A10" t="s">
        <v>20</v>
      </c>
      <c r="B10">
        <v>17644</v>
      </c>
      <c r="C10" t="s">
        <v>21</v>
      </c>
      <c r="D10" t="s">
        <v>22</v>
      </c>
      <c r="E10" t="s">
        <v>11264</v>
      </c>
      <c r="F10" t="s">
        <v>11265</v>
      </c>
      <c r="G10" t="s">
        <v>11266</v>
      </c>
      <c r="H10" t="s">
        <v>11267</v>
      </c>
      <c r="I10" t="s">
        <v>27</v>
      </c>
      <c r="K10" t="s">
        <v>1686</v>
      </c>
      <c r="M10" t="s">
        <v>33</v>
      </c>
    </row>
    <row r="11" spans="1:14" x14ac:dyDescent="0.35">
      <c r="A11" t="s">
        <v>20</v>
      </c>
      <c r="B11">
        <v>17644</v>
      </c>
      <c r="C11" t="s">
        <v>21</v>
      </c>
      <c r="D11" t="s">
        <v>22</v>
      </c>
      <c r="E11" t="s">
        <v>11268</v>
      </c>
      <c r="F11" t="s">
        <v>11269</v>
      </c>
      <c r="G11" t="s">
        <v>11270</v>
      </c>
      <c r="H11" t="s">
        <v>11271</v>
      </c>
      <c r="I11" t="s">
        <v>27</v>
      </c>
      <c r="K11" t="s">
        <v>1686</v>
      </c>
      <c r="M11" t="s">
        <v>33</v>
      </c>
    </row>
    <row r="12" spans="1:14" x14ac:dyDescent="0.35">
      <c r="A12" t="s">
        <v>20</v>
      </c>
      <c r="B12">
        <v>17644</v>
      </c>
      <c r="C12" t="s">
        <v>21</v>
      </c>
      <c r="D12" t="s">
        <v>22</v>
      </c>
      <c r="E12" t="s">
        <v>11272</v>
      </c>
      <c r="F12" t="s">
        <v>11273</v>
      </c>
      <c r="G12" t="s">
        <v>11274</v>
      </c>
      <c r="H12" t="s">
        <v>11275</v>
      </c>
      <c r="I12" t="s">
        <v>27</v>
      </c>
      <c r="K12" t="s">
        <v>1686</v>
      </c>
      <c r="M12" t="s">
        <v>33</v>
      </c>
    </row>
    <row r="13" spans="1:14" x14ac:dyDescent="0.35">
      <c r="A13" t="s">
        <v>20</v>
      </c>
      <c r="B13">
        <v>17644</v>
      </c>
      <c r="C13" t="s">
        <v>21</v>
      </c>
      <c r="D13" t="s">
        <v>22</v>
      </c>
      <c r="E13" t="s">
        <v>11276</v>
      </c>
      <c r="F13" t="s">
        <v>11277</v>
      </c>
      <c r="G13" t="s">
        <v>11278</v>
      </c>
      <c r="H13" t="s">
        <v>11279</v>
      </c>
      <c r="I13" t="s">
        <v>27</v>
      </c>
      <c r="K13" t="s">
        <v>1686</v>
      </c>
      <c r="M13" t="s">
        <v>33</v>
      </c>
    </row>
    <row r="14" spans="1:14" x14ac:dyDescent="0.35">
      <c r="A14" t="s">
        <v>20</v>
      </c>
      <c r="B14">
        <v>17644</v>
      </c>
      <c r="C14" t="s">
        <v>21</v>
      </c>
      <c r="D14" t="s">
        <v>22</v>
      </c>
      <c r="E14" t="s">
        <v>11280</v>
      </c>
      <c r="F14" t="s">
        <v>11281</v>
      </c>
      <c r="G14" t="s">
        <v>11282</v>
      </c>
      <c r="H14" t="s">
        <v>11283</v>
      </c>
      <c r="I14" t="s">
        <v>27</v>
      </c>
      <c r="K14" t="s">
        <v>1686</v>
      </c>
      <c r="M14" t="s">
        <v>33</v>
      </c>
    </row>
    <row r="15" spans="1:14" x14ac:dyDescent="0.35">
      <c r="A15" t="s">
        <v>20</v>
      </c>
      <c r="B15">
        <v>17644</v>
      </c>
      <c r="C15" t="s">
        <v>21</v>
      </c>
      <c r="D15" t="s">
        <v>22</v>
      </c>
      <c r="E15" t="s">
        <v>11284</v>
      </c>
      <c r="F15" t="s">
        <v>11285</v>
      </c>
      <c r="G15" t="s">
        <v>11286</v>
      </c>
      <c r="H15" t="s">
        <v>11287</v>
      </c>
      <c r="I15" t="s">
        <v>27</v>
      </c>
      <c r="K15" t="s">
        <v>1686</v>
      </c>
      <c r="M15" t="s">
        <v>33</v>
      </c>
    </row>
    <row r="16" spans="1:14" x14ac:dyDescent="0.35">
      <c r="A16" t="s">
        <v>20</v>
      </c>
      <c r="B16">
        <v>17644</v>
      </c>
      <c r="C16" t="s">
        <v>21</v>
      </c>
      <c r="D16" t="s">
        <v>22</v>
      </c>
      <c r="E16" t="s">
        <v>11288</v>
      </c>
      <c r="F16" t="s">
        <v>11289</v>
      </c>
      <c r="G16" t="s">
        <v>11290</v>
      </c>
      <c r="H16" t="s">
        <v>11291</v>
      </c>
      <c r="I16" t="s">
        <v>27</v>
      </c>
      <c r="K16" t="s">
        <v>1686</v>
      </c>
      <c r="M16" t="s">
        <v>33</v>
      </c>
    </row>
    <row r="17" spans="1:13" x14ac:dyDescent="0.35">
      <c r="A17" t="s">
        <v>20</v>
      </c>
      <c r="B17">
        <v>17644</v>
      </c>
      <c r="C17" t="s">
        <v>21</v>
      </c>
      <c r="D17" t="s">
        <v>22</v>
      </c>
      <c r="E17" t="s">
        <v>11292</v>
      </c>
      <c r="F17" t="s">
        <v>11293</v>
      </c>
      <c r="G17" t="s">
        <v>11294</v>
      </c>
      <c r="H17" t="s">
        <v>11295</v>
      </c>
      <c r="I17" t="s">
        <v>27</v>
      </c>
      <c r="K17" t="s">
        <v>1686</v>
      </c>
      <c r="M17" t="s">
        <v>33</v>
      </c>
    </row>
    <row r="18" spans="1:13" x14ac:dyDescent="0.35">
      <c r="A18" t="s">
        <v>20</v>
      </c>
      <c r="B18">
        <v>17644</v>
      </c>
      <c r="C18" t="s">
        <v>21</v>
      </c>
      <c r="D18" t="s">
        <v>22</v>
      </c>
      <c r="E18" t="s">
        <v>11296</v>
      </c>
      <c r="F18" t="s">
        <v>11297</v>
      </c>
      <c r="G18" t="s">
        <v>11298</v>
      </c>
      <c r="H18" t="s">
        <v>11299</v>
      </c>
      <c r="I18" t="s">
        <v>27</v>
      </c>
      <c r="K18" t="s">
        <v>1686</v>
      </c>
      <c r="M18" t="s">
        <v>33</v>
      </c>
    </row>
    <row r="19" spans="1:13" x14ac:dyDescent="0.35">
      <c r="A19" t="s">
        <v>20</v>
      </c>
      <c r="B19">
        <v>17644</v>
      </c>
      <c r="C19" t="s">
        <v>21</v>
      </c>
      <c r="D19" t="s">
        <v>22</v>
      </c>
      <c r="E19" t="s">
        <v>11300</v>
      </c>
      <c r="F19" t="s">
        <v>11301</v>
      </c>
      <c r="G19" t="s">
        <v>11302</v>
      </c>
      <c r="H19" t="s">
        <v>11303</v>
      </c>
      <c r="I19" t="s">
        <v>27</v>
      </c>
      <c r="K19" t="s">
        <v>1686</v>
      </c>
      <c r="M19" t="s">
        <v>33</v>
      </c>
    </row>
    <row r="20" spans="1:13" x14ac:dyDescent="0.35">
      <c r="A20" t="s">
        <v>20</v>
      </c>
      <c r="B20">
        <v>17644</v>
      </c>
      <c r="C20" t="s">
        <v>21</v>
      </c>
      <c r="D20" t="s">
        <v>22</v>
      </c>
      <c r="E20" t="s">
        <v>11304</v>
      </c>
      <c r="F20" t="s">
        <v>11305</v>
      </c>
      <c r="G20" t="s">
        <v>11306</v>
      </c>
      <c r="H20" t="s">
        <v>11307</v>
      </c>
      <c r="I20" t="s">
        <v>27</v>
      </c>
      <c r="K20" t="s">
        <v>1686</v>
      </c>
      <c r="M20" t="s">
        <v>33</v>
      </c>
    </row>
    <row r="21" spans="1:13" x14ac:dyDescent="0.35">
      <c r="A21" t="s">
        <v>20</v>
      </c>
      <c r="B21">
        <v>17644</v>
      </c>
      <c r="C21" t="s">
        <v>21</v>
      </c>
      <c r="D21" t="s">
        <v>22</v>
      </c>
      <c r="E21" t="s">
        <v>11308</v>
      </c>
      <c r="F21" t="s">
        <v>11309</v>
      </c>
      <c r="G21" t="s">
        <v>11310</v>
      </c>
      <c r="H21" t="s">
        <v>11311</v>
      </c>
      <c r="I21" t="s">
        <v>27</v>
      </c>
      <c r="K21" t="s">
        <v>1686</v>
      </c>
      <c r="M21" t="s">
        <v>33</v>
      </c>
    </row>
    <row r="22" spans="1:13" x14ac:dyDescent="0.35">
      <c r="A22" t="s">
        <v>20</v>
      </c>
      <c r="B22">
        <v>17644</v>
      </c>
      <c r="C22" t="s">
        <v>21</v>
      </c>
      <c r="D22" t="s">
        <v>22</v>
      </c>
      <c r="E22" t="s">
        <v>11312</v>
      </c>
      <c r="F22" t="s">
        <v>11313</v>
      </c>
      <c r="G22" t="s">
        <v>11314</v>
      </c>
      <c r="H22" t="s">
        <v>11315</v>
      </c>
      <c r="I22" t="s">
        <v>27</v>
      </c>
      <c r="K22" t="s">
        <v>1686</v>
      </c>
      <c r="M22" t="s">
        <v>33</v>
      </c>
    </row>
    <row r="23" spans="1:13" x14ac:dyDescent="0.35">
      <c r="A23" t="s">
        <v>20</v>
      </c>
      <c r="B23">
        <v>17644</v>
      </c>
      <c r="C23" t="s">
        <v>21</v>
      </c>
      <c r="D23" t="s">
        <v>22</v>
      </c>
      <c r="E23" t="s">
        <v>11316</v>
      </c>
      <c r="F23" t="s">
        <v>11317</v>
      </c>
      <c r="G23" t="s">
        <v>11318</v>
      </c>
      <c r="H23" t="s">
        <v>11319</v>
      </c>
      <c r="I23" t="s">
        <v>27</v>
      </c>
      <c r="K23" t="s">
        <v>1686</v>
      </c>
      <c r="M23" t="s">
        <v>33</v>
      </c>
    </row>
    <row r="24" spans="1:13" x14ac:dyDescent="0.35">
      <c r="A24" t="s">
        <v>20</v>
      </c>
      <c r="B24">
        <v>17644</v>
      </c>
      <c r="C24" t="s">
        <v>21</v>
      </c>
      <c r="D24" t="s">
        <v>22</v>
      </c>
      <c r="E24" t="s">
        <v>11320</v>
      </c>
      <c r="F24" t="s">
        <v>11321</v>
      </c>
      <c r="G24" t="s">
        <v>11322</v>
      </c>
      <c r="H24" t="s">
        <v>11323</v>
      </c>
      <c r="I24" t="s">
        <v>27</v>
      </c>
      <c r="K24" t="s">
        <v>1686</v>
      </c>
      <c r="M24" t="s">
        <v>33</v>
      </c>
    </row>
    <row r="25" spans="1:13" x14ac:dyDescent="0.35">
      <c r="A25" t="s">
        <v>20</v>
      </c>
      <c r="B25">
        <v>17644</v>
      </c>
      <c r="C25" t="s">
        <v>21</v>
      </c>
      <c r="D25" t="s">
        <v>22</v>
      </c>
      <c r="E25" t="s">
        <v>11324</v>
      </c>
      <c r="F25" t="s">
        <v>11325</v>
      </c>
      <c r="G25" t="s">
        <v>11326</v>
      </c>
      <c r="H25" t="s">
        <v>11327</v>
      </c>
      <c r="I25" t="s">
        <v>27</v>
      </c>
      <c r="K25" t="s">
        <v>1686</v>
      </c>
      <c r="M25" t="s">
        <v>33</v>
      </c>
    </row>
    <row r="26" spans="1:13" x14ac:dyDescent="0.35">
      <c r="A26" t="s">
        <v>20</v>
      </c>
      <c r="B26">
        <v>17644</v>
      </c>
      <c r="C26" t="s">
        <v>21</v>
      </c>
      <c r="D26" t="s">
        <v>22</v>
      </c>
      <c r="E26" t="s">
        <v>11328</v>
      </c>
      <c r="F26" t="s">
        <v>11329</v>
      </c>
      <c r="G26" t="s">
        <v>714</v>
      </c>
      <c r="H26" t="s">
        <v>11330</v>
      </c>
      <c r="I26" t="s">
        <v>27</v>
      </c>
      <c r="K26" t="s">
        <v>1686</v>
      </c>
      <c r="M26" t="s">
        <v>33</v>
      </c>
    </row>
    <row r="27" spans="1:13" x14ac:dyDescent="0.35">
      <c r="A27" t="s">
        <v>20</v>
      </c>
      <c r="B27">
        <v>17644</v>
      </c>
      <c r="C27" t="s">
        <v>21</v>
      </c>
      <c r="D27" t="s">
        <v>22</v>
      </c>
      <c r="E27" t="s">
        <v>11331</v>
      </c>
      <c r="F27" t="s">
        <v>11332</v>
      </c>
      <c r="G27" t="s">
        <v>11333</v>
      </c>
      <c r="H27" t="s">
        <v>11334</v>
      </c>
      <c r="I27" t="s">
        <v>27</v>
      </c>
      <c r="K27" t="s">
        <v>1686</v>
      </c>
      <c r="M27" t="s">
        <v>33</v>
      </c>
    </row>
    <row r="28" spans="1:13" x14ac:dyDescent="0.35">
      <c r="A28" t="s">
        <v>20</v>
      </c>
      <c r="B28">
        <v>17644</v>
      </c>
      <c r="C28" t="s">
        <v>21</v>
      </c>
      <c r="D28" t="s">
        <v>22</v>
      </c>
      <c r="E28" t="s">
        <v>11335</v>
      </c>
      <c r="F28" t="s">
        <v>11336</v>
      </c>
      <c r="G28" t="s">
        <v>11337</v>
      </c>
      <c r="H28" t="s">
        <v>11338</v>
      </c>
      <c r="I28" t="s">
        <v>27</v>
      </c>
      <c r="K28" t="s">
        <v>1686</v>
      </c>
      <c r="M28" t="s">
        <v>33</v>
      </c>
    </row>
    <row r="29" spans="1:13" x14ac:dyDescent="0.35">
      <c r="A29" t="s">
        <v>20</v>
      </c>
      <c r="B29">
        <v>17644</v>
      </c>
      <c r="C29" t="s">
        <v>21</v>
      </c>
      <c r="D29" t="s">
        <v>22</v>
      </c>
      <c r="E29" t="s">
        <v>11339</v>
      </c>
      <c r="F29" t="s">
        <v>11340</v>
      </c>
      <c r="G29" t="s">
        <v>11341</v>
      </c>
      <c r="H29" t="s">
        <v>11342</v>
      </c>
      <c r="I29" t="s">
        <v>27</v>
      </c>
      <c r="K29" t="s">
        <v>1686</v>
      </c>
      <c r="M29" t="s">
        <v>33</v>
      </c>
    </row>
    <row r="30" spans="1:13" x14ac:dyDescent="0.35">
      <c r="A30" t="s">
        <v>20</v>
      </c>
      <c r="B30">
        <v>17644</v>
      </c>
      <c r="C30" t="s">
        <v>21</v>
      </c>
      <c r="D30" t="s">
        <v>22</v>
      </c>
      <c r="E30" t="s">
        <v>11343</v>
      </c>
      <c r="F30" t="s">
        <v>11344</v>
      </c>
      <c r="G30" t="s">
        <v>11345</v>
      </c>
      <c r="H30" t="s">
        <v>11346</v>
      </c>
      <c r="I30" t="s">
        <v>27</v>
      </c>
      <c r="K30" t="s">
        <v>1681</v>
      </c>
      <c r="M30" t="s">
        <v>33</v>
      </c>
    </row>
    <row r="31" spans="1:13" x14ac:dyDescent="0.35">
      <c r="A31" t="s">
        <v>20</v>
      </c>
      <c r="B31">
        <v>17644</v>
      </c>
      <c r="C31" t="s">
        <v>21</v>
      </c>
      <c r="D31" t="s">
        <v>22</v>
      </c>
      <c r="E31" t="s">
        <v>11347</v>
      </c>
      <c r="F31" t="s">
        <v>11348</v>
      </c>
      <c r="G31" t="s">
        <v>11349</v>
      </c>
      <c r="H31" t="s">
        <v>11350</v>
      </c>
      <c r="I31" t="s">
        <v>27</v>
      </c>
      <c r="K31" t="s">
        <v>1686</v>
      </c>
      <c r="M31" t="s">
        <v>33</v>
      </c>
    </row>
    <row r="32" spans="1:13" x14ac:dyDescent="0.35">
      <c r="A32" t="s">
        <v>20</v>
      </c>
      <c r="B32">
        <v>17644</v>
      </c>
      <c r="C32" t="s">
        <v>21</v>
      </c>
      <c r="D32" t="s">
        <v>22</v>
      </c>
      <c r="E32" t="s">
        <v>11351</v>
      </c>
      <c r="F32" t="s">
        <v>11352</v>
      </c>
      <c r="G32" t="s">
        <v>11353</v>
      </c>
      <c r="H32" t="s">
        <v>11354</v>
      </c>
      <c r="I32" t="s">
        <v>27</v>
      </c>
      <c r="K32" t="s">
        <v>1686</v>
      </c>
      <c r="M32" t="s">
        <v>33</v>
      </c>
    </row>
    <row r="33" spans="1:13" x14ac:dyDescent="0.35">
      <c r="A33" t="s">
        <v>20</v>
      </c>
      <c r="B33">
        <v>17644</v>
      </c>
      <c r="C33" t="s">
        <v>21</v>
      </c>
      <c r="D33" t="s">
        <v>22</v>
      </c>
      <c r="E33" t="s">
        <v>11355</v>
      </c>
      <c r="F33" t="s">
        <v>11356</v>
      </c>
      <c r="G33" t="s">
        <v>11357</v>
      </c>
      <c r="H33" t="s">
        <v>11358</v>
      </c>
      <c r="I33" t="s">
        <v>27</v>
      </c>
      <c r="K33" t="s">
        <v>1686</v>
      </c>
      <c r="M33" t="s">
        <v>33</v>
      </c>
    </row>
    <row r="34" spans="1:13" x14ac:dyDescent="0.35">
      <c r="A34" t="s">
        <v>20</v>
      </c>
      <c r="B34">
        <v>17644</v>
      </c>
      <c r="C34" t="s">
        <v>21</v>
      </c>
      <c r="D34" t="s">
        <v>22</v>
      </c>
      <c r="E34" t="s">
        <v>11359</v>
      </c>
      <c r="F34" t="s">
        <v>11360</v>
      </c>
      <c r="G34" t="s">
        <v>11361</v>
      </c>
      <c r="H34" t="s">
        <v>11362</v>
      </c>
      <c r="I34" t="s">
        <v>27</v>
      </c>
      <c r="K34" t="s">
        <v>1686</v>
      </c>
      <c r="M34" t="s">
        <v>33</v>
      </c>
    </row>
    <row r="35" spans="1:13" x14ac:dyDescent="0.35">
      <c r="A35" t="s">
        <v>20</v>
      </c>
      <c r="B35">
        <v>17644</v>
      </c>
      <c r="C35" t="s">
        <v>21</v>
      </c>
      <c r="D35" t="s">
        <v>22</v>
      </c>
      <c r="E35" t="s">
        <v>11363</v>
      </c>
      <c r="F35" t="s">
        <v>11364</v>
      </c>
      <c r="G35" t="s">
        <v>11365</v>
      </c>
      <c r="H35" t="s">
        <v>11366</v>
      </c>
      <c r="I35" t="s">
        <v>27</v>
      </c>
      <c r="K35" t="s">
        <v>1686</v>
      </c>
      <c r="M35" t="s">
        <v>33</v>
      </c>
    </row>
    <row r="36" spans="1:13" x14ac:dyDescent="0.35">
      <c r="A36" t="s">
        <v>20</v>
      </c>
      <c r="B36">
        <v>17644</v>
      </c>
      <c r="C36" t="s">
        <v>21</v>
      </c>
      <c r="D36" t="s">
        <v>22</v>
      </c>
      <c r="E36" t="s">
        <v>11367</v>
      </c>
      <c r="F36" t="s">
        <v>11368</v>
      </c>
      <c r="G36" t="s">
        <v>11369</v>
      </c>
      <c r="H36" t="s">
        <v>11370</v>
      </c>
      <c r="I36" t="s">
        <v>27</v>
      </c>
      <c r="K36" t="s">
        <v>1686</v>
      </c>
      <c r="M36" t="s">
        <v>33</v>
      </c>
    </row>
    <row r="37" spans="1:13" x14ac:dyDescent="0.35">
      <c r="A37" t="s">
        <v>20</v>
      </c>
      <c r="B37">
        <v>17644</v>
      </c>
      <c r="C37" t="s">
        <v>21</v>
      </c>
      <c r="D37" t="s">
        <v>22</v>
      </c>
      <c r="E37" t="s">
        <v>11371</v>
      </c>
      <c r="F37" t="s">
        <v>11372</v>
      </c>
      <c r="G37" t="s">
        <v>11373</v>
      </c>
      <c r="H37" t="s">
        <v>11374</v>
      </c>
      <c r="I37" t="s">
        <v>27</v>
      </c>
      <c r="K37" t="s">
        <v>1686</v>
      </c>
      <c r="M37" t="s">
        <v>33</v>
      </c>
    </row>
    <row r="38" spans="1:13" x14ac:dyDescent="0.35">
      <c r="A38" t="s">
        <v>20</v>
      </c>
      <c r="B38">
        <v>17644</v>
      </c>
      <c r="C38" t="s">
        <v>21</v>
      </c>
      <c r="D38" t="s">
        <v>22</v>
      </c>
      <c r="E38" t="s">
        <v>11375</v>
      </c>
      <c r="F38" t="s">
        <v>11376</v>
      </c>
      <c r="G38" t="s">
        <v>11377</v>
      </c>
      <c r="H38" t="s">
        <v>11378</v>
      </c>
      <c r="I38" t="s">
        <v>27</v>
      </c>
      <c r="K38" t="s">
        <v>1686</v>
      </c>
      <c r="M38" t="s">
        <v>33</v>
      </c>
    </row>
    <row r="39" spans="1:13" x14ac:dyDescent="0.35">
      <c r="A39" t="s">
        <v>20</v>
      </c>
      <c r="B39">
        <v>17644</v>
      </c>
      <c r="C39" t="s">
        <v>21</v>
      </c>
      <c r="D39" t="s">
        <v>22</v>
      </c>
      <c r="E39" t="s">
        <v>11379</v>
      </c>
      <c r="F39" t="s">
        <v>11380</v>
      </c>
      <c r="G39" t="s">
        <v>11381</v>
      </c>
      <c r="H39" t="s">
        <v>11382</v>
      </c>
      <c r="I39" t="s">
        <v>27</v>
      </c>
      <c r="K39" t="s">
        <v>1686</v>
      </c>
      <c r="M39" t="s">
        <v>33</v>
      </c>
    </row>
    <row r="40" spans="1:13" x14ac:dyDescent="0.35">
      <c r="A40" t="s">
        <v>20</v>
      </c>
      <c r="B40">
        <v>17644</v>
      </c>
      <c r="C40" t="s">
        <v>21</v>
      </c>
      <c r="D40" t="s">
        <v>22</v>
      </c>
      <c r="E40" t="s">
        <v>11383</v>
      </c>
      <c r="F40" t="s">
        <v>11384</v>
      </c>
      <c r="G40" t="s">
        <v>11385</v>
      </c>
      <c r="H40" t="s">
        <v>11386</v>
      </c>
      <c r="I40" t="s">
        <v>27</v>
      </c>
      <c r="K40" t="s">
        <v>1686</v>
      </c>
      <c r="M40" t="s">
        <v>33</v>
      </c>
    </row>
    <row r="41" spans="1:13" x14ac:dyDescent="0.35">
      <c r="A41" t="s">
        <v>20</v>
      </c>
      <c r="B41">
        <v>17644</v>
      </c>
      <c r="C41" t="s">
        <v>21</v>
      </c>
      <c r="D41" t="s">
        <v>22</v>
      </c>
      <c r="E41" t="s">
        <v>11387</v>
      </c>
      <c r="F41" t="s">
        <v>11388</v>
      </c>
      <c r="G41" t="s">
        <v>11389</v>
      </c>
      <c r="H41" t="s">
        <v>11390</v>
      </c>
      <c r="I41" t="s">
        <v>27</v>
      </c>
      <c r="K41" t="s">
        <v>1686</v>
      </c>
      <c r="M41" t="s">
        <v>33</v>
      </c>
    </row>
    <row r="42" spans="1:13" x14ac:dyDescent="0.35">
      <c r="A42" t="s">
        <v>20</v>
      </c>
      <c r="B42">
        <v>17644</v>
      </c>
      <c r="C42" t="s">
        <v>21</v>
      </c>
      <c r="D42" t="s">
        <v>22</v>
      </c>
      <c r="E42" t="s">
        <v>11391</v>
      </c>
      <c r="F42" t="s">
        <v>11392</v>
      </c>
      <c r="G42" t="s">
        <v>11393</v>
      </c>
      <c r="H42" t="s">
        <v>11394</v>
      </c>
      <c r="I42" t="s">
        <v>27</v>
      </c>
      <c r="K42" t="s">
        <v>1686</v>
      </c>
      <c r="M42" t="s">
        <v>33</v>
      </c>
    </row>
    <row r="43" spans="1:13" x14ac:dyDescent="0.35">
      <c r="A43" t="s">
        <v>20</v>
      </c>
      <c r="B43">
        <v>17644</v>
      </c>
      <c r="C43" t="s">
        <v>21</v>
      </c>
      <c r="D43" t="s">
        <v>22</v>
      </c>
      <c r="E43" t="s">
        <v>11395</v>
      </c>
      <c r="F43" t="s">
        <v>11396</v>
      </c>
      <c r="G43" t="s">
        <v>11397</v>
      </c>
      <c r="H43" t="s">
        <v>11398</v>
      </c>
      <c r="I43" t="s">
        <v>27</v>
      </c>
      <c r="K43" t="s">
        <v>1686</v>
      </c>
      <c r="M43" t="s">
        <v>33</v>
      </c>
    </row>
    <row r="44" spans="1:13" x14ac:dyDescent="0.35">
      <c r="A44" t="s">
        <v>20</v>
      </c>
      <c r="B44">
        <v>17644</v>
      </c>
      <c r="C44" t="s">
        <v>21</v>
      </c>
      <c r="D44" t="s">
        <v>22</v>
      </c>
      <c r="E44" t="s">
        <v>11399</v>
      </c>
      <c r="F44" t="s">
        <v>11400</v>
      </c>
      <c r="G44" t="s">
        <v>11401</v>
      </c>
      <c r="H44" t="s">
        <v>11402</v>
      </c>
      <c r="I44" t="s">
        <v>27</v>
      </c>
      <c r="K44" t="s">
        <v>1686</v>
      </c>
      <c r="M44" t="s">
        <v>33</v>
      </c>
    </row>
    <row r="45" spans="1:13" x14ac:dyDescent="0.35">
      <c r="A45" t="s">
        <v>20</v>
      </c>
      <c r="B45">
        <v>17644</v>
      </c>
      <c r="C45" t="s">
        <v>21</v>
      </c>
      <c r="D45" t="s">
        <v>22</v>
      </c>
      <c r="E45" t="s">
        <v>11403</v>
      </c>
      <c r="F45" t="s">
        <v>11404</v>
      </c>
      <c r="G45" t="s">
        <v>11405</v>
      </c>
      <c r="H45" t="s">
        <v>11406</v>
      </c>
      <c r="I45" t="s">
        <v>27</v>
      </c>
      <c r="K45" t="s">
        <v>1686</v>
      </c>
      <c r="M45" t="s">
        <v>33</v>
      </c>
    </row>
    <row r="46" spans="1:13" x14ac:dyDescent="0.35">
      <c r="A46" t="s">
        <v>20</v>
      </c>
      <c r="B46">
        <v>17644</v>
      </c>
      <c r="C46" t="s">
        <v>21</v>
      </c>
      <c r="D46" t="s">
        <v>22</v>
      </c>
      <c r="E46" t="s">
        <v>11407</v>
      </c>
      <c r="F46" t="s">
        <v>11408</v>
      </c>
      <c r="G46" t="s">
        <v>11409</v>
      </c>
      <c r="H46" t="s">
        <v>11410</v>
      </c>
      <c r="I46" t="s">
        <v>27</v>
      </c>
      <c r="K46" t="s">
        <v>1686</v>
      </c>
      <c r="M46" t="s">
        <v>33</v>
      </c>
    </row>
    <row r="47" spans="1:13" x14ac:dyDescent="0.35">
      <c r="A47" t="s">
        <v>20</v>
      </c>
      <c r="B47">
        <v>17644</v>
      </c>
      <c r="C47" t="s">
        <v>21</v>
      </c>
      <c r="D47" t="s">
        <v>22</v>
      </c>
      <c r="E47" t="s">
        <v>11411</v>
      </c>
      <c r="F47" t="s">
        <v>11412</v>
      </c>
      <c r="G47" t="s">
        <v>11413</v>
      </c>
      <c r="H47" t="s">
        <v>11414</v>
      </c>
      <c r="I47" t="s">
        <v>27</v>
      </c>
      <c r="K47" t="s">
        <v>1686</v>
      </c>
      <c r="M47" t="s">
        <v>33</v>
      </c>
    </row>
    <row r="48" spans="1:13" x14ac:dyDescent="0.35">
      <c r="A48" t="s">
        <v>20</v>
      </c>
      <c r="B48">
        <v>17644</v>
      </c>
      <c r="C48" t="s">
        <v>21</v>
      </c>
      <c r="D48" t="s">
        <v>22</v>
      </c>
      <c r="E48" t="s">
        <v>11415</v>
      </c>
      <c r="F48" t="s">
        <v>11416</v>
      </c>
      <c r="G48" t="s">
        <v>11417</v>
      </c>
      <c r="H48" t="s">
        <v>11418</v>
      </c>
      <c r="I48" t="s">
        <v>27</v>
      </c>
      <c r="K48" t="s">
        <v>1686</v>
      </c>
      <c r="M48" t="s">
        <v>33</v>
      </c>
    </row>
    <row r="49" spans="1:13" x14ac:dyDescent="0.35">
      <c r="A49" t="s">
        <v>20</v>
      </c>
      <c r="B49">
        <v>17644</v>
      </c>
      <c r="C49" t="s">
        <v>21</v>
      </c>
      <c r="D49" t="s">
        <v>22</v>
      </c>
      <c r="E49" t="s">
        <v>11419</v>
      </c>
      <c r="F49" t="s">
        <v>11420</v>
      </c>
      <c r="G49" t="s">
        <v>11421</v>
      </c>
      <c r="H49" t="s">
        <v>11422</v>
      </c>
      <c r="I49" t="s">
        <v>27</v>
      </c>
      <c r="K49" t="s">
        <v>1686</v>
      </c>
      <c r="M49" t="s">
        <v>33</v>
      </c>
    </row>
    <row r="50" spans="1:13" x14ac:dyDescent="0.35">
      <c r="A50" t="s">
        <v>20</v>
      </c>
      <c r="B50">
        <v>17644</v>
      </c>
      <c r="C50" t="s">
        <v>21</v>
      </c>
      <c r="D50" t="s">
        <v>22</v>
      </c>
      <c r="E50" t="s">
        <v>11423</v>
      </c>
      <c r="F50" t="s">
        <v>11424</v>
      </c>
      <c r="G50" t="s">
        <v>11425</v>
      </c>
      <c r="H50" t="s">
        <v>11426</v>
      </c>
      <c r="I50" t="s">
        <v>27</v>
      </c>
      <c r="K50" t="s">
        <v>1686</v>
      </c>
      <c r="M50" t="s">
        <v>33</v>
      </c>
    </row>
    <row r="51" spans="1:13" x14ac:dyDescent="0.35">
      <c r="A51" t="s">
        <v>20</v>
      </c>
      <c r="B51">
        <v>17644</v>
      </c>
      <c r="C51" t="s">
        <v>21</v>
      </c>
      <c r="D51" t="s">
        <v>22</v>
      </c>
      <c r="E51" t="s">
        <v>11427</v>
      </c>
      <c r="F51" t="s">
        <v>11428</v>
      </c>
      <c r="G51" t="s">
        <v>11429</v>
      </c>
      <c r="H51" t="s">
        <v>11430</v>
      </c>
      <c r="I51" t="s">
        <v>27</v>
      </c>
      <c r="K51" t="s">
        <v>1686</v>
      </c>
      <c r="M51" t="s">
        <v>33</v>
      </c>
    </row>
    <row r="52" spans="1:13" x14ac:dyDescent="0.35">
      <c r="A52" t="s">
        <v>20</v>
      </c>
      <c r="B52">
        <v>17644</v>
      </c>
      <c r="C52" t="s">
        <v>21</v>
      </c>
      <c r="D52" t="s">
        <v>22</v>
      </c>
      <c r="E52" t="s">
        <v>11431</v>
      </c>
      <c r="F52" t="s">
        <v>11432</v>
      </c>
      <c r="G52" t="s">
        <v>11433</v>
      </c>
      <c r="H52" t="s">
        <v>11434</v>
      </c>
      <c r="I52" t="s">
        <v>27</v>
      </c>
      <c r="K52" t="s">
        <v>1686</v>
      </c>
      <c r="M52" t="s">
        <v>33</v>
      </c>
    </row>
    <row r="53" spans="1:13" x14ac:dyDescent="0.35">
      <c r="A53" t="s">
        <v>20</v>
      </c>
      <c r="B53">
        <v>17644</v>
      </c>
      <c r="C53" t="s">
        <v>21</v>
      </c>
      <c r="D53" t="s">
        <v>22</v>
      </c>
      <c r="E53" t="s">
        <v>11435</v>
      </c>
      <c r="F53" t="s">
        <v>11436</v>
      </c>
      <c r="G53" t="s">
        <v>11437</v>
      </c>
      <c r="H53" t="s">
        <v>11438</v>
      </c>
      <c r="I53" t="s">
        <v>27</v>
      </c>
      <c r="K53" t="s">
        <v>1686</v>
      </c>
      <c r="M53" t="s">
        <v>33</v>
      </c>
    </row>
    <row r="54" spans="1:13" x14ac:dyDescent="0.35">
      <c r="A54" t="s">
        <v>20</v>
      </c>
      <c r="B54">
        <v>17644</v>
      </c>
      <c r="C54" t="s">
        <v>21</v>
      </c>
      <c r="D54" t="s">
        <v>22</v>
      </c>
      <c r="E54" t="s">
        <v>11439</v>
      </c>
      <c r="F54" t="s">
        <v>11440</v>
      </c>
      <c r="G54" t="s">
        <v>11441</v>
      </c>
      <c r="H54" t="s">
        <v>11442</v>
      </c>
      <c r="I54" t="s">
        <v>27</v>
      </c>
      <c r="K54" t="s">
        <v>1686</v>
      </c>
      <c r="M54" t="s">
        <v>33</v>
      </c>
    </row>
    <row r="55" spans="1:13" x14ac:dyDescent="0.35">
      <c r="A55" t="s">
        <v>20</v>
      </c>
      <c r="B55">
        <v>17644</v>
      </c>
      <c r="C55" t="s">
        <v>21</v>
      </c>
      <c r="D55" t="s">
        <v>22</v>
      </c>
      <c r="E55" t="s">
        <v>11443</v>
      </c>
      <c r="F55" t="s">
        <v>11444</v>
      </c>
      <c r="G55" t="s">
        <v>11445</v>
      </c>
      <c r="H55" t="s">
        <v>11446</v>
      </c>
      <c r="I55" t="s">
        <v>27</v>
      </c>
      <c r="K55" t="s">
        <v>1686</v>
      </c>
      <c r="M55" t="s">
        <v>33</v>
      </c>
    </row>
    <row r="56" spans="1:13" x14ac:dyDescent="0.35">
      <c r="A56" t="s">
        <v>20</v>
      </c>
      <c r="B56">
        <v>17644</v>
      </c>
      <c r="C56" t="s">
        <v>21</v>
      </c>
      <c r="D56" t="s">
        <v>22</v>
      </c>
      <c r="E56" t="s">
        <v>11447</v>
      </c>
      <c r="F56" t="s">
        <v>11448</v>
      </c>
      <c r="G56" t="s">
        <v>11449</v>
      </c>
      <c r="H56" t="s">
        <v>11450</v>
      </c>
      <c r="I56" t="s">
        <v>27</v>
      </c>
      <c r="K56" t="s">
        <v>1686</v>
      </c>
      <c r="M56" t="s">
        <v>33</v>
      </c>
    </row>
    <row r="57" spans="1:13" x14ac:dyDescent="0.35">
      <c r="A57" t="s">
        <v>20</v>
      </c>
      <c r="B57">
        <v>17644</v>
      </c>
      <c r="C57" t="s">
        <v>21</v>
      </c>
      <c r="D57" t="s">
        <v>22</v>
      </c>
      <c r="E57" t="s">
        <v>11451</v>
      </c>
      <c r="F57" t="s">
        <v>11452</v>
      </c>
      <c r="G57" t="s">
        <v>11453</v>
      </c>
      <c r="H57" t="s">
        <v>11454</v>
      </c>
      <c r="I57" t="s">
        <v>27</v>
      </c>
      <c r="K57" t="s">
        <v>1686</v>
      </c>
      <c r="M57" t="s">
        <v>33</v>
      </c>
    </row>
    <row r="58" spans="1:13" x14ac:dyDescent="0.35">
      <c r="A58" t="s">
        <v>20</v>
      </c>
      <c r="B58">
        <v>17644</v>
      </c>
      <c r="C58" t="s">
        <v>21</v>
      </c>
      <c r="D58" t="s">
        <v>22</v>
      </c>
      <c r="E58" t="s">
        <v>11455</v>
      </c>
      <c r="F58" t="s">
        <v>11456</v>
      </c>
      <c r="G58" t="s">
        <v>11457</v>
      </c>
      <c r="H58" t="s">
        <v>11458</v>
      </c>
      <c r="I58" t="s">
        <v>27</v>
      </c>
      <c r="K58" t="s">
        <v>1686</v>
      </c>
      <c r="M58" t="s">
        <v>33</v>
      </c>
    </row>
    <row r="59" spans="1:13" x14ac:dyDescent="0.35">
      <c r="A59" t="s">
        <v>20</v>
      </c>
      <c r="B59">
        <v>17644</v>
      </c>
      <c r="C59" t="s">
        <v>21</v>
      </c>
      <c r="D59" t="s">
        <v>22</v>
      </c>
      <c r="E59" t="s">
        <v>11459</v>
      </c>
      <c r="F59" t="s">
        <v>11460</v>
      </c>
      <c r="G59" t="s">
        <v>11461</v>
      </c>
      <c r="H59" t="s">
        <v>11462</v>
      </c>
      <c r="I59" t="s">
        <v>27</v>
      </c>
      <c r="K59" t="s">
        <v>1686</v>
      </c>
      <c r="M59" t="s">
        <v>33</v>
      </c>
    </row>
    <row r="60" spans="1:13" x14ac:dyDescent="0.35">
      <c r="A60" t="s">
        <v>20</v>
      </c>
      <c r="B60">
        <v>17644</v>
      </c>
      <c r="C60" t="s">
        <v>21</v>
      </c>
      <c r="D60" t="s">
        <v>22</v>
      </c>
      <c r="E60" t="s">
        <v>11463</v>
      </c>
      <c r="F60" t="s">
        <v>11464</v>
      </c>
      <c r="G60" t="s">
        <v>11465</v>
      </c>
      <c r="H60" t="s">
        <v>11466</v>
      </c>
      <c r="I60" t="s">
        <v>27</v>
      </c>
      <c r="K60" t="s">
        <v>1686</v>
      </c>
      <c r="M60" t="s">
        <v>33</v>
      </c>
    </row>
    <row r="61" spans="1:13" x14ac:dyDescent="0.35">
      <c r="A61" t="s">
        <v>20</v>
      </c>
      <c r="B61">
        <v>17644</v>
      </c>
      <c r="C61" t="s">
        <v>21</v>
      </c>
      <c r="D61" t="s">
        <v>22</v>
      </c>
      <c r="E61" t="s">
        <v>11467</v>
      </c>
      <c r="F61" t="s">
        <v>11468</v>
      </c>
      <c r="G61" t="s">
        <v>11469</v>
      </c>
      <c r="H61" t="s">
        <v>11470</v>
      </c>
      <c r="I61" t="s">
        <v>27</v>
      </c>
      <c r="K61" t="s">
        <v>1686</v>
      </c>
      <c r="M61" t="s">
        <v>33</v>
      </c>
    </row>
    <row r="62" spans="1:13" x14ac:dyDescent="0.35">
      <c r="A62" t="s">
        <v>20</v>
      </c>
      <c r="B62">
        <v>17644</v>
      </c>
      <c r="C62" t="s">
        <v>21</v>
      </c>
      <c r="D62" t="s">
        <v>22</v>
      </c>
      <c r="E62" t="s">
        <v>11471</v>
      </c>
      <c r="F62" t="s">
        <v>11472</v>
      </c>
      <c r="G62" t="s">
        <v>11473</v>
      </c>
      <c r="H62" t="s">
        <v>11474</v>
      </c>
      <c r="I62" t="s">
        <v>27</v>
      </c>
      <c r="K62" t="s">
        <v>1686</v>
      </c>
      <c r="M62" t="s">
        <v>33</v>
      </c>
    </row>
    <row r="63" spans="1:13" x14ac:dyDescent="0.35">
      <c r="A63" t="s">
        <v>20</v>
      </c>
      <c r="B63">
        <v>17644</v>
      </c>
      <c r="C63" t="s">
        <v>21</v>
      </c>
      <c r="D63" t="s">
        <v>22</v>
      </c>
      <c r="E63" t="s">
        <v>11475</v>
      </c>
      <c r="F63" t="s">
        <v>11476</v>
      </c>
      <c r="G63" t="s">
        <v>11477</v>
      </c>
      <c r="H63" t="s">
        <v>11478</v>
      </c>
      <c r="I63" t="s">
        <v>27</v>
      </c>
      <c r="K63" t="s">
        <v>1686</v>
      </c>
      <c r="M63" t="s">
        <v>33</v>
      </c>
    </row>
    <row r="64" spans="1:13" x14ac:dyDescent="0.35">
      <c r="A64" t="s">
        <v>20</v>
      </c>
      <c r="B64">
        <v>17644</v>
      </c>
      <c r="C64" t="s">
        <v>21</v>
      </c>
      <c r="D64" t="s">
        <v>22</v>
      </c>
      <c r="E64" t="s">
        <v>11479</v>
      </c>
      <c r="F64" t="s">
        <v>11480</v>
      </c>
      <c r="G64" t="s">
        <v>11481</v>
      </c>
      <c r="H64" t="s">
        <v>11482</v>
      </c>
      <c r="I64" t="s">
        <v>27</v>
      </c>
      <c r="K64" t="s">
        <v>1686</v>
      </c>
      <c r="M64" t="s">
        <v>33</v>
      </c>
    </row>
    <row r="65" spans="1:13" x14ac:dyDescent="0.35">
      <c r="A65" t="s">
        <v>20</v>
      </c>
      <c r="B65">
        <v>17644</v>
      </c>
      <c r="C65" t="s">
        <v>21</v>
      </c>
      <c r="D65" t="s">
        <v>22</v>
      </c>
      <c r="E65" t="s">
        <v>11483</v>
      </c>
      <c r="F65" t="s">
        <v>11484</v>
      </c>
      <c r="G65" t="s">
        <v>11485</v>
      </c>
      <c r="H65" t="s">
        <v>11486</v>
      </c>
      <c r="I65" t="s">
        <v>27</v>
      </c>
      <c r="K65" t="s">
        <v>1681</v>
      </c>
      <c r="M65" t="s">
        <v>33</v>
      </c>
    </row>
    <row r="66" spans="1:13" x14ac:dyDescent="0.35">
      <c r="A66" t="s">
        <v>20</v>
      </c>
      <c r="B66">
        <v>17644</v>
      </c>
      <c r="C66" t="s">
        <v>21</v>
      </c>
      <c r="D66" t="s">
        <v>22</v>
      </c>
      <c r="E66" t="s">
        <v>11487</v>
      </c>
      <c r="F66" t="s">
        <v>11488</v>
      </c>
      <c r="G66" t="s">
        <v>11489</v>
      </c>
      <c r="H66" t="s">
        <v>11490</v>
      </c>
      <c r="I66" t="s">
        <v>27</v>
      </c>
      <c r="K66" t="s">
        <v>1686</v>
      </c>
      <c r="M66" t="s">
        <v>33</v>
      </c>
    </row>
    <row r="67" spans="1:13" x14ac:dyDescent="0.35">
      <c r="A67" t="s">
        <v>20</v>
      </c>
      <c r="B67">
        <v>17644</v>
      </c>
      <c r="C67" t="s">
        <v>21</v>
      </c>
      <c r="D67" t="s">
        <v>22</v>
      </c>
      <c r="E67" t="s">
        <v>11491</v>
      </c>
      <c r="F67" t="s">
        <v>11492</v>
      </c>
      <c r="G67" t="s">
        <v>11493</v>
      </c>
      <c r="H67" t="s">
        <v>11494</v>
      </c>
      <c r="I67" t="s">
        <v>27</v>
      </c>
      <c r="K67" t="s">
        <v>1686</v>
      </c>
      <c r="M67" t="s">
        <v>33</v>
      </c>
    </row>
    <row r="68" spans="1:13" x14ac:dyDescent="0.35">
      <c r="A68" t="s">
        <v>20</v>
      </c>
      <c r="B68">
        <v>17644</v>
      </c>
      <c r="C68" t="s">
        <v>21</v>
      </c>
      <c r="D68" t="s">
        <v>22</v>
      </c>
      <c r="E68" t="s">
        <v>11495</v>
      </c>
      <c r="F68" t="s">
        <v>11496</v>
      </c>
      <c r="G68" t="s">
        <v>11497</v>
      </c>
      <c r="H68" t="s">
        <v>11498</v>
      </c>
      <c r="I68" t="s">
        <v>27</v>
      </c>
      <c r="K68" t="s">
        <v>1686</v>
      </c>
      <c r="M68" t="s">
        <v>33</v>
      </c>
    </row>
    <row r="69" spans="1:13" x14ac:dyDescent="0.35">
      <c r="A69" t="s">
        <v>20</v>
      </c>
      <c r="B69">
        <v>17644</v>
      </c>
      <c r="C69" t="s">
        <v>21</v>
      </c>
      <c r="D69" t="s">
        <v>22</v>
      </c>
      <c r="E69" t="s">
        <v>11499</v>
      </c>
      <c r="F69" t="s">
        <v>11500</v>
      </c>
      <c r="G69" t="s">
        <v>11501</v>
      </c>
      <c r="H69" t="s">
        <v>11502</v>
      </c>
      <c r="I69" t="s">
        <v>27</v>
      </c>
      <c r="K69" t="s">
        <v>1686</v>
      </c>
      <c r="M69" t="s">
        <v>33</v>
      </c>
    </row>
    <row r="70" spans="1:13" x14ac:dyDescent="0.35">
      <c r="A70" t="s">
        <v>20</v>
      </c>
      <c r="B70">
        <v>17644</v>
      </c>
      <c r="C70" t="s">
        <v>21</v>
      </c>
      <c r="D70" t="s">
        <v>22</v>
      </c>
      <c r="E70" t="s">
        <v>11503</v>
      </c>
      <c r="F70" t="s">
        <v>11504</v>
      </c>
      <c r="G70" t="s">
        <v>11505</v>
      </c>
      <c r="H70" t="s">
        <v>11506</v>
      </c>
      <c r="I70" t="s">
        <v>27</v>
      </c>
      <c r="K70" t="s">
        <v>1686</v>
      </c>
      <c r="M70" t="s">
        <v>33</v>
      </c>
    </row>
    <row r="71" spans="1:13" x14ac:dyDescent="0.35">
      <c r="A71" t="s">
        <v>20</v>
      </c>
      <c r="B71">
        <v>17644</v>
      </c>
      <c r="C71" t="s">
        <v>21</v>
      </c>
      <c r="D71" t="s">
        <v>22</v>
      </c>
      <c r="E71" t="s">
        <v>11507</v>
      </c>
      <c r="F71" t="s">
        <v>11508</v>
      </c>
      <c r="G71" t="s">
        <v>11509</v>
      </c>
      <c r="H71" t="s">
        <v>11510</v>
      </c>
      <c r="I71" t="s">
        <v>27</v>
      </c>
      <c r="K71" t="s">
        <v>1686</v>
      </c>
      <c r="M71" t="s">
        <v>33</v>
      </c>
    </row>
    <row r="72" spans="1:13" x14ac:dyDescent="0.35">
      <c r="A72" t="s">
        <v>20</v>
      </c>
      <c r="B72">
        <v>17644</v>
      </c>
      <c r="C72" t="s">
        <v>21</v>
      </c>
      <c r="D72" t="s">
        <v>22</v>
      </c>
      <c r="E72" t="s">
        <v>11511</v>
      </c>
      <c r="F72" t="s">
        <v>11508</v>
      </c>
      <c r="G72" t="s">
        <v>11509</v>
      </c>
      <c r="H72" t="s">
        <v>11510</v>
      </c>
      <c r="I72" t="s">
        <v>27</v>
      </c>
      <c r="K72" t="s">
        <v>1686</v>
      </c>
      <c r="M72" t="s">
        <v>33</v>
      </c>
    </row>
    <row r="73" spans="1:13" x14ac:dyDescent="0.35">
      <c r="A73" t="s">
        <v>20</v>
      </c>
      <c r="B73">
        <v>17644</v>
      </c>
      <c r="C73" t="s">
        <v>21</v>
      </c>
      <c r="D73" t="s">
        <v>22</v>
      </c>
      <c r="E73" t="s">
        <v>11512</v>
      </c>
      <c r="F73" t="s">
        <v>11513</v>
      </c>
      <c r="G73" t="s">
        <v>11514</v>
      </c>
      <c r="H73" t="s">
        <v>11515</v>
      </c>
      <c r="I73" t="s">
        <v>27</v>
      </c>
      <c r="K73" t="s">
        <v>1686</v>
      </c>
      <c r="M73" t="s">
        <v>33</v>
      </c>
    </row>
    <row r="74" spans="1:13" x14ac:dyDescent="0.35">
      <c r="A74" t="s">
        <v>20</v>
      </c>
      <c r="B74">
        <v>17644</v>
      </c>
      <c r="C74" t="s">
        <v>21</v>
      </c>
      <c r="D74" t="s">
        <v>22</v>
      </c>
      <c r="E74" t="s">
        <v>11516</v>
      </c>
      <c r="F74" t="s">
        <v>11517</v>
      </c>
      <c r="G74" t="s">
        <v>11518</v>
      </c>
      <c r="H74" t="s">
        <v>11519</v>
      </c>
      <c r="I74" t="s">
        <v>27</v>
      </c>
      <c r="K74" t="s">
        <v>1686</v>
      </c>
      <c r="M74" t="s">
        <v>33</v>
      </c>
    </row>
    <row r="75" spans="1:13" x14ac:dyDescent="0.35">
      <c r="A75" t="s">
        <v>20</v>
      </c>
      <c r="B75">
        <v>17644</v>
      </c>
      <c r="C75" t="s">
        <v>21</v>
      </c>
      <c r="D75" t="s">
        <v>22</v>
      </c>
      <c r="E75" t="s">
        <v>11520</v>
      </c>
      <c r="F75" t="s">
        <v>11521</v>
      </c>
      <c r="G75" t="s">
        <v>11522</v>
      </c>
      <c r="H75" t="s">
        <v>11523</v>
      </c>
      <c r="I75" t="s">
        <v>27</v>
      </c>
      <c r="K75" t="s">
        <v>1686</v>
      </c>
      <c r="M75" t="s">
        <v>33</v>
      </c>
    </row>
    <row r="76" spans="1:13" x14ac:dyDescent="0.35">
      <c r="A76" t="s">
        <v>20</v>
      </c>
      <c r="B76">
        <v>17644</v>
      </c>
      <c r="C76" t="s">
        <v>21</v>
      </c>
      <c r="D76" t="s">
        <v>22</v>
      </c>
      <c r="E76" t="s">
        <v>11524</v>
      </c>
      <c r="F76" t="s">
        <v>11525</v>
      </c>
      <c r="G76" t="s">
        <v>11526</v>
      </c>
      <c r="H76" t="s">
        <v>11527</v>
      </c>
      <c r="I76" t="s">
        <v>27</v>
      </c>
      <c r="K76" t="s">
        <v>1686</v>
      </c>
      <c r="M76" t="s">
        <v>33</v>
      </c>
    </row>
    <row r="77" spans="1:13" x14ac:dyDescent="0.35">
      <c r="A77" t="s">
        <v>20</v>
      </c>
      <c r="B77">
        <v>17644</v>
      </c>
      <c r="C77" t="s">
        <v>21</v>
      </c>
      <c r="D77" t="s">
        <v>22</v>
      </c>
      <c r="E77" t="s">
        <v>11528</v>
      </c>
      <c r="F77" t="s">
        <v>11529</v>
      </c>
      <c r="G77" t="s">
        <v>11530</v>
      </c>
      <c r="H77" t="s">
        <v>11531</v>
      </c>
      <c r="I77" t="s">
        <v>27</v>
      </c>
      <c r="K77" t="s">
        <v>1686</v>
      </c>
      <c r="M77" t="s">
        <v>33</v>
      </c>
    </row>
    <row r="78" spans="1:13" x14ac:dyDescent="0.35">
      <c r="A78" t="s">
        <v>20</v>
      </c>
      <c r="B78">
        <v>17644</v>
      </c>
      <c r="C78" t="s">
        <v>21</v>
      </c>
      <c r="D78" t="s">
        <v>22</v>
      </c>
      <c r="E78" t="s">
        <v>11532</v>
      </c>
      <c r="F78" t="s">
        <v>11533</v>
      </c>
      <c r="G78" t="s">
        <v>11534</v>
      </c>
      <c r="H78" t="s">
        <v>11535</v>
      </c>
      <c r="I78" t="s">
        <v>27</v>
      </c>
      <c r="K78" t="s">
        <v>1686</v>
      </c>
      <c r="M78" t="s">
        <v>33</v>
      </c>
    </row>
    <row r="79" spans="1:13" x14ac:dyDescent="0.35">
      <c r="A79" t="s">
        <v>20</v>
      </c>
      <c r="B79">
        <v>17644</v>
      </c>
      <c r="C79" t="s">
        <v>21</v>
      </c>
      <c r="D79" t="s">
        <v>22</v>
      </c>
      <c r="E79" t="s">
        <v>11536</v>
      </c>
      <c r="F79" t="s">
        <v>11537</v>
      </c>
      <c r="G79" t="s">
        <v>11538</v>
      </c>
      <c r="H79" t="s">
        <v>11539</v>
      </c>
      <c r="I79" t="s">
        <v>27</v>
      </c>
      <c r="K79" t="s">
        <v>1686</v>
      </c>
      <c r="M79" t="s">
        <v>33</v>
      </c>
    </row>
    <row r="80" spans="1:13" x14ac:dyDescent="0.35">
      <c r="A80" t="s">
        <v>20</v>
      </c>
      <c r="B80">
        <v>17644</v>
      </c>
      <c r="C80" t="s">
        <v>21</v>
      </c>
      <c r="D80" t="s">
        <v>22</v>
      </c>
      <c r="E80" t="s">
        <v>11540</v>
      </c>
      <c r="F80" t="s">
        <v>11541</v>
      </c>
      <c r="G80" t="s">
        <v>11542</v>
      </c>
      <c r="H80" t="s">
        <v>11543</v>
      </c>
      <c r="I80" t="s">
        <v>27</v>
      </c>
      <c r="K80" t="s">
        <v>1686</v>
      </c>
      <c r="M80" t="s">
        <v>33</v>
      </c>
    </row>
    <row r="81" spans="1:13" x14ac:dyDescent="0.35">
      <c r="A81" t="s">
        <v>20</v>
      </c>
      <c r="B81">
        <v>17644</v>
      </c>
      <c r="C81" t="s">
        <v>21</v>
      </c>
      <c r="D81" t="s">
        <v>22</v>
      </c>
      <c r="E81" t="s">
        <v>11544</v>
      </c>
      <c r="F81" t="s">
        <v>11545</v>
      </c>
      <c r="G81" t="s">
        <v>11546</v>
      </c>
      <c r="H81" t="s">
        <v>11547</v>
      </c>
      <c r="I81" t="s">
        <v>27</v>
      </c>
      <c r="K81" t="s">
        <v>1686</v>
      </c>
      <c r="M81" t="s">
        <v>33</v>
      </c>
    </row>
    <row r="82" spans="1:13" x14ac:dyDescent="0.35">
      <c r="A82" t="s">
        <v>20</v>
      </c>
      <c r="B82">
        <v>17644</v>
      </c>
      <c r="C82" t="s">
        <v>21</v>
      </c>
      <c r="D82" t="s">
        <v>22</v>
      </c>
      <c r="E82" t="s">
        <v>11548</v>
      </c>
      <c r="F82" t="s">
        <v>11549</v>
      </c>
      <c r="G82" t="s">
        <v>11550</v>
      </c>
      <c r="H82" t="s">
        <v>11551</v>
      </c>
      <c r="I82" t="s">
        <v>27</v>
      </c>
      <c r="K82" t="s">
        <v>1686</v>
      </c>
      <c r="M82" t="s">
        <v>33</v>
      </c>
    </row>
    <row r="83" spans="1:13" x14ac:dyDescent="0.35">
      <c r="A83" t="s">
        <v>20</v>
      </c>
      <c r="B83">
        <v>17644</v>
      </c>
      <c r="C83" t="s">
        <v>21</v>
      </c>
      <c r="D83" t="s">
        <v>22</v>
      </c>
      <c r="E83" t="s">
        <v>11552</v>
      </c>
      <c r="F83" t="s">
        <v>11553</v>
      </c>
      <c r="G83" t="s">
        <v>11554</v>
      </c>
      <c r="H83" t="s">
        <v>11555</v>
      </c>
      <c r="I83" t="s">
        <v>27</v>
      </c>
      <c r="K83" t="s">
        <v>1686</v>
      </c>
      <c r="M83" t="s">
        <v>33</v>
      </c>
    </row>
    <row r="84" spans="1:13" x14ac:dyDescent="0.35">
      <c r="A84" t="s">
        <v>20</v>
      </c>
      <c r="B84">
        <v>17644</v>
      </c>
      <c r="C84" t="s">
        <v>21</v>
      </c>
      <c r="D84" t="s">
        <v>22</v>
      </c>
      <c r="E84" t="s">
        <v>11556</v>
      </c>
      <c r="F84" t="s">
        <v>11557</v>
      </c>
      <c r="G84" t="s">
        <v>11558</v>
      </c>
      <c r="H84" t="s">
        <v>11559</v>
      </c>
      <c r="I84" t="s">
        <v>27</v>
      </c>
      <c r="K84" t="s">
        <v>1686</v>
      </c>
      <c r="M84" t="s">
        <v>33</v>
      </c>
    </row>
    <row r="85" spans="1:13" x14ac:dyDescent="0.35">
      <c r="A85" t="s">
        <v>20</v>
      </c>
      <c r="B85">
        <v>17644</v>
      </c>
      <c r="C85" t="s">
        <v>21</v>
      </c>
      <c r="D85" t="s">
        <v>22</v>
      </c>
      <c r="E85" t="s">
        <v>11560</v>
      </c>
      <c r="F85" t="s">
        <v>11561</v>
      </c>
      <c r="G85" t="s">
        <v>11562</v>
      </c>
      <c r="H85" t="s">
        <v>11563</v>
      </c>
      <c r="I85" t="s">
        <v>27</v>
      </c>
      <c r="K85" t="s">
        <v>1681</v>
      </c>
      <c r="M85" t="s">
        <v>33</v>
      </c>
    </row>
    <row r="86" spans="1:13" x14ac:dyDescent="0.35">
      <c r="A86" t="s">
        <v>20</v>
      </c>
      <c r="B86">
        <v>17644</v>
      </c>
      <c r="C86" t="s">
        <v>21</v>
      </c>
      <c r="D86" t="s">
        <v>22</v>
      </c>
      <c r="E86" t="s">
        <v>11564</v>
      </c>
      <c r="F86" t="s">
        <v>11565</v>
      </c>
      <c r="G86" t="s">
        <v>11566</v>
      </c>
      <c r="H86" t="s">
        <v>11567</v>
      </c>
      <c r="I86" t="s">
        <v>27</v>
      </c>
      <c r="K86" t="s">
        <v>1686</v>
      </c>
      <c r="M86" t="s">
        <v>33</v>
      </c>
    </row>
    <row r="87" spans="1:13" x14ac:dyDescent="0.35">
      <c r="A87" t="s">
        <v>20</v>
      </c>
      <c r="B87">
        <v>17644</v>
      </c>
      <c r="C87" t="s">
        <v>21</v>
      </c>
      <c r="D87" t="s">
        <v>22</v>
      </c>
      <c r="E87" t="s">
        <v>11568</v>
      </c>
      <c r="F87" t="s">
        <v>11569</v>
      </c>
      <c r="G87" t="s">
        <v>11570</v>
      </c>
      <c r="H87" t="s">
        <v>11571</v>
      </c>
      <c r="I87" t="s">
        <v>27</v>
      </c>
      <c r="K87" t="s">
        <v>1686</v>
      </c>
      <c r="M87" t="s">
        <v>33</v>
      </c>
    </row>
    <row r="88" spans="1:13" x14ac:dyDescent="0.35">
      <c r="A88" t="s">
        <v>20</v>
      </c>
      <c r="B88">
        <v>17644</v>
      </c>
      <c r="C88" t="s">
        <v>21</v>
      </c>
      <c r="D88" t="s">
        <v>22</v>
      </c>
      <c r="E88" t="s">
        <v>11572</v>
      </c>
      <c r="F88" t="s">
        <v>11573</v>
      </c>
      <c r="G88" t="s">
        <v>11574</v>
      </c>
      <c r="H88" t="s">
        <v>11575</v>
      </c>
      <c r="I88" t="s">
        <v>27</v>
      </c>
      <c r="K88" t="s">
        <v>1686</v>
      </c>
      <c r="M88" t="s">
        <v>33</v>
      </c>
    </row>
    <row r="89" spans="1:13" x14ac:dyDescent="0.35">
      <c r="A89" t="s">
        <v>20</v>
      </c>
      <c r="B89">
        <v>17644</v>
      </c>
      <c r="C89" t="s">
        <v>21</v>
      </c>
      <c r="D89" t="s">
        <v>22</v>
      </c>
      <c r="E89" t="s">
        <v>11576</v>
      </c>
      <c r="F89" t="s">
        <v>11577</v>
      </c>
      <c r="G89" t="s">
        <v>11578</v>
      </c>
      <c r="H89" t="s">
        <v>11579</v>
      </c>
      <c r="I89" t="s">
        <v>27</v>
      </c>
      <c r="K89" t="s">
        <v>1686</v>
      </c>
      <c r="M89" t="s">
        <v>33</v>
      </c>
    </row>
    <row r="90" spans="1:13" x14ac:dyDescent="0.35">
      <c r="A90" t="s">
        <v>20</v>
      </c>
      <c r="B90">
        <v>17644</v>
      </c>
      <c r="C90" t="s">
        <v>21</v>
      </c>
      <c r="D90" t="s">
        <v>22</v>
      </c>
      <c r="E90" t="s">
        <v>11580</v>
      </c>
      <c r="F90" t="s">
        <v>11581</v>
      </c>
      <c r="G90" t="s">
        <v>11582</v>
      </c>
      <c r="H90" t="s">
        <v>11583</v>
      </c>
      <c r="I90" t="s">
        <v>27</v>
      </c>
      <c r="K90" t="s">
        <v>1686</v>
      </c>
      <c r="M90" t="s">
        <v>33</v>
      </c>
    </row>
    <row r="91" spans="1:13" x14ac:dyDescent="0.35">
      <c r="A91" t="s">
        <v>20</v>
      </c>
      <c r="B91">
        <v>17644</v>
      </c>
      <c r="C91" t="s">
        <v>21</v>
      </c>
      <c r="D91" t="s">
        <v>22</v>
      </c>
      <c r="E91" t="s">
        <v>11584</v>
      </c>
      <c r="F91" t="s">
        <v>11585</v>
      </c>
      <c r="G91" t="s">
        <v>11586</v>
      </c>
      <c r="H91" t="s">
        <v>11587</v>
      </c>
      <c r="I91" t="s">
        <v>27</v>
      </c>
      <c r="K91" t="s">
        <v>1686</v>
      </c>
      <c r="M91" t="s">
        <v>33</v>
      </c>
    </row>
    <row r="92" spans="1:13" x14ac:dyDescent="0.35">
      <c r="A92" t="s">
        <v>20</v>
      </c>
      <c r="B92">
        <v>17644</v>
      </c>
      <c r="C92" t="s">
        <v>21</v>
      </c>
      <c r="D92" t="s">
        <v>22</v>
      </c>
      <c r="E92" t="s">
        <v>11588</v>
      </c>
      <c r="F92" t="s">
        <v>11589</v>
      </c>
      <c r="G92" t="s">
        <v>11590</v>
      </c>
      <c r="H92" t="s">
        <v>11591</v>
      </c>
      <c r="I92" t="s">
        <v>27</v>
      </c>
      <c r="K92" t="s">
        <v>1681</v>
      </c>
      <c r="M92" t="s">
        <v>33</v>
      </c>
    </row>
    <row r="93" spans="1:13" x14ac:dyDescent="0.35">
      <c r="A93" t="s">
        <v>20</v>
      </c>
      <c r="B93">
        <v>17644</v>
      </c>
      <c r="C93" t="s">
        <v>21</v>
      </c>
      <c r="D93" t="s">
        <v>22</v>
      </c>
      <c r="E93" t="s">
        <v>11592</v>
      </c>
      <c r="F93" t="s">
        <v>11593</v>
      </c>
      <c r="G93" t="s">
        <v>11594</v>
      </c>
      <c r="H93" t="s">
        <v>11595</v>
      </c>
      <c r="I93" t="s">
        <v>27</v>
      </c>
      <c r="K93" t="s">
        <v>1686</v>
      </c>
      <c r="M93" t="s">
        <v>33</v>
      </c>
    </row>
    <row r="94" spans="1:13" x14ac:dyDescent="0.35">
      <c r="A94" t="s">
        <v>20</v>
      </c>
      <c r="B94">
        <v>17644</v>
      </c>
      <c r="C94" t="s">
        <v>21</v>
      </c>
      <c r="D94" t="s">
        <v>22</v>
      </c>
      <c r="E94" t="s">
        <v>11596</v>
      </c>
      <c r="F94" t="s">
        <v>11597</v>
      </c>
      <c r="G94" t="s">
        <v>11598</v>
      </c>
      <c r="H94" t="s">
        <v>11599</v>
      </c>
      <c r="I94" t="s">
        <v>27</v>
      </c>
      <c r="K94" t="s">
        <v>1686</v>
      </c>
      <c r="M94" t="s">
        <v>33</v>
      </c>
    </row>
    <row r="95" spans="1:13" x14ac:dyDescent="0.35">
      <c r="A95" t="s">
        <v>20</v>
      </c>
      <c r="B95">
        <v>17644</v>
      </c>
      <c r="C95" t="s">
        <v>21</v>
      </c>
      <c r="D95" t="s">
        <v>22</v>
      </c>
      <c r="E95" t="s">
        <v>11600</v>
      </c>
      <c r="F95" t="s">
        <v>11601</v>
      </c>
      <c r="G95" t="s">
        <v>11602</v>
      </c>
      <c r="H95" t="s">
        <v>11603</v>
      </c>
      <c r="I95" t="s">
        <v>27</v>
      </c>
      <c r="K95" t="s">
        <v>1686</v>
      </c>
      <c r="M95" t="s">
        <v>33</v>
      </c>
    </row>
    <row r="96" spans="1:13" x14ac:dyDescent="0.35">
      <c r="A96" t="s">
        <v>20</v>
      </c>
      <c r="B96">
        <v>17644</v>
      </c>
      <c r="C96" t="s">
        <v>21</v>
      </c>
      <c r="D96" t="s">
        <v>22</v>
      </c>
      <c r="E96" t="s">
        <v>11604</v>
      </c>
      <c r="F96" t="s">
        <v>11605</v>
      </c>
      <c r="G96" t="s">
        <v>11606</v>
      </c>
      <c r="H96" t="s">
        <v>11607</v>
      </c>
      <c r="I96" t="s">
        <v>27</v>
      </c>
      <c r="K96" t="s">
        <v>1686</v>
      </c>
      <c r="M96" t="s">
        <v>33</v>
      </c>
    </row>
    <row r="97" spans="1:13" x14ac:dyDescent="0.35">
      <c r="A97" t="s">
        <v>20</v>
      </c>
      <c r="B97">
        <v>17644</v>
      </c>
      <c r="C97" t="s">
        <v>21</v>
      </c>
      <c r="D97" t="s">
        <v>22</v>
      </c>
      <c r="E97" t="s">
        <v>11608</v>
      </c>
      <c r="F97" t="s">
        <v>11609</v>
      </c>
      <c r="G97" t="s">
        <v>11610</v>
      </c>
      <c r="H97" t="s">
        <v>11611</v>
      </c>
      <c r="I97" t="s">
        <v>27</v>
      </c>
      <c r="K97" t="s">
        <v>1681</v>
      </c>
      <c r="M97" t="s">
        <v>33</v>
      </c>
    </row>
    <row r="98" spans="1:13" x14ac:dyDescent="0.35">
      <c r="A98" t="s">
        <v>20</v>
      </c>
      <c r="B98">
        <v>17644</v>
      </c>
      <c r="C98" t="s">
        <v>21</v>
      </c>
      <c r="D98" t="s">
        <v>22</v>
      </c>
      <c r="E98" t="s">
        <v>11612</v>
      </c>
      <c r="F98" t="s">
        <v>11613</v>
      </c>
      <c r="G98" t="s">
        <v>11614</v>
      </c>
      <c r="H98" t="s">
        <v>11615</v>
      </c>
      <c r="I98" t="s">
        <v>27</v>
      </c>
      <c r="K98" t="s">
        <v>1686</v>
      </c>
      <c r="M98" t="s">
        <v>33</v>
      </c>
    </row>
    <row r="99" spans="1:13" x14ac:dyDescent="0.35">
      <c r="A99" t="s">
        <v>20</v>
      </c>
      <c r="B99">
        <v>17644</v>
      </c>
      <c r="C99" t="s">
        <v>21</v>
      </c>
      <c r="D99" t="s">
        <v>22</v>
      </c>
      <c r="E99" t="s">
        <v>11616</v>
      </c>
      <c r="F99" t="s">
        <v>11617</v>
      </c>
      <c r="G99" t="s">
        <v>11618</v>
      </c>
      <c r="H99" t="s">
        <v>11619</v>
      </c>
      <c r="I99" t="s">
        <v>27</v>
      </c>
      <c r="K99" t="s">
        <v>1686</v>
      </c>
      <c r="M99" t="s">
        <v>33</v>
      </c>
    </row>
    <row r="100" spans="1:13" x14ac:dyDescent="0.35">
      <c r="A100" t="s">
        <v>20</v>
      </c>
      <c r="B100">
        <v>17644</v>
      </c>
      <c r="C100" t="s">
        <v>21</v>
      </c>
      <c r="D100" t="s">
        <v>22</v>
      </c>
      <c r="E100" t="s">
        <v>11620</v>
      </c>
      <c r="F100" t="s">
        <v>11621</v>
      </c>
      <c r="G100" t="s">
        <v>11622</v>
      </c>
      <c r="H100" t="s">
        <v>11623</v>
      </c>
      <c r="I100" t="s">
        <v>27</v>
      </c>
      <c r="K100" t="s">
        <v>1686</v>
      </c>
      <c r="M100" t="s">
        <v>33</v>
      </c>
    </row>
    <row r="101" spans="1:13" x14ac:dyDescent="0.35">
      <c r="A101" t="s">
        <v>20</v>
      </c>
      <c r="B101">
        <v>17644</v>
      </c>
      <c r="C101" t="s">
        <v>21</v>
      </c>
      <c r="D101" t="s">
        <v>22</v>
      </c>
      <c r="E101" t="s">
        <v>11624</v>
      </c>
      <c r="F101" t="s">
        <v>11625</v>
      </c>
      <c r="G101" t="s">
        <v>11626</v>
      </c>
      <c r="H101" t="s">
        <v>11627</v>
      </c>
      <c r="I101" t="s">
        <v>27</v>
      </c>
      <c r="K101" t="s">
        <v>1686</v>
      </c>
      <c r="M101" t="s">
        <v>33</v>
      </c>
    </row>
    <row r="102" spans="1:13" x14ac:dyDescent="0.35">
      <c r="A102" t="s">
        <v>20</v>
      </c>
      <c r="B102">
        <v>17644</v>
      </c>
      <c r="C102" t="s">
        <v>21</v>
      </c>
      <c r="D102" t="s">
        <v>22</v>
      </c>
      <c r="E102" t="s">
        <v>11628</v>
      </c>
      <c r="F102" t="s">
        <v>11629</v>
      </c>
      <c r="G102" t="s">
        <v>11630</v>
      </c>
      <c r="H102" t="s">
        <v>11631</v>
      </c>
      <c r="I102" t="s">
        <v>27</v>
      </c>
      <c r="K102" t="s">
        <v>1686</v>
      </c>
      <c r="M102" t="s">
        <v>33</v>
      </c>
    </row>
    <row r="103" spans="1:13" x14ac:dyDescent="0.35">
      <c r="A103" t="s">
        <v>20</v>
      </c>
      <c r="B103">
        <v>17644</v>
      </c>
      <c r="C103" t="s">
        <v>21</v>
      </c>
      <c r="D103" t="s">
        <v>22</v>
      </c>
      <c r="E103" t="s">
        <v>11632</v>
      </c>
      <c r="F103" t="s">
        <v>11633</v>
      </c>
      <c r="G103" t="s">
        <v>11634</v>
      </c>
      <c r="H103" t="s">
        <v>11635</v>
      </c>
      <c r="I103" t="s">
        <v>27</v>
      </c>
      <c r="K103" t="s">
        <v>1686</v>
      </c>
      <c r="M103" t="s">
        <v>33</v>
      </c>
    </row>
    <row r="104" spans="1:13" x14ac:dyDescent="0.35">
      <c r="A104" t="s">
        <v>20</v>
      </c>
      <c r="B104">
        <v>17644</v>
      </c>
      <c r="C104" t="s">
        <v>21</v>
      </c>
      <c r="D104" t="s">
        <v>22</v>
      </c>
      <c r="E104" t="s">
        <v>11636</v>
      </c>
      <c r="F104" t="s">
        <v>11637</v>
      </c>
      <c r="G104" t="s">
        <v>11638</v>
      </c>
      <c r="H104" t="s">
        <v>11639</v>
      </c>
      <c r="I104" t="s">
        <v>27</v>
      </c>
      <c r="K104" t="s">
        <v>1686</v>
      </c>
      <c r="M104" t="s">
        <v>33</v>
      </c>
    </row>
    <row r="105" spans="1:13" x14ac:dyDescent="0.35">
      <c r="A105" t="s">
        <v>20</v>
      </c>
      <c r="B105">
        <v>17644</v>
      </c>
      <c r="C105" t="s">
        <v>21</v>
      </c>
      <c r="D105" t="s">
        <v>22</v>
      </c>
      <c r="E105" t="s">
        <v>11640</v>
      </c>
      <c r="F105" t="s">
        <v>11641</v>
      </c>
      <c r="G105" t="s">
        <v>11642</v>
      </c>
      <c r="H105" t="s">
        <v>11643</v>
      </c>
      <c r="I105" t="s">
        <v>27</v>
      </c>
      <c r="K105" t="s">
        <v>1686</v>
      </c>
      <c r="M105" t="s">
        <v>33</v>
      </c>
    </row>
    <row r="106" spans="1:13" x14ac:dyDescent="0.35">
      <c r="A106" t="s">
        <v>20</v>
      </c>
      <c r="B106">
        <v>17644</v>
      </c>
      <c r="C106" t="s">
        <v>21</v>
      </c>
      <c r="D106" t="s">
        <v>22</v>
      </c>
      <c r="E106" t="s">
        <v>11644</v>
      </c>
      <c r="F106" t="s">
        <v>11645</v>
      </c>
      <c r="G106" t="s">
        <v>11646</v>
      </c>
      <c r="H106" t="s">
        <v>11647</v>
      </c>
      <c r="I106" t="s">
        <v>27</v>
      </c>
      <c r="K106" t="s">
        <v>1686</v>
      </c>
      <c r="M106" t="s">
        <v>33</v>
      </c>
    </row>
    <row r="107" spans="1:13" x14ac:dyDescent="0.35">
      <c r="A107" t="s">
        <v>20</v>
      </c>
      <c r="B107">
        <v>17644</v>
      </c>
      <c r="C107" t="s">
        <v>21</v>
      </c>
      <c r="D107" t="s">
        <v>22</v>
      </c>
      <c r="E107" t="s">
        <v>11648</v>
      </c>
      <c r="F107" t="s">
        <v>11649</v>
      </c>
      <c r="G107" t="s">
        <v>11650</v>
      </c>
      <c r="H107" t="s">
        <v>11651</v>
      </c>
      <c r="I107" t="s">
        <v>27</v>
      </c>
      <c r="K107" t="s">
        <v>1681</v>
      </c>
      <c r="M107" t="s">
        <v>33</v>
      </c>
    </row>
    <row r="108" spans="1:13" x14ac:dyDescent="0.35">
      <c r="A108" t="s">
        <v>20</v>
      </c>
      <c r="B108">
        <v>17644</v>
      </c>
      <c r="C108" t="s">
        <v>21</v>
      </c>
      <c r="D108" t="s">
        <v>22</v>
      </c>
      <c r="E108" t="s">
        <v>11652</v>
      </c>
      <c r="F108" t="s">
        <v>11653</v>
      </c>
      <c r="G108" t="s">
        <v>11654</v>
      </c>
      <c r="H108" t="s">
        <v>11655</v>
      </c>
      <c r="I108" t="s">
        <v>27</v>
      </c>
      <c r="K108" t="s">
        <v>1686</v>
      </c>
      <c r="M108" t="s">
        <v>33</v>
      </c>
    </row>
    <row r="109" spans="1:13" x14ac:dyDescent="0.35">
      <c r="A109" t="s">
        <v>20</v>
      </c>
      <c r="B109">
        <v>17644</v>
      </c>
      <c r="C109" t="s">
        <v>21</v>
      </c>
      <c r="D109" t="s">
        <v>22</v>
      </c>
      <c r="E109" t="s">
        <v>11656</v>
      </c>
      <c r="F109" t="s">
        <v>11657</v>
      </c>
      <c r="G109" t="s">
        <v>11658</v>
      </c>
      <c r="H109" t="s">
        <v>11659</v>
      </c>
      <c r="I109" t="s">
        <v>27</v>
      </c>
      <c r="K109" t="s">
        <v>1686</v>
      </c>
      <c r="M109" t="s">
        <v>33</v>
      </c>
    </row>
    <row r="110" spans="1:13" x14ac:dyDescent="0.35">
      <c r="A110" t="s">
        <v>20</v>
      </c>
      <c r="B110">
        <v>17644</v>
      </c>
      <c r="C110" t="s">
        <v>21</v>
      </c>
      <c r="D110" t="s">
        <v>22</v>
      </c>
      <c r="E110" t="s">
        <v>11660</v>
      </c>
      <c r="F110" t="s">
        <v>11661</v>
      </c>
      <c r="G110" t="s">
        <v>11662</v>
      </c>
      <c r="H110" t="s">
        <v>11663</v>
      </c>
      <c r="I110" t="s">
        <v>27</v>
      </c>
      <c r="K110" t="s">
        <v>1686</v>
      </c>
      <c r="M110" t="s">
        <v>33</v>
      </c>
    </row>
    <row r="111" spans="1:13" x14ac:dyDescent="0.35">
      <c r="A111" t="s">
        <v>20</v>
      </c>
      <c r="B111">
        <v>17644</v>
      </c>
      <c r="C111" t="s">
        <v>21</v>
      </c>
      <c r="D111" t="s">
        <v>22</v>
      </c>
      <c r="E111" t="s">
        <v>11664</v>
      </c>
      <c r="F111" t="s">
        <v>11665</v>
      </c>
      <c r="G111" t="s">
        <v>11666</v>
      </c>
      <c r="H111" t="s">
        <v>11667</v>
      </c>
      <c r="I111" t="s">
        <v>27</v>
      </c>
      <c r="K111" t="s">
        <v>1681</v>
      </c>
      <c r="M111" t="s">
        <v>33</v>
      </c>
    </row>
    <row r="112" spans="1:13" x14ac:dyDescent="0.35">
      <c r="A112" t="s">
        <v>20</v>
      </c>
      <c r="B112">
        <v>17644</v>
      </c>
      <c r="C112" t="s">
        <v>21</v>
      </c>
      <c r="D112" t="s">
        <v>22</v>
      </c>
      <c r="E112" t="s">
        <v>11668</v>
      </c>
      <c r="F112" t="s">
        <v>11669</v>
      </c>
      <c r="G112" t="s">
        <v>11670</v>
      </c>
      <c r="H112" t="s">
        <v>11671</v>
      </c>
      <c r="I112" t="s">
        <v>27</v>
      </c>
      <c r="K112" t="s">
        <v>1686</v>
      </c>
      <c r="M112" t="s">
        <v>33</v>
      </c>
    </row>
    <row r="113" spans="1:13" x14ac:dyDescent="0.35">
      <c r="A113" t="s">
        <v>20</v>
      </c>
      <c r="B113">
        <v>17644</v>
      </c>
      <c r="C113" t="s">
        <v>21</v>
      </c>
      <c r="D113" t="s">
        <v>22</v>
      </c>
      <c r="E113" t="s">
        <v>11672</v>
      </c>
      <c r="F113" t="s">
        <v>11673</v>
      </c>
      <c r="G113" t="s">
        <v>11674</v>
      </c>
      <c r="H113" t="s">
        <v>11675</v>
      </c>
      <c r="I113" t="s">
        <v>27</v>
      </c>
      <c r="K113" t="s">
        <v>1686</v>
      </c>
      <c r="M113" t="s">
        <v>33</v>
      </c>
    </row>
    <row r="114" spans="1:13" x14ac:dyDescent="0.35">
      <c r="A114" t="s">
        <v>20</v>
      </c>
      <c r="B114">
        <v>17644</v>
      </c>
      <c r="C114" t="s">
        <v>21</v>
      </c>
      <c r="D114" t="s">
        <v>22</v>
      </c>
      <c r="E114" t="s">
        <v>11676</v>
      </c>
      <c r="F114" t="s">
        <v>11677</v>
      </c>
      <c r="G114" t="s">
        <v>11678</v>
      </c>
      <c r="H114" t="s">
        <v>11679</v>
      </c>
      <c r="I114" t="s">
        <v>27</v>
      </c>
      <c r="K114" t="s">
        <v>1681</v>
      </c>
      <c r="M114" t="s">
        <v>33</v>
      </c>
    </row>
    <row r="115" spans="1:13" x14ac:dyDescent="0.35">
      <c r="A115" t="s">
        <v>20</v>
      </c>
      <c r="B115">
        <v>17644</v>
      </c>
      <c r="C115" t="s">
        <v>21</v>
      </c>
      <c r="D115" t="s">
        <v>22</v>
      </c>
      <c r="E115" t="s">
        <v>11680</v>
      </c>
      <c r="F115" t="s">
        <v>11681</v>
      </c>
      <c r="G115" t="s">
        <v>11682</v>
      </c>
      <c r="H115" t="s">
        <v>11683</v>
      </c>
      <c r="I115" t="s">
        <v>27</v>
      </c>
      <c r="K115" t="s">
        <v>1686</v>
      </c>
      <c r="M115" t="s">
        <v>33</v>
      </c>
    </row>
    <row r="116" spans="1:13" x14ac:dyDescent="0.35">
      <c r="A116" t="s">
        <v>20</v>
      </c>
      <c r="B116">
        <v>17644</v>
      </c>
      <c r="C116" t="s">
        <v>21</v>
      </c>
      <c r="D116" t="s">
        <v>22</v>
      </c>
      <c r="E116" t="s">
        <v>11684</v>
      </c>
      <c r="F116" t="s">
        <v>11685</v>
      </c>
      <c r="G116" t="s">
        <v>11686</v>
      </c>
      <c r="H116" t="s">
        <v>11687</v>
      </c>
      <c r="I116" t="s">
        <v>27</v>
      </c>
      <c r="K116" t="s">
        <v>1686</v>
      </c>
      <c r="M116" t="s">
        <v>33</v>
      </c>
    </row>
    <row r="117" spans="1:13" x14ac:dyDescent="0.35">
      <c r="A117" t="s">
        <v>20</v>
      </c>
      <c r="B117">
        <v>17644</v>
      </c>
      <c r="C117" t="s">
        <v>21</v>
      </c>
      <c r="D117" t="s">
        <v>22</v>
      </c>
      <c r="E117" t="s">
        <v>11688</v>
      </c>
      <c r="F117" t="s">
        <v>11689</v>
      </c>
      <c r="G117" t="s">
        <v>11690</v>
      </c>
      <c r="H117" t="s">
        <v>11691</v>
      </c>
      <c r="I117" t="s">
        <v>27</v>
      </c>
      <c r="K117" t="s">
        <v>1686</v>
      </c>
      <c r="M117" t="s">
        <v>33</v>
      </c>
    </row>
    <row r="118" spans="1:13" x14ac:dyDescent="0.35">
      <c r="A118" t="s">
        <v>20</v>
      </c>
      <c r="B118">
        <v>17644</v>
      </c>
      <c r="C118" t="s">
        <v>21</v>
      </c>
      <c r="D118" t="s">
        <v>22</v>
      </c>
      <c r="E118" t="s">
        <v>11692</v>
      </c>
      <c r="F118" t="s">
        <v>11693</v>
      </c>
      <c r="G118" t="s">
        <v>11694</v>
      </c>
      <c r="H118" t="s">
        <v>11695</v>
      </c>
      <c r="I118" t="s">
        <v>27</v>
      </c>
      <c r="K118" t="s">
        <v>1681</v>
      </c>
      <c r="M118" t="s">
        <v>33</v>
      </c>
    </row>
    <row r="119" spans="1:13" x14ac:dyDescent="0.35">
      <c r="A119" t="s">
        <v>20</v>
      </c>
      <c r="B119">
        <v>17644</v>
      </c>
      <c r="C119" t="s">
        <v>21</v>
      </c>
      <c r="D119" t="s">
        <v>22</v>
      </c>
      <c r="E119" t="s">
        <v>11696</v>
      </c>
      <c r="F119" t="s">
        <v>11697</v>
      </c>
      <c r="G119" t="s">
        <v>11698</v>
      </c>
      <c r="H119" t="s">
        <v>11699</v>
      </c>
      <c r="I119" t="s">
        <v>27</v>
      </c>
      <c r="K119" t="s">
        <v>1686</v>
      </c>
      <c r="M119" t="s">
        <v>33</v>
      </c>
    </row>
    <row r="120" spans="1:13" x14ac:dyDescent="0.35">
      <c r="A120" t="s">
        <v>20</v>
      </c>
      <c r="B120">
        <v>17644</v>
      </c>
      <c r="C120" t="s">
        <v>21</v>
      </c>
      <c r="D120" t="s">
        <v>22</v>
      </c>
      <c r="E120" t="s">
        <v>11700</v>
      </c>
      <c r="F120" t="s">
        <v>11701</v>
      </c>
      <c r="G120" t="s">
        <v>11702</v>
      </c>
      <c r="H120" t="s">
        <v>11703</v>
      </c>
      <c r="I120" t="s">
        <v>27</v>
      </c>
      <c r="K120" t="s">
        <v>1686</v>
      </c>
      <c r="M120" t="s">
        <v>33</v>
      </c>
    </row>
    <row r="121" spans="1:13" x14ac:dyDescent="0.35">
      <c r="A121" t="s">
        <v>20</v>
      </c>
      <c r="B121">
        <v>17644</v>
      </c>
      <c r="C121" t="s">
        <v>21</v>
      </c>
      <c r="D121" t="s">
        <v>22</v>
      </c>
      <c r="E121" t="s">
        <v>11704</v>
      </c>
      <c r="F121" t="s">
        <v>11705</v>
      </c>
      <c r="G121" t="s">
        <v>11706</v>
      </c>
      <c r="H121" t="s">
        <v>11707</v>
      </c>
      <c r="I121" t="s">
        <v>27</v>
      </c>
      <c r="K121" t="s">
        <v>1686</v>
      </c>
      <c r="M121" t="s">
        <v>33</v>
      </c>
    </row>
    <row r="122" spans="1:13" x14ac:dyDescent="0.35">
      <c r="A122" t="s">
        <v>20</v>
      </c>
      <c r="B122">
        <v>17644</v>
      </c>
      <c r="C122" t="s">
        <v>21</v>
      </c>
      <c r="D122" t="s">
        <v>22</v>
      </c>
      <c r="E122" t="s">
        <v>11708</v>
      </c>
      <c r="F122" t="s">
        <v>11709</v>
      </c>
      <c r="G122" t="s">
        <v>11710</v>
      </c>
      <c r="H122" t="s">
        <v>11711</v>
      </c>
      <c r="I122" t="s">
        <v>27</v>
      </c>
      <c r="K122" t="s">
        <v>1686</v>
      </c>
      <c r="M122" t="s">
        <v>33</v>
      </c>
    </row>
    <row r="123" spans="1:13" x14ac:dyDescent="0.35">
      <c r="A123" t="s">
        <v>20</v>
      </c>
      <c r="B123">
        <v>17644</v>
      </c>
      <c r="C123" t="s">
        <v>21</v>
      </c>
      <c r="D123" t="s">
        <v>22</v>
      </c>
      <c r="E123" t="s">
        <v>11712</v>
      </c>
      <c r="F123" t="s">
        <v>11713</v>
      </c>
      <c r="G123" t="s">
        <v>11714</v>
      </c>
      <c r="H123" t="s">
        <v>11715</v>
      </c>
      <c r="I123" t="s">
        <v>27</v>
      </c>
      <c r="K123" t="s">
        <v>1681</v>
      </c>
      <c r="M123" t="s">
        <v>33</v>
      </c>
    </row>
    <row r="124" spans="1:13" x14ac:dyDescent="0.35">
      <c r="A124" t="s">
        <v>20</v>
      </c>
      <c r="B124">
        <v>17644</v>
      </c>
      <c r="C124" t="s">
        <v>21</v>
      </c>
      <c r="D124" t="s">
        <v>22</v>
      </c>
      <c r="E124" t="s">
        <v>11716</v>
      </c>
      <c r="F124" t="s">
        <v>11717</v>
      </c>
      <c r="G124" t="s">
        <v>11718</v>
      </c>
      <c r="H124" t="s">
        <v>11719</v>
      </c>
      <c r="I124" t="s">
        <v>27</v>
      </c>
      <c r="K124" t="s">
        <v>1686</v>
      </c>
      <c r="M124" t="s">
        <v>33</v>
      </c>
    </row>
    <row r="125" spans="1:13" x14ac:dyDescent="0.35">
      <c r="A125" t="s">
        <v>20</v>
      </c>
      <c r="B125">
        <v>17644</v>
      </c>
      <c r="C125" t="s">
        <v>21</v>
      </c>
      <c r="D125" t="s">
        <v>22</v>
      </c>
      <c r="E125" t="s">
        <v>11720</v>
      </c>
      <c r="F125" t="s">
        <v>11721</v>
      </c>
      <c r="G125" t="s">
        <v>11722</v>
      </c>
      <c r="H125" t="s">
        <v>11723</v>
      </c>
      <c r="I125" t="s">
        <v>27</v>
      </c>
      <c r="K125" t="s">
        <v>1686</v>
      </c>
      <c r="M125" t="s">
        <v>33</v>
      </c>
    </row>
    <row r="126" spans="1:13" x14ac:dyDescent="0.35">
      <c r="A126" t="s">
        <v>20</v>
      </c>
      <c r="B126">
        <v>17644</v>
      </c>
      <c r="C126" t="s">
        <v>21</v>
      </c>
      <c r="D126" t="s">
        <v>22</v>
      </c>
      <c r="E126" t="s">
        <v>11724</v>
      </c>
      <c r="F126" t="s">
        <v>11725</v>
      </c>
      <c r="G126" t="s">
        <v>11726</v>
      </c>
      <c r="H126" t="s">
        <v>11727</v>
      </c>
      <c r="I126" t="s">
        <v>27</v>
      </c>
      <c r="K126" t="s">
        <v>1686</v>
      </c>
      <c r="M126" t="s">
        <v>33</v>
      </c>
    </row>
    <row r="127" spans="1:13" x14ac:dyDescent="0.35">
      <c r="A127" t="s">
        <v>20</v>
      </c>
      <c r="B127">
        <v>17644</v>
      </c>
      <c r="C127" t="s">
        <v>21</v>
      </c>
      <c r="D127" t="s">
        <v>22</v>
      </c>
      <c r="E127" t="s">
        <v>11728</v>
      </c>
      <c r="F127" t="s">
        <v>11729</v>
      </c>
      <c r="G127" t="s">
        <v>11730</v>
      </c>
      <c r="H127" t="s">
        <v>11731</v>
      </c>
      <c r="I127" t="s">
        <v>27</v>
      </c>
      <c r="K127" t="s">
        <v>1686</v>
      </c>
      <c r="M127" t="s">
        <v>33</v>
      </c>
    </row>
    <row r="128" spans="1:13" x14ac:dyDescent="0.35">
      <c r="A128" t="s">
        <v>20</v>
      </c>
      <c r="B128">
        <v>17644</v>
      </c>
      <c r="C128" t="s">
        <v>21</v>
      </c>
      <c r="D128" t="s">
        <v>22</v>
      </c>
      <c r="E128" t="s">
        <v>11732</v>
      </c>
      <c r="F128" t="s">
        <v>11733</v>
      </c>
      <c r="G128" t="s">
        <v>11734</v>
      </c>
      <c r="H128" t="s">
        <v>11735</v>
      </c>
      <c r="I128" t="s">
        <v>27</v>
      </c>
      <c r="K128" t="s">
        <v>1686</v>
      </c>
      <c r="M128" t="s">
        <v>33</v>
      </c>
    </row>
    <row r="129" spans="1:13" x14ac:dyDescent="0.35">
      <c r="A129" t="s">
        <v>20</v>
      </c>
      <c r="B129">
        <v>17644</v>
      </c>
      <c r="C129" t="s">
        <v>21</v>
      </c>
      <c r="D129" t="s">
        <v>22</v>
      </c>
      <c r="E129" t="s">
        <v>11736</v>
      </c>
      <c r="F129" t="s">
        <v>11737</v>
      </c>
      <c r="G129" t="s">
        <v>11738</v>
      </c>
      <c r="H129" t="s">
        <v>11739</v>
      </c>
      <c r="I129" t="s">
        <v>27</v>
      </c>
      <c r="K129" t="s">
        <v>1686</v>
      </c>
      <c r="M129" t="s">
        <v>33</v>
      </c>
    </row>
    <row r="130" spans="1:13" x14ac:dyDescent="0.35">
      <c r="A130" t="s">
        <v>20</v>
      </c>
      <c r="B130">
        <v>17644</v>
      </c>
      <c r="C130" t="s">
        <v>21</v>
      </c>
      <c r="D130" t="s">
        <v>22</v>
      </c>
      <c r="E130" t="s">
        <v>11740</v>
      </c>
      <c r="F130" t="s">
        <v>11741</v>
      </c>
      <c r="G130" t="s">
        <v>11742</v>
      </c>
      <c r="H130" t="s">
        <v>11743</v>
      </c>
      <c r="I130" t="s">
        <v>27</v>
      </c>
      <c r="K130" t="s">
        <v>1686</v>
      </c>
      <c r="M130" t="s">
        <v>33</v>
      </c>
    </row>
    <row r="131" spans="1:13" x14ac:dyDescent="0.35">
      <c r="A131" t="s">
        <v>20</v>
      </c>
      <c r="B131">
        <v>17644</v>
      </c>
      <c r="C131" t="s">
        <v>21</v>
      </c>
      <c r="D131" t="s">
        <v>22</v>
      </c>
      <c r="E131" t="s">
        <v>11744</v>
      </c>
      <c r="F131" t="s">
        <v>11745</v>
      </c>
      <c r="G131" t="s">
        <v>11746</v>
      </c>
      <c r="H131" t="s">
        <v>11747</v>
      </c>
      <c r="I131" t="s">
        <v>27</v>
      </c>
      <c r="K131" t="s">
        <v>1686</v>
      </c>
      <c r="M131" t="s">
        <v>33</v>
      </c>
    </row>
    <row r="132" spans="1:13" x14ac:dyDescent="0.35">
      <c r="A132" t="s">
        <v>20</v>
      </c>
      <c r="B132">
        <v>17644</v>
      </c>
      <c r="C132" t="s">
        <v>21</v>
      </c>
      <c r="D132" t="s">
        <v>22</v>
      </c>
      <c r="E132" t="s">
        <v>11748</v>
      </c>
      <c r="F132" t="s">
        <v>11749</v>
      </c>
      <c r="G132" t="s">
        <v>11750</v>
      </c>
      <c r="H132" t="s">
        <v>11751</v>
      </c>
      <c r="I132" t="s">
        <v>27</v>
      </c>
      <c r="K132" t="s">
        <v>1686</v>
      </c>
      <c r="M132" t="s">
        <v>33</v>
      </c>
    </row>
    <row r="133" spans="1:13" x14ac:dyDescent="0.35">
      <c r="A133" t="s">
        <v>20</v>
      </c>
      <c r="B133">
        <v>17644</v>
      </c>
      <c r="C133" t="s">
        <v>21</v>
      </c>
      <c r="D133" t="s">
        <v>22</v>
      </c>
      <c r="E133" t="s">
        <v>11752</v>
      </c>
      <c r="F133" t="s">
        <v>11753</v>
      </c>
      <c r="G133" t="s">
        <v>11754</v>
      </c>
      <c r="H133" t="s">
        <v>11755</v>
      </c>
      <c r="I133" t="s">
        <v>27</v>
      </c>
      <c r="K133" t="s">
        <v>1686</v>
      </c>
      <c r="M133" t="s">
        <v>33</v>
      </c>
    </row>
    <row r="134" spans="1:13" x14ac:dyDescent="0.35">
      <c r="A134" t="s">
        <v>20</v>
      </c>
      <c r="B134">
        <v>17644</v>
      </c>
      <c r="C134" t="s">
        <v>21</v>
      </c>
      <c r="D134" t="s">
        <v>22</v>
      </c>
      <c r="E134" t="s">
        <v>11756</v>
      </c>
      <c r="F134" t="s">
        <v>11757</v>
      </c>
      <c r="G134" t="s">
        <v>11758</v>
      </c>
      <c r="H134" t="s">
        <v>11759</v>
      </c>
      <c r="I134" t="s">
        <v>27</v>
      </c>
      <c r="K134" t="s">
        <v>1686</v>
      </c>
      <c r="M134" t="s">
        <v>33</v>
      </c>
    </row>
    <row r="135" spans="1:13" x14ac:dyDescent="0.35">
      <c r="A135" t="s">
        <v>20</v>
      </c>
      <c r="B135">
        <v>17644</v>
      </c>
      <c r="C135" t="s">
        <v>21</v>
      </c>
      <c r="D135" t="s">
        <v>22</v>
      </c>
      <c r="E135" t="s">
        <v>11760</v>
      </c>
      <c r="F135" t="s">
        <v>11761</v>
      </c>
      <c r="G135" t="s">
        <v>11762</v>
      </c>
      <c r="H135" t="s">
        <v>11763</v>
      </c>
      <c r="I135" t="s">
        <v>27</v>
      </c>
      <c r="K135" t="s">
        <v>1686</v>
      </c>
      <c r="M135" t="s">
        <v>33</v>
      </c>
    </row>
    <row r="136" spans="1:13" x14ac:dyDescent="0.35">
      <c r="A136" t="s">
        <v>20</v>
      </c>
      <c r="B136">
        <v>17644</v>
      </c>
      <c r="C136" t="s">
        <v>21</v>
      </c>
      <c r="D136" t="s">
        <v>22</v>
      </c>
      <c r="E136" t="s">
        <v>11764</v>
      </c>
      <c r="F136" t="s">
        <v>11765</v>
      </c>
      <c r="G136" t="s">
        <v>11766</v>
      </c>
      <c r="H136" t="s">
        <v>11767</v>
      </c>
      <c r="I136" t="s">
        <v>27</v>
      </c>
      <c r="K136" t="s">
        <v>1686</v>
      </c>
      <c r="M136" t="s">
        <v>33</v>
      </c>
    </row>
    <row r="137" spans="1:13" x14ac:dyDescent="0.35">
      <c r="A137" t="s">
        <v>20</v>
      </c>
      <c r="B137">
        <v>17644</v>
      </c>
      <c r="C137" t="s">
        <v>21</v>
      </c>
      <c r="D137" t="s">
        <v>22</v>
      </c>
      <c r="E137" t="s">
        <v>11768</v>
      </c>
      <c r="F137" t="s">
        <v>11769</v>
      </c>
      <c r="G137" t="s">
        <v>11770</v>
      </c>
      <c r="H137" t="s">
        <v>11771</v>
      </c>
      <c r="I137" t="s">
        <v>27</v>
      </c>
      <c r="K137" t="s">
        <v>1686</v>
      </c>
      <c r="M137" t="s">
        <v>33</v>
      </c>
    </row>
    <row r="138" spans="1:13" x14ac:dyDescent="0.35">
      <c r="A138" t="s">
        <v>20</v>
      </c>
      <c r="B138">
        <v>17644</v>
      </c>
      <c r="C138" t="s">
        <v>21</v>
      </c>
      <c r="D138" t="s">
        <v>22</v>
      </c>
      <c r="E138" t="s">
        <v>11772</v>
      </c>
      <c r="F138" t="s">
        <v>11773</v>
      </c>
      <c r="G138" t="s">
        <v>11774</v>
      </c>
      <c r="H138" t="s">
        <v>11775</v>
      </c>
      <c r="I138" t="s">
        <v>27</v>
      </c>
      <c r="K138" t="s">
        <v>1686</v>
      </c>
      <c r="M138" t="s">
        <v>33</v>
      </c>
    </row>
    <row r="139" spans="1:13" x14ac:dyDescent="0.35">
      <c r="A139" t="s">
        <v>20</v>
      </c>
      <c r="B139">
        <v>17644</v>
      </c>
      <c r="C139" t="s">
        <v>21</v>
      </c>
      <c r="D139" t="s">
        <v>22</v>
      </c>
      <c r="E139" t="s">
        <v>11776</v>
      </c>
      <c r="F139" t="s">
        <v>11777</v>
      </c>
      <c r="G139" t="s">
        <v>11778</v>
      </c>
      <c r="H139" t="s">
        <v>11779</v>
      </c>
      <c r="I139" t="s">
        <v>238</v>
      </c>
      <c r="K139" t="s">
        <v>1686</v>
      </c>
      <c r="M139" t="s">
        <v>33</v>
      </c>
    </row>
    <row r="140" spans="1:13" x14ac:dyDescent="0.35">
      <c r="A140" t="s">
        <v>20</v>
      </c>
      <c r="B140">
        <v>17644</v>
      </c>
      <c r="C140" t="s">
        <v>21</v>
      </c>
      <c r="D140" t="s">
        <v>22</v>
      </c>
      <c r="E140" t="s">
        <v>11780</v>
      </c>
      <c r="F140" t="s">
        <v>11781</v>
      </c>
      <c r="G140" t="s">
        <v>11782</v>
      </c>
      <c r="H140" t="s">
        <v>11783</v>
      </c>
      <c r="I140" t="s">
        <v>238</v>
      </c>
      <c r="K140" t="s">
        <v>1686</v>
      </c>
      <c r="M140" t="s">
        <v>33</v>
      </c>
    </row>
    <row r="141" spans="1:13" x14ac:dyDescent="0.35">
      <c r="A141" t="s">
        <v>20</v>
      </c>
      <c r="B141">
        <v>17644</v>
      </c>
      <c r="C141" t="s">
        <v>21</v>
      </c>
      <c r="D141" t="s">
        <v>22</v>
      </c>
      <c r="E141" t="s">
        <v>11784</v>
      </c>
      <c r="F141" t="s">
        <v>11785</v>
      </c>
      <c r="G141" t="s">
        <v>11786</v>
      </c>
      <c r="H141" t="s">
        <v>11787</v>
      </c>
      <c r="I141" t="s">
        <v>238</v>
      </c>
      <c r="K141" t="s">
        <v>1686</v>
      </c>
      <c r="M141" t="s">
        <v>33</v>
      </c>
    </row>
    <row r="142" spans="1:13" x14ac:dyDescent="0.35">
      <c r="A142" t="s">
        <v>20</v>
      </c>
      <c r="B142">
        <v>17644</v>
      </c>
      <c r="C142" t="s">
        <v>21</v>
      </c>
      <c r="D142" t="s">
        <v>22</v>
      </c>
      <c r="E142" t="s">
        <v>11788</v>
      </c>
      <c r="F142" t="s">
        <v>11789</v>
      </c>
      <c r="G142" t="s">
        <v>11790</v>
      </c>
      <c r="H142" t="s">
        <v>11791</v>
      </c>
      <c r="I142" t="s">
        <v>238</v>
      </c>
      <c r="K142" t="s">
        <v>1686</v>
      </c>
      <c r="M142" t="s">
        <v>33</v>
      </c>
    </row>
    <row r="143" spans="1:13" x14ac:dyDescent="0.35">
      <c r="A143" t="s">
        <v>20</v>
      </c>
      <c r="B143">
        <v>17644</v>
      </c>
      <c r="C143" t="s">
        <v>21</v>
      </c>
      <c r="D143" t="s">
        <v>22</v>
      </c>
      <c r="E143" t="s">
        <v>11792</v>
      </c>
      <c r="F143" t="s">
        <v>11793</v>
      </c>
      <c r="G143" t="s">
        <v>11794</v>
      </c>
      <c r="H143" t="s">
        <v>11795</v>
      </c>
      <c r="I143" t="s">
        <v>238</v>
      </c>
      <c r="K143" t="s">
        <v>1686</v>
      </c>
      <c r="M143" t="s">
        <v>33</v>
      </c>
    </row>
    <row r="144" spans="1:13" x14ac:dyDescent="0.35">
      <c r="A144" t="s">
        <v>20</v>
      </c>
      <c r="B144">
        <v>17644</v>
      </c>
      <c r="C144" t="s">
        <v>21</v>
      </c>
      <c r="D144" t="s">
        <v>22</v>
      </c>
      <c r="E144" t="s">
        <v>11796</v>
      </c>
      <c r="F144" t="s">
        <v>11797</v>
      </c>
      <c r="G144" t="s">
        <v>11798</v>
      </c>
      <c r="H144" t="s">
        <v>11799</v>
      </c>
      <c r="I144" t="s">
        <v>238</v>
      </c>
      <c r="K144" t="s">
        <v>1686</v>
      </c>
      <c r="M144" t="s">
        <v>33</v>
      </c>
    </row>
    <row r="145" spans="1:13" x14ac:dyDescent="0.35">
      <c r="A145" t="s">
        <v>20</v>
      </c>
      <c r="B145">
        <v>17644</v>
      </c>
      <c r="C145" t="s">
        <v>21</v>
      </c>
      <c r="D145" t="s">
        <v>22</v>
      </c>
      <c r="E145" t="s">
        <v>11800</v>
      </c>
      <c r="F145" t="s">
        <v>11801</v>
      </c>
      <c r="G145" t="s">
        <v>11802</v>
      </c>
      <c r="H145" t="s">
        <v>11803</v>
      </c>
      <c r="I145" t="s">
        <v>238</v>
      </c>
      <c r="K145" t="s">
        <v>1686</v>
      </c>
      <c r="M145" t="s">
        <v>33</v>
      </c>
    </row>
    <row r="146" spans="1:13" x14ac:dyDescent="0.35">
      <c r="A146" t="s">
        <v>20</v>
      </c>
      <c r="B146">
        <v>17644</v>
      </c>
      <c r="C146" t="s">
        <v>21</v>
      </c>
      <c r="D146" t="s">
        <v>22</v>
      </c>
      <c r="E146" t="s">
        <v>11804</v>
      </c>
      <c r="F146" t="s">
        <v>11805</v>
      </c>
      <c r="G146" t="s">
        <v>11806</v>
      </c>
      <c r="H146" t="s">
        <v>11807</v>
      </c>
      <c r="I146" t="s">
        <v>238</v>
      </c>
      <c r="K146" t="s">
        <v>1686</v>
      </c>
      <c r="M146" t="s">
        <v>33</v>
      </c>
    </row>
    <row r="147" spans="1:13" x14ac:dyDescent="0.35">
      <c r="A147" t="s">
        <v>20</v>
      </c>
      <c r="B147">
        <v>17644</v>
      </c>
      <c r="C147" t="s">
        <v>21</v>
      </c>
      <c r="D147" t="s">
        <v>22</v>
      </c>
      <c r="E147" t="s">
        <v>11808</v>
      </c>
      <c r="F147" t="s">
        <v>11809</v>
      </c>
      <c r="G147" t="s">
        <v>11810</v>
      </c>
      <c r="H147" t="s">
        <v>11811</v>
      </c>
      <c r="I147" t="s">
        <v>238</v>
      </c>
      <c r="K147" t="s">
        <v>1686</v>
      </c>
      <c r="M147" t="s">
        <v>33</v>
      </c>
    </row>
    <row r="148" spans="1:13" x14ac:dyDescent="0.35">
      <c r="A148" t="s">
        <v>20</v>
      </c>
      <c r="B148">
        <v>17644</v>
      </c>
      <c r="C148" t="s">
        <v>21</v>
      </c>
      <c r="D148" t="s">
        <v>22</v>
      </c>
      <c r="E148" t="s">
        <v>11812</v>
      </c>
      <c r="F148" t="s">
        <v>11813</v>
      </c>
      <c r="G148" t="s">
        <v>11814</v>
      </c>
      <c r="H148" t="s">
        <v>11815</v>
      </c>
      <c r="I148" t="s">
        <v>238</v>
      </c>
      <c r="K148" t="s">
        <v>1686</v>
      </c>
      <c r="M148" t="s">
        <v>33</v>
      </c>
    </row>
    <row r="149" spans="1:13" x14ac:dyDescent="0.35">
      <c r="A149" t="s">
        <v>20</v>
      </c>
      <c r="B149">
        <v>17644</v>
      </c>
      <c r="C149" t="s">
        <v>21</v>
      </c>
      <c r="D149" t="s">
        <v>22</v>
      </c>
      <c r="E149" t="s">
        <v>11816</v>
      </c>
      <c r="F149" t="s">
        <v>11817</v>
      </c>
      <c r="G149" t="s">
        <v>11818</v>
      </c>
      <c r="H149" t="s">
        <v>11819</v>
      </c>
      <c r="I149" t="s">
        <v>238</v>
      </c>
      <c r="K149" t="s">
        <v>1686</v>
      </c>
      <c r="M149" t="s">
        <v>33</v>
      </c>
    </row>
    <row r="150" spans="1:13" x14ac:dyDescent="0.35">
      <c r="A150" t="s">
        <v>20</v>
      </c>
      <c r="B150">
        <v>17644</v>
      </c>
      <c r="C150" t="s">
        <v>21</v>
      </c>
      <c r="D150" t="s">
        <v>22</v>
      </c>
      <c r="E150" t="s">
        <v>11820</v>
      </c>
      <c r="F150" t="s">
        <v>11821</v>
      </c>
      <c r="G150" t="s">
        <v>11822</v>
      </c>
      <c r="H150" t="s">
        <v>11823</v>
      </c>
      <c r="I150" t="s">
        <v>238</v>
      </c>
      <c r="K150" t="s">
        <v>1686</v>
      </c>
      <c r="M150" t="s">
        <v>33</v>
      </c>
    </row>
    <row r="151" spans="1:13" x14ac:dyDescent="0.35">
      <c r="A151" t="s">
        <v>20</v>
      </c>
      <c r="B151">
        <v>17644</v>
      </c>
      <c r="C151" t="s">
        <v>21</v>
      </c>
      <c r="D151" t="s">
        <v>22</v>
      </c>
      <c r="E151" t="s">
        <v>11824</v>
      </c>
      <c r="F151" t="s">
        <v>11825</v>
      </c>
      <c r="G151" t="s">
        <v>11826</v>
      </c>
      <c r="H151" t="s">
        <v>11827</v>
      </c>
      <c r="I151" t="s">
        <v>238</v>
      </c>
      <c r="K151" t="s">
        <v>1686</v>
      </c>
      <c r="M151" t="s">
        <v>33</v>
      </c>
    </row>
    <row r="152" spans="1:13" x14ac:dyDescent="0.35">
      <c r="A152" t="s">
        <v>20</v>
      </c>
      <c r="B152">
        <v>17644</v>
      </c>
      <c r="C152" t="s">
        <v>21</v>
      </c>
      <c r="D152" t="s">
        <v>22</v>
      </c>
      <c r="E152" t="s">
        <v>11828</v>
      </c>
      <c r="F152" t="s">
        <v>11829</v>
      </c>
      <c r="G152" t="s">
        <v>11830</v>
      </c>
      <c r="H152" t="s">
        <v>11831</v>
      </c>
      <c r="I152" t="s">
        <v>238</v>
      </c>
      <c r="K152" t="s">
        <v>1686</v>
      </c>
      <c r="M152" t="s">
        <v>33</v>
      </c>
    </row>
    <row r="153" spans="1:13" x14ac:dyDescent="0.35">
      <c r="A153" t="s">
        <v>20</v>
      </c>
      <c r="B153">
        <v>17644</v>
      </c>
      <c r="C153" t="s">
        <v>21</v>
      </c>
      <c r="D153" t="s">
        <v>22</v>
      </c>
      <c r="E153" t="s">
        <v>11832</v>
      </c>
      <c r="F153" t="s">
        <v>11833</v>
      </c>
      <c r="G153" t="s">
        <v>11834</v>
      </c>
      <c r="H153" t="s">
        <v>11835</v>
      </c>
      <c r="I153" t="s">
        <v>238</v>
      </c>
      <c r="K153" t="s">
        <v>1686</v>
      </c>
      <c r="M153" t="s">
        <v>33</v>
      </c>
    </row>
    <row r="154" spans="1:13" x14ac:dyDescent="0.35">
      <c r="A154" t="s">
        <v>20</v>
      </c>
      <c r="B154">
        <v>17644</v>
      </c>
      <c r="C154" t="s">
        <v>21</v>
      </c>
      <c r="D154" t="s">
        <v>22</v>
      </c>
      <c r="E154" t="s">
        <v>11836</v>
      </c>
      <c r="F154" t="s">
        <v>9646</v>
      </c>
      <c r="G154" t="s">
        <v>9647</v>
      </c>
      <c r="H154" t="s">
        <v>9648</v>
      </c>
      <c r="I154" t="s">
        <v>238</v>
      </c>
      <c r="K154" t="s">
        <v>1686</v>
      </c>
      <c r="M154" t="s">
        <v>33</v>
      </c>
    </row>
    <row r="155" spans="1:13" x14ac:dyDescent="0.35">
      <c r="A155" t="s">
        <v>20</v>
      </c>
      <c r="B155">
        <v>17644</v>
      </c>
      <c r="C155" t="s">
        <v>21</v>
      </c>
      <c r="D155" t="s">
        <v>22</v>
      </c>
      <c r="E155" t="s">
        <v>11837</v>
      </c>
      <c r="F155" t="s">
        <v>11838</v>
      </c>
      <c r="G155" t="s">
        <v>11839</v>
      </c>
      <c r="H155" t="s">
        <v>11840</v>
      </c>
      <c r="I155" t="s">
        <v>238</v>
      </c>
      <c r="K155" t="s">
        <v>1686</v>
      </c>
      <c r="M155" t="s">
        <v>33</v>
      </c>
    </row>
    <row r="156" spans="1:13" x14ac:dyDescent="0.35">
      <c r="A156" t="s">
        <v>20</v>
      </c>
      <c r="B156">
        <v>17644</v>
      </c>
      <c r="C156" t="s">
        <v>21</v>
      </c>
      <c r="D156" t="s">
        <v>22</v>
      </c>
      <c r="E156" t="s">
        <v>11841</v>
      </c>
      <c r="F156" t="s">
        <v>11842</v>
      </c>
      <c r="G156" t="s">
        <v>11843</v>
      </c>
      <c r="H156" t="s">
        <v>11844</v>
      </c>
      <c r="I156" t="s">
        <v>238</v>
      </c>
      <c r="K156" t="s">
        <v>1686</v>
      </c>
      <c r="M156" t="s">
        <v>33</v>
      </c>
    </row>
    <row r="157" spans="1:13" x14ac:dyDescent="0.35">
      <c r="A157" t="s">
        <v>20</v>
      </c>
      <c r="B157">
        <v>17644</v>
      </c>
      <c r="C157" t="s">
        <v>21</v>
      </c>
      <c r="D157" t="s">
        <v>22</v>
      </c>
      <c r="E157" t="s">
        <v>11845</v>
      </c>
      <c r="F157" t="s">
        <v>11846</v>
      </c>
      <c r="G157" t="s">
        <v>11847</v>
      </c>
      <c r="H157" t="s">
        <v>11848</v>
      </c>
      <c r="I157" t="s">
        <v>238</v>
      </c>
      <c r="K157" t="s">
        <v>1686</v>
      </c>
      <c r="M157" t="s">
        <v>33</v>
      </c>
    </row>
    <row r="158" spans="1:13" x14ac:dyDescent="0.35">
      <c r="A158" t="s">
        <v>20</v>
      </c>
      <c r="B158">
        <v>17644</v>
      </c>
      <c r="C158" t="s">
        <v>21</v>
      </c>
      <c r="D158" t="s">
        <v>22</v>
      </c>
      <c r="E158" t="s">
        <v>11849</v>
      </c>
      <c r="F158" t="s">
        <v>11850</v>
      </c>
      <c r="G158" t="s">
        <v>11851</v>
      </c>
      <c r="H158" t="s">
        <v>11852</v>
      </c>
      <c r="I158" t="s">
        <v>238</v>
      </c>
      <c r="K158" t="s">
        <v>1686</v>
      </c>
      <c r="M158" t="s">
        <v>33</v>
      </c>
    </row>
    <row r="159" spans="1:13" x14ac:dyDescent="0.35">
      <c r="A159" t="s">
        <v>20</v>
      </c>
      <c r="B159">
        <v>17644</v>
      </c>
      <c r="C159" t="s">
        <v>21</v>
      </c>
      <c r="D159" t="s">
        <v>22</v>
      </c>
      <c r="E159" t="s">
        <v>11853</v>
      </c>
      <c r="F159" t="s">
        <v>11854</v>
      </c>
      <c r="G159" t="s">
        <v>11855</v>
      </c>
      <c r="H159" t="s">
        <v>11856</v>
      </c>
      <c r="I159" t="s">
        <v>238</v>
      </c>
      <c r="K159" t="s">
        <v>1686</v>
      </c>
      <c r="M159" t="s">
        <v>33</v>
      </c>
    </row>
    <row r="160" spans="1:13" x14ac:dyDescent="0.35">
      <c r="A160" t="s">
        <v>20</v>
      </c>
      <c r="B160">
        <v>17644</v>
      </c>
      <c r="C160" t="s">
        <v>21</v>
      </c>
      <c r="D160" t="s">
        <v>22</v>
      </c>
      <c r="E160" t="s">
        <v>11857</v>
      </c>
      <c r="F160" t="s">
        <v>11858</v>
      </c>
      <c r="G160" t="s">
        <v>11859</v>
      </c>
      <c r="H160" t="s">
        <v>11860</v>
      </c>
      <c r="I160" t="s">
        <v>238</v>
      </c>
      <c r="K160" t="s">
        <v>1681</v>
      </c>
      <c r="M160" t="s">
        <v>33</v>
      </c>
    </row>
    <row r="161" spans="1:13" x14ac:dyDescent="0.35">
      <c r="A161" t="s">
        <v>20</v>
      </c>
      <c r="B161">
        <v>17644</v>
      </c>
      <c r="C161" t="s">
        <v>21</v>
      </c>
      <c r="D161" t="s">
        <v>22</v>
      </c>
      <c r="E161" t="s">
        <v>11861</v>
      </c>
      <c r="F161" t="s">
        <v>11862</v>
      </c>
      <c r="G161" t="s">
        <v>11863</v>
      </c>
      <c r="H161" t="s">
        <v>11864</v>
      </c>
      <c r="I161" t="s">
        <v>238</v>
      </c>
      <c r="K161" t="s">
        <v>1686</v>
      </c>
      <c r="M161" t="s">
        <v>33</v>
      </c>
    </row>
    <row r="162" spans="1:13" x14ac:dyDescent="0.35">
      <c r="A162" t="s">
        <v>20</v>
      </c>
      <c r="B162">
        <v>17644</v>
      </c>
      <c r="C162" t="s">
        <v>21</v>
      </c>
      <c r="D162" t="s">
        <v>22</v>
      </c>
      <c r="E162" t="s">
        <v>11865</v>
      </c>
      <c r="F162" t="s">
        <v>11866</v>
      </c>
      <c r="G162" t="s">
        <v>11867</v>
      </c>
      <c r="H162" t="s">
        <v>11868</v>
      </c>
      <c r="I162" t="s">
        <v>238</v>
      </c>
      <c r="K162" t="s">
        <v>1686</v>
      </c>
      <c r="M162" t="s">
        <v>33</v>
      </c>
    </row>
    <row r="163" spans="1:13" x14ac:dyDescent="0.35">
      <c r="A163" t="s">
        <v>20</v>
      </c>
      <c r="B163">
        <v>17644</v>
      </c>
      <c r="C163" t="s">
        <v>21</v>
      </c>
      <c r="D163" t="s">
        <v>22</v>
      </c>
      <c r="E163" t="s">
        <v>11869</v>
      </c>
      <c r="F163" t="s">
        <v>11870</v>
      </c>
      <c r="G163" t="s">
        <v>11871</v>
      </c>
      <c r="H163" t="s">
        <v>11872</v>
      </c>
      <c r="I163" t="s">
        <v>238</v>
      </c>
      <c r="K163" t="s">
        <v>1686</v>
      </c>
      <c r="M163" t="s">
        <v>33</v>
      </c>
    </row>
    <row r="164" spans="1:13" x14ac:dyDescent="0.35">
      <c r="A164" t="s">
        <v>20</v>
      </c>
      <c r="B164">
        <v>17644</v>
      </c>
      <c r="C164" t="s">
        <v>21</v>
      </c>
      <c r="D164" t="s">
        <v>22</v>
      </c>
      <c r="E164" t="s">
        <v>11873</v>
      </c>
      <c r="F164" t="s">
        <v>11874</v>
      </c>
      <c r="G164" t="s">
        <v>11875</v>
      </c>
      <c r="H164" t="s">
        <v>11876</v>
      </c>
      <c r="I164" t="s">
        <v>238</v>
      </c>
      <c r="K164" t="s">
        <v>1686</v>
      </c>
      <c r="M164" t="s">
        <v>33</v>
      </c>
    </row>
    <row r="165" spans="1:13" x14ac:dyDescent="0.35">
      <c r="A165" t="s">
        <v>20</v>
      </c>
      <c r="B165">
        <v>17644</v>
      </c>
      <c r="C165" t="s">
        <v>21</v>
      </c>
      <c r="D165" t="s">
        <v>22</v>
      </c>
      <c r="E165" t="s">
        <v>11877</v>
      </c>
      <c r="F165" t="s">
        <v>11878</v>
      </c>
      <c r="G165" t="s">
        <v>11879</v>
      </c>
      <c r="H165" t="s">
        <v>11880</v>
      </c>
      <c r="I165" t="s">
        <v>238</v>
      </c>
      <c r="K165" t="s">
        <v>1686</v>
      </c>
      <c r="M165" t="s">
        <v>33</v>
      </c>
    </row>
    <row r="166" spans="1:13" x14ac:dyDescent="0.35">
      <c r="A166" t="s">
        <v>20</v>
      </c>
      <c r="B166">
        <v>17644</v>
      </c>
      <c r="C166" t="s">
        <v>21</v>
      </c>
      <c r="D166" t="s">
        <v>22</v>
      </c>
      <c r="E166" t="s">
        <v>11881</v>
      </c>
      <c r="F166" t="s">
        <v>11882</v>
      </c>
      <c r="G166" t="s">
        <v>11883</v>
      </c>
      <c r="H166" t="s">
        <v>11884</v>
      </c>
      <c r="I166" t="s">
        <v>238</v>
      </c>
      <c r="K166" t="s">
        <v>1686</v>
      </c>
      <c r="M166" t="s">
        <v>33</v>
      </c>
    </row>
    <row r="167" spans="1:13" x14ac:dyDescent="0.35">
      <c r="A167" t="s">
        <v>20</v>
      </c>
      <c r="B167">
        <v>17644</v>
      </c>
      <c r="C167" t="s">
        <v>21</v>
      </c>
      <c r="D167" t="s">
        <v>22</v>
      </c>
      <c r="E167" t="s">
        <v>11885</v>
      </c>
      <c r="F167" t="s">
        <v>11886</v>
      </c>
      <c r="G167" t="s">
        <v>11887</v>
      </c>
      <c r="H167" t="s">
        <v>11888</v>
      </c>
      <c r="I167" t="s">
        <v>238</v>
      </c>
      <c r="K167" t="s">
        <v>1681</v>
      </c>
      <c r="M167" t="s">
        <v>33</v>
      </c>
    </row>
    <row r="168" spans="1:13" x14ac:dyDescent="0.35">
      <c r="A168" t="s">
        <v>20</v>
      </c>
      <c r="B168">
        <v>17644</v>
      </c>
      <c r="C168" t="s">
        <v>21</v>
      </c>
      <c r="D168" t="s">
        <v>22</v>
      </c>
      <c r="E168" t="s">
        <v>11889</v>
      </c>
      <c r="F168" t="s">
        <v>11890</v>
      </c>
      <c r="G168" t="s">
        <v>11891</v>
      </c>
      <c r="H168" t="s">
        <v>11892</v>
      </c>
      <c r="I168" t="s">
        <v>238</v>
      </c>
      <c r="K168" t="s">
        <v>1686</v>
      </c>
      <c r="M168" t="s">
        <v>33</v>
      </c>
    </row>
    <row r="169" spans="1:13" x14ac:dyDescent="0.35">
      <c r="A169" t="s">
        <v>20</v>
      </c>
      <c r="B169">
        <v>17644</v>
      </c>
      <c r="C169" t="s">
        <v>21</v>
      </c>
      <c r="D169" t="s">
        <v>22</v>
      </c>
      <c r="E169" t="s">
        <v>11893</v>
      </c>
      <c r="F169" t="s">
        <v>11894</v>
      </c>
      <c r="G169" t="s">
        <v>11895</v>
      </c>
      <c r="H169" t="s">
        <v>11896</v>
      </c>
      <c r="I169" t="s">
        <v>238</v>
      </c>
      <c r="K169" t="s">
        <v>1681</v>
      </c>
      <c r="M169" t="s">
        <v>33</v>
      </c>
    </row>
    <row r="170" spans="1:13" x14ac:dyDescent="0.35">
      <c r="A170" t="s">
        <v>20</v>
      </c>
      <c r="B170">
        <v>17644</v>
      </c>
      <c r="C170" t="s">
        <v>21</v>
      </c>
      <c r="D170" t="s">
        <v>22</v>
      </c>
      <c r="E170" t="s">
        <v>11897</v>
      </c>
      <c r="F170" t="s">
        <v>11898</v>
      </c>
      <c r="G170" t="s">
        <v>11899</v>
      </c>
      <c r="H170" t="s">
        <v>11900</v>
      </c>
      <c r="I170" t="s">
        <v>238</v>
      </c>
      <c r="K170" t="s">
        <v>1686</v>
      </c>
      <c r="M170" t="s">
        <v>33</v>
      </c>
    </row>
    <row r="171" spans="1:13" x14ac:dyDescent="0.35">
      <c r="A171" t="s">
        <v>20</v>
      </c>
      <c r="B171">
        <v>17644</v>
      </c>
      <c r="C171" t="s">
        <v>21</v>
      </c>
      <c r="D171" t="s">
        <v>22</v>
      </c>
      <c r="E171" t="s">
        <v>11901</v>
      </c>
      <c r="F171" t="s">
        <v>11902</v>
      </c>
      <c r="G171" t="s">
        <v>11903</v>
      </c>
      <c r="H171" t="s">
        <v>11904</v>
      </c>
      <c r="I171" t="s">
        <v>238</v>
      </c>
      <c r="K171" t="s">
        <v>1686</v>
      </c>
      <c r="M171" t="s">
        <v>33</v>
      </c>
    </row>
    <row r="172" spans="1:13" x14ac:dyDescent="0.35">
      <c r="A172" t="s">
        <v>20</v>
      </c>
      <c r="B172">
        <v>17644</v>
      </c>
      <c r="C172" t="s">
        <v>21</v>
      </c>
      <c r="D172" t="s">
        <v>22</v>
      </c>
      <c r="E172" t="s">
        <v>11905</v>
      </c>
      <c r="F172" t="s">
        <v>11906</v>
      </c>
      <c r="G172" t="s">
        <v>11907</v>
      </c>
      <c r="H172" t="s">
        <v>11908</v>
      </c>
      <c r="I172" t="s">
        <v>238</v>
      </c>
      <c r="K172" t="s">
        <v>1686</v>
      </c>
      <c r="M172" t="s">
        <v>33</v>
      </c>
    </row>
    <row r="173" spans="1:13" x14ac:dyDescent="0.35">
      <c r="A173" t="s">
        <v>20</v>
      </c>
      <c r="B173">
        <v>17644</v>
      </c>
      <c r="C173" t="s">
        <v>21</v>
      </c>
      <c r="D173" t="s">
        <v>22</v>
      </c>
      <c r="E173" t="s">
        <v>11909</v>
      </c>
      <c r="F173" t="s">
        <v>11910</v>
      </c>
      <c r="G173" t="s">
        <v>11911</v>
      </c>
      <c r="H173" t="s">
        <v>11912</v>
      </c>
      <c r="I173" t="s">
        <v>238</v>
      </c>
      <c r="K173" t="s">
        <v>1686</v>
      </c>
      <c r="M173" t="s">
        <v>33</v>
      </c>
    </row>
    <row r="174" spans="1:13" x14ac:dyDescent="0.35">
      <c r="A174" t="s">
        <v>20</v>
      </c>
      <c r="B174">
        <v>17644</v>
      </c>
      <c r="C174" t="s">
        <v>21</v>
      </c>
      <c r="D174" t="s">
        <v>22</v>
      </c>
      <c r="E174" t="s">
        <v>11913</v>
      </c>
      <c r="F174" t="s">
        <v>11914</v>
      </c>
      <c r="G174" t="s">
        <v>11915</v>
      </c>
      <c r="H174" t="s">
        <v>11916</v>
      </c>
      <c r="I174" t="s">
        <v>238</v>
      </c>
      <c r="K174" t="s">
        <v>1681</v>
      </c>
      <c r="M174" t="s">
        <v>33</v>
      </c>
    </row>
    <row r="175" spans="1:13" x14ac:dyDescent="0.35">
      <c r="A175" t="s">
        <v>20</v>
      </c>
      <c r="B175">
        <v>17644</v>
      </c>
      <c r="C175" t="s">
        <v>21</v>
      </c>
      <c r="D175" t="s">
        <v>22</v>
      </c>
      <c r="E175" t="s">
        <v>11917</v>
      </c>
      <c r="F175" t="s">
        <v>11918</v>
      </c>
      <c r="G175" t="s">
        <v>11919</v>
      </c>
      <c r="H175" t="s">
        <v>11920</v>
      </c>
      <c r="I175" t="s">
        <v>238</v>
      </c>
      <c r="K175" t="s">
        <v>1686</v>
      </c>
      <c r="M175" t="s">
        <v>33</v>
      </c>
    </row>
    <row r="176" spans="1:13" x14ac:dyDescent="0.35">
      <c r="A176" t="s">
        <v>20</v>
      </c>
      <c r="B176">
        <v>17644</v>
      </c>
      <c r="C176" t="s">
        <v>21</v>
      </c>
      <c r="D176" t="s">
        <v>22</v>
      </c>
      <c r="E176" t="s">
        <v>11921</v>
      </c>
      <c r="F176" t="s">
        <v>11922</v>
      </c>
      <c r="G176" t="s">
        <v>11923</v>
      </c>
      <c r="H176" t="s">
        <v>11924</v>
      </c>
      <c r="I176" t="s">
        <v>238</v>
      </c>
      <c r="K176" t="s">
        <v>1686</v>
      </c>
      <c r="M176" t="s">
        <v>33</v>
      </c>
    </row>
    <row r="177" spans="1:13" x14ac:dyDescent="0.35">
      <c r="A177" t="s">
        <v>20</v>
      </c>
      <c r="B177">
        <v>17644</v>
      </c>
      <c r="C177" t="s">
        <v>21</v>
      </c>
      <c r="D177" t="s">
        <v>22</v>
      </c>
      <c r="E177" t="s">
        <v>11925</v>
      </c>
      <c r="F177" t="s">
        <v>11926</v>
      </c>
      <c r="G177" t="s">
        <v>11927</v>
      </c>
      <c r="H177" t="s">
        <v>11928</v>
      </c>
      <c r="I177" t="s">
        <v>238</v>
      </c>
      <c r="K177" t="s">
        <v>1686</v>
      </c>
      <c r="M177" t="s">
        <v>33</v>
      </c>
    </row>
    <row r="178" spans="1:13" x14ac:dyDescent="0.35">
      <c r="A178" t="s">
        <v>20</v>
      </c>
      <c r="B178">
        <v>17644</v>
      </c>
      <c r="C178" t="s">
        <v>21</v>
      </c>
      <c r="D178" t="s">
        <v>22</v>
      </c>
      <c r="E178" t="s">
        <v>11929</v>
      </c>
      <c r="F178" t="s">
        <v>11930</v>
      </c>
      <c r="G178" t="s">
        <v>11931</v>
      </c>
      <c r="H178" t="s">
        <v>11932</v>
      </c>
      <c r="I178" t="s">
        <v>238</v>
      </c>
      <c r="K178" t="s">
        <v>1686</v>
      </c>
      <c r="M178" t="s">
        <v>33</v>
      </c>
    </row>
    <row r="179" spans="1:13" x14ac:dyDescent="0.35">
      <c r="A179" t="s">
        <v>20</v>
      </c>
      <c r="B179">
        <v>17644</v>
      </c>
      <c r="C179" t="s">
        <v>21</v>
      </c>
      <c r="D179" t="s">
        <v>22</v>
      </c>
      <c r="E179" t="s">
        <v>11933</v>
      </c>
      <c r="F179" t="s">
        <v>11934</v>
      </c>
      <c r="G179" t="s">
        <v>11935</v>
      </c>
      <c r="H179" t="s">
        <v>11936</v>
      </c>
      <c r="I179" t="s">
        <v>238</v>
      </c>
      <c r="K179" t="s">
        <v>1686</v>
      </c>
      <c r="M179" t="s">
        <v>33</v>
      </c>
    </row>
    <row r="180" spans="1:13" x14ac:dyDescent="0.35">
      <c r="A180" t="s">
        <v>20</v>
      </c>
      <c r="B180">
        <v>17644</v>
      </c>
      <c r="C180" t="s">
        <v>21</v>
      </c>
      <c r="D180" t="s">
        <v>22</v>
      </c>
      <c r="E180" t="s">
        <v>11937</v>
      </c>
      <c r="F180" t="s">
        <v>11938</v>
      </c>
      <c r="G180" t="s">
        <v>11939</v>
      </c>
      <c r="H180" t="s">
        <v>11940</v>
      </c>
      <c r="I180" t="s">
        <v>238</v>
      </c>
      <c r="K180" t="s">
        <v>1686</v>
      </c>
      <c r="M180" t="s">
        <v>33</v>
      </c>
    </row>
    <row r="181" spans="1:13" x14ac:dyDescent="0.35">
      <c r="A181" t="s">
        <v>20</v>
      </c>
      <c r="B181">
        <v>17644</v>
      </c>
      <c r="C181" t="s">
        <v>21</v>
      </c>
      <c r="D181" t="s">
        <v>22</v>
      </c>
      <c r="E181" t="s">
        <v>11941</v>
      </c>
      <c r="F181" t="s">
        <v>11942</v>
      </c>
      <c r="G181" t="s">
        <v>11943</v>
      </c>
      <c r="H181" t="s">
        <v>11944</v>
      </c>
      <c r="I181" t="s">
        <v>238</v>
      </c>
      <c r="K181" t="s">
        <v>1686</v>
      </c>
      <c r="M181" t="s">
        <v>33</v>
      </c>
    </row>
    <row r="182" spans="1:13" x14ac:dyDescent="0.35">
      <c r="A182" t="s">
        <v>20</v>
      </c>
      <c r="B182">
        <v>17644</v>
      </c>
      <c r="C182" t="s">
        <v>21</v>
      </c>
      <c r="D182" t="s">
        <v>22</v>
      </c>
      <c r="E182" t="s">
        <v>11945</v>
      </c>
      <c r="F182" t="s">
        <v>11946</v>
      </c>
      <c r="G182" t="s">
        <v>11947</v>
      </c>
      <c r="H182" t="s">
        <v>11948</v>
      </c>
      <c r="I182" t="s">
        <v>238</v>
      </c>
      <c r="K182" t="s">
        <v>1686</v>
      </c>
      <c r="M182" t="s">
        <v>33</v>
      </c>
    </row>
    <row r="183" spans="1:13" x14ac:dyDescent="0.35">
      <c r="A183" t="s">
        <v>20</v>
      </c>
      <c r="B183">
        <v>17644</v>
      </c>
      <c r="C183" t="s">
        <v>21</v>
      </c>
      <c r="D183" t="s">
        <v>22</v>
      </c>
      <c r="E183" t="s">
        <v>11949</v>
      </c>
      <c r="F183" t="s">
        <v>11950</v>
      </c>
      <c r="G183" t="s">
        <v>11951</v>
      </c>
      <c r="H183" t="s">
        <v>11952</v>
      </c>
      <c r="I183" t="s">
        <v>238</v>
      </c>
      <c r="K183" t="s">
        <v>1686</v>
      </c>
      <c r="M183" t="s">
        <v>33</v>
      </c>
    </row>
    <row r="184" spans="1:13" x14ac:dyDescent="0.35">
      <c r="A184" t="s">
        <v>20</v>
      </c>
      <c r="B184">
        <v>17644</v>
      </c>
      <c r="C184" t="s">
        <v>21</v>
      </c>
      <c r="D184" t="s">
        <v>22</v>
      </c>
      <c r="E184" t="s">
        <v>11953</v>
      </c>
      <c r="F184" t="s">
        <v>11954</v>
      </c>
      <c r="G184" t="s">
        <v>11955</v>
      </c>
      <c r="H184" t="s">
        <v>11956</v>
      </c>
      <c r="I184" t="s">
        <v>238</v>
      </c>
      <c r="K184" t="s">
        <v>1686</v>
      </c>
      <c r="M184" t="s">
        <v>33</v>
      </c>
    </row>
    <row r="185" spans="1:13" x14ac:dyDescent="0.35">
      <c r="A185" t="s">
        <v>20</v>
      </c>
      <c r="B185">
        <v>17644</v>
      </c>
      <c r="C185" t="s">
        <v>21</v>
      </c>
      <c r="D185" t="s">
        <v>22</v>
      </c>
      <c r="E185" t="s">
        <v>11957</v>
      </c>
      <c r="F185" t="s">
        <v>11958</v>
      </c>
      <c r="G185" t="s">
        <v>11959</v>
      </c>
      <c r="H185" t="s">
        <v>11960</v>
      </c>
      <c r="I185" t="s">
        <v>238</v>
      </c>
      <c r="K185" t="s">
        <v>1686</v>
      </c>
      <c r="M185" t="s">
        <v>33</v>
      </c>
    </row>
    <row r="186" spans="1:13" x14ac:dyDescent="0.35">
      <c r="A186" t="s">
        <v>20</v>
      </c>
      <c r="B186">
        <v>17644</v>
      </c>
      <c r="C186" t="s">
        <v>21</v>
      </c>
      <c r="D186" t="s">
        <v>22</v>
      </c>
      <c r="E186" t="s">
        <v>11961</v>
      </c>
      <c r="F186" t="s">
        <v>11962</v>
      </c>
      <c r="G186" t="s">
        <v>11963</v>
      </c>
      <c r="H186" t="s">
        <v>11964</v>
      </c>
      <c r="I186" t="s">
        <v>238</v>
      </c>
      <c r="K186" t="s">
        <v>1686</v>
      </c>
      <c r="M186" t="s">
        <v>33</v>
      </c>
    </row>
    <row r="187" spans="1:13" x14ac:dyDescent="0.35">
      <c r="A187" t="s">
        <v>20</v>
      </c>
      <c r="B187">
        <v>17644</v>
      </c>
      <c r="C187" t="s">
        <v>21</v>
      </c>
      <c r="D187" t="s">
        <v>22</v>
      </c>
      <c r="E187" t="s">
        <v>11965</v>
      </c>
      <c r="F187" t="s">
        <v>11966</v>
      </c>
      <c r="G187" t="s">
        <v>11967</v>
      </c>
      <c r="H187" t="s">
        <v>11968</v>
      </c>
      <c r="I187" t="s">
        <v>238</v>
      </c>
      <c r="K187" t="s">
        <v>1686</v>
      </c>
      <c r="M187" t="s">
        <v>33</v>
      </c>
    </row>
    <row r="188" spans="1:13" x14ac:dyDescent="0.35">
      <c r="A188" t="s">
        <v>20</v>
      </c>
      <c r="B188">
        <v>17644</v>
      </c>
      <c r="C188" t="s">
        <v>21</v>
      </c>
      <c r="D188" t="s">
        <v>22</v>
      </c>
      <c r="E188" t="s">
        <v>11969</v>
      </c>
      <c r="F188" t="s">
        <v>11970</v>
      </c>
      <c r="G188" t="s">
        <v>11971</v>
      </c>
      <c r="H188" t="s">
        <v>11972</v>
      </c>
      <c r="I188" t="s">
        <v>238</v>
      </c>
      <c r="K188" t="s">
        <v>1686</v>
      </c>
      <c r="M188" t="s">
        <v>33</v>
      </c>
    </row>
    <row r="189" spans="1:13" x14ac:dyDescent="0.35">
      <c r="A189" t="s">
        <v>20</v>
      </c>
      <c r="B189">
        <v>17644</v>
      </c>
      <c r="C189" t="s">
        <v>21</v>
      </c>
      <c r="D189" t="s">
        <v>22</v>
      </c>
      <c r="E189" t="s">
        <v>11973</v>
      </c>
      <c r="F189" t="s">
        <v>11974</v>
      </c>
      <c r="G189" t="s">
        <v>11975</v>
      </c>
      <c r="H189" t="s">
        <v>11976</v>
      </c>
      <c r="I189" t="s">
        <v>238</v>
      </c>
      <c r="K189" t="s">
        <v>1686</v>
      </c>
      <c r="M189" t="s">
        <v>33</v>
      </c>
    </row>
    <row r="190" spans="1:13" x14ac:dyDescent="0.35">
      <c r="A190" t="s">
        <v>20</v>
      </c>
      <c r="B190">
        <v>17644</v>
      </c>
      <c r="C190" t="s">
        <v>21</v>
      </c>
      <c r="D190" t="s">
        <v>22</v>
      </c>
      <c r="E190" t="s">
        <v>11977</v>
      </c>
      <c r="F190" t="s">
        <v>11978</v>
      </c>
      <c r="G190" t="s">
        <v>11979</v>
      </c>
      <c r="H190" t="s">
        <v>11980</v>
      </c>
      <c r="I190" t="s">
        <v>238</v>
      </c>
      <c r="K190" t="s">
        <v>1686</v>
      </c>
      <c r="M190" t="s">
        <v>33</v>
      </c>
    </row>
    <row r="191" spans="1:13" x14ac:dyDescent="0.35">
      <c r="A191" t="s">
        <v>20</v>
      </c>
      <c r="B191">
        <v>17644</v>
      </c>
      <c r="C191" t="s">
        <v>21</v>
      </c>
      <c r="D191" t="s">
        <v>22</v>
      </c>
      <c r="E191" t="s">
        <v>11981</v>
      </c>
      <c r="F191" t="s">
        <v>11982</v>
      </c>
      <c r="G191" t="s">
        <v>11983</v>
      </c>
      <c r="H191" t="s">
        <v>11984</v>
      </c>
      <c r="I191" t="s">
        <v>238</v>
      </c>
      <c r="K191" t="s">
        <v>1686</v>
      </c>
      <c r="M191" t="s">
        <v>33</v>
      </c>
    </row>
    <row r="192" spans="1:13" x14ac:dyDescent="0.35">
      <c r="A192" t="s">
        <v>20</v>
      </c>
      <c r="B192">
        <v>17644</v>
      </c>
      <c r="C192" t="s">
        <v>21</v>
      </c>
      <c r="D192" t="s">
        <v>22</v>
      </c>
      <c r="E192" t="s">
        <v>11985</v>
      </c>
      <c r="F192" t="s">
        <v>11986</v>
      </c>
      <c r="G192" t="s">
        <v>11987</v>
      </c>
      <c r="H192" t="s">
        <v>11988</v>
      </c>
      <c r="I192" t="s">
        <v>238</v>
      </c>
      <c r="K192" t="s">
        <v>1686</v>
      </c>
      <c r="M192" t="s">
        <v>33</v>
      </c>
    </row>
    <row r="193" spans="1:13" x14ac:dyDescent="0.35">
      <c r="A193" t="s">
        <v>20</v>
      </c>
      <c r="B193">
        <v>17644</v>
      </c>
      <c r="C193" t="s">
        <v>21</v>
      </c>
      <c r="D193" t="s">
        <v>22</v>
      </c>
      <c r="E193" t="s">
        <v>11989</v>
      </c>
      <c r="F193" t="s">
        <v>11990</v>
      </c>
      <c r="G193" t="s">
        <v>11991</v>
      </c>
      <c r="H193" t="s">
        <v>11992</v>
      </c>
      <c r="I193" t="s">
        <v>238</v>
      </c>
      <c r="K193" t="s">
        <v>1686</v>
      </c>
      <c r="M193" t="s">
        <v>33</v>
      </c>
    </row>
    <row r="194" spans="1:13" x14ac:dyDescent="0.35">
      <c r="A194" t="s">
        <v>20</v>
      </c>
      <c r="B194">
        <v>17644</v>
      </c>
      <c r="C194" t="s">
        <v>21</v>
      </c>
      <c r="D194" t="s">
        <v>22</v>
      </c>
      <c r="E194" t="s">
        <v>11993</v>
      </c>
      <c r="F194" t="s">
        <v>11994</v>
      </c>
      <c r="G194" t="s">
        <v>11995</v>
      </c>
      <c r="H194" t="s">
        <v>11996</v>
      </c>
      <c r="I194" t="s">
        <v>238</v>
      </c>
      <c r="K194" t="s">
        <v>1681</v>
      </c>
      <c r="M194" t="s">
        <v>33</v>
      </c>
    </row>
    <row r="195" spans="1:13" x14ac:dyDescent="0.35">
      <c r="A195" t="s">
        <v>20</v>
      </c>
      <c r="B195">
        <v>17644</v>
      </c>
      <c r="C195" t="s">
        <v>21</v>
      </c>
      <c r="D195" t="s">
        <v>22</v>
      </c>
      <c r="E195" t="s">
        <v>11997</v>
      </c>
      <c r="F195" t="s">
        <v>11998</v>
      </c>
      <c r="G195" t="s">
        <v>11999</v>
      </c>
      <c r="H195" t="s">
        <v>12000</v>
      </c>
      <c r="I195" t="s">
        <v>238</v>
      </c>
      <c r="K195" t="s">
        <v>1686</v>
      </c>
      <c r="M195" t="s">
        <v>33</v>
      </c>
    </row>
    <row r="196" spans="1:13" x14ac:dyDescent="0.35">
      <c r="A196" t="s">
        <v>20</v>
      </c>
      <c r="B196">
        <v>17644</v>
      </c>
      <c r="C196" t="s">
        <v>21</v>
      </c>
      <c r="D196" t="s">
        <v>22</v>
      </c>
      <c r="E196" t="s">
        <v>12001</v>
      </c>
      <c r="F196" t="s">
        <v>12002</v>
      </c>
      <c r="G196" t="s">
        <v>12003</v>
      </c>
      <c r="H196" t="s">
        <v>12004</v>
      </c>
      <c r="I196" t="s">
        <v>238</v>
      </c>
      <c r="K196" t="s">
        <v>1686</v>
      </c>
      <c r="M196" t="s">
        <v>33</v>
      </c>
    </row>
    <row r="197" spans="1:13" x14ac:dyDescent="0.35">
      <c r="A197" t="s">
        <v>20</v>
      </c>
      <c r="B197">
        <v>17644</v>
      </c>
      <c r="C197" t="s">
        <v>21</v>
      </c>
      <c r="D197" t="s">
        <v>22</v>
      </c>
      <c r="E197" t="s">
        <v>12005</v>
      </c>
      <c r="F197" t="s">
        <v>12006</v>
      </c>
      <c r="G197" t="s">
        <v>12007</v>
      </c>
      <c r="H197" t="s">
        <v>12008</v>
      </c>
      <c r="I197" t="s">
        <v>238</v>
      </c>
      <c r="K197" t="s">
        <v>1686</v>
      </c>
      <c r="M197" t="s">
        <v>33</v>
      </c>
    </row>
    <row r="198" spans="1:13" x14ac:dyDescent="0.35">
      <c r="A198" t="s">
        <v>20</v>
      </c>
      <c r="B198">
        <v>17644</v>
      </c>
      <c r="C198" t="s">
        <v>21</v>
      </c>
      <c r="D198" t="s">
        <v>22</v>
      </c>
      <c r="E198" t="s">
        <v>12009</v>
      </c>
      <c r="F198" t="s">
        <v>12010</v>
      </c>
      <c r="G198" t="s">
        <v>12011</v>
      </c>
      <c r="H198" t="s">
        <v>12012</v>
      </c>
      <c r="I198" t="s">
        <v>238</v>
      </c>
      <c r="K198" t="s">
        <v>1686</v>
      </c>
      <c r="M198" t="s">
        <v>33</v>
      </c>
    </row>
    <row r="199" spans="1:13" x14ac:dyDescent="0.35">
      <c r="A199" t="s">
        <v>20</v>
      </c>
      <c r="B199">
        <v>17644</v>
      </c>
      <c r="C199" t="s">
        <v>21</v>
      </c>
      <c r="D199" t="s">
        <v>22</v>
      </c>
      <c r="E199" t="s">
        <v>12013</v>
      </c>
      <c r="F199" t="s">
        <v>12014</v>
      </c>
      <c r="G199" t="s">
        <v>12015</v>
      </c>
      <c r="H199" t="s">
        <v>12016</v>
      </c>
      <c r="I199" t="s">
        <v>238</v>
      </c>
      <c r="K199" t="s">
        <v>1686</v>
      </c>
      <c r="M199" t="s">
        <v>33</v>
      </c>
    </row>
    <row r="200" spans="1:13" x14ac:dyDescent="0.35">
      <c r="A200" t="s">
        <v>20</v>
      </c>
      <c r="B200">
        <v>17644</v>
      </c>
      <c r="C200" t="s">
        <v>21</v>
      </c>
      <c r="D200" t="s">
        <v>22</v>
      </c>
      <c r="E200" t="s">
        <v>12017</v>
      </c>
      <c r="F200" t="s">
        <v>12018</v>
      </c>
      <c r="G200" t="s">
        <v>12019</v>
      </c>
      <c r="H200" t="s">
        <v>12020</v>
      </c>
      <c r="I200" t="s">
        <v>238</v>
      </c>
      <c r="K200" t="s">
        <v>1686</v>
      </c>
      <c r="M200" t="s">
        <v>33</v>
      </c>
    </row>
    <row r="201" spans="1:13" x14ac:dyDescent="0.35">
      <c r="A201" t="s">
        <v>20</v>
      </c>
      <c r="B201">
        <v>17644</v>
      </c>
      <c r="C201" t="s">
        <v>21</v>
      </c>
      <c r="D201" t="s">
        <v>22</v>
      </c>
      <c r="E201" t="s">
        <v>12021</v>
      </c>
      <c r="F201" t="s">
        <v>12022</v>
      </c>
      <c r="G201" t="s">
        <v>12023</v>
      </c>
      <c r="H201" t="s">
        <v>12024</v>
      </c>
      <c r="I201" t="s">
        <v>238</v>
      </c>
      <c r="K201" t="s">
        <v>1686</v>
      </c>
      <c r="M201" t="s">
        <v>33</v>
      </c>
    </row>
    <row r="202" spans="1:13" x14ac:dyDescent="0.35">
      <c r="A202" t="s">
        <v>20</v>
      </c>
      <c r="B202">
        <v>17644</v>
      </c>
      <c r="C202" t="s">
        <v>21</v>
      </c>
      <c r="D202" t="s">
        <v>22</v>
      </c>
      <c r="E202" t="s">
        <v>12025</v>
      </c>
      <c r="F202" t="s">
        <v>12026</v>
      </c>
      <c r="G202" t="s">
        <v>12027</v>
      </c>
      <c r="H202" t="s">
        <v>12028</v>
      </c>
      <c r="I202" t="s">
        <v>238</v>
      </c>
      <c r="K202" t="s">
        <v>1686</v>
      </c>
      <c r="M202" t="s">
        <v>33</v>
      </c>
    </row>
    <row r="203" spans="1:13" x14ac:dyDescent="0.35">
      <c r="A203" t="s">
        <v>20</v>
      </c>
      <c r="B203">
        <v>17644</v>
      </c>
      <c r="C203" t="s">
        <v>21</v>
      </c>
      <c r="D203" t="s">
        <v>22</v>
      </c>
      <c r="E203" t="s">
        <v>12029</v>
      </c>
      <c r="F203" t="s">
        <v>12030</v>
      </c>
      <c r="G203" t="s">
        <v>12031</v>
      </c>
      <c r="H203" t="s">
        <v>12032</v>
      </c>
      <c r="I203" t="s">
        <v>238</v>
      </c>
      <c r="K203" t="s">
        <v>1686</v>
      </c>
      <c r="M203" t="s">
        <v>33</v>
      </c>
    </row>
    <row r="204" spans="1:13" x14ac:dyDescent="0.35">
      <c r="A204" t="s">
        <v>20</v>
      </c>
      <c r="B204">
        <v>17644</v>
      </c>
      <c r="C204" t="s">
        <v>21</v>
      </c>
      <c r="D204" t="s">
        <v>22</v>
      </c>
      <c r="E204" t="s">
        <v>12033</v>
      </c>
      <c r="F204" t="s">
        <v>12034</v>
      </c>
      <c r="G204" t="s">
        <v>12035</v>
      </c>
      <c r="H204" t="s">
        <v>12036</v>
      </c>
      <c r="I204" t="s">
        <v>238</v>
      </c>
      <c r="K204" t="s">
        <v>1686</v>
      </c>
      <c r="M204" t="s">
        <v>33</v>
      </c>
    </row>
    <row r="205" spans="1:13" x14ac:dyDescent="0.35">
      <c r="A205" t="s">
        <v>20</v>
      </c>
      <c r="B205">
        <v>17644</v>
      </c>
      <c r="C205" t="s">
        <v>21</v>
      </c>
      <c r="D205" t="s">
        <v>22</v>
      </c>
      <c r="E205" t="s">
        <v>12037</v>
      </c>
      <c r="F205" t="s">
        <v>12038</v>
      </c>
      <c r="G205" t="s">
        <v>12039</v>
      </c>
      <c r="H205" t="s">
        <v>12040</v>
      </c>
      <c r="I205" t="s">
        <v>238</v>
      </c>
      <c r="K205" t="s">
        <v>1686</v>
      </c>
      <c r="M205" t="s">
        <v>33</v>
      </c>
    </row>
    <row r="206" spans="1:13" x14ac:dyDescent="0.35">
      <c r="A206" t="s">
        <v>20</v>
      </c>
      <c r="B206">
        <v>17644</v>
      </c>
      <c r="C206" t="s">
        <v>21</v>
      </c>
      <c r="D206" t="s">
        <v>22</v>
      </c>
      <c r="E206" t="s">
        <v>12041</v>
      </c>
      <c r="F206" t="s">
        <v>12042</v>
      </c>
      <c r="G206" t="s">
        <v>12043</v>
      </c>
      <c r="H206" t="s">
        <v>12044</v>
      </c>
      <c r="I206" t="s">
        <v>238</v>
      </c>
      <c r="K206" t="s">
        <v>1686</v>
      </c>
      <c r="M206" t="s">
        <v>33</v>
      </c>
    </row>
    <row r="207" spans="1:13" x14ac:dyDescent="0.35">
      <c r="A207" t="s">
        <v>20</v>
      </c>
      <c r="B207">
        <v>17644</v>
      </c>
      <c r="C207" t="s">
        <v>21</v>
      </c>
      <c r="D207" t="s">
        <v>22</v>
      </c>
      <c r="E207" t="s">
        <v>12045</v>
      </c>
      <c r="F207" t="s">
        <v>12046</v>
      </c>
      <c r="G207" t="s">
        <v>12047</v>
      </c>
      <c r="H207" t="s">
        <v>12048</v>
      </c>
      <c r="I207" t="s">
        <v>238</v>
      </c>
      <c r="K207" t="s">
        <v>1686</v>
      </c>
      <c r="M207" t="s">
        <v>33</v>
      </c>
    </row>
    <row r="208" spans="1:13" x14ac:dyDescent="0.35">
      <c r="A208" t="s">
        <v>20</v>
      </c>
      <c r="B208">
        <v>17644</v>
      </c>
      <c r="C208" t="s">
        <v>21</v>
      </c>
      <c r="D208" t="s">
        <v>22</v>
      </c>
      <c r="E208" t="s">
        <v>12049</v>
      </c>
      <c r="F208" t="s">
        <v>12050</v>
      </c>
      <c r="G208" t="s">
        <v>12051</v>
      </c>
      <c r="H208" t="s">
        <v>12052</v>
      </c>
      <c r="I208" t="s">
        <v>238</v>
      </c>
      <c r="K208" t="s">
        <v>1686</v>
      </c>
      <c r="M208" t="s">
        <v>33</v>
      </c>
    </row>
    <row r="209" spans="1:13" x14ac:dyDescent="0.35">
      <c r="A209" t="s">
        <v>20</v>
      </c>
      <c r="B209">
        <v>17644</v>
      </c>
      <c r="C209" t="s">
        <v>21</v>
      </c>
      <c r="D209" t="s">
        <v>22</v>
      </c>
      <c r="E209" t="s">
        <v>12053</v>
      </c>
      <c r="F209" t="s">
        <v>12054</v>
      </c>
      <c r="G209" t="s">
        <v>12055</v>
      </c>
      <c r="H209" t="s">
        <v>12056</v>
      </c>
      <c r="I209" t="s">
        <v>238</v>
      </c>
      <c r="K209" t="s">
        <v>1686</v>
      </c>
      <c r="M209" t="s">
        <v>33</v>
      </c>
    </row>
    <row r="210" spans="1:13" x14ac:dyDescent="0.35">
      <c r="A210" t="s">
        <v>20</v>
      </c>
      <c r="B210">
        <v>17644</v>
      </c>
      <c r="C210" t="s">
        <v>21</v>
      </c>
      <c r="D210" t="s">
        <v>22</v>
      </c>
      <c r="E210" t="s">
        <v>12057</v>
      </c>
      <c r="F210" t="s">
        <v>12058</v>
      </c>
      <c r="G210" t="s">
        <v>12059</v>
      </c>
      <c r="H210" t="s">
        <v>12060</v>
      </c>
      <c r="I210" t="s">
        <v>238</v>
      </c>
      <c r="K210" t="s">
        <v>1686</v>
      </c>
      <c r="M210" t="s">
        <v>33</v>
      </c>
    </row>
    <row r="211" spans="1:13" x14ac:dyDescent="0.35">
      <c r="A211" t="s">
        <v>20</v>
      </c>
      <c r="B211">
        <v>17644</v>
      </c>
      <c r="C211" t="s">
        <v>21</v>
      </c>
      <c r="D211" t="s">
        <v>22</v>
      </c>
      <c r="E211" t="s">
        <v>12061</v>
      </c>
      <c r="F211" t="s">
        <v>12062</v>
      </c>
      <c r="G211" t="s">
        <v>12063</v>
      </c>
      <c r="H211" t="s">
        <v>12064</v>
      </c>
      <c r="I211" t="s">
        <v>238</v>
      </c>
      <c r="K211" t="s">
        <v>1686</v>
      </c>
      <c r="M211" t="s">
        <v>33</v>
      </c>
    </row>
    <row r="212" spans="1:13" x14ac:dyDescent="0.35">
      <c r="A212" t="s">
        <v>20</v>
      </c>
      <c r="B212">
        <v>17644</v>
      </c>
      <c r="C212" t="s">
        <v>21</v>
      </c>
      <c r="D212" t="s">
        <v>22</v>
      </c>
      <c r="E212" t="s">
        <v>12065</v>
      </c>
      <c r="F212" t="s">
        <v>12066</v>
      </c>
      <c r="G212" t="s">
        <v>12067</v>
      </c>
      <c r="H212" t="s">
        <v>12068</v>
      </c>
      <c r="I212" t="s">
        <v>238</v>
      </c>
      <c r="K212" t="s">
        <v>1686</v>
      </c>
      <c r="M212" t="s">
        <v>33</v>
      </c>
    </row>
    <row r="213" spans="1:13" x14ac:dyDescent="0.35">
      <c r="A213" t="s">
        <v>20</v>
      </c>
      <c r="B213">
        <v>17644</v>
      </c>
      <c r="C213" t="s">
        <v>21</v>
      </c>
      <c r="D213" t="s">
        <v>22</v>
      </c>
      <c r="E213" t="s">
        <v>12069</v>
      </c>
      <c r="F213" t="s">
        <v>12070</v>
      </c>
      <c r="G213" t="s">
        <v>12071</v>
      </c>
      <c r="H213" t="s">
        <v>12072</v>
      </c>
      <c r="I213" t="s">
        <v>238</v>
      </c>
      <c r="K213" t="s">
        <v>1686</v>
      </c>
      <c r="M213" t="s">
        <v>33</v>
      </c>
    </row>
    <row r="214" spans="1:13" x14ac:dyDescent="0.35">
      <c r="A214" t="s">
        <v>20</v>
      </c>
      <c r="B214">
        <v>17644</v>
      </c>
      <c r="C214" t="s">
        <v>21</v>
      </c>
      <c r="D214" t="s">
        <v>22</v>
      </c>
      <c r="E214" t="s">
        <v>12073</v>
      </c>
      <c r="F214" t="s">
        <v>12074</v>
      </c>
      <c r="G214" t="s">
        <v>12075</v>
      </c>
      <c r="H214" t="s">
        <v>12076</v>
      </c>
      <c r="I214" t="s">
        <v>238</v>
      </c>
      <c r="K214" t="s">
        <v>1681</v>
      </c>
      <c r="M214" t="s">
        <v>33</v>
      </c>
    </row>
    <row r="215" spans="1:13" x14ac:dyDescent="0.35">
      <c r="A215" t="s">
        <v>20</v>
      </c>
      <c r="B215">
        <v>17644</v>
      </c>
      <c r="C215" t="s">
        <v>21</v>
      </c>
      <c r="D215" t="s">
        <v>22</v>
      </c>
      <c r="E215" t="s">
        <v>12077</v>
      </c>
      <c r="F215" t="s">
        <v>12078</v>
      </c>
      <c r="G215" t="s">
        <v>12079</v>
      </c>
      <c r="H215" t="s">
        <v>12080</v>
      </c>
      <c r="I215" t="s">
        <v>238</v>
      </c>
      <c r="K215" t="s">
        <v>1686</v>
      </c>
      <c r="M215" t="s">
        <v>33</v>
      </c>
    </row>
    <row r="216" spans="1:13" x14ac:dyDescent="0.35">
      <c r="A216" t="s">
        <v>20</v>
      </c>
      <c r="B216">
        <v>17644</v>
      </c>
      <c r="C216" t="s">
        <v>21</v>
      </c>
      <c r="D216" t="s">
        <v>22</v>
      </c>
      <c r="E216" t="s">
        <v>12081</v>
      </c>
      <c r="F216" t="s">
        <v>12082</v>
      </c>
      <c r="G216" t="s">
        <v>12083</v>
      </c>
      <c r="H216" t="s">
        <v>12084</v>
      </c>
      <c r="I216" t="s">
        <v>238</v>
      </c>
      <c r="K216" t="s">
        <v>1686</v>
      </c>
      <c r="M216" t="s">
        <v>33</v>
      </c>
    </row>
    <row r="217" spans="1:13" x14ac:dyDescent="0.35">
      <c r="A217" t="s">
        <v>20</v>
      </c>
      <c r="B217">
        <v>17644</v>
      </c>
      <c r="C217" t="s">
        <v>21</v>
      </c>
      <c r="D217" t="s">
        <v>22</v>
      </c>
      <c r="E217" t="s">
        <v>12085</v>
      </c>
      <c r="F217" t="s">
        <v>12086</v>
      </c>
      <c r="G217" t="s">
        <v>12087</v>
      </c>
      <c r="H217" t="s">
        <v>12088</v>
      </c>
      <c r="I217" t="s">
        <v>238</v>
      </c>
      <c r="K217" t="s">
        <v>1686</v>
      </c>
      <c r="M217" t="s">
        <v>33</v>
      </c>
    </row>
    <row r="218" spans="1:13" x14ac:dyDescent="0.35">
      <c r="A218" t="s">
        <v>20</v>
      </c>
      <c r="B218">
        <v>17644</v>
      </c>
      <c r="C218" t="s">
        <v>21</v>
      </c>
      <c r="D218" t="s">
        <v>22</v>
      </c>
      <c r="E218" t="s">
        <v>12089</v>
      </c>
      <c r="F218" t="s">
        <v>12090</v>
      </c>
      <c r="G218" t="s">
        <v>12091</v>
      </c>
      <c r="H218" t="s">
        <v>12092</v>
      </c>
      <c r="I218" t="s">
        <v>238</v>
      </c>
      <c r="K218" t="s">
        <v>1686</v>
      </c>
      <c r="M218" t="s">
        <v>33</v>
      </c>
    </row>
    <row r="219" spans="1:13" x14ac:dyDescent="0.35">
      <c r="A219" t="s">
        <v>20</v>
      </c>
      <c r="B219">
        <v>17644</v>
      </c>
      <c r="C219" t="s">
        <v>21</v>
      </c>
      <c r="D219" t="s">
        <v>22</v>
      </c>
      <c r="E219" t="s">
        <v>12093</v>
      </c>
      <c r="F219" t="s">
        <v>12094</v>
      </c>
      <c r="G219" t="s">
        <v>12095</v>
      </c>
      <c r="H219" t="s">
        <v>12096</v>
      </c>
      <c r="I219" t="s">
        <v>238</v>
      </c>
      <c r="K219" t="s">
        <v>1686</v>
      </c>
      <c r="M219" t="s">
        <v>33</v>
      </c>
    </row>
    <row r="220" spans="1:13" x14ac:dyDescent="0.35">
      <c r="A220" t="s">
        <v>20</v>
      </c>
      <c r="B220">
        <v>17644</v>
      </c>
      <c r="C220" t="s">
        <v>21</v>
      </c>
      <c r="D220" t="s">
        <v>22</v>
      </c>
      <c r="E220" t="s">
        <v>12097</v>
      </c>
      <c r="F220" t="s">
        <v>12098</v>
      </c>
      <c r="G220" t="s">
        <v>12099</v>
      </c>
      <c r="H220" t="s">
        <v>12100</v>
      </c>
      <c r="I220" t="s">
        <v>238</v>
      </c>
      <c r="K220" t="s">
        <v>1686</v>
      </c>
      <c r="M220" t="s">
        <v>33</v>
      </c>
    </row>
    <row r="221" spans="1:13" x14ac:dyDescent="0.35">
      <c r="A221" t="s">
        <v>20</v>
      </c>
      <c r="B221">
        <v>17644</v>
      </c>
      <c r="C221" t="s">
        <v>21</v>
      </c>
      <c r="D221" t="s">
        <v>22</v>
      </c>
      <c r="E221" t="s">
        <v>12101</v>
      </c>
      <c r="F221" t="s">
        <v>12102</v>
      </c>
      <c r="G221" t="s">
        <v>12103</v>
      </c>
      <c r="H221" t="s">
        <v>12104</v>
      </c>
      <c r="I221" t="s">
        <v>238</v>
      </c>
      <c r="K221" t="s">
        <v>1686</v>
      </c>
      <c r="M221" t="s">
        <v>33</v>
      </c>
    </row>
    <row r="222" spans="1:13" x14ac:dyDescent="0.35">
      <c r="A222" t="s">
        <v>20</v>
      </c>
      <c r="B222">
        <v>17644</v>
      </c>
      <c r="C222" t="s">
        <v>21</v>
      </c>
      <c r="D222" t="s">
        <v>22</v>
      </c>
      <c r="E222" t="s">
        <v>12105</v>
      </c>
      <c r="F222" t="s">
        <v>12106</v>
      </c>
      <c r="G222" t="s">
        <v>12107</v>
      </c>
      <c r="H222" t="s">
        <v>12108</v>
      </c>
      <c r="I222" t="s">
        <v>238</v>
      </c>
      <c r="K222" t="s">
        <v>1686</v>
      </c>
      <c r="M222" t="s">
        <v>33</v>
      </c>
    </row>
    <row r="223" spans="1:13" x14ac:dyDescent="0.35">
      <c r="A223" t="s">
        <v>20</v>
      </c>
      <c r="B223">
        <v>17644</v>
      </c>
      <c r="C223" t="s">
        <v>21</v>
      </c>
      <c r="D223" t="s">
        <v>22</v>
      </c>
      <c r="E223" t="s">
        <v>12109</v>
      </c>
      <c r="F223" t="s">
        <v>12110</v>
      </c>
      <c r="G223" t="s">
        <v>12111</v>
      </c>
      <c r="H223" t="s">
        <v>12112</v>
      </c>
      <c r="I223" t="s">
        <v>238</v>
      </c>
      <c r="K223" t="s">
        <v>1686</v>
      </c>
      <c r="M223" t="s">
        <v>33</v>
      </c>
    </row>
    <row r="224" spans="1:13" x14ac:dyDescent="0.35">
      <c r="A224" t="s">
        <v>20</v>
      </c>
      <c r="B224">
        <v>17644</v>
      </c>
      <c r="C224" t="s">
        <v>21</v>
      </c>
      <c r="D224" t="s">
        <v>22</v>
      </c>
      <c r="E224" t="s">
        <v>12113</v>
      </c>
      <c r="F224" t="s">
        <v>12114</v>
      </c>
      <c r="G224" t="s">
        <v>12115</v>
      </c>
      <c r="H224" t="s">
        <v>12116</v>
      </c>
      <c r="I224" t="s">
        <v>238</v>
      </c>
      <c r="K224" t="s">
        <v>1686</v>
      </c>
      <c r="M224" t="s">
        <v>33</v>
      </c>
    </row>
    <row r="225" spans="1:13" x14ac:dyDescent="0.35">
      <c r="A225" t="s">
        <v>20</v>
      </c>
      <c r="B225">
        <v>17644</v>
      </c>
      <c r="C225" t="s">
        <v>21</v>
      </c>
      <c r="D225" t="s">
        <v>22</v>
      </c>
      <c r="E225" t="s">
        <v>12117</v>
      </c>
      <c r="F225" t="s">
        <v>12118</v>
      </c>
      <c r="G225" t="s">
        <v>12119</v>
      </c>
      <c r="H225" t="s">
        <v>12120</v>
      </c>
      <c r="I225" t="s">
        <v>238</v>
      </c>
      <c r="K225" t="s">
        <v>1686</v>
      </c>
      <c r="M225" t="s">
        <v>33</v>
      </c>
    </row>
    <row r="226" spans="1:13" x14ac:dyDescent="0.35">
      <c r="A226" t="s">
        <v>20</v>
      </c>
      <c r="B226">
        <v>17644</v>
      </c>
      <c r="C226" t="s">
        <v>21</v>
      </c>
      <c r="D226" t="s">
        <v>22</v>
      </c>
      <c r="E226" t="s">
        <v>12121</v>
      </c>
      <c r="F226" t="s">
        <v>12122</v>
      </c>
      <c r="G226" t="s">
        <v>12123</v>
      </c>
      <c r="H226" t="s">
        <v>12124</v>
      </c>
      <c r="I226" t="s">
        <v>238</v>
      </c>
      <c r="K226" t="s">
        <v>1686</v>
      </c>
      <c r="M226" t="s">
        <v>33</v>
      </c>
    </row>
    <row r="227" spans="1:13" x14ac:dyDescent="0.35">
      <c r="A227" t="s">
        <v>20</v>
      </c>
      <c r="B227">
        <v>17644</v>
      </c>
      <c r="C227" t="s">
        <v>21</v>
      </c>
      <c r="D227" t="s">
        <v>22</v>
      </c>
      <c r="E227" t="s">
        <v>12125</v>
      </c>
      <c r="F227" t="s">
        <v>12126</v>
      </c>
      <c r="G227" t="s">
        <v>12127</v>
      </c>
      <c r="H227" t="s">
        <v>12128</v>
      </c>
      <c r="I227" t="s">
        <v>238</v>
      </c>
      <c r="K227" t="s">
        <v>1686</v>
      </c>
      <c r="M227" t="s">
        <v>33</v>
      </c>
    </row>
    <row r="228" spans="1:13" x14ac:dyDescent="0.35">
      <c r="A228" t="s">
        <v>20</v>
      </c>
      <c r="B228">
        <v>17644</v>
      </c>
      <c r="C228" t="s">
        <v>21</v>
      </c>
      <c r="D228" t="s">
        <v>22</v>
      </c>
      <c r="E228" t="s">
        <v>12129</v>
      </c>
      <c r="F228" t="s">
        <v>12130</v>
      </c>
      <c r="G228" t="s">
        <v>12131</v>
      </c>
      <c r="H228" t="s">
        <v>12132</v>
      </c>
      <c r="I228" t="s">
        <v>238</v>
      </c>
      <c r="K228" t="s">
        <v>1686</v>
      </c>
      <c r="M228" t="s">
        <v>33</v>
      </c>
    </row>
    <row r="229" spans="1:13" x14ac:dyDescent="0.35">
      <c r="A229" t="s">
        <v>20</v>
      </c>
      <c r="B229">
        <v>17644</v>
      </c>
      <c r="C229" t="s">
        <v>21</v>
      </c>
      <c r="D229" t="s">
        <v>22</v>
      </c>
      <c r="E229" t="s">
        <v>12133</v>
      </c>
      <c r="F229" t="s">
        <v>12134</v>
      </c>
      <c r="G229" t="s">
        <v>12135</v>
      </c>
      <c r="H229" t="s">
        <v>12136</v>
      </c>
      <c r="I229" t="s">
        <v>238</v>
      </c>
      <c r="K229" t="s">
        <v>1686</v>
      </c>
      <c r="M229" t="s">
        <v>33</v>
      </c>
    </row>
    <row r="230" spans="1:13" x14ac:dyDescent="0.35">
      <c r="A230" t="s">
        <v>20</v>
      </c>
      <c r="B230">
        <v>17644</v>
      </c>
      <c r="C230" t="s">
        <v>21</v>
      </c>
      <c r="D230" t="s">
        <v>22</v>
      </c>
      <c r="E230" t="s">
        <v>12137</v>
      </c>
      <c r="F230" t="s">
        <v>12138</v>
      </c>
      <c r="G230" t="s">
        <v>12139</v>
      </c>
      <c r="H230" t="s">
        <v>12140</v>
      </c>
      <c r="I230" t="s">
        <v>238</v>
      </c>
      <c r="K230" t="s">
        <v>1686</v>
      </c>
      <c r="M230" t="s">
        <v>33</v>
      </c>
    </row>
    <row r="231" spans="1:13" x14ac:dyDescent="0.35">
      <c r="A231" t="s">
        <v>20</v>
      </c>
      <c r="B231">
        <v>17644</v>
      </c>
      <c r="C231" t="s">
        <v>21</v>
      </c>
      <c r="D231" t="s">
        <v>22</v>
      </c>
      <c r="E231" t="s">
        <v>12141</v>
      </c>
      <c r="F231" t="s">
        <v>12142</v>
      </c>
      <c r="G231" t="s">
        <v>12143</v>
      </c>
      <c r="H231" t="s">
        <v>12144</v>
      </c>
      <c r="I231" t="s">
        <v>238</v>
      </c>
      <c r="K231" t="s">
        <v>1686</v>
      </c>
      <c r="M231" t="s">
        <v>33</v>
      </c>
    </row>
    <row r="232" spans="1:13" x14ac:dyDescent="0.35">
      <c r="A232" t="s">
        <v>20</v>
      </c>
      <c r="B232">
        <v>17644</v>
      </c>
      <c r="C232" t="s">
        <v>21</v>
      </c>
      <c r="D232" t="s">
        <v>22</v>
      </c>
      <c r="E232" t="s">
        <v>12145</v>
      </c>
      <c r="F232" t="s">
        <v>12146</v>
      </c>
      <c r="G232" t="s">
        <v>12147</v>
      </c>
      <c r="H232" t="s">
        <v>12148</v>
      </c>
      <c r="I232" t="s">
        <v>238</v>
      </c>
      <c r="K232" t="s">
        <v>1686</v>
      </c>
      <c r="M232" t="s">
        <v>33</v>
      </c>
    </row>
    <row r="233" spans="1:13" x14ac:dyDescent="0.35">
      <c r="A233" t="s">
        <v>20</v>
      </c>
      <c r="B233">
        <v>17644</v>
      </c>
      <c r="C233" t="s">
        <v>21</v>
      </c>
      <c r="D233" t="s">
        <v>22</v>
      </c>
      <c r="E233" t="s">
        <v>12149</v>
      </c>
      <c r="F233" t="s">
        <v>12150</v>
      </c>
      <c r="G233" t="s">
        <v>12151</v>
      </c>
      <c r="H233" t="s">
        <v>12152</v>
      </c>
      <c r="I233" t="s">
        <v>238</v>
      </c>
      <c r="K233" t="s">
        <v>1686</v>
      </c>
      <c r="M233" t="s">
        <v>33</v>
      </c>
    </row>
    <row r="234" spans="1:13" x14ac:dyDescent="0.35">
      <c r="A234" t="s">
        <v>20</v>
      </c>
      <c r="B234">
        <v>17644</v>
      </c>
      <c r="C234" t="s">
        <v>21</v>
      </c>
      <c r="D234" t="s">
        <v>22</v>
      </c>
      <c r="E234" t="s">
        <v>12153</v>
      </c>
      <c r="F234" t="s">
        <v>12154</v>
      </c>
      <c r="G234" t="s">
        <v>12155</v>
      </c>
      <c r="H234" t="s">
        <v>12156</v>
      </c>
      <c r="I234" t="s">
        <v>238</v>
      </c>
      <c r="K234" t="s">
        <v>1686</v>
      </c>
      <c r="M234" t="s">
        <v>33</v>
      </c>
    </row>
    <row r="235" spans="1:13" x14ac:dyDescent="0.35">
      <c r="A235" t="s">
        <v>20</v>
      </c>
      <c r="B235">
        <v>17644</v>
      </c>
      <c r="C235" t="s">
        <v>21</v>
      </c>
      <c r="D235" t="s">
        <v>22</v>
      </c>
      <c r="E235" t="s">
        <v>12157</v>
      </c>
      <c r="F235" t="s">
        <v>12158</v>
      </c>
      <c r="G235" t="s">
        <v>12159</v>
      </c>
      <c r="H235" t="s">
        <v>12160</v>
      </c>
      <c r="I235" t="s">
        <v>238</v>
      </c>
      <c r="K235" t="s">
        <v>1686</v>
      </c>
      <c r="M235" t="s">
        <v>33</v>
      </c>
    </row>
    <row r="236" spans="1:13" x14ac:dyDescent="0.35">
      <c r="A236" t="s">
        <v>20</v>
      </c>
      <c r="B236">
        <v>17644</v>
      </c>
      <c r="C236" t="s">
        <v>21</v>
      </c>
      <c r="D236" t="s">
        <v>22</v>
      </c>
      <c r="E236" t="s">
        <v>12161</v>
      </c>
      <c r="F236" t="s">
        <v>12162</v>
      </c>
      <c r="G236" t="s">
        <v>12163</v>
      </c>
      <c r="H236" t="s">
        <v>12164</v>
      </c>
      <c r="I236" t="s">
        <v>238</v>
      </c>
      <c r="K236" t="s">
        <v>1681</v>
      </c>
      <c r="M236" t="s">
        <v>33</v>
      </c>
    </row>
    <row r="237" spans="1:13" x14ac:dyDescent="0.35">
      <c r="A237" t="s">
        <v>20</v>
      </c>
      <c r="B237">
        <v>17644</v>
      </c>
      <c r="C237" t="s">
        <v>21</v>
      </c>
      <c r="D237" t="s">
        <v>22</v>
      </c>
      <c r="E237" t="s">
        <v>12165</v>
      </c>
      <c r="F237" t="s">
        <v>12166</v>
      </c>
      <c r="G237" t="s">
        <v>12167</v>
      </c>
      <c r="H237" t="s">
        <v>12168</v>
      </c>
      <c r="I237" t="s">
        <v>238</v>
      </c>
      <c r="K237" t="s">
        <v>1686</v>
      </c>
      <c r="M237" t="s">
        <v>33</v>
      </c>
    </row>
    <row r="238" spans="1:13" x14ac:dyDescent="0.35">
      <c r="A238" t="s">
        <v>20</v>
      </c>
      <c r="B238">
        <v>17644</v>
      </c>
      <c r="C238" t="s">
        <v>21</v>
      </c>
      <c r="D238" t="s">
        <v>22</v>
      </c>
      <c r="E238" t="s">
        <v>12169</v>
      </c>
      <c r="F238" t="s">
        <v>12170</v>
      </c>
      <c r="G238" t="s">
        <v>12171</v>
      </c>
      <c r="H238" t="s">
        <v>12172</v>
      </c>
      <c r="I238" t="s">
        <v>238</v>
      </c>
      <c r="K238" t="s">
        <v>1686</v>
      </c>
      <c r="M238" t="s">
        <v>33</v>
      </c>
    </row>
    <row r="239" spans="1:13" x14ac:dyDescent="0.35">
      <c r="A239" t="s">
        <v>20</v>
      </c>
      <c r="B239">
        <v>17644</v>
      </c>
      <c r="C239" t="s">
        <v>21</v>
      </c>
      <c r="D239" t="s">
        <v>22</v>
      </c>
      <c r="E239" t="s">
        <v>12173</v>
      </c>
      <c r="F239" t="s">
        <v>12174</v>
      </c>
      <c r="G239" t="s">
        <v>12175</v>
      </c>
      <c r="H239" t="s">
        <v>12176</v>
      </c>
      <c r="I239" t="s">
        <v>238</v>
      </c>
      <c r="K239" t="s">
        <v>1686</v>
      </c>
      <c r="M239" t="s">
        <v>33</v>
      </c>
    </row>
    <row r="240" spans="1:13" x14ac:dyDescent="0.35">
      <c r="A240" t="s">
        <v>20</v>
      </c>
      <c r="B240">
        <v>17644</v>
      </c>
      <c r="C240" t="s">
        <v>21</v>
      </c>
      <c r="D240" t="s">
        <v>22</v>
      </c>
      <c r="E240" t="s">
        <v>12177</v>
      </c>
      <c r="F240" t="s">
        <v>12178</v>
      </c>
      <c r="G240" t="s">
        <v>12179</v>
      </c>
      <c r="H240" t="s">
        <v>12180</v>
      </c>
      <c r="I240" t="s">
        <v>238</v>
      </c>
      <c r="K240" t="s">
        <v>1686</v>
      </c>
      <c r="M240" t="s">
        <v>33</v>
      </c>
    </row>
    <row r="241" spans="1:13" x14ac:dyDescent="0.35">
      <c r="A241" t="s">
        <v>20</v>
      </c>
      <c r="B241">
        <v>17644</v>
      </c>
      <c r="C241" t="s">
        <v>21</v>
      </c>
      <c r="D241" t="s">
        <v>22</v>
      </c>
      <c r="E241" t="s">
        <v>12181</v>
      </c>
      <c r="F241" t="s">
        <v>12182</v>
      </c>
      <c r="G241" t="s">
        <v>12183</v>
      </c>
      <c r="H241" t="s">
        <v>12184</v>
      </c>
      <c r="I241" t="s">
        <v>238</v>
      </c>
      <c r="K241" t="s">
        <v>1686</v>
      </c>
      <c r="M241" t="s">
        <v>33</v>
      </c>
    </row>
    <row r="242" spans="1:13" x14ac:dyDescent="0.35">
      <c r="A242" t="s">
        <v>20</v>
      </c>
      <c r="B242">
        <v>17644</v>
      </c>
      <c r="C242" t="s">
        <v>21</v>
      </c>
      <c r="D242" t="s">
        <v>22</v>
      </c>
      <c r="E242" t="s">
        <v>12185</v>
      </c>
      <c r="F242" t="s">
        <v>12186</v>
      </c>
      <c r="G242" t="s">
        <v>12187</v>
      </c>
      <c r="H242" t="s">
        <v>12188</v>
      </c>
      <c r="I242" t="s">
        <v>238</v>
      </c>
      <c r="K242" t="s">
        <v>1681</v>
      </c>
      <c r="M242" t="s">
        <v>33</v>
      </c>
    </row>
    <row r="243" spans="1:13" x14ac:dyDescent="0.35">
      <c r="A243" t="s">
        <v>20</v>
      </c>
      <c r="B243">
        <v>17644</v>
      </c>
      <c r="C243" t="s">
        <v>21</v>
      </c>
      <c r="D243" t="s">
        <v>22</v>
      </c>
      <c r="E243" t="s">
        <v>12189</v>
      </c>
      <c r="F243" t="s">
        <v>12190</v>
      </c>
      <c r="G243" t="s">
        <v>12191</v>
      </c>
      <c r="H243" t="s">
        <v>12192</v>
      </c>
      <c r="I243" t="s">
        <v>238</v>
      </c>
      <c r="K243" t="s">
        <v>1686</v>
      </c>
      <c r="M243" t="s">
        <v>33</v>
      </c>
    </row>
    <row r="244" spans="1:13" x14ac:dyDescent="0.35">
      <c r="A244" t="s">
        <v>20</v>
      </c>
      <c r="B244">
        <v>17644</v>
      </c>
      <c r="C244" t="s">
        <v>21</v>
      </c>
      <c r="D244" t="s">
        <v>22</v>
      </c>
      <c r="E244" t="s">
        <v>12193</v>
      </c>
      <c r="F244" t="s">
        <v>12194</v>
      </c>
      <c r="G244" t="s">
        <v>12195</v>
      </c>
      <c r="H244" t="s">
        <v>12196</v>
      </c>
      <c r="I244" t="s">
        <v>238</v>
      </c>
      <c r="K244" t="s">
        <v>1686</v>
      </c>
      <c r="M244" t="s">
        <v>33</v>
      </c>
    </row>
    <row r="245" spans="1:13" x14ac:dyDescent="0.35">
      <c r="A245" t="s">
        <v>20</v>
      </c>
      <c r="B245">
        <v>17644</v>
      </c>
      <c r="C245" t="s">
        <v>21</v>
      </c>
      <c r="D245" t="s">
        <v>22</v>
      </c>
      <c r="E245" t="s">
        <v>12197</v>
      </c>
      <c r="F245" t="s">
        <v>12198</v>
      </c>
      <c r="G245" t="s">
        <v>12199</v>
      </c>
      <c r="H245" t="s">
        <v>12200</v>
      </c>
      <c r="I245" t="s">
        <v>238</v>
      </c>
      <c r="K245" t="s">
        <v>1686</v>
      </c>
      <c r="M245" t="s">
        <v>33</v>
      </c>
    </row>
    <row r="246" spans="1:13" x14ac:dyDescent="0.35">
      <c r="A246" t="s">
        <v>20</v>
      </c>
      <c r="B246">
        <v>17644</v>
      </c>
      <c r="C246" t="s">
        <v>21</v>
      </c>
      <c r="D246" t="s">
        <v>22</v>
      </c>
      <c r="E246" t="s">
        <v>12201</v>
      </c>
      <c r="F246" t="s">
        <v>12202</v>
      </c>
      <c r="G246" t="s">
        <v>12203</v>
      </c>
      <c r="H246" t="s">
        <v>12204</v>
      </c>
      <c r="I246" t="s">
        <v>238</v>
      </c>
      <c r="K246" t="s">
        <v>1686</v>
      </c>
      <c r="M246" t="s">
        <v>33</v>
      </c>
    </row>
    <row r="247" spans="1:13" x14ac:dyDescent="0.35">
      <c r="A247" t="s">
        <v>20</v>
      </c>
      <c r="B247">
        <v>17644</v>
      </c>
      <c r="C247" t="s">
        <v>21</v>
      </c>
      <c r="D247" t="s">
        <v>22</v>
      </c>
      <c r="E247" t="s">
        <v>12205</v>
      </c>
      <c r="F247" t="s">
        <v>12206</v>
      </c>
      <c r="G247" t="s">
        <v>12207</v>
      </c>
      <c r="H247" t="s">
        <v>12208</v>
      </c>
      <c r="I247" t="s">
        <v>238</v>
      </c>
      <c r="K247" t="s">
        <v>1686</v>
      </c>
      <c r="M247" t="s">
        <v>33</v>
      </c>
    </row>
    <row r="248" spans="1:13" x14ac:dyDescent="0.35">
      <c r="A248" t="s">
        <v>20</v>
      </c>
      <c r="B248">
        <v>17644</v>
      </c>
      <c r="C248" t="s">
        <v>21</v>
      </c>
      <c r="D248" t="s">
        <v>22</v>
      </c>
      <c r="E248" t="s">
        <v>12209</v>
      </c>
      <c r="F248" t="s">
        <v>12210</v>
      </c>
      <c r="G248" t="s">
        <v>12211</v>
      </c>
      <c r="H248" t="s">
        <v>12212</v>
      </c>
      <c r="I248" t="s">
        <v>238</v>
      </c>
      <c r="K248" t="s">
        <v>1681</v>
      </c>
      <c r="M248" t="s">
        <v>33</v>
      </c>
    </row>
    <row r="249" spans="1:13" x14ac:dyDescent="0.35">
      <c r="A249" t="s">
        <v>20</v>
      </c>
      <c r="B249">
        <v>17644</v>
      </c>
      <c r="C249" t="s">
        <v>21</v>
      </c>
      <c r="D249" t="s">
        <v>22</v>
      </c>
      <c r="E249" t="s">
        <v>12213</v>
      </c>
      <c r="F249" t="s">
        <v>12214</v>
      </c>
      <c r="G249" t="s">
        <v>12215</v>
      </c>
      <c r="H249" t="s">
        <v>12216</v>
      </c>
      <c r="I249" t="s">
        <v>238</v>
      </c>
      <c r="K249" t="s">
        <v>1686</v>
      </c>
      <c r="M249" t="s">
        <v>33</v>
      </c>
    </row>
    <row r="250" spans="1:13" x14ac:dyDescent="0.35">
      <c r="A250" t="s">
        <v>20</v>
      </c>
      <c r="B250">
        <v>17644</v>
      </c>
      <c r="C250" t="s">
        <v>21</v>
      </c>
      <c r="D250" t="s">
        <v>22</v>
      </c>
      <c r="E250" t="s">
        <v>12217</v>
      </c>
      <c r="F250" t="s">
        <v>12218</v>
      </c>
      <c r="G250" t="s">
        <v>12219</v>
      </c>
      <c r="H250" t="s">
        <v>12220</v>
      </c>
      <c r="I250" t="s">
        <v>238</v>
      </c>
      <c r="K250" t="s">
        <v>1686</v>
      </c>
      <c r="M250" t="s">
        <v>33</v>
      </c>
    </row>
    <row r="251" spans="1:13" x14ac:dyDescent="0.35">
      <c r="A251" t="s">
        <v>20</v>
      </c>
      <c r="B251">
        <v>17644</v>
      </c>
      <c r="C251" t="s">
        <v>21</v>
      </c>
      <c r="D251" t="s">
        <v>22</v>
      </c>
      <c r="E251" t="s">
        <v>12221</v>
      </c>
      <c r="F251" t="s">
        <v>12222</v>
      </c>
      <c r="G251" t="s">
        <v>12223</v>
      </c>
      <c r="H251" t="s">
        <v>12224</v>
      </c>
      <c r="I251" t="s">
        <v>238</v>
      </c>
      <c r="K251" t="s">
        <v>1686</v>
      </c>
      <c r="M251" t="s">
        <v>33</v>
      </c>
    </row>
    <row r="252" spans="1:13" x14ac:dyDescent="0.35">
      <c r="A252" t="s">
        <v>20</v>
      </c>
      <c r="B252">
        <v>17644</v>
      </c>
      <c r="C252" t="s">
        <v>21</v>
      </c>
      <c r="D252" t="s">
        <v>22</v>
      </c>
      <c r="E252" t="s">
        <v>12225</v>
      </c>
      <c r="F252" t="s">
        <v>12226</v>
      </c>
      <c r="G252" t="s">
        <v>12227</v>
      </c>
      <c r="H252" t="s">
        <v>12228</v>
      </c>
      <c r="I252" t="s">
        <v>238</v>
      </c>
      <c r="K252" t="s">
        <v>1686</v>
      </c>
      <c r="M252" t="s">
        <v>33</v>
      </c>
    </row>
    <row r="253" spans="1:13" x14ac:dyDescent="0.35">
      <c r="A253" t="s">
        <v>20</v>
      </c>
      <c r="B253">
        <v>17644</v>
      </c>
      <c r="C253" t="s">
        <v>21</v>
      </c>
      <c r="D253" t="s">
        <v>22</v>
      </c>
      <c r="E253" t="s">
        <v>12229</v>
      </c>
      <c r="F253" t="s">
        <v>12230</v>
      </c>
      <c r="G253" t="s">
        <v>12231</v>
      </c>
      <c r="H253" t="s">
        <v>12232</v>
      </c>
      <c r="I253" t="s">
        <v>238</v>
      </c>
      <c r="K253" t="s">
        <v>1686</v>
      </c>
      <c r="M253" t="s">
        <v>33</v>
      </c>
    </row>
    <row r="254" spans="1:13" x14ac:dyDescent="0.35">
      <c r="A254" t="s">
        <v>20</v>
      </c>
      <c r="B254">
        <v>17644</v>
      </c>
      <c r="C254" t="s">
        <v>21</v>
      </c>
      <c r="D254" t="s">
        <v>22</v>
      </c>
      <c r="E254" t="s">
        <v>12233</v>
      </c>
      <c r="F254" t="s">
        <v>12234</v>
      </c>
      <c r="G254" t="s">
        <v>12235</v>
      </c>
      <c r="H254" t="s">
        <v>12236</v>
      </c>
      <c r="I254" t="s">
        <v>238</v>
      </c>
      <c r="K254" t="s">
        <v>1686</v>
      </c>
      <c r="M254" t="s">
        <v>33</v>
      </c>
    </row>
    <row r="255" spans="1:13" x14ac:dyDescent="0.35">
      <c r="A255" t="s">
        <v>20</v>
      </c>
      <c r="B255">
        <v>17644</v>
      </c>
      <c r="C255" t="s">
        <v>21</v>
      </c>
      <c r="D255" t="s">
        <v>22</v>
      </c>
      <c r="E255" t="s">
        <v>12237</v>
      </c>
      <c r="F255" t="s">
        <v>10020</v>
      </c>
      <c r="G255" t="s">
        <v>10021</v>
      </c>
      <c r="H255" t="s">
        <v>10022</v>
      </c>
      <c r="I255" t="s">
        <v>238</v>
      </c>
      <c r="K255" t="s">
        <v>1686</v>
      </c>
      <c r="M255" t="s">
        <v>33</v>
      </c>
    </row>
    <row r="256" spans="1:13" x14ac:dyDescent="0.35">
      <c r="A256" t="s">
        <v>20</v>
      </c>
      <c r="B256">
        <v>17644</v>
      </c>
      <c r="C256" t="s">
        <v>21</v>
      </c>
      <c r="D256" t="s">
        <v>22</v>
      </c>
      <c r="E256" t="s">
        <v>12238</v>
      </c>
      <c r="F256" t="s">
        <v>12239</v>
      </c>
      <c r="G256" t="s">
        <v>12240</v>
      </c>
      <c r="H256" t="s">
        <v>12241</v>
      </c>
      <c r="I256" t="s">
        <v>238</v>
      </c>
      <c r="K256" t="s">
        <v>1686</v>
      </c>
      <c r="M256" t="s">
        <v>33</v>
      </c>
    </row>
    <row r="257" spans="1:13" x14ac:dyDescent="0.35">
      <c r="A257" t="s">
        <v>20</v>
      </c>
      <c r="B257">
        <v>17644</v>
      </c>
      <c r="C257" t="s">
        <v>21</v>
      </c>
      <c r="D257" t="s">
        <v>22</v>
      </c>
      <c r="E257" t="s">
        <v>12242</v>
      </c>
      <c r="F257" t="s">
        <v>12243</v>
      </c>
      <c r="G257" t="s">
        <v>12244</v>
      </c>
      <c r="H257" t="s">
        <v>12245</v>
      </c>
      <c r="I257" t="s">
        <v>238</v>
      </c>
      <c r="K257" t="s">
        <v>1686</v>
      </c>
      <c r="M257" t="s">
        <v>33</v>
      </c>
    </row>
    <row r="258" spans="1:13" x14ac:dyDescent="0.35">
      <c r="A258" t="s">
        <v>20</v>
      </c>
      <c r="B258">
        <v>17644</v>
      </c>
      <c r="C258" t="s">
        <v>21</v>
      </c>
      <c r="D258" t="s">
        <v>22</v>
      </c>
      <c r="E258" t="s">
        <v>12246</v>
      </c>
      <c r="F258" t="s">
        <v>12247</v>
      </c>
      <c r="G258" t="s">
        <v>12248</v>
      </c>
      <c r="H258" t="s">
        <v>12249</v>
      </c>
      <c r="I258" t="s">
        <v>238</v>
      </c>
      <c r="K258" t="s">
        <v>1686</v>
      </c>
      <c r="M258" t="s">
        <v>33</v>
      </c>
    </row>
    <row r="259" spans="1:13" x14ac:dyDescent="0.35">
      <c r="A259" t="s">
        <v>20</v>
      </c>
      <c r="B259">
        <v>17644</v>
      </c>
      <c r="C259" t="s">
        <v>21</v>
      </c>
      <c r="D259" t="s">
        <v>22</v>
      </c>
      <c r="E259" t="s">
        <v>12250</v>
      </c>
      <c r="F259" t="s">
        <v>12251</v>
      </c>
      <c r="G259" t="s">
        <v>12252</v>
      </c>
      <c r="H259" t="s">
        <v>12253</v>
      </c>
      <c r="I259" t="s">
        <v>238</v>
      </c>
      <c r="K259" t="s">
        <v>1686</v>
      </c>
      <c r="M259" t="s">
        <v>33</v>
      </c>
    </row>
    <row r="260" spans="1:13" x14ac:dyDescent="0.35">
      <c r="A260" t="s">
        <v>20</v>
      </c>
      <c r="B260">
        <v>17644</v>
      </c>
      <c r="C260" t="s">
        <v>21</v>
      </c>
      <c r="D260" t="s">
        <v>22</v>
      </c>
      <c r="E260" t="s">
        <v>12254</v>
      </c>
      <c r="F260" t="s">
        <v>12255</v>
      </c>
      <c r="G260" t="s">
        <v>12256</v>
      </c>
      <c r="H260" t="s">
        <v>12257</v>
      </c>
      <c r="I260" t="s">
        <v>238</v>
      </c>
      <c r="K260" t="s">
        <v>1686</v>
      </c>
      <c r="M260" t="s">
        <v>33</v>
      </c>
    </row>
    <row r="261" spans="1:13" x14ac:dyDescent="0.35">
      <c r="A261" t="s">
        <v>20</v>
      </c>
      <c r="B261">
        <v>17644</v>
      </c>
      <c r="C261" t="s">
        <v>21</v>
      </c>
      <c r="D261" t="s">
        <v>22</v>
      </c>
      <c r="E261" t="s">
        <v>12258</v>
      </c>
      <c r="F261" t="s">
        <v>12259</v>
      </c>
      <c r="G261" t="s">
        <v>12260</v>
      </c>
      <c r="H261" t="s">
        <v>12261</v>
      </c>
      <c r="I261" t="s">
        <v>238</v>
      </c>
      <c r="K261" t="s">
        <v>1686</v>
      </c>
      <c r="M261" t="s">
        <v>33</v>
      </c>
    </row>
    <row r="262" spans="1:13" x14ac:dyDescent="0.35">
      <c r="A262" t="s">
        <v>20</v>
      </c>
      <c r="B262">
        <v>17644</v>
      </c>
      <c r="C262" t="s">
        <v>21</v>
      </c>
      <c r="D262" t="s">
        <v>22</v>
      </c>
      <c r="E262" t="s">
        <v>12262</v>
      </c>
      <c r="F262" t="s">
        <v>12263</v>
      </c>
      <c r="G262" t="s">
        <v>12264</v>
      </c>
      <c r="H262" t="s">
        <v>12265</v>
      </c>
      <c r="I262" t="s">
        <v>238</v>
      </c>
      <c r="K262" t="s">
        <v>1686</v>
      </c>
      <c r="M262" t="s">
        <v>33</v>
      </c>
    </row>
    <row r="263" spans="1:13" x14ac:dyDescent="0.35">
      <c r="A263" t="s">
        <v>20</v>
      </c>
      <c r="B263">
        <v>17644</v>
      </c>
      <c r="C263" t="s">
        <v>21</v>
      </c>
      <c r="D263" t="s">
        <v>22</v>
      </c>
      <c r="E263" t="s">
        <v>12266</v>
      </c>
      <c r="F263" t="s">
        <v>12267</v>
      </c>
      <c r="G263" t="s">
        <v>12268</v>
      </c>
      <c r="H263" t="s">
        <v>12269</v>
      </c>
      <c r="I263" t="s">
        <v>238</v>
      </c>
      <c r="K263" t="s">
        <v>1686</v>
      </c>
      <c r="M263" t="s">
        <v>33</v>
      </c>
    </row>
    <row r="264" spans="1:13" x14ac:dyDescent="0.35">
      <c r="A264" t="s">
        <v>20</v>
      </c>
      <c r="B264">
        <v>17644</v>
      </c>
      <c r="C264" t="s">
        <v>21</v>
      </c>
      <c r="D264" t="s">
        <v>22</v>
      </c>
      <c r="E264" t="s">
        <v>12270</v>
      </c>
      <c r="F264" t="s">
        <v>12271</v>
      </c>
      <c r="G264" t="s">
        <v>12272</v>
      </c>
      <c r="H264" t="s">
        <v>12273</v>
      </c>
      <c r="I264" t="s">
        <v>238</v>
      </c>
      <c r="K264" t="s">
        <v>1686</v>
      </c>
      <c r="M264" t="s">
        <v>33</v>
      </c>
    </row>
    <row r="265" spans="1:13" x14ac:dyDescent="0.35">
      <c r="A265" t="s">
        <v>20</v>
      </c>
      <c r="B265">
        <v>17644</v>
      </c>
      <c r="C265" t="s">
        <v>21</v>
      </c>
      <c r="D265" t="s">
        <v>22</v>
      </c>
      <c r="E265" t="s">
        <v>12274</v>
      </c>
      <c r="F265" t="s">
        <v>12275</v>
      </c>
      <c r="G265" t="s">
        <v>12276</v>
      </c>
      <c r="H265" t="s">
        <v>12277</v>
      </c>
      <c r="I265" t="s">
        <v>238</v>
      </c>
      <c r="K265" t="s">
        <v>1686</v>
      </c>
      <c r="M265" t="s">
        <v>33</v>
      </c>
    </row>
    <row r="266" spans="1:13" x14ac:dyDescent="0.35">
      <c r="A266" t="s">
        <v>20</v>
      </c>
      <c r="B266">
        <v>17644</v>
      </c>
      <c r="C266" t="s">
        <v>21</v>
      </c>
      <c r="D266" t="s">
        <v>22</v>
      </c>
      <c r="E266" t="s">
        <v>12278</v>
      </c>
      <c r="F266" t="s">
        <v>12279</v>
      </c>
      <c r="G266" t="s">
        <v>12280</v>
      </c>
      <c r="H266" t="s">
        <v>12281</v>
      </c>
      <c r="I266" t="s">
        <v>238</v>
      </c>
      <c r="K266" t="s">
        <v>1686</v>
      </c>
      <c r="M266" t="s">
        <v>33</v>
      </c>
    </row>
    <row r="267" spans="1:13" x14ac:dyDescent="0.35">
      <c r="A267" t="s">
        <v>20</v>
      </c>
      <c r="B267">
        <v>17644</v>
      </c>
      <c r="C267" t="s">
        <v>21</v>
      </c>
      <c r="D267" t="s">
        <v>22</v>
      </c>
      <c r="E267" t="s">
        <v>12282</v>
      </c>
      <c r="F267" t="s">
        <v>12283</v>
      </c>
      <c r="G267" t="s">
        <v>12284</v>
      </c>
      <c r="H267" t="s">
        <v>12285</v>
      </c>
      <c r="I267" t="s">
        <v>238</v>
      </c>
      <c r="K267" t="s">
        <v>1686</v>
      </c>
      <c r="M267" t="s">
        <v>33</v>
      </c>
    </row>
    <row r="268" spans="1:13" x14ac:dyDescent="0.35">
      <c r="A268" t="s">
        <v>20</v>
      </c>
      <c r="B268">
        <v>17644</v>
      </c>
      <c r="C268" t="s">
        <v>21</v>
      </c>
      <c r="D268" t="s">
        <v>22</v>
      </c>
      <c r="E268" t="s">
        <v>12286</v>
      </c>
      <c r="F268" t="s">
        <v>12287</v>
      </c>
      <c r="G268" t="s">
        <v>12288</v>
      </c>
      <c r="H268" t="s">
        <v>12289</v>
      </c>
      <c r="I268" t="s">
        <v>238</v>
      </c>
      <c r="K268" t="s">
        <v>1686</v>
      </c>
      <c r="M268" t="s">
        <v>33</v>
      </c>
    </row>
    <row r="269" spans="1:13" x14ac:dyDescent="0.35">
      <c r="A269" t="s">
        <v>20</v>
      </c>
      <c r="B269">
        <v>17644</v>
      </c>
      <c r="C269" t="s">
        <v>21</v>
      </c>
      <c r="D269" t="s">
        <v>22</v>
      </c>
      <c r="E269" t="s">
        <v>12290</v>
      </c>
      <c r="F269" t="s">
        <v>12291</v>
      </c>
      <c r="G269" t="s">
        <v>12292</v>
      </c>
      <c r="H269" t="s">
        <v>12293</v>
      </c>
      <c r="I269" t="s">
        <v>238</v>
      </c>
      <c r="K269" t="s">
        <v>1686</v>
      </c>
      <c r="M269" t="s">
        <v>33</v>
      </c>
    </row>
    <row r="270" spans="1:13" x14ac:dyDescent="0.35">
      <c r="A270" t="s">
        <v>20</v>
      </c>
      <c r="B270">
        <v>17644</v>
      </c>
      <c r="C270" t="s">
        <v>21</v>
      </c>
      <c r="D270" t="s">
        <v>22</v>
      </c>
      <c r="E270" t="s">
        <v>12294</v>
      </c>
      <c r="F270" t="s">
        <v>12295</v>
      </c>
      <c r="G270" t="s">
        <v>12296</v>
      </c>
      <c r="H270" t="s">
        <v>12297</v>
      </c>
      <c r="I270" t="s">
        <v>238</v>
      </c>
      <c r="K270" t="s">
        <v>1686</v>
      </c>
      <c r="M270" t="s">
        <v>33</v>
      </c>
    </row>
    <row r="271" spans="1:13" x14ac:dyDescent="0.35">
      <c r="A271" t="s">
        <v>20</v>
      </c>
      <c r="B271">
        <v>17644</v>
      </c>
      <c r="C271" t="s">
        <v>21</v>
      </c>
      <c r="D271" t="s">
        <v>22</v>
      </c>
      <c r="E271" t="s">
        <v>12298</v>
      </c>
      <c r="F271" t="s">
        <v>12299</v>
      </c>
      <c r="G271" t="s">
        <v>12300</v>
      </c>
      <c r="H271" t="s">
        <v>12301</v>
      </c>
      <c r="I271" t="s">
        <v>238</v>
      </c>
      <c r="K271" t="s">
        <v>1686</v>
      </c>
      <c r="M271" t="s">
        <v>33</v>
      </c>
    </row>
    <row r="272" spans="1:13" x14ac:dyDescent="0.35">
      <c r="A272" t="s">
        <v>20</v>
      </c>
      <c r="B272">
        <v>17644</v>
      </c>
      <c r="C272" t="s">
        <v>21</v>
      </c>
      <c r="D272" t="s">
        <v>22</v>
      </c>
      <c r="E272" t="s">
        <v>12302</v>
      </c>
      <c r="F272" t="s">
        <v>12303</v>
      </c>
      <c r="G272" t="s">
        <v>12304</v>
      </c>
      <c r="H272" t="s">
        <v>12305</v>
      </c>
      <c r="I272" t="s">
        <v>238</v>
      </c>
      <c r="K272" t="s">
        <v>1686</v>
      </c>
      <c r="M272" t="s">
        <v>33</v>
      </c>
    </row>
    <row r="273" spans="1:13" x14ac:dyDescent="0.35">
      <c r="A273" t="s">
        <v>20</v>
      </c>
      <c r="B273">
        <v>17644</v>
      </c>
      <c r="C273" t="s">
        <v>21</v>
      </c>
      <c r="D273" t="s">
        <v>22</v>
      </c>
      <c r="E273" t="s">
        <v>12306</v>
      </c>
      <c r="F273" t="s">
        <v>12307</v>
      </c>
      <c r="G273" t="s">
        <v>12308</v>
      </c>
      <c r="H273" t="s">
        <v>12309</v>
      </c>
      <c r="I273" t="s">
        <v>238</v>
      </c>
      <c r="K273" t="s">
        <v>1686</v>
      </c>
      <c r="M273" t="s">
        <v>33</v>
      </c>
    </row>
    <row r="274" spans="1:13" x14ac:dyDescent="0.35">
      <c r="A274" t="s">
        <v>20</v>
      </c>
      <c r="B274">
        <v>17644</v>
      </c>
      <c r="C274" t="s">
        <v>21</v>
      </c>
      <c r="D274" t="s">
        <v>22</v>
      </c>
      <c r="E274" t="s">
        <v>12310</v>
      </c>
      <c r="F274" t="s">
        <v>12311</v>
      </c>
      <c r="G274" t="s">
        <v>12312</v>
      </c>
      <c r="H274" t="s">
        <v>12313</v>
      </c>
      <c r="I274" t="s">
        <v>238</v>
      </c>
      <c r="K274" t="s">
        <v>1686</v>
      </c>
      <c r="M274" t="s">
        <v>33</v>
      </c>
    </row>
    <row r="275" spans="1:13" x14ac:dyDescent="0.35">
      <c r="A275" t="s">
        <v>20</v>
      </c>
      <c r="B275">
        <v>17644</v>
      </c>
      <c r="C275" t="s">
        <v>21</v>
      </c>
      <c r="D275" t="s">
        <v>22</v>
      </c>
      <c r="E275" t="s">
        <v>12314</v>
      </c>
      <c r="F275" t="s">
        <v>12315</v>
      </c>
      <c r="G275" t="s">
        <v>12316</v>
      </c>
      <c r="H275" t="s">
        <v>12317</v>
      </c>
      <c r="I275" t="s">
        <v>238</v>
      </c>
      <c r="K275" t="s">
        <v>1686</v>
      </c>
      <c r="M275" t="s">
        <v>33</v>
      </c>
    </row>
    <row r="276" spans="1:13" x14ac:dyDescent="0.35">
      <c r="A276" t="s">
        <v>20</v>
      </c>
      <c r="B276">
        <v>17644</v>
      </c>
      <c r="C276" t="s">
        <v>21</v>
      </c>
      <c r="D276" t="s">
        <v>22</v>
      </c>
      <c r="E276" t="s">
        <v>12318</v>
      </c>
      <c r="F276" t="s">
        <v>12319</v>
      </c>
      <c r="G276" t="s">
        <v>12320</v>
      </c>
      <c r="H276" t="s">
        <v>12321</v>
      </c>
      <c r="I276" t="s">
        <v>238</v>
      </c>
      <c r="K276" t="s">
        <v>1686</v>
      </c>
      <c r="M276" t="s">
        <v>33</v>
      </c>
    </row>
    <row r="277" spans="1:13" x14ac:dyDescent="0.35">
      <c r="A277" t="s">
        <v>20</v>
      </c>
      <c r="B277">
        <v>17644</v>
      </c>
      <c r="C277" t="s">
        <v>21</v>
      </c>
      <c r="D277" t="s">
        <v>22</v>
      </c>
      <c r="E277" t="s">
        <v>12322</v>
      </c>
      <c r="F277" t="s">
        <v>12323</v>
      </c>
      <c r="G277" t="s">
        <v>12324</v>
      </c>
      <c r="H277" t="s">
        <v>12325</v>
      </c>
      <c r="I277" t="s">
        <v>238</v>
      </c>
      <c r="K277" t="s">
        <v>1686</v>
      </c>
      <c r="M277" t="s">
        <v>33</v>
      </c>
    </row>
    <row r="278" spans="1:13" x14ac:dyDescent="0.35">
      <c r="A278" t="s">
        <v>20</v>
      </c>
      <c r="B278">
        <v>17644</v>
      </c>
      <c r="C278" t="s">
        <v>21</v>
      </c>
      <c r="D278" t="s">
        <v>22</v>
      </c>
      <c r="E278" t="s">
        <v>12326</v>
      </c>
      <c r="F278" t="s">
        <v>12327</v>
      </c>
      <c r="G278" t="s">
        <v>12328</v>
      </c>
      <c r="H278" t="s">
        <v>12329</v>
      </c>
      <c r="I278" t="s">
        <v>238</v>
      </c>
      <c r="K278" t="s">
        <v>1686</v>
      </c>
      <c r="M278" t="s">
        <v>33</v>
      </c>
    </row>
    <row r="279" spans="1:13" x14ac:dyDescent="0.35">
      <c r="A279" t="s">
        <v>20</v>
      </c>
      <c r="B279">
        <v>17644</v>
      </c>
      <c r="C279" t="s">
        <v>21</v>
      </c>
      <c r="D279" t="s">
        <v>22</v>
      </c>
      <c r="E279" t="s">
        <v>12330</v>
      </c>
      <c r="F279" t="s">
        <v>12331</v>
      </c>
      <c r="G279" t="s">
        <v>12332</v>
      </c>
      <c r="H279" t="s">
        <v>12333</v>
      </c>
      <c r="I279" t="s">
        <v>238</v>
      </c>
      <c r="K279" t="s">
        <v>1686</v>
      </c>
      <c r="M279" t="s">
        <v>33</v>
      </c>
    </row>
    <row r="280" spans="1:13" x14ac:dyDescent="0.35">
      <c r="A280" t="s">
        <v>20</v>
      </c>
      <c r="B280">
        <v>17644</v>
      </c>
      <c r="C280" t="s">
        <v>21</v>
      </c>
      <c r="D280" t="s">
        <v>22</v>
      </c>
      <c r="E280" t="s">
        <v>12334</v>
      </c>
      <c r="F280" t="s">
        <v>12335</v>
      </c>
      <c r="G280" t="s">
        <v>12336</v>
      </c>
      <c r="H280" t="s">
        <v>12337</v>
      </c>
      <c r="I280" t="s">
        <v>238</v>
      </c>
      <c r="K280" t="s">
        <v>1686</v>
      </c>
      <c r="M280" t="s">
        <v>33</v>
      </c>
    </row>
    <row r="281" spans="1:13" x14ac:dyDescent="0.35">
      <c r="A281" t="s">
        <v>20</v>
      </c>
      <c r="B281">
        <v>17644</v>
      </c>
      <c r="C281" t="s">
        <v>21</v>
      </c>
      <c r="D281" t="s">
        <v>22</v>
      </c>
      <c r="E281" t="s">
        <v>12338</v>
      </c>
      <c r="F281" t="s">
        <v>12339</v>
      </c>
      <c r="G281" t="s">
        <v>12340</v>
      </c>
      <c r="H281" t="s">
        <v>12341</v>
      </c>
      <c r="I281" t="s">
        <v>238</v>
      </c>
      <c r="K281" t="s">
        <v>1686</v>
      </c>
      <c r="M281" t="s">
        <v>33</v>
      </c>
    </row>
    <row r="282" spans="1:13" x14ac:dyDescent="0.35">
      <c r="A282" t="s">
        <v>20</v>
      </c>
      <c r="B282">
        <v>17644</v>
      </c>
      <c r="C282" t="s">
        <v>21</v>
      </c>
      <c r="D282" t="s">
        <v>22</v>
      </c>
      <c r="E282" t="s">
        <v>12342</v>
      </c>
      <c r="F282" t="s">
        <v>12343</v>
      </c>
      <c r="G282" t="s">
        <v>12344</v>
      </c>
      <c r="H282" t="s">
        <v>12345</v>
      </c>
      <c r="I282" t="s">
        <v>238</v>
      </c>
      <c r="K282" t="s">
        <v>1686</v>
      </c>
      <c r="M282" t="s">
        <v>33</v>
      </c>
    </row>
    <row r="283" spans="1:13" x14ac:dyDescent="0.35">
      <c r="A283" t="s">
        <v>20</v>
      </c>
      <c r="B283">
        <v>17644</v>
      </c>
      <c r="C283" t="s">
        <v>21</v>
      </c>
      <c r="D283" t="s">
        <v>22</v>
      </c>
      <c r="E283" t="s">
        <v>12346</v>
      </c>
      <c r="F283" t="s">
        <v>12347</v>
      </c>
      <c r="G283" t="s">
        <v>12348</v>
      </c>
      <c r="H283" t="s">
        <v>12349</v>
      </c>
      <c r="I283" t="s">
        <v>238</v>
      </c>
      <c r="K283" t="s">
        <v>1686</v>
      </c>
      <c r="M283" t="s">
        <v>33</v>
      </c>
    </row>
    <row r="284" spans="1:13" x14ac:dyDescent="0.35">
      <c r="A284" t="s">
        <v>20</v>
      </c>
      <c r="B284">
        <v>17644</v>
      </c>
      <c r="C284" t="s">
        <v>21</v>
      </c>
      <c r="D284" t="s">
        <v>22</v>
      </c>
      <c r="E284" t="s">
        <v>12350</v>
      </c>
      <c r="F284" t="s">
        <v>12351</v>
      </c>
      <c r="G284" t="s">
        <v>12352</v>
      </c>
      <c r="H284" t="s">
        <v>12353</v>
      </c>
      <c r="I284" t="s">
        <v>238</v>
      </c>
      <c r="K284" t="s">
        <v>1686</v>
      </c>
      <c r="M284" t="s">
        <v>33</v>
      </c>
    </row>
    <row r="285" spans="1:13" x14ac:dyDescent="0.35">
      <c r="A285" t="s">
        <v>20</v>
      </c>
      <c r="B285">
        <v>17644</v>
      </c>
      <c r="C285" t="s">
        <v>21</v>
      </c>
      <c r="D285" t="s">
        <v>22</v>
      </c>
      <c r="E285" t="s">
        <v>12354</v>
      </c>
      <c r="F285" t="s">
        <v>12355</v>
      </c>
      <c r="G285" t="s">
        <v>12356</v>
      </c>
      <c r="H285" t="s">
        <v>12357</v>
      </c>
      <c r="I285" t="s">
        <v>238</v>
      </c>
      <c r="K285" t="s">
        <v>1686</v>
      </c>
      <c r="M285" t="s">
        <v>33</v>
      </c>
    </row>
    <row r="286" spans="1:13" x14ac:dyDescent="0.35">
      <c r="A286" t="s">
        <v>20</v>
      </c>
      <c r="B286">
        <v>17644</v>
      </c>
      <c r="C286" t="s">
        <v>21</v>
      </c>
      <c r="D286" t="s">
        <v>22</v>
      </c>
      <c r="E286" t="s">
        <v>12358</v>
      </c>
      <c r="F286" t="s">
        <v>12359</v>
      </c>
      <c r="G286" t="s">
        <v>12360</v>
      </c>
      <c r="H286" t="s">
        <v>12361</v>
      </c>
      <c r="I286" t="s">
        <v>238</v>
      </c>
      <c r="K286" t="s">
        <v>1686</v>
      </c>
      <c r="M286" t="s">
        <v>33</v>
      </c>
    </row>
    <row r="287" spans="1:13" x14ac:dyDescent="0.35">
      <c r="A287" t="s">
        <v>20</v>
      </c>
      <c r="B287">
        <v>17644</v>
      </c>
      <c r="C287" t="s">
        <v>21</v>
      </c>
      <c r="D287" t="s">
        <v>22</v>
      </c>
      <c r="E287" t="s">
        <v>12362</v>
      </c>
      <c r="F287" t="s">
        <v>12363</v>
      </c>
      <c r="G287" t="s">
        <v>12364</v>
      </c>
      <c r="H287" t="s">
        <v>12365</v>
      </c>
      <c r="I287" t="s">
        <v>238</v>
      </c>
      <c r="K287" t="s">
        <v>1686</v>
      </c>
      <c r="M287" t="s">
        <v>33</v>
      </c>
    </row>
    <row r="288" spans="1:13" x14ac:dyDescent="0.35">
      <c r="A288" t="s">
        <v>20</v>
      </c>
      <c r="B288">
        <v>17644</v>
      </c>
      <c r="C288" t="s">
        <v>21</v>
      </c>
      <c r="D288" t="s">
        <v>22</v>
      </c>
      <c r="E288" t="s">
        <v>12366</v>
      </c>
      <c r="F288" t="s">
        <v>12367</v>
      </c>
      <c r="G288" t="s">
        <v>12368</v>
      </c>
      <c r="H288" t="s">
        <v>12369</v>
      </c>
      <c r="I288" t="s">
        <v>238</v>
      </c>
      <c r="K288" t="s">
        <v>1686</v>
      </c>
      <c r="M288" t="s">
        <v>33</v>
      </c>
    </row>
    <row r="289" spans="1:14" x14ac:dyDescent="0.35">
      <c r="A289" t="s">
        <v>20</v>
      </c>
      <c r="B289">
        <v>17644</v>
      </c>
      <c r="C289" t="s">
        <v>21</v>
      </c>
      <c r="D289" t="s">
        <v>22</v>
      </c>
      <c r="E289" t="s">
        <v>12370</v>
      </c>
      <c r="F289" t="s">
        <v>12371</v>
      </c>
      <c r="G289" t="s">
        <v>12372</v>
      </c>
      <c r="H289" t="s">
        <v>12373</v>
      </c>
      <c r="I289" t="s">
        <v>238</v>
      </c>
      <c r="K289" t="s">
        <v>1686</v>
      </c>
      <c r="M289" t="s">
        <v>33</v>
      </c>
    </row>
    <row r="290" spans="1:14" x14ac:dyDescent="0.35">
      <c r="A290" t="s">
        <v>20</v>
      </c>
      <c r="B290">
        <v>17644</v>
      </c>
      <c r="C290" t="s">
        <v>21</v>
      </c>
      <c r="D290" t="s">
        <v>22</v>
      </c>
      <c r="E290" t="s">
        <v>12374</v>
      </c>
      <c r="F290" t="s">
        <v>12375</v>
      </c>
      <c r="G290" t="s">
        <v>12376</v>
      </c>
      <c r="H290" t="s">
        <v>12377</v>
      </c>
      <c r="I290" t="s">
        <v>238</v>
      </c>
      <c r="K290" t="s">
        <v>1686</v>
      </c>
      <c r="M290" t="s">
        <v>33</v>
      </c>
    </row>
    <row r="291" spans="1:14" x14ac:dyDescent="0.35">
      <c r="A291" t="s">
        <v>20</v>
      </c>
      <c r="B291">
        <v>17644</v>
      </c>
      <c r="C291" t="s">
        <v>21</v>
      </c>
      <c r="D291" t="s">
        <v>22</v>
      </c>
      <c r="E291" t="s">
        <v>12378</v>
      </c>
      <c r="F291" t="s">
        <v>12379</v>
      </c>
      <c r="G291" t="s">
        <v>12380</v>
      </c>
      <c r="H291" t="s">
        <v>12381</v>
      </c>
      <c r="I291" t="s">
        <v>238</v>
      </c>
      <c r="K291" t="s">
        <v>1686</v>
      </c>
      <c r="M291" t="s">
        <v>33</v>
      </c>
    </row>
    <row r="292" spans="1:14" x14ac:dyDescent="0.35">
      <c r="A292" t="s">
        <v>20</v>
      </c>
      <c r="B292">
        <v>17643</v>
      </c>
      <c r="C292" t="s">
        <v>426</v>
      </c>
      <c r="D292" t="s">
        <v>427</v>
      </c>
      <c r="E292" t="s">
        <v>11235</v>
      </c>
      <c r="F292" t="s">
        <v>12382</v>
      </c>
      <c r="G292" t="s">
        <v>12383</v>
      </c>
      <c r="H292" t="s">
        <v>12384</v>
      </c>
      <c r="I292" t="s">
        <v>557</v>
      </c>
      <c r="M292" t="s">
        <v>33</v>
      </c>
      <c r="N292" t="s">
        <v>432</v>
      </c>
    </row>
    <row r="293" spans="1:14" x14ac:dyDescent="0.35">
      <c r="A293" t="s">
        <v>20</v>
      </c>
      <c r="B293">
        <v>17643</v>
      </c>
      <c r="C293" t="s">
        <v>426</v>
      </c>
      <c r="D293" t="s">
        <v>427</v>
      </c>
      <c r="E293" t="s">
        <v>11239</v>
      </c>
      <c r="F293" t="s">
        <v>12385</v>
      </c>
      <c r="G293" t="s">
        <v>12386</v>
      </c>
      <c r="H293" t="s">
        <v>12387</v>
      </c>
      <c r="I293" t="s">
        <v>557</v>
      </c>
      <c r="M293" t="s">
        <v>33</v>
      </c>
      <c r="N293" t="s">
        <v>432</v>
      </c>
    </row>
    <row r="294" spans="1:14" x14ac:dyDescent="0.35">
      <c r="A294" t="s">
        <v>20</v>
      </c>
      <c r="B294">
        <v>17643</v>
      </c>
      <c r="C294" t="s">
        <v>426</v>
      </c>
      <c r="D294" t="s">
        <v>427</v>
      </c>
      <c r="E294" t="s">
        <v>11243</v>
      </c>
      <c r="F294" t="s">
        <v>12388</v>
      </c>
      <c r="G294" t="s">
        <v>12389</v>
      </c>
      <c r="H294" t="s">
        <v>12390</v>
      </c>
      <c r="I294" t="s">
        <v>557</v>
      </c>
      <c r="M294" t="s">
        <v>33</v>
      </c>
      <c r="N294" t="s">
        <v>432</v>
      </c>
    </row>
    <row r="295" spans="1:14" x14ac:dyDescent="0.35">
      <c r="A295" t="s">
        <v>20</v>
      </c>
      <c r="B295">
        <v>17643</v>
      </c>
      <c r="C295" t="s">
        <v>426</v>
      </c>
      <c r="D295" t="s">
        <v>427</v>
      </c>
      <c r="E295" t="s">
        <v>11247</v>
      </c>
      <c r="F295" t="s">
        <v>12391</v>
      </c>
      <c r="G295" t="s">
        <v>12392</v>
      </c>
      <c r="H295" t="s">
        <v>12393</v>
      </c>
      <c r="I295" t="s">
        <v>557</v>
      </c>
      <c r="M295" t="s">
        <v>33</v>
      </c>
      <c r="N295" t="s">
        <v>432</v>
      </c>
    </row>
    <row r="296" spans="1:14" x14ac:dyDescent="0.35">
      <c r="A296" t="s">
        <v>20</v>
      </c>
      <c r="B296">
        <v>17643</v>
      </c>
      <c r="C296" t="s">
        <v>426</v>
      </c>
      <c r="D296" t="s">
        <v>427</v>
      </c>
      <c r="E296" t="s">
        <v>11251</v>
      </c>
      <c r="F296" t="s">
        <v>12394</v>
      </c>
      <c r="G296" t="s">
        <v>12395</v>
      </c>
      <c r="H296" t="s">
        <v>12396</v>
      </c>
      <c r="I296" t="s">
        <v>557</v>
      </c>
      <c r="M296" t="s">
        <v>33</v>
      </c>
      <c r="N296" t="s">
        <v>432</v>
      </c>
    </row>
    <row r="297" spans="1:14" x14ac:dyDescent="0.35">
      <c r="A297" t="s">
        <v>20</v>
      </c>
      <c r="B297">
        <v>17643</v>
      </c>
      <c r="C297" t="s">
        <v>426</v>
      </c>
      <c r="D297" t="s">
        <v>427</v>
      </c>
      <c r="E297" t="s">
        <v>11252</v>
      </c>
      <c r="F297" t="s">
        <v>12397</v>
      </c>
      <c r="G297" t="s">
        <v>12398</v>
      </c>
      <c r="H297" t="s">
        <v>12399</v>
      </c>
      <c r="I297" t="s">
        <v>557</v>
      </c>
      <c r="M297" t="s">
        <v>33</v>
      </c>
      <c r="N297" t="s">
        <v>432</v>
      </c>
    </row>
    <row r="298" spans="1:14" x14ac:dyDescent="0.35">
      <c r="A298" t="s">
        <v>20</v>
      </c>
      <c r="B298">
        <v>17643</v>
      </c>
      <c r="C298" t="s">
        <v>426</v>
      </c>
      <c r="D298" t="s">
        <v>427</v>
      </c>
      <c r="E298" t="s">
        <v>11256</v>
      </c>
      <c r="F298" t="s">
        <v>12400</v>
      </c>
      <c r="G298" t="s">
        <v>12401</v>
      </c>
      <c r="H298" t="s">
        <v>12402</v>
      </c>
      <c r="I298" t="s">
        <v>557</v>
      </c>
      <c r="M298" t="s">
        <v>33</v>
      </c>
      <c r="N298" t="s">
        <v>432</v>
      </c>
    </row>
    <row r="299" spans="1:14" x14ac:dyDescent="0.35">
      <c r="A299" t="s">
        <v>20</v>
      </c>
      <c r="B299">
        <v>17643</v>
      </c>
      <c r="C299" t="s">
        <v>426</v>
      </c>
      <c r="D299" t="s">
        <v>427</v>
      </c>
      <c r="E299" t="s">
        <v>11260</v>
      </c>
      <c r="F299" t="s">
        <v>12403</v>
      </c>
      <c r="G299" t="s">
        <v>12404</v>
      </c>
      <c r="H299" t="s">
        <v>12405</v>
      </c>
      <c r="I299" t="s">
        <v>557</v>
      </c>
      <c r="M299" t="s">
        <v>33</v>
      </c>
      <c r="N299" t="s">
        <v>432</v>
      </c>
    </row>
    <row r="300" spans="1:14" x14ac:dyDescent="0.35">
      <c r="A300" t="s">
        <v>20</v>
      </c>
      <c r="B300">
        <v>17643</v>
      </c>
      <c r="C300" t="s">
        <v>426</v>
      </c>
      <c r="D300" t="s">
        <v>427</v>
      </c>
      <c r="E300" t="s">
        <v>11264</v>
      </c>
      <c r="F300" t="s">
        <v>12406</v>
      </c>
      <c r="G300" t="s">
        <v>12407</v>
      </c>
      <c r="H300" t="s">
        <v>12408</v>
      </c>
      <c r="I300" t="s">
        <v>557</v>
      </c>
      <c r="M300" t="s">
        <v>33</v>
      </c>
      <c r="N300" t="s">
        <v>432</v>
      </c>
    </row>
    <row r="301" spans="1:14" x14ac:dyDescent="0.35">
      <c r="A301" t="s">
        <v>20</v>
      </c>
      <c r="B301">
        <v>17643</v>
      </c>
      <c r="C301" t="s">
        <v>426</v>
      </c>
      <c r="D301" t="s">
        <v>427</v>
      </c>
      <c r="E301" t="s">
        <v>11268</v>
      </c>
      <c r="F301" t="s">
        <v>12409</v>
      </c>
      <c r="G301" t="s">
        <v>12410</v>
      </c>
      <c r="H301" t="s">
        <v>12411</v>
      </c>
      <c r="I301" t="s">
        <v>557</v>
      </c>
      <c r="M301" t="s">
        <v>33</v>
      </c>
      <c r="N301" t="s">
        <v>432</v>
      </c>
    </row>
    <row r="302" spans="1:14" x14ac:dyDescent="0.35">
      <c r="A302" t="s">
        <v>20</v>
      </c>
      <c r="B302">
        <v>17643</v>
      </c>
      <c r="C302" t="s">
        <v>426</v>
      </c>
      <c r="D302" t="s">
        <v>427</v>
      </c>
      <c r="E302" t="s">
        <v>11272</v>
      </c>
      <c r="F302" t="s">
        <v>12412</v>
      </c>
      <c r="G302" t="s">
        <v>12413</v>
      </c>
      <c r="H302" t="s">
        <v>12414</v>
      </c>
      <c r="I302" t="s">
        <v>557</v>
      </c>
      <c r="M302" t="s">
        <v>33</v>
      </c>
      <c r="N302" t="s">
        <v>432</v>
      </c>
    </row>
    <row r="303" spans="1:14" x14ac:dyDescent="0.35">
      <c r="A303" t="s">
        <v>20</v>
      </c>
      <c r="B303">
        <v>17643</v>
      </c>
      <c r="C303" t="s">
        <v>426</v>
      </c>
      <c r="D303" t="s">
        <v>427</v>
      </c>
      <c r="E303" t="s">
        <v>11276</v>
      </c>
      <c r="F303" t="s">
        <v>12415</v>
      </c>
      <c r="G303" t="s">
        <v>12416</v>
      </c>
      <c r="H303" t="s">
        <v>12417</v>
      </c>
      <c r="I303" t="s">
        <v>557</v>
      </c>
      <c r="M303" t="s">
        <v>33</v>
      </c>
      <c r="N303" t="s">
        <v>432</v>
      </c>
    </row>
    <row r="304" spans="1:14" x14ac:dyDescent="0.35">
      <c r="A304" t="s">
        <v>20</v>
      </c>
      <c r="B304">
        <v>17643</v>
      </c>
      <c r="C304" t="s">
        <v>426</v>
      </c>
      <c r="D304" t="s">
        <v>427</v>
      </c>
      <c r="E304" t="s">
        <v>11280</v>
      </c>
      <c r="F304" t="s">
        <v>12418</v>
      </c>
      <c r="G304" t="s">
        <v>12419</v>
      </c>
      <c r="H304" t="s">
        <v>12420</v>
      </c>
      <c r="I304" t="s">
        <v>557</v>
      </c>
      <c r="M304" t="s">
        <v>33</v>
      </c>
      <c r="N304" t="s">
        <v>432</v>
      </c>
    </row>
    <row r="305" spans="1:14" x14ac:dyDescent="0.35">
      <c r="A305" t="s">
        <v>20</v>
      </c>
      <c r="B305">
        <v>17643</v>
      </c>
      <c r="C305" t="s">
        <v>426</v>
      </c>
      <c r="D305" t="s">
        <v>427</v>
      </c>
      <c r="E305" t="s">
        <v>11284</v>
      </c>
      <c r="F305" t="s">
        <v>12421</v>
      </c>
      <c r="G305" t="s">
        <v>12422</v>
      </c>
      <c r="H305" t="s">
        <v>12423</v>
      </c>
      <c r="I305" t="s">
        <v>557</v>
      </c>
      <c r="M305" t="s">
        <v>33</v>
      </c>
      <c r="N305" t="s">
        <v>432</v>
      </c>
    </row>
    <row r="306" spans="1:14" x14ac:dyDescent="0.35">
      <c r="A306" t="s">
        <v>20</v>
      </c>
      <c r="B306">
        <v>17643</v>
      </c>
      <c r="C306" t="s">
        <v>426</v>
      </c>
      <c r="D306" t="s">
        <v>427</v>
      </c>
      <c r="E306" t="s">
        <v>11288</v>
      </c>
      <c r="F306" t="s">
        <v>12424</v>
      </c>
      <c r="G306" t="s">
        <v>12425</v>
      </c>
      <c r="H306" t="s">
        <v>12426</v>
      </c>
      <c r="I306" t="s">
        <v>557</v>
      </c>
      <c r="M306" t="s">
        <v>33</v>
      </c>
      <c r="N306" t="s">
        <v>432</v>
      </c>
    </row>
    <row r="307" spans="1:14" x14ac:dyDescent="0.35">
      <c r="A307" t="s">
        <v>20</v>
      </c>
      <c r="B307">
        <v>17643</v>
      </c>
      <c r="C307" t="s">
        <v>426</v>
      </c>
      <c r="D307" t="s">
        <v>427</v>
      </c>
      <c r="E307" t="s">
        <v>11292</v>
      </c>
      <c r="F307" t="s">
        <v>12427</v>
      </c>
      <c r="G307" t="s">
        <v>12428</v>
      </c>
      <c r="H307" t="s">
        <v>12429</v>
      </c>
      <c r="I307" t="s">
        <v>557</v>
      </c>
      <c r="M307" t="s">
        <v>33</v>
      </c>
      <c r="N307" t="s">
        <v>432</v>
      </c>
    </row>
    <row r="308" spans="1:14" x14ac:dyDescent="0.35">
      <c r="A308" t="s">
        <v>20</v>
      </c>
      <c r="B308">
        <v>17643</v>
      </c>
      <c r="C308" t="s">
        <v>426</v>
      </c>
      <c r="D308" t="s">
        <v>427</v>
      </c>
      <c r="E308" t="s">
        <v>11296</v>
      </c>
      <c r="F308" t="s">
        <v>12430</v>
      </c>
      <c r="G308" t="s">
        <v>12431</v>
      </c>
      <c r="H308" t="s">
        <v>12432</v>
      </c>
      <c r="I308" t="s">
        <v>557</v>
      </c>
      <c r="K308" t="s">
        <v>1681</v>
      </c>
      <c r="M308" t="s">
        <v>33</v>
      </c>
      <c r="N308" t="s">
        <v>432</v>
      </c>
    </row>
    <row r="309" spans="1:14" x14ac:dyDescent="0.35">
      <c r="A309" t="s">
        <v>20</v>
      </c>
      <c r="B309">
        <v>17643</v>
      </c>
      <c r="C309" t="s">
        <v>426</v>
      </c>
      <c r="D309" t="s">
        <v>427</v>
      </c>
      <c r="E309" t="s">
        <v>11300</v>
      </c>
      <c r="F309" t="s">
        <v>12433</v>
      </c>
      <c r="G309" t="s">
        <v>12434</v>
      </c>
      <c r="H309" t="s">
        <v>12435</v>
      </c>
      <c r="I309" t="s">
        <v>557</v>
      </c>
      <c r="M309" t="s">
        <v>33</v>
      </c>
      <c r="N309" t="s">
        <v>432</v>
      </c>
    </row>
    <row r="310" spans="1:14" x14ac:dyDescent="0.35">
      <c r="A310" t="s">
        <v>20</v>
      </c>
      <c r="B310">
        <v>17643</v>
      </c>
      <c r="C310" t="s">
        <v>426</v>
      </c>
      <c r="D310" t="s">
        <v>427</v>
      </c>
      <c r="E310" t="s">
        <v>11304</v>
      </c>
      <c r="F310" t="s">
        <v>12436</v>
      </c>
      <c r="G310" t="s">
        <v>12437</v>
      </c>
      <c r="H310" t="s">
        <v>12438</v>
      </c>
      <c r="I310" t="s">
        <v>557</v>
      </c>
      <c r="M310" t="s">
        <v>33</v>
      </c>
      <c r="N310" t="s">
        <v>432</v>
      </c>
    </row>
    <row r="311" spans="1:14" x14ac:dyDescent="0.35">
      <c r="A311" t="s">
        <v>20</v>
      </c>
      <c r="B311">
        <v>17643</v>
      </c>
      <c r="C311" t="s">
        <v>426</v>
      </c>
      <c r="D311" t="s">
        <v>427</v>
      </c>
      <c r="E311" t="s">
        <v>11308</v>
      </c>
      <c r="F311" t="s">
        <v>12439</v>
      </c>
      <c r="G311" t="s">
        <v>12440</v>
      </c>
      <c r="H311" t="s">
        <v>12441</v>
      </c>
      <c r="I311" t="s">
        <v>557</v>
      </c>
      <c r="M311" t="s">
        <v>33</v>
      </c>
      <c r="N311" t="s">
        <v>432</v>
      </c>
    </row>
    <row r="312" spans="1:14" x14ac:dyDescent="0.35">
      <c r="A312" t="s">
        <v>20</v>
      </c>
      <c r="B312">
        <v>17643</v>
      </c>
      <c r="C312" t="s">
        <v>426</v>
      </c>
      <c r="D312" t="s">
        <v>427</v>
      </c>
      <c r="E312" t="s">
        <v>11312</v>
      </c>
      <c r="F312" t="s">
        <v>12442</v>
      </c>
      <c r="G312" t="s">
        <v>12443</v>
      </c>
      <c r="H312" t="s">
        <v>12444</v>
      </c>
      <c r="I312" t="s">
        <v>557</v>
      </c>
      <c r="M312" t="s">
        <v>33</v>
      </c>
      <c r="N312" t="s">
        <v>432</v>
      </c>
    </row>
    <row r="313" spans="1:14" x14ac:dyDescent="0.35">
      <c r="A313" t="s">
        <v>20</v>
      </c>
      <c r="B313">
        <v>17643</v>
      </c>
      <c r="C313" t="s">
        <v>426</v>
      </c>
      <c r="D313" t="s">
        <v>427</v>
      </c>
      <c r="E313" t="s">
        <v>11316</v>
      </c>
      <c r="F313" t="s">
        <v>12445</v>
      </c>
      <c r="G313" t="s">
        <v>12446</v>
      </c>
      <c r="H313" t="s">
        <v>12447</v>
      </c>
      <c r="I313" t="s">
        <v>557</v>
      </c>
      <c r="M313" t="s">
        <v>33</v>
      </c>
      <c r="N313" t="s">
        <v>432</v>
      </c>
    </row>
    <row r="314" spans="1:14" x14ac:dyDescent="0.35">
      <c r="A314" t="s">
        <v>20</v>
      </c>
      <c r="B314">
        <v>17643</v>
      </c>
      <c r="C314" t="s">
        <v>426</v>
      </c>
      <c r="D314" t="s">
        <v>427</v>
      </c>
      <c r="E314" t="s">
        <v>11320</v>
      </c>
      <c r="F314" t="s">
        <v>12448</v>
      </c>
      <c r="G314" t="s">
        <v>12449</v>
      </c>
      <c r="H314" t="s">
        <v>12450</v>
      </c>
      <c r="I314" t="s">
        <v>557</v>
      </c>
      <c r="K314" t="s">
        <v>1681</v>
      </c>
      <c r="M314" t="s">
        <v>33</v>
      </c>
      <c r="N314" t="s">
        <v>432</v>
      </c>
    </row>
    <row r="315" spans="1:14" x14ac:dyDescent="0.35">
      <c r="A315" t="s">
        <v>20</v>
      </c>
      <c r="B315">
        <v>17643</v>
      </c>
      <c r="C315" t="s">
        <v>426</v>
      </c>
      <c r="D315" t="s">
        <v>427</v>
      </c>
      <c r="E315" t="s">
        <v>11324</v>
      </c>
      <c r="F315" t="s">
        <v>12451</v>
      </c>
      <c r="G315" t="s">
        <v>12452</v>
      </c>
      <c r="H315" t="s">
        <v>12453</v>
      </c>
      <c r="I315" t="s">
        <v>557</v>
      </c>
      <c r="M315" t="s">
        <v>33</v>
      </c>
      <c r="N315" t="s">
        <v>432</v>
      </c>
    </row>
    <row r="316" spans="1:14" x14ac:dyDescent="0.35">
      <c r="A316" t="s">
        <v>20</v>
      </c>
      <c r="B316">
        <v>17643</v>
      </c>
      <c r="C316" t="s">
        <v>426</v>
      </c>
      <c r="D316" t="s">
        <v>427</v>
      </c>
      <c r="E316" t="s">
        <v>11328</v>
      </c>
      <c r="F316" t="s">
        <v>12454</v>
      </c>
      <c r="G316" t="s">
        <v>12455</v>
      </c>
      <c r="H316" t="s">
        <v>12456</v>
      </c>
      <c r="I316" t="s">
        <v>557</v>
      </c>
      <c r="M316" t="s">
        <v>33</v>
      </c>
      <c r="N316" t="s">
        <v>432</v>
      </c>
    </row>
    <row r="317" spans="1:14" x14ac:dyDescent="0.35">
      <c r="A317" t="s">
        <v>20</v>
      </c>
      <c r="B317">
        <v>17643</v>
      </c>
      <c r="C317" t="s">
        <v>426</v>
      </c>
      <c r="D317" t="s">
        <v>427</v>
      </c>
      <c r="E317" t="s">
        <v>11331</v>
      </c>
      <c r="F317" t="s">
        <v>12457</v>
      </c>
      <c r="G317" t="s">
        <v>12458</v>
      </c>
      <c r="H317" t="s">
        <v>12459</v>
      </c>
      <c r="I317" t="s">
        <v>557</v>
      </c>
      <c r="M317" t="s">
        <v>33</v>
      </c>
      <c r="N317" t="s">
        <v>432</v>
      </c>
    </row>
    <row r="318" spans="1:14" x14ac:dyDescent="0.35">
      <c r="A318" t="s">
        <v>20</v>
      </c>
      <c r="B318">
        <v>17643</v>
      </c>
      <c r="C318" t="s">
        <v>426</v>
      </c>
      <c r="D318" t="s">
        <v>427</v>
      </c>
      <c r="E318" t="s">
        <v>11335</v>
      </c>
      <c r="F318" t="s">
        <v>12460</v>
      </c>
      <c r="G318" t="s">
        <v>12461</v>
      </c>
      <c r="H318" t="s">
        <v>12462</v>
      </c>
      <c r="I318" t="s">
        <v>557</v>
      </c>
      <c r="M318" t="s">
        <v>33</v>
      </c>
      <c r="N318" t="s">
        <v>432</v>
      </c>
    </row>
    <row r="319" spans="1:14" x14ac:dyDescent="0.35">
      <c r="A319" t="s">
        <v>20</v>
      </c>
      <c r="B319">
        <v>17643</v>
      </c>
      <c r="C319" t="s">
        <v>426</v>
      </c>
      <c r="D319" t="s">
        <v>427</v>
      </c>
      <c r="E319" t="s">
        <v>11339</v>
      </c>
      <c r="F319" t="s">
        <v>12463</v>
      </c>
      <c r="G319" t="s">
        <v>12464</v>
      </c>
      <c r="H319" t="s">
        <v>12465</v>
      </c>
      <c r="I319" t="s">
        <v>557</v>
      </c>
      <c r="M319" t="s">
        <v>33</v>
      </c>
      <c r="N319" t="s">
        <v>432</v>
      </c>
    </row>
    <row r="320" spans="1:14" x14ac:dyDescent="0.35">
      <c r="A320" t="s">
        <v>20</v>
      </c>
      <c r="B320">
        <v>17643</v>
      </c>
      <c r="C320" t="s">
        <v>426</v>
      </c>
      <c r="D320" t="s">
        <v>427</v>
      </c>
      <c r="E320" t="s">
        <v>11343</v>
      </c>
      <c r="F320" t="s">
        <v>12466</v>
      </c>
      <c r="G320" t="s">
        <v>12467</v>
      </c>
      <c r="H320" t="s">
        <v>12468</v>
      </c>
      <c r="I320" t="s">
        <v>557</v>
      </c>
      <c r="K320" t="s">
        <v>1681</v>
      </c>
      <c r="M320" t="s">
        <v>33</v>
      </c>
      <c r="N320" t="s">
        <v>432</v>
      </c>
    </row>
    <row r="321" spans="1:14" x14ac:dyDescent="0.35">
      <c r="A321" t="s">
        <v>20</v>
      </c>
      <c r="B321">
        <v>17643</v>
      </c>
      <c r="C321" t="s">
        <v>426</v>
      </c>
      <c r="D321" t="s">
        <v>427</v>
      </c>
      <c r="E321" t="s">
        <v>11347</v>
      </c>
      <c r="F321" t="s">
        <v>12469</v>
      </c>
      <c r="G321" t="s">
        <v>12470</v>
      </c>
      <c r="H321" t="s">
        <v>12471</v>
      </c>
      <c r="I321" t="s">
        <v>557</v>
      </c>
      <c r="M321" t="s">
        <v>33</v>
      </c>
      <c r="N321" t="s">
        <v>432</v>
      </c>
    </row>
    <row r="322" spans="1:14" x14ac:dyDescent="0.35">
      <c r="A322" t="s">
        <v>20</v>
      </c>
      <c r="B322">
        <v>17643</v>
      </c>
      <c r="C322" t="s">
        <v>426</v>
      </c>
      <c r="D322" t="s">
        <v>427</v>
      </c>
      <c r="E322" t="s">
        <v>11351</v>
      </c>
      <c r="F322" t="s">
        <v>12472</v>
      </c>
      <c r="G322" t="s">
        <v>12473</v>
      </c>
      <c r="H322" t="s">
        <v>12474</v>
      </c>
      <c r="I322" t="s">
        <v>557</v>
      </c>
      <c r="M322" t="s">
        <v>33</v>
      </c>
      <c r="N322" t="s">
        <v>432</v>
      </c>
    </row>
    <row r="323" spans="1:14" x14ac:dyDescent="0.35">
      <c r="A323" t="s">
        <v>20</v>
      </c>
      <c r="B323">
        <v>17643</v>
      </c>
      <c r="C323" t="s">
        <v>426</v>
      </c>
      <c r="D323" t="s">
        <v>427</v>
      </c>
      <c r="E323" t="s">
        <v>11355</v>
      </c>
      <c r="F323" t="s">
        <v>12475</v>
      </c>
      <c r="G323" t="s">
        <v>12476</v>
      </c>
      <c r="H323" t="s">
        <v>12477</v>
      </c>
      <c r="I323" t="s">
        <v>557</v>
      </c>
      <c r="M323" t="s">
        <v>33</v>
      </c>
      <c r="N323" t="s">
        <v>432</v>
      </c>
    </row>
    <row r="324" spans="1:14" x14ac:dyDescent="0.35">
      <c r="A324" t="s">
        <v>20</v>
      </c>
      <c r="B324">
        <v>17643</v>
      </c>
      <c r="C324" t="s">
        <v>426</v>
      </c>
      <c r="D324" t="s">
        <v>427</v>
      </c>
      <c r="E324" t="s">
        <v>11359</v>
      </c>
      <c r="F324" t="s">
        <v>12478</v>
      </c>
      <c r="G324" t="s">
        <v>12479</v>
      </c>
      <c r="H324" t="s">
        <v>12480</v>
      </c>
      <c r="I324" t="s">
        <v>557</v>
      </c>
      <c r="M324" t="s">
        <v>33</v>
      </c>
      <c r="N324" t="s">
        <v>432</v>
      </c>
    </row>
    <row r="325" spans="1:14" x14ac:dyDescent="0.35">
      <c r="A325" t="s">
        <v>20</v>
      </c>
      <c r="B325">
        <v>17643</v>
      </c>
      <c r="C325" t="s">
        <v>426</v>
      </c>
      <c r="D325" t="s">
        <v>427</v>
      </c>
      <c r="E325" t="s">
        <v>11363</v>
      </c>
      <c r="F325" t="s">
        <v>12481</v>
      </c>
      <c r="G325" t="s">
        <v>12482</v>
      </c>
      <c r="H325" t="s">
        <v>12483</v>
      </c>
      <c r="I325" t="s">
        <v>557</v>
      </c>
      <c r="M325" t="s">
        <v>33</v>
      </c>
      <c r="N325" t="s">
        <v>432</v>
      </c>
    </row>
    <row r="326" spans="1:14" x14ac:dyDescent="0.35">
      <c r="A326" t="s">
        <v>20</v>
      </c>
      <c r="B326">
        <v>17643</v>
      </c>
      <c r="C326" t="s">
        <v>426</v>
      </c>
      <c r="D326" t="s">
        <v>427</v>
      </c>
      <c r="E326" t="s">
        <v>11367</v>
      </c>
      <c r="F326" t="s">
        <v>12484</v>
      </c>
      <c r="G326" t="s">
        <v>12485</v>
      </c>
      <c r="H326" t="s">
        <v>12486</v>
      </c>
      <c r="I326" t="s">
        <v>557</v>
      </c>
      <c r="M326" t="s">
        <v>33</v>
      </c>
      <c r="N326" t="s">
        <v>432</v>
      </c>
    </row>
    <row r="327" spans="1:14" x14ac:dyDescent="0.35">
      <c r="A327" t="s">
        <v>20</v>
      </c>
      <c r="B327">
        <v>17643</v>
      </c>
      <c r="C327" t="s">
        <v>426</v>
      </c>
      <c r="D327" t="s">
        <v>427</v>
      </c>
      <c r="E327" t="s">
        <v>11371</v>
      </c>
      <c r="F327" t="s">
        <v>12487</v>
      </c>
      <c r="G327" t="s">
        <v>12488</v>
      </c>
      <c r="H327" t="s">
        <v>12489</v>
      </c>
      <c r="I327" t="s">
        <v>557</v>
      </c>
      <c r="M327" t="s">
        <v>33</v>
      </c>
      <c r="N327" t="s">
        <v>432</v>
      </c>
    </row>
    <row r="328" spans="1:14" x14ac:dyDescent="0.35">
      <c r="A328" t="s">
        <v>20</v>
      </c>
      <c r="B328">
        <v>17643</v>
      </c>
      <c r="C328" t="s">
        <v>426</v>
      </c>
      <c r="D328" t="s">
        <v>427</v>
      </c>
      <c r="E328" t="s">
        <v>11375</v>
      </c>
      <c r="F328" t="s">
        <v>12490</v>
      </c>
      <c r="G328" t="s">
        <v>12491</v>
      </c>
      <c r="H328" t="s">
        <v>12492</v>
      </c>
      <c r="I328" t="s">
        <v>557</v>
      </c>
      <c r="M328" t="s">
        <v>33</v>
      </c>
      <c r="N328" t="s">
        <v>432</v>
      </c>
    </row>
    <row r="329" spans="1:14" x14ac:dyDescent="0.35">
      <c r="A329" t="s">
        <v>20</v>
      </c>
      <c r="B329">
        <v>17643</v>
      </c>
      <c r="C329" t="s">
        <v>426</v>
      </c>
      <c r="D329" t="s">
        <v>427</v>
      </c>
      <c r="E329" t="s">
        <v>11379</v>
      </c>
      <c r="F329" t="s">
        <v>12493</v>
      </c>
      <c r="G329" t="s">
        <v>12494</v>
      </c>
      <c r="H329" t="s">
        <v>12495</v>
      </c>
      <c r="I329" t="s">
        <v>557</v>
      </c>
      <c r="M329" t="s">
        <v>33</v>
      </c>
      <c r="N329" t="s">
        <v>432</v>
      </c>
    </row>
    <row r="330" spans="1:14" x14ac:dyDescent="0.35">
      <c r="A330" t="s">
        <v>20</v>
      </c>
      <c r="B330">
        <v>17643</v>
      </c>
      <c r="C330" t="s">
        <v>426</v>
      </c>
      <c r="D330" t="s">
        <v>427</v>
      </c>
      <c r="E330" t="s">
        <v>11383</v>
      </c>
      <c r="F330" t="s">
        <v>12496</v>
      </c>
      <c r="G330" t="s">
        <v>12497</v>
      </c>
      <c r="H330" t="s">
        <v>12498</v>
      </c>
      <c r="I330" t="s">
        <v>557</v>
      </c>
      <c r="M330" t="s">
        <v>33</v>
      </c>
      <c r="N330" t="s">
        <v>432</v>
      </c>
    </row>
    <row r="331" spans="1:14" x14ac:dyDescent="0.35">
      <c r="A331" t="s">
        <v>20</v>
      </c>
      <c r="B331">
        <v>17643</v>
      </c>
      <c r="C331" t="s">
        <v>426</v>
      </c>
      <c r="D331" t="s">
        <v>427</v>
      </c>
      <c r="E331" t="s">
        <v>11387</v>
      </c>
      <c r="F331" t="s">
        <v>12499</v>
      </c>
      <c r="G331" t="s">
        <v>12500</v>
      </c>
      <c r="H331" t="s">
        <v>12501</v>
      </c>
      <c r="I331" t="s">
        <v>557</v>
      </c>
      <c r="M331" t="s">
        <v>33</v>
      </c>
      <c r="N331" t="s">
        <v>432</v>
      </c>
    </row>
    <row r="332" spans="1:14" x14ac:dyDescent="0.35">
      <c r="A332" t="s">
        <v>20</v>
      </c>
      <c r="B332">
        <v>17643</v>
      </c>
      <c r="C332" t="s">
        <v>426</v>
      </c>
      <c r="D332" t="s">
        <v>427</v>
      </c>
      <c r="E332" t="s">
        <v>11391</v>
      </c>
      <c r="F332" t="s">
        <v>12502</v>
      </c>
      <c r="G332" t="s">
        <v>12503</v>
      </c>
      <c r="H332" t="s">
        <v>12504</v>
      </c>
      <c r="I332" t="s">
        <v>557</v>
      </c>
      <c r="M332" t="s">
        <v>33</v>
      </c>
      <c r="N332" t="s">
        <v>432</v>
      </c>
    </row>
    <row r="333" spans="1:14" x14ac:dyDescent="0.35">
      <c r="A333" t="s">
        <v>20</v>
      </c>
      <c r="B333">
        <v>17643</v>
      </c>
      <c r="C333" t="s">
        <v>426</v>
      </c>
      <c r="D333" t="s">
        <v>427</v>
      </c>
      <c r="E333" t="s">
        <v>11395</v>
      </c>
      <c r="F333" t="s">
        <v>12505</v>
      </c>
      <c r="G333" t="s">
        <v>12506</v>
      </c>
      <c r="H333" t="s">
        <v>12507</v>
      </c>
      <c r="I333" t="s">
        <v>557</v>
      </c>
      <c r="M333" t="s">
        <v>33</v>
      </c>
      <c r="N333" t="s">
        <v>432</v>
      </c>
    </row>
    <row r="334" spans="1:14" x14ac:dyDescent="0.35">
      <c r="A334" t="s">
        <v>20</v>
      </c>
      <c r="B334">
        <v>17643</v>
      </c>
      <c r="C334" t="s">
        <v>426</v>
      </c>
      <c r="D334" t="s">
        <v>427</v>
      </c>
      <c r="E334" t="s">
        <v>11399</v>
      </c>
      <c r="F334" t="s">
        <v>12508</v>
      </c>
      <c r="G334" t="s">
        <v>12509</v>
      </c>
      <c r="H334" t="s">
        <v>12510</v>
      </c>
      <c r="I334" t="s">
        <v>557</v>
      </c>
      <c r="M334" t="s">
        <v>33</v>
      </c>
      <c r="N334" t="s">
        <v>432</v>
      </c>
    </row>
    <row r="335" spans="1:14" x14ac:dyDescent="0.35">
      <c r="A335" t="s">
        <v>20</v>
      </c>
      <c r="B335">
        <v>17643</v>
      </c>
      <c r="C335" t="s">
        <v>426</v>
      </c>
      <c r="D335" t="s">
        <v>427</v>
      </c>
      <c r="E335" t="s">
        <v>11403</v>
      </c>
      <c r="F335" t="s">
        <v>12511</v>
      </c>
      <c r="G335" t="s">
        <v>12512</v>
      </c>
      <c r="H335" t="s">
        <v>12513</v>
      </c>
      <c r="I335" t="s">
        <v>557</v>
      </c>
      <c r="M335" t="s">
        <v>33</v>
      </c>
      <c r="N335" t="s">
        <v>432</v>
      </c>
    </row>
    <row r="336" spans="1:14" x14ac:dyDescent="0.35">
      <c r="A336" t="s">
        <v>20</v>
      </c>
      <c r="B336">
        <v>17643</v>
      </c>
      <c r="C336" t="s">
        <v>426</v>
      </c>
      <c r="D336" t="s">
        <v>427</v>
      </c>
      <c r="E336" t="s">
        <v>11407</v>
      </c>
      <c r="F336" t="s">
        <v>12514</v>
      </c>
      <c r="G336" t="s">
        <v>12515</v>
      </c>
      <c r="H336" t="s">
        <v>12516</v>
      </c>
      <c r="I336" t="s">
        <v>557</v>
      </c>
      <c r="M336" t="s">
        <v>33</v>
      </c>
      <c r="N336" t="s">
        <v>432</v>
      </c>
    </row>
    <row r="337" spans="1:14" x14ac:dyDescent="0.35">
      <c r="A337" t="s">
        <v>20</v>
      </c>
      <c r="B337">
        <v>17643</v>
      </c>
      <c r="C337" t="s">
        <v>426</v>
      </c>
      <c r="D337" t="s">
        <v>427</v>
      </c>
      <c r="E337" t="s">
        <v>11411</v>
      </c>
      <c r="F337" t="s">
        <v>12517</v>
      </c>
      <c r="G337" t="s">
        <v>12518</v>
      </c>
      <c r="H337" t="s">
        <v>12519</v>
      </c>
      <c r="I337" t="s">
        <v>557</v>
      </c>
      <c r="M337" t="s">
        <v>33</v>
      </c>
      <c r="N337" t="s">
        <v>432</v>
      </c>
    </row>
    <row r="338" spans="1:14" x14ac:dyDescent="0.35">
      <c r="A338" t="s">
        <v>20</v>
      </c>
      <c r="B338">
        <v>17643</v>
      </c>
      <c r="C338" t="s">
        <v>426</v>
      </c>
      <c r="D338" t="s">
        <v>427</v>
      </c>
      <c r="E338" t="s">
        <v>11415</v>
      </c>
      <c r="F338" t="s">
        <v>12520</v>
      </c>
      <c r="G338" t="s">
        <v>12521</v>
      </c>
      <c r="H338" t="s">
        <v>12522</v>
      </c>
      <c r="I338" t="s">
        <v>557</v>
      </c>
      <c r="M338" t="s">
        <v>33</v>
      </c>
      <c r="N338" t="s">
        <v>432</v>
      </c>
    </row>
    <row r="339" spans="1:14" x14ac:dyDescent="0.35">
      <c r="A339" t="s">
        <v>20</v>
      </c>
      <c r="B339">
        <v>17643</v>
      </c>
      <c r="C339" t="s">
        <v>426</v>
      </c>
      <c r="D339" t="s">
        <v>427</v>
      </c>
      <c r="E339" t="s">
        <v>11419</v>
      </c>
      <c r="F339" t="s">
        <v>12523</v>
      </c>
      <c r="G339" t="s">
        <v>12524</v>
      </c>
      <c r="H339" t="s">
        <v>12525</v>
      </c>
      <c r="I339" t="s">
        <v>557</v>
      </c>
      <c r="M339" t="s">
        <v>33</v>
      </c>
      <c r="N339" t="s">
        <v>432</v>
      </c>
    </row>
    <row r="340" spans="1:14" x14ac:dyDescent="0.35">
      <c r="A340" t="s">
        <v>20</v>
      </c>
      <c r="B340">
        <v>17643</v>
      </c>
      <c r="C340" t="s">
        <v>426</v>
      </c>
      <c r="D340" t="s">
        <v>427</v>
      </c>
      <c r="E340" t="s">
        <v>11423</v>
      </c>
      <c r="F340" t="s">
        <v>12526</v>
      </c>
      <c r="G340" t="s">
        <v>12527</v>
      </c>
      <c r="H340" t="s">
        <v>12528</v>
      </c>
      <c r="I340" t="s">
        <v>557</v>
      </c>
      <c r="M340" t="s">
        <v>33</v>
      </c>
      <c r="N340" t="s">
        <v>432</v>
      </c>
    </row>
    <row r="341" spans="1:14" x14ac:dyDescent="0.35">
      <c r="A341" t="s">
        <v>20</v>
      </c>
      <c r="B341">
        <v>17643</v>
      </c>
      <c r="C341" t="s">
        <v>426</v>
      </c>
      <c r="D341" t="s">
        <v>427</v>
      </c>
      <c r="E341" t="s">
        <v>11427</v>
      </c>
      <c r="F341" t="s">
        <v>10435</v>
      </c>
      <c r="G341" t="s">
        <v>10436</v>
      </c>
      <c r="H341" t="s">
        <v>10437</v>
      </c>
      <c r="I341" t="s">
        <v>557</v>
      </c>
      <c r="M341" t="s">
        <v>33</v>
      </c>
      <c r="N341" t="s">
        <v>432</v>
      </c>
    </row>
    <row r="342" spans="1:14" x14ac:dyDescent="0.35">
      <c r="A342" t="s">
        <v>20</v>
      </c>
      <c r="B342">
        <v>17643</v>
      </c>
      <c r="C342" t="s">
        <v>426</v>
      </c>
      <c r="D342" t="s">
        <v>427</v>
      </c>
      <c r="E342" t="s">
        <v>11431</v>
      </c>
      <c r="F342" t="s">
        <v>12529</v>
      </c>
      <c r="G342" t="s">
        <v>12530</v>
      </c>
      <c r="H342" t="s">
        <v>12531</v>
      </c>
      <c r="I342" t="s">
        <v>557</v>
      </c>
      <c r="M342" t="s">
        <v>33</v>
      </c>
      <c r="N342" t="s">
        <v>432</v>
      </c>
    </row>
    <row r="343" spans="1:14" x14ac:dyDescent="0.35">
      <c r="A343" t="s">
        <v>20</v>
      </c>
      <c r="B343">
        <v>17643</v>
      </c>
      <c r="C343" t="s">
        <v>426</v>
      </c>
      <c r="D343" t="s">
        <v>427</v>
      </c>
      <c r="E343" t="s">
        <v>11435</v>
      </c>
      <c r="F343" t="s">
        <v>12532</v>
      </c>
      <c r="G343" t="s">
        <v>12533</v>
      </c>
      <c r="H343" t="s">
        <v>12534</v>
      </c>
      <c r="I343" t="s">
        <v>557</v>
      </c>
      <c r="M343" t="s">
        <v>33</v>
      </c>
      <c r="N343" t="s">
        <v>432</v>
      </c>
    </row>
    <row r="344" spans="1:14" x14ac:dyDescent="0.35">
      <c r="A344" t="s">
        <v>20</v>
      </c>
      <c r="B344">
        <v>17643</v>
      </c>
      <c r="C344" t="s">
        <v>426</v>
      </c>
      <c r="D344" t="s">
        <v>427</v>
      </c>
      <c r="E344" t="s">
        <v>11439</v>
      </c>
      <c r="F344" t="s">
        <v>12535</v>
      </c>
      <c r="G344" t="s">
        <v>12536</v>
      </c>
      <c r="H344" t="s">
        <v>12537</v>
      </c>
      <c r="I344" t="s">
        <v>557</v>
      </c>
      <c r="M344" t="s">
        <v>33</v>
      </c>
      <c r="N344" t="s">
        <v>432</v>
      </c>
    </row>
    <row r="345" spans="1:14" x14ac:dyDescent="0.35">
      <c r="A345" t="s">
        <v>20</v>
      </c>
      <c r="B345">
        <v>17643</v>
      </c>
      <c r="C345" t="s">
        <v>426</v>
      </c>
      <c r="D345" t="s">
        <v>427</v>
      </c>
      <c r="E345" t="s">
        <v>11443</v>
      </c>
      <c r="F345" t="s">
        <v>12538</v>
      </c>
      <c r="G345" t="s">
        <v>12539</v>
      </c>
      <c r="H345" t="s">
        <v>12540</v>
      </c>
      <c r="I345" t="s">
        <v>557</v>
      </c>
      <c r="M345" t="s">
        <v>33</v>
      </c>
      <c r="N345" t="s">
        <v>432</v>
      </c>
    </row>
    <row r="346" spans="1:14" x14ac:dyDescent="0.35">
      <c r="A346" t="s">
        <v>20</v>
      </c>
      <c r="B346">
        <v>17643</v>
      </c>
      <c r="C346" t="s">
        <v>426</v>
      </c>
      <c r="D346" t="s">
        <v>427</v>
      </c>
      <c r="E346" t="s">
        <v>11447</v>
      </c>
      <c r="F346" t="s">
        <v>12541</v>
      </c>
      <c r="G346" t="s">
        <v>12542</v>
      </c>
      <c r="H346" t="s">
        <v>12543</v>
      </c>
      <c r="I346" t="s">
        <v>557</v>
      </c>
      <c r="M346" t="s">
        <v>33</v>
      </c>
      <c r="N346" t="s">
        <v>432</v>
      </c>
    </row>
    <row r="347" spans="1:14" x14ac:dyDescent="0.35">
      <c r="A347" t="s">
        <v>20</v>
      </c>
      <c r="B347">
        <v>17643</v>
      </c>
      <c r="C347" t="s">
        <v>426</v>
      </c>
      <c r="D347" t="s">
        <v>427</v>
      </c>
      <c r="E347" t="s">
        <v>11451</v>
      </c>
      <c r="F347" t="s">
        <v>12544</v>
      </c>
      <c r="G347" t="s">
        <v>12545</v>
      </c>
      <c r="H347" t="s">
        <v>12546</v>
      </c>
      <c r="I347" t="s">
        <v>557</v>
      </c>
      <c r="M347" t="s">
        <v>33</v>
      </c>
      <c r="N347" t="s">
        <v>432</v>
      </c>
    </row>
    <row r="348" spans="1:14" x14ac:dyDescent="0.35">
      <c r="A348" t="s">
        <v>20</v>
      </c>
      <c r="B348">
        <v>17643</v>
      </c>
      <c r="C348" t="s">
        <v>426</v>
      </c>
      <c r="D348" t="s">
        <v>427</v>
      </c>
      <c r="E348" t="s">
        <v>11455</v>
      </c>
      <c r="F348" t="s">
        <v>12547</v>
      </c>
      <c r="G348" t="s">
        <v>12548</v>
      </c>
      <c r="H348" t="s">
        <v>12549</v>
      </c>
      <c r="I348" t="s">
        <v>557</v>
      </c>
      <c r="M348" t="s">
        <v>33</v>
      </c>
      <c r="N348" t="s">
        <v>432</v>
      </c>
    </row>
    <row r="349" spans="1:14" x14ac:dyDescent="0.35">
      <c r="A349" t="s">
        <v>20</v>
      </c>
      <c r="B349">
        <v>17643</v>
      </c>
      <c r="C349" t="s">
        <v>426</v>
      </c>
      <c r="D349" t="s">
        <v>427</v>
      </c>
      <c r="E349" t="s">
        <v>11459</v>
      </c>
      <c r="F349" t="s">
        <v>12550</v>
      </c>
      <c r="G349" t="s">
        <v>12551</v>
      </c>
      <c r="H349" t="s">
        <v>12552</v>
      </c>
      <c r="I349" t="s">
        <v>557</v>
      </c>
      <c r="M349" t="s">
        <v>33</v>
      </c>
      <c r="N349" t="s">
        <v>432</v>
      </c>
    </row>
    <row r="350" spans="1:14" x14ac:dyDescent="0.35">
      <c r="A350" t="s">
        <v>20</v>
      </c>
      <c r="B350">
        <v>17643</v>
      </c>
      <c r="C350" t="s">
        <v>426</v>
      </c>
      <c r="D350" t="s">
        <v>427</v>
      </c>
      <c r="E350" t="s">
        <v>11463</v>
      </c>
      <c r="F350" t="s">
        <v>12553</v>
      </c>
      <c r="G350" t="s">
        <v>12554</v>
      </c>
      <c r="H350" t="s">
        <v>12555</v>
      </c>
      <c r="I350" t="s">
        <v>557</v>
      </c>
      <c r="K350" t="s">
        <v>1681</v>
      </c>
      <c r="M350" t="s">
        <v>33</v>
      </c>
      <c r="N350" t="s">
        <v>432</v>
      </c>
    </row>
    <row r="351" spans="1:14" x14ac:dyDescent="0.35">
      <c r="A351" t="s">
        <v>20</v>
      </c>
      <c r="B351">
        <v>17643</v>
      </c>
      <c r="C351" t="s">
        <v>426</v>
      </c>
      <c r="D351" t="s">
        <v>427</v>
      </c>
      <c r="E351" t="s">
        <v>11467</v>
      </c>
      <c r="F351" t="s">
        <v>12556</v>
      </c>
      <c r="G351" t="s">
        <v>12557</v>
      </c>
      <c r="H351" t="s">
        <v>12558</v>
      </c>
      <c r="I351" t="s">
        <v>557</v>
      </c>
      <c r="M351" t="s">
        <v>33</v>
      </c>
      <c r="N351" t="s">
        <v>432</v>
      </c>
    </row>
    <row r="352" spans="1:14" x14ac:dyDescent="0.35">
      <c r="A352" t="s">
        <v>20</v>
      </c>
      <c r="B352">
        <v>17643</v>
      </c>
      <c r="C352" t="s">
        <v>426</v>
      </c>
      <c r="D352" t="s">
        <v>427</v>
      </c>
      <c r="E352" t="s">
        <v>11471</v>
      </c>
      <c r="F352" t="s">
        <v>12559</v>
      </c>
      <c r="G352" t="s">
        <v>12560</v>
      </c>
      <c r="H352" t="s">
        <v>12561</v>
      </c>
      <c r="I352" t="s">
        <v>557</v>
      </c>
      <c r="M352" t="s">
        <v>33</v>
      </c>
      <c r="N352" t="s">
        <v>432</v>
      </c>
    </row>
    <row r="353" spans="1:14" x14ac:dyDescent="0.35">
      <c r="A353" t="s">
        <v>20</v>
      </c>
      <c r="B353">
        <v>17643</v>
      </c>
      <c r="C353" t="s">
        <v>426</v>
      </c>
      <c r="D353" t="s">
        <v>427</v>
      </c>
      <c r="E353" t="s">
        <v>11475</v>
      </c>
      <c r="F353" t="s">
        <v>12562</v>
      </c>
      <c r="G353" t="s">
        <v>12563</v>
      </c>
      <c r="H353" t="s">
        <v>12564</v>
      </c>
      <c r="I353" t="s">
        <v>557</v>
      </c>
      <c r="K353" t="s">
        <v>1681</v>
      </c>
      <c r="M353" t="s">
        <v>33</v>
      </c>
      <c r="N353" t="s">
        <v>432</v>
      </c>
    </row>
    <row r="354" spans="1:14" x14ac:dyDescent="0.35">
      <c r="A354" t="s">
        <v>20</v>
      </c>
      <c r="B354">
        <v>17643</v>
      </c>
      <c r="C354" t="s">
        <v>426</v>
      </c>
      <c r="D354" t="s">
        <v>427</v>
      </c>
      <c r="E354" t="s">
        <v>11479</v>
      </c>
      <c r="F354" t="s">
        <v>12565</v>
      </c>
      <c r="G354" t="s">
        <v>12566</v>
      </c>
      <c r="H354" t="s">
        <v>12567</v>
      </c>
      <c r="I354" t="s">
        <v>557</v>
      </c>
      <c r="M354" t="s">
        <v>33</v>
      </c>
      <c r="N354" t="s">
        <v>432</v>
      </c>
    </row>
    <row r="355" spans="1:14" x14ac:dyDescent="0.35">
      <c r="A355" t="s">
        <v>20</v>
      </c>
      <c r="B355">
        <v>17643</v>
      </c>
      <c r="C355" t="s">
        <v>426</v>
      </c>
      <c r="D355" t="s">
        <v>427</v>
      </c>
      <c r="E355" t="s">
        <v>11483</v>
      </c>
      <c r="F355" t="s">
        <v>12568</v>
      </c>
      <c r="G355" t="s">
        <v>12569</v>
      </c>
      <c r="H355" t="s">
        <v>12570</v>
      </c>
      <c r="I355" t="s">
        <v>557</v>
      </c>
      <c r="M355" t="s">
        <v>33</v>
      </c>
      <c r="N355" t="s">
        <v>432</v>
      </c>
    </row>
    <row r="356" spans="1:14" x14ac:dyDescent="0.35">
      <c r="A356" t="s">
        <v>20</v>
      </c>
      <c r="B356">
        <v>17643</v>
      </c>
      <c r="C356" t="s">
        <v>426</v>
      </c>
      <c r="D356" t="s">
        <v>427</v>
      </c>
      <c r="E356" t="s">
        <v>11487</v>
      </c>
      <c r="F356" t="s">
        <v>12571</v>
      </c>
      <c r="G356" t="s">
        <v>12572</v>
      </c>
      <c r="H356" t="s">
        <v>12573</v>
      </c>
      <c r="I356" t="s">
        <v>557</v>
      </c>
      <c r="M356" t="s">
        <v>33</v>
      </c>
      <c r="N356" t="s">
        <v>432</v>
      </c>
    </row>
    <row r="357" spans="1:14" x14ac:dyDescent="0.35">
      <c r="A357" t="s">
        <v>20</v>
      </c>
      <c r="B357">
        <v>17643</v>
      </c>
      <c r="C357" t="s">
        <v>426</v>
      </c>
      <c r="D357" t="s">
        <v>427</v>
      </c>
      <c r="E357" t="s">
        <v>11491</v>
      </c>
      <c r="F357" t="s">
        <v>12574</v>
      </c>
      <c r="G357" t="s">
        <v>12575</v>
      </c>
      <c r="H357" t="s">
        <v>12576</v>
      </c>
      <c r="I357" t="s">
        <v>557</v>
      </c>
      <c r="M357" t="s">
        <v>33</v>
      </c>
      <c r="N357" t="s">
        <v>432</v>
      </c>
    </row>
    <row r="358" spans="1:14" x14ac:dyDescent="0.35">
      <c r="A358" t="s">
        <v>20</v>
      </c>
      <c r="B358">
        <v>17643</v>
      </c>
      <c r="C358" t="s">
        <v>426</v>
      </c>
      <c r="D358" t="s">
        <v>427</v>
      </c>
      <c r="E358" t="s">
        <v>11495</v>
      </c>
      <c r="F358" t="s">
        <v>12577</v>
      </c>
      <c r="G358" t="s">
        <v>12578</v>
      </c>
      <c r="H358" t="s">
        <v>12579</v>
      </c>
      <c r="I358" t="s">
        <v>557</v>
      </c>
      <c r="M358" t="s">
        <v>33</v>
      </c>
      <c r="N358" t="s">
        <v>432</v>
      </c>
    </row>
    <row r="359" spans="1:14" x14ac:dyDescent="0.35">
      <c r="A359" t="s">
        <v>20</v>
      </c>
      <c r="B359">
        <v>17643</v>
      </c>
      <c r="C359" t="s">
        <v>426</v>
      </c>
      <c r="D359" t="s">
        <v>427</v>
      </c>
      <c r="E359" t="s">
        <v>11499</v>
      </c>
      <c r="F359" t="s">
        <v>12580</v>
      </c>
      <c r="G359" t="s">
        <v>12581</v>
      </c>
      <c r="H359" t="s">
        <v>12582</v>
      </c>
      <c r="I359" t="s">
        <v>557</v>
      </c>
      <c r="M359" t="s">
        <v>33</v>
      </c>
      <c r="N359" t="s">
        <v>432</v>
      </c>
    </row>
    <row r="360" spans="1:14" x14ac:dyDescent="0.35">
      <c r="A360" t="s">
        <v>20</v>
      </c>
      <c r="B360">
        <v>17643</v>
      </c>
      <c r="C360" t="s">
        <v>426</v>
      </c>
      <c r="D360" t="s">
        <v>427</v>
      </c>
      <c r="E360" t="s">
        <v>11503</v>
      </c>
      <c r="F360" t="s">
        <v>12583</v>
      </c>
      <c r="G360" t="s">
        <v>12584</v>
      </c>
      <c r="H360" t="s">
        <v>12585</v>
      </c>
      <c r="I360" t="s">
        <v>557</v>
      </c>
      <c r="M360" t="s">
        <v>33</v>
      </c>
      <c r="N360" t="s">
        <v>432</v>
      </c>
    </row>
    <row r="361" spans="1:14" x14ac:dyDescent="0.35">
      <c r="A361" t="s">
        <v>20</v>
      </c>
      <c r="B361">
        <v>17643</v>
      </c>
      <c r="C361" t="s">
        <v>426</v>
      </c>
      <c r="D361" t="s">
        <v>427</v>
      </c>
      <c r="E361" t="s">
        <v>11507</v>
      </c>
      <c r="F361" t="s">
        <v>12586</v>
      </c>
      <c r="G361" t="s">
        <v>12587</v>
      </c>
      <c r="H361" t="s">
        <v>12588</v>
      </c>
      <c r="I361" t="s">
        <v>557</v>
      </c>
      <c r="M361" t="s">
        <v>33</v>
      </c>
      <c r="N361" t="s">
        <v>432</v>
      </c>
    </row>
    <row r="362" spans="1:14" x14ac:dyDescent="0.35">
      <c r="A362" t="s">
        <v>20</v>
      </c>
      <c r="B362">
        <v>17643</v>
      </c>
      <c r="C362" t="s">
        <v>426</v>
      </c>
      <c r="D362" t="s">
        <v>427</v>
      </c>
      <c r="E362" t="s">
        <v>11511</v>
      </c>
      <c r="F362" t="s">
        <v>12589</v>
      </c>
      <c r="G362" t="s">
        <v>12590</v>
      </c>
      <c r="H362" t="s">
        <v>12591</v>
      </c>
      <c r="I362" t="s">
        <v>557</v>
      </c>
      <c r="M362" t="s">
        <v>33</v>
      </c>
      <c r="N362" t="s">
        <v>432</v>
      </c>
    </row>
    <row r="363" spans="1:14" x14ac:dyDescent="0.35">
      <c r="A363" t="s">
        <v>20</v>
      </c>
      <c r="B363">
        <v>17643</v>
      </c>
      <c r="C363" t="s">
        <v>426</v>
      </c>
      <c r="D363" t="s">
        <v>427</v>
      </c>
      <c r="E363" t="s">
        <v>11512</v>
      </c>
      <c r="F363" t="s">
        <v>12592</v>
      </c>
      <c r="G363" t="s">
        <v>12593</v>
      </c>
      <c r="H363" t="s">
        <v>12594</v>
      </c>
      <c r="I363" t="s">
        <v>557</v>
      </c>
      <c r="M363" t="s">
        <v>33</v>
      </c>
      <c r="N363" t="s">
        <v>432</v>
      </c>
    </row>
    <row r="364" spans="1:14" x14ac:dyDescent="0.35">
      <c r="A364" t="s">
        <v>20</v>
      </c>
      <c r="B364">
        <v>17643</v>
      </c>
      <c r="C364" t="s">
        <v>426</v>
      </c>
      <c r="D364" t="s">
        <v>427</v>
      </c>
      <c r="E364" t="s">
        <v>11516</v>
      </c>
      <c r="F364" t="s">
        <v>12595</v>
      </c>
      <c r="G364" t="s">
        <v>12596</v>
      </c>
      <c r="H364" t="s">
        <v>12597</v>
      </c>
      <c r="I364" t="s">
        <v>557</v>
      </c>
      <c r="M364" t="s">
        <v>33</v>
      </c>
      <c r="N364" t="s">
        <v>432</v>
      </c>
    </row>
    <row r="365" spans="1:14" x14ac:dyDescent="0.35">
      <c r="A365" t="s">
        <v>20</v>
      </c>
      <c r="B365">
        <v>17643</v>
      </c>
      <c r="C365" t="s">
        <v>426</v>
      </c>
      <c r="D365" t="s">
        <v>427</v>
      </c>
      <c r="E365" t="s">
        <v>11520</v>
      </c>
      <c r="F365" t="s">
        <v>2455</v>
      </c>
      <c r="G365" t="s">
        <v>12598</v>
      </c>
      <c r="H365" t="s">
        <v>12599</v>
      </c>
      <c r="I365" t="s">
        <v>557</v>
      </c>
      <c r="M365" t="s">
        <v>33</v>
      </c>
      <c r="N365" t="s">
        <v>432</v>
      </c>
    </row>
    <row r="366" spans="1:14" x14ac:dyDescent="0.35">
      <c r="A366" t="s">
        <v>20</v>
      </c>
      <c r="B366">
        <v>17643</v>
      </c>
      <c r="C366" t="s">
        <v>426</v>
      </c>
      <c r="D366" t="s">
        <v>427</v>
      </c>
      <c r="E366" t="s">
        <v>11524</v>
      </c>
      <c r="F366" t="s">
        <v>12600</v>
      </c>
      <c r="G366" t="s">
        <v>12601</v>
      </c>
      <c r="H366" t="s">
        <v>12602</v>
      </c>
      <c r="I366" t="s">
        <v>557</v>
      </c>
      <c r="M366" t="s">
        <v>33</v>
      </c>
      <c r="N366" t="s">
        <v>432</v>
      </c>
    </row>
    <row r="367" spans="1:14" x14ac:dyDescent="0.35">
      <c r="A367" t="s">
        <v>20</v>
      </c>
      <c r="B367">
        <v>17643</v>
      </c>
      <c r="C367" t="s">
        <v>426</v>
      </c>
      <c r="D367" t="s">
        <v>427</v>
      </c>
      <c r="E367" t="s">
        <v>11528</v>
      </c>
      <c r="F367" t="s">
        <v>12603</v>
      </c>
      <c r="G367" t="s">
        <v>12604</v>
      </c>
      <c r="H367" t="s">
        <v>12605</v>
      </c>
      <c r="I367" t="s">
        <v>557</v>
      </c>
      <c r="M367" t="s">
        <v>33</v>
      </c>
      <c r="N367" t="s">
        <v>432</v>
      </c>
    </row>
    <row r="368" spans="1:14" x14ac:dyDescent="0.35">
      <c r="A368" t="s">
        <v>20</v>
      </c>
      <c r="B368">
        <v>17643</v>
      </c>
      <c r="C368" t="s">
        <v>426</v>
      </c>
      <c r="D368" t="s">
        <v>427</v>
      </c>
      <c r="E368" t="s">
        <v>11532</v>
      </c>
      <c r="F368" t="s">
        <v>12606</v>
      </c>
      <c r="G368" t="s">
        <v>12607</v>
      </c>
      <c r="H368" t="s">
        <v>12608</v>
      </c>
      <c r="I368" t="s">
        <v>557</v>
      </c>
      <c r="M368" t="s">
        <v>33</v>
      </c>
      <c r="N368" t="s">
        <v>432</v>
      </c>
    </row>
    <row r="369" spans="1:14" x14ac:dyDescent="0.35">
      <c r="A369" t="s">
        <v>20</v>
      </c>
      <c r="B369">
        <v>17643</v>
      </c>
      <c r="C369" t="s">
        <v>426</v>
      </c>
      <c r="D369" t="s">
        <v>427</v>
      </c>
      <c r="E369" t="s">
        <v>11536</v>
      </c>
      <c r="F369" t="s">
        <v>12609</v>
      </c>
      <c r="G369" t="s">
        <v>12610</v>
      </c>
      <c r="H369" t="s">
        <v>12611</v>
      </c>
      <c r="I369" t="s">
        <v>557</v>
      </c>
      <c r="M369" t="s">
        <v>33</v>
      </c>
      <c r="N369" t="s">
        <v>432</v>
      </c>
    </row>
    <row r="370" spans="1:14" x14ac:dyDescent="0.35">
      <c r="A370" t="s">
        <v>20</v>
      </c>
      <c r="B370">
        <v>17643</v>
      </c>
      <c r="C370" t="s">
        <v>426</v>
      </c>
      <c r="D370" t="s">
        <v>427</v>
      </c>
      <c r="E370" t="s">
        <v>11540</v>
      </c>
      <c r="F370" t="s">
        <v>12612</v>
      </c>
      <c r="G370" t="s">
        <v>12613</v>
      </c>
      <c r="H370" t="s">
        <v>12614</v>
      </c>
      <c r="I370" t="s">
        <v>557</v>
      </c>
      <c r="M370" t="s">
        <v>33</v>
      </c>
      <c r="N370" t="s">
        <v>432</v>
      </c>
    </row>
    <row r="371" spans="1:14" x14ac:dyDescent="0.35">
      <c r="A371" t="s">
        <v>20</v>
      </c>
      <c r="B371">
        <v>17643</v>
      </c>
      <c r="C371" t="s">
        <v>426</v>
      </c>
      <c r="D371" t="s">
        <v>427</v>
      </c>
      <c r="E371" t="s">
        <v>11544</v>
      </c>
      <c r="F371" t="s">
        <v>12615</v>
      </c>
      <c r="G371" t="s">
        <v>12616</v>
      </c>
      <c r="H371" t="s">
        <v>12617</v>
      </c>
      <c r="I371" t="s">
        <v>557</v>
      </c>
      <c r="M371" t="s">
        <v>33</v>
      </c>
      <c r="N371" t="s">
        <v>432</v>
      </c>
    </row>
    <row r="372" spans="1:14" x14ac:dyDescent="0.35">
      <c r="A372" t="s">
        <v>20</v>
      </c>
      <c r="B372">
        <v>17643</v>
      </c>
      <c r="C372" t="s">
        <v>426</v>
      </c>
      <c r="D372" t="s">
        <v>427</v>
      </c>
      <c r="E372" t="s">
        <v>11548</v>
      </c>
      <c r="F372" t="s">
        <v>12618</v>
      </c>
      <c r="G372" t="s">
        <v>12619</v>
      </c>
      <c r="H372" t="s">
        <v>12620</v>
      </c>
      <c r="I372" t="s">
        <v>557</v>
      </c>
      <c r="M372" t="s">
        <v>33</v>
      </c>
      <c r="N372" t="s">
        <v>432</v>
      </c>
    </row>
    <row r="373" spans="1:14" x14ac:dyDescent="0.35">
      <c r="A373" t="s">
        <v>20</v>
      </c>
      <c r="B373">
        <v>17643</v>
      </c>
      <c r="C373" t="s">
        <v>426</v>
      </c>
      <c r="D373" t="s">
        <v>427</v>
      </c>
      <c r="E373" t="s">
        <v>11552</v>
      </c>
      <c r="F373" t="s">
        <v>12621</v>
      </c>
      <c r="G373" t="s">
        <v>12622</v>
      </c>
      <c r="H373" t="s">
        <v>12623</v>
      </c>
      <c r="I373" t="s">
        <v>557</v>
      </c>
      <c r="M373" t="s">
        <v>33</v>
      </c>
      <c r="N373" t="s">
        <v>432</v>
      </c>
    </row>
    <row r="374" spans="1:14" x14ac:dyDescent="0.35">
      <c r="A374" t="s">
        <v>20</v>
      </c>
      <c r="B374">
        <v>17643</v>
      </c>
      <c r="C374" t="s">
        <v>426</v>
      </c>
      <c r="D374" t="s">
        <v>427</v>
      </c>
      <c r="E374" t="s">
        <v>11556</v>
      </c>
      <c r="F374" t="s">
        <v>12624</v>
      </c>
      <c r="G374" t="s">
        <v>12625</v>
      </c>
      <c r="H374" t="s">
        <v>12626</v>
      </c>
      <c r="I374" t="s">
        <v>557</v>
      </c>
      <c r="M374" t="s">
        <v>33</v>
      </c>
      <c r="N374" t="s">
        <v>432</v>
      </c>
    </row>
    <row r="375" spans="1:14" x14ac:dyDescent="0.35">
      <c r="A375" t="s">
        <v>20</v>
      </c>
      <c r="B375">
        <v>17643</v>
      </c>
      <c r="C375" t="s">
        <v>426</v>
      </c>
      <c r="D375" t="s">
        <v>427</v>
      </c>
      <c r="E375" t="s">
        <v>11560</v>
      </c>
      <c r="F375" t="s">
        <v>12627</v>
      </c>
      <c r="G375" t="s">
        <v>12628</v>
      </c>
      <c r="H375" t="s">
        <v>12629</v>
      </c>
      <c r="I375" t="s">
        <v>557</v>
      </c>
      <c r="M375" t="s">
        <v>33</v>
      </c>
      <c r="N375" t="s">
        <v>432</v>
      </c>
    </row>
    <row r="376" spans="1:14" x14ac:dyDescent="0.35">
      <c r="A376" t="s">
        <v>20</v>
      </c>
      <c r="B376">
        <v>17643</v>
      </c>
      <c r="C376" t="s">
        <v>426</v>
      </c>
      <c r="D376" t="s">
        <v>427</v>
      </c>
      <c r="E376" t="s">
        <v>11564</v>
      </c>
      <c r="F376" t="s">
        <v>12630</v>
      </c>
      <c r="G376" t="s">
        <v>12631</v>
      </c>
      <c r="H376" t="s">
        <v>12632</v>
      </c>
      <c r="I376" t="s">
        <v>557</v>
      </c>
      <c r="M376" t="s">
        <v>33</v>
      </c>
      <c r="N376" t="s">
        <v>432</v>
      </c>
    </row>
    <row r="377" spans="1:14" x14ac:dyDescent="0.35">
      <c r="A377" t="s">
        <v>20</v>
      </c>
      <c r="B377">
        <v>17643</v>
      </c>
      <c r="C377" t="s">
        <v>426</v>
      </c>
      <c r="D377" t="s">
        <v>427</v>
      </c>
      <c r="E377" t="s">
        <v>11568</v>
      </c>
      <c r="F377" t="s">
        <v>12633</v>
      </c>
      <c r="G377" t="s">
        <v>12634</v>
      </c>
      <c r="H377" t="s">
        <v>12635</v>
      </c>
      <c r="I377" t="s">
        <v>557</v>
      </c>
      <c r="M377" t="s">
        <v>33</v>
      </c>
      <c r="N377" t="s">
        <v>432</v>
      </c>
    </row>
    <row r="378" spans="1:14" x14ac:dyDescent="0.35">
      <c r="A378" t="s">
        <v>20</v>
      </c>
      <c r="B378">
        <v>17643</v>
      </c>
      <c r="C378" t="s">
        <v>426</v>
      </c>
      <c r="D378" t="s">
        <v>427</v>
      </c>
      <c r="E378" t="s">
        <v>11572</v>
      </c>
      <c r="F378" t="s">
        <v>12636</v>
      </c>
      <c r="G378" t="s">
        <v>12637</v>
      </c>
      <c r="H378" t="s">
        <v>12638</v>
      </c>
      <c r="I378" t="s">
        <v>557</v>
      </c>
      <c r="K378" t="s">
        <v>1681</v>
      </c>
      <c r="M378" t="s">
        <v>33</v>
      </c>
      <c r="N378" t="s">
        <v>432</v>
      </c>
    </row>
    <row r="379" spans="1:14" x14ac:dyDescent="0.35">
      <c r="A379" t="s">
        <v>20</v>
      </c>
      <c r="B379">
        <v>17643</v>
      </c>
      <c r="C379" t="s">
        <v>426</v>
      </c>
      <c r="D379" t="s">
        <v>427</v>
      </c>
      <c r="E379" t="s">
        <v>11576</v>
      </c>
      <c r="F379" t="s">
        <v>12639</v>
      </c>
      <c r="G379" t="s">
        <v>12640</v>
      </c>
      <c r="H379" t="s">
        <v>12641</v>
      </c>
      <c r="I379" t="s">
        <v>557</v>
      </c>
      <c r="M379" t="s">
        <v>33</v>
      </c>
      <c r="N379" t="s">
        <v>432</v>
      </c>
    </row>
    <row r="380" spans="1:14" x14ac:dyDescent="0.35">
      <c r="A380" t="s">
        <v>20</v>
      </c>
      <c r="B380">
        <v>17643</v>
      </c>
      <c r="C380" t="s">
        <v>426</v>
      </c>
      <c r="D380" t="s">
        <v>427</v>
      </c>
      <c r="E380" t="s">
        <v>11580</v>
      </c>
      <c r="F380" t="s">
        <v>12642</v>
      </c>
      <c r="G380" t="s">
        <v>12643</v>
      </c>
      <c r="H380" t="s">
        <v>12644</v>
      </c>
      <c r="I380" t="s">
        <v>557</v>
      </c>
      <c r="M380" t="s">
        <v>33</v>
      </c>
      <c r="N380" t="s">
        <v>432</v>
      </c>
    </row>
    <row r="381" spans="1:14" x14ac:dyDescent="0.35">
      <c r="A381" t="s">
        <v>20</v>
      </c>
      <c r="B381">
        <v>17643</v>
      </c>
      <c r="C381" t="s">
        <v>426</v>
      </c>
      <c r="D381" t="s">
        <v>427</v>
      </c>
      <c r="E381" t="s">
        <v>11776</v>
      </c>
      <c r="F381" t="s">
        <v>12645</v>
      </c>
      <c r="G381" t="s">
        <v>12646</v>
      </c>
      <c r="H381" t="s">
        <v>12647</v>
      </c>
      <c r="I381" t="s">
        <v>431</v>
      </c>
      <c r="M381" t="s">
        <v>33</v>
      </c>
      <c r="N381" t="s">
        <v>432</v>
      </c>
    </row>
    <row r="382" spans="1:14" x14ac:dyDescent="0.35">
      <c r="A382" t="s">
        <v>20</v>
      </c>
      <c r="B382">
        <v>17643</v>
      </c>
      <c r="C382" t="s">
        <v>426</v>
      </c>
      <c r="D382" t="s">
        <v>427</v>
      </c>
      <c r="E382" t="s">
        <v>11780</v>
      </c>
      <c r="F382" t="s">
        <v>12648</v>
      </c>
      <c r="G382" t="s">
        <v>12649</v>
      </c>
      <c r="H382" t="s">
        <v>12650</v>
      </c>
      <c r="I382" t="s">
        <v>431</v>
      </c>
      <c r="M382" t="s">
        <v>33</v>
      </c>
      <c r="N382" t="s">
        <v>432</v>
      </c>
    </row>
    <row r="383" spans="1:14" x14ac:dyDescent="0.35">
      <c r="A383" t="s">
        <v>20</v>
      </c>
      <c r="B383">
        <v>17643</v>
      </c>
      <c r="C383" t="s">
        <v>426</v>
      </c>
      <c r="D383" t="s">
        <v>427</v>
      </c>
      <c r="E383" t="s">
        <v>11784</v>
      </c>
      <c r="F383" t="s">
        <v>12651</v>
      </c>
      <c r="G383" t="s">
        <v>12652</v>
      </c>
      <c r="H383" t="s">
        <v>12653</v>
      </c>
      <c r="I383" t="s">
        <v>431</v>
      </c>
      <c r="K383" t="s">
        <v>1681</v>
      </c>
      <c r="M383" t="s">
        <v>33</v>
      </c>
      <c r="N383" t="s">
        <v>432</v>
      </c>
    </row>
    <row r="384" spans="1:14" x14ac:dyDescent="0.35">
      <c r="A384" t="s">
        <v>20</v>
      </c>
      <c r="B384">
        <v>17643</v>
      </c>
      <c r="C384" t="s">
        <v>426</v>
      </c>
      <c r="D384" t="s">
        <v>427</v>
      </c>
      <c r="E384" t="s">
        <v>11788</v>
      </c>
      <c r="F384" t="s">
        <v>12654</v>
      </c>
      <c r="G384" t="s">
        <v>12655</v>
      </c>
      <c r="H384" t="s">
        <v>12656</v>
      </c>
      <c r="I384" t="s">
        <v>431</v>
      </c>
      <c r="M384" t="s">
        <v>33</v>
      </c>
      <c r="N384" t="s">
        <v>432</v>
      </c>
    </row>
    <row r="385" spans="1:14" x14ac:dyDescent="0.35">
      <c r="A385" t="s">
        <v>20</v>
      </c>
      <c r="B385">
        <v>17643</v>
      </c>
      <c r="C385" t="s">
        <v>426</v>
      </c>
      <c r="D385" t="s">
        <v>427</v>
      </c>
      <c r="E385" t="s">
        <v>11792</v>
      </c>
      <c r="F385" t="s">
        <v>12657</v>
      </c>
      <c r="G385" t="s">
        <v>12658</v>
      </c>
      <c r="H385" t="s">
        <v>12659</v>
      </c>
      <c r="I385" t="s">
        <v>431</v>
      </c>
      <c r="M385" t="s">
        <v>33</v>
      </c>
      <c r="N385" t="s">
        <v>432</v>
      </c>
    </row>
    <row r="386" spans="1:14" x14ac:dyDescent="0.35">
      <c r="A386" t="s">
        <v>20</v>
      </c>
      <c r="B386">
        <v>17643</v>
      </c>
      <c r="C386" t="s">
        <v>426</v>
      </c>
      <c r="D386" t="s">
        <v>427</v>
      </c>
      <c r="E386" t="s">
        <v>11796</v>
      </c>
      <c r="F386" t="s">
        <v>12660</v>
      </c>
      <c r="G386" t="s">
        <v>12661</v>
      </c>
      <c r="H386" t="s">
        <v>12662</v>
      </c>
      <c r="I386" t="s">
        <v>431</v>
      </c>
      <c r="M386" t="s">
        <v>33</v>
      </c>
      <c r="N386" t="s">
        <v>432</v>
      </c>
    </row>
    <row r="387" spans="1:14" x14ac:dyDescent="0.35">
      <c r="A387" t="s">
        <v>20</v>
      </c>
      <c r="B387">
        <v>17643</v>
      </c>
      <c r="C387" t="s">
        <v>426</v>
      </c>
      <c r="D387" t="s">
        <v>427</v>
      </c>
      <c r="E387" t="s">
        <v>11800</v>
      </c>
      <c r="F387" t="s">
        <v>12663</v>
      </c>
      <c r="G387" t="s">
        <v>12664</v>
      </c>
      <c r="H387" t="s">
        <v>12665</v>
      </c>
      <c r="I387" t="s">
        <v>431</v>
      </c>
      <c r="M387" t="s">
        <v>33</v>
      </c>
      <c r="N387" t="s">
        <v>432</v>
      </c>
    </row>
    <row r="388" spans="1:14" x14ac:dyDescent="0.35">
      <c r="A388" t="s">
        <v>20</v>
      </c>
      <c r="B388">
        <v>17643</v>
      </c>
      <c r="C388" t="s">
        <v>426</v>
      </c>
      <c r="D388" t="s">
        <v>427</v>
      </c>
      <c r="E388" t="s">
        <v>11804</v>
      </c>
      <c r="F388" t="s">
        <v>12666</v>
      </c>
      <c r="G388" t="s">
        <v>12667</v>
      </c>
      <c r="H388" t="s">
        <v>12668</v>
      </c>
      <c r="I388" t="s">
        <v>431</v>
      </c>
      <c r="M388" t="s">
        <v>33</v>
      </c>
      <c r="N388" t="s">
        <v>432</v>
      </c>
    </row>
    <row r="389" spans="1:14" x14ac:dyDescent="0.35">
      <c r="A389" t="s">
        <v>20</v>
      </c>
      <c r="B389">
        <v>17643</v>
      </c>
      <c r="C389" t="s">
        <v>426</v>
      </c>
      <c r="D389" t="s">
        <v>427</v>
      </c>
      <c r="E389" t="s">
        <v>11808</v>
      </c>
      <c r="F389" t="s">
        <v>12669</v>
      </c>
      <c r="G389" t="s">
        <v>12670</v>
      </c>
      <c r="H389" t="s">
        <v>12671</v>
      </c>
      <c r="I389" t="s">
        <v>431</v>
      </c>
      <c r="K389" t="s">
        <v>1681</v>
      </c>
      <c r="M389" t="s">
        <v>33</v>
      </c>
      <c r="N389" t="s">
        <v>432</v>
      </c>
    </row>
    <row r="390" spans="1:14" x14ac:dyDescent="0.35">
      <c r="A390" t="s">
        <v>20</v>
      </c>
      <c r="B390">
        <v>17643</v>
      </c>
      <c r="C390" t="s">
        <v>426</v>
      </c>
      <c r="D390" t="s">
        <v>427</v>
      </c>
      <c r="E390" t="s">
        <v>11812</v>
      </c>
      <c r="F390" t="s">
        <v>12672</v>
      </c>
      <c r="G390" t="s">
        <v>12673</v>
      </c>
      <c r="H390" t="s">
        <v>12674</v>
      </c>
      <c r="I390" t="s">
        <v>431</v>
      </c>
      <c r="M390" t="s">
        <v>33</v>
      </c>
      <c r="N390" t="s">
        <v>432</v>
      </c>
    </row>
    <row r="391" spans="1:14" x14ac:dyDescent="0.35">
      <c r="A391" t="s">
        <v>20</v>
      </c>
      <c r="B391">
        <v>17643</v>
      </c>
      <c r="C391" t="s">
        <v>426</v>
      </c>
      <c r="D391" t="s">
        <v>427</v>
      </c>
      <c r="E391" t="s">
        <v>11816</v>
      </c>
      <c r="F391" t="s">
        <v>12675</v>
      </c>
      <c r="G391" t="s">
        <v>12676</v>
      </c>
      <c r="H391" t="s">
        <v>12677</v>
      </c>
      <c r="I391" t="s">
        <v>431</v>
      </c>
      <c r="K391" t="s">
        <v>1681</v>
      </c>
      <c r="M391" t="s">
        <v>33</v>
      </c>
      <c r="N391" t="s">
        <v>432</v>
      </c>
    </row>
    <row r="392" spans="1:14" x14ac:dyDescent="0.35">
      <c r="A392" t="s">
        <v>20</v>
      </c>
      <c r="B392">
        <v>17643</v>
      </c>
      <c r="C392" t="s">
        <v>426</v>
      </c>
      <c r="D392" t="s">
        <v>427</v>
      </c>
      <c r="E392" t="s">
        <v>11820</v>
      </c>
      <c r="F392" t="s">
        <v>12678</v>
      </c>
      <c r="G392" t="s">
        <v>12679</v>
      </c>
      <c r="H392" t="s">
        <v>12680</v>
      </c>
      <c r="I392" t="s">
        <v>431</v>
      </c>
      <c r="M392" t="s">
        <v>33</v>
      </c>
      <c r="N392" t="s">
        <v>432</v>
      </c>
    </row>
    <row r="393" spans="1:14" x14ac:dyDescent="0.35">
      <c r="A393" t="s">
        <v>20</v>
      </c>
      <c r="B393">
        <v>17643</v>
      </c>
      <c r="C393" t="s">
        <v>426</v>
      </c>
      <c r="D393" t="s">
        <v>427</v>
      </c>
      <c r="E393" t="s">
        <v>11824</v>
      </c>
      <c r="F393" t="s">
        <v>12681</v>
      </c>
      <c r="G393" t="s">
        <v>12682</v>
      </c>
      <c r="H393" t="s">
        <v>12683</v>
      </c>
      <c r="I393" t="s">
        <v>431</v>
      </c>
      <c r="M393" t="s">
        <v>33</v>
      </c>
      <c r="N393" t="s">
        <v>432</v>
      </c>
    </row>
    <row r="394" spans="1:14" x14ac:dyDescent="0.35">
      <c r="A394" t="s">
        <v>20</v>
      </c>
      <c r="B394">
        <v>17643</v>
      </c>
      <c r="C394" t="s">
        <v>426</v>
      </c>
      <c r="D394" t="s">
        <v>427</v>
      </c>
      <c r="E394" t="s">
        <v>11828</v>
      </c>
      <c r="F394" t="s">
        <v>12684</v>
      </c>
      <c r="G394" t="s">
        <v>12685</v>
      </c>
      <c r="H394" t="s">
        <v>12686</v>
      </c>
      <c r="I394" t="s">
        <v>431</v>
      </c>
      <c r="M394" t="s">
        <v>33</v>
      </c>
      <c r="N394" t="s">
        <v>432</v>
      </c>
    </row>
    <row r="395" spans="1:14" x14ac:dyDescent="0.35">
      <c r="A395" t="s">
        <v>20</v>
      </c>
      <c r="B395">
        <v>17643</v>
      </c>
      <c r="C395" t="s">
        <v>426</v>
      </c>
      <c r="D395" t="s">
        <v>427</v>
      </c>
      <c r="E395" t="s">
        <v>11832</v>
      </c>
      <c r="F395" t="s">
        <v>12687</v>
      </c>
      <c r="G395" t="s">
        <v>12688</v>
      </c>
      <c r="H395" t="s">
        <v>12689</v>
      </c>
      <c r="I395" t="s">
        <v>431</v>
      </c>
      <c r="M395" t="s">
        <v>33</v>
      </c>
      <c r="N395" t="s">
        <v>432</v>
      </c>
    </row>
    <row r="396" spans="1:14" x14ac:dyDescent="0.35">
      <c r="A396" t="s">
        <v>20</v>
      </c>
      <c r="B396">
        <v>17643</v>
      </c>
      <c r="C396" t="s">
        <v>426</v>
      </c>
      <c r="D396" t="s">
        <v>427</v>
      </c>
      <c r="E396" t="s">
        <v>11836</v>
      </c>
      <c r="F396" t="s">
        <v>12690</v>
      </c>
      <c r="G396" t="s">
        <v>12691</v>
      </c>
      <c r="H396" t="s">
        <v>12692</v>
      </c>
      <c r="I396" t="s">
        <v>431</v>
      </c>
      <c r="M396" t="s">
        <v>33</v>
      </c>
      <c r="N396" t="s">
        <v>432</v>
      </c>
    </row>
    <row r="397" spans="1:14" x14ac:dyDescent="0.35">
      <c r="A397" t="s">
        <v>20</v>
      </c>
      <c r="B397">
        <v>17643</v>
      </c>
      <c r="C397" t="s">
        <v>426</v>
      </c>
      <c r="D397" t="s">
        <v>427</v>
      </c>
      <c r="E397" t="s">
        <v>11837</v>
      </c>
      <c r="F397" t="s">
        <v>12693</v>
      </c>
      <c r="G397" t="s">
        <v>12694</v>
      </c>
      <c r="H397" t="s">
        <v>12695</v>
      </c>
      <c r="I397" t="s">
        <v>431</v>
      </c>
      <c r="M397" t="s">
        <v>33</v>
      </c>
      <c r="N397" t="s">
        <v>432</v>
      </c>
    </row>
    <row r="398" spans="1:14" x14ac:dyDescent="0.35">
      <c r="A398" t="s">
        <v>20</v>
      </c>
      <c r="B398">
        <v>17643</v>
      </c>
      <c r="C398" t="s">
        <v>426</v>
      </c>
      <c r="D398" t="s">
        <v>427</v>
      </c>
      <c r="E398" t="s">
        <v>11841</v>
      </c>
      <c r="F398" t="s">
        <v>12696</v>
      </c>
      <c r="G398" t="s">
        <v>12697</v>
      </c>
      <c r="H398" t="s">
        <v>12698</v>
      </c>
      <c r="I398" t="s">
        <v>431</v>
      </c>
      <c r="M398" t="s">
        <v>33</v>
      </c>
      <c r="N398" t="s">
        <v>432</v>
      </c>
    </row>
    <row r="399" spans="1:14" x14ac:dyDescent="0.35">
      <c r="A399" t="s">
        <v>20</v>
      </c>
      <c r="B399">
        <v>17643</v>
      </c>
      <c r="C399" t="s">
        <v>426</v>
      </c>
      <c r="D399" t="s">
        <v>427</v>
      </c>
      <c r="E399" t="s">
        <v>11845</v>
      </c>
      <c r="F399" t="s">
        <v>12699</v>
      </c>
      <c r="G399" t="s">
        <v>12700</v>
      </c>
      <c r="H399" t="s">
        <v>12701</v>
      </c>
      <c r="I399" t="s">
        <v>431</v>
      </c>
      <c r="M399" t="s">
        <v>33</v>
      </c>
      <c r="N399" t="s">
        <v>432</v>
      </c>
    </row>
    <row r="400" spans="1:14" x14ac:dyDescent="0.35">
      <c r="A400" t="s">
        <v>20</v>
      </c>
      <c r="B400">
        <v>17643</v>
      </c>
      <c r="C400" t="s">
        <v>426</v>
      </c>
      <c r="D400" t="s">
        <v>427</v>
      </c>
      <c r="E400" t="s">
        <v>11849</v>
      </c>
      <c r="F400" t="s">
        <v>12702</v>
      </c>
      <c r="G400" t="s">
        <v>12703</v>
      </c>
      <c r="H400" t="s">
        <v>12704</v>
      </c>
      <c r="I400" t="s">
        <v>431</v>
      </c>
      <c r="M400" t="s">
        <v>33</v>
      </c>
      <c r="N400" t="s">
        <v>432</v>
      </c>
    </row>
    <row r="401" spans="1:14" x14ac:dyDescent="0.35">
      <c r="A401" t="s">
        <v>20</v>
      </c>
      <c r="B401">
        <v>17643</v>
      </c>
      <c r="C401" t="s">
        <v>426</v>
      </c>
      <c r="D401" t="s">
        <v>427</v>
      </c>
      <c r="E401" t="s">
        <v>11853</v>
      </c>
      <c r="F401" t="s">
        <v>12705</v>
      </c>
      <c r="G401" t="s">
        <v>12706</v>
      </c>
      <c r="H401" t="s">
        <v>12707</v>
      </c>
      <c r="I401" t="s">
        <v>431</v>
      </c>
      <c r="M401" t="s">
        <v>33</v>
      </c>
      <c r="N401" t="s">
        <v>432</v>
      </c>
    </row>
    <row r="402" spans="1:14" x14ac:dyDescent="0.35">
      <c r="A402" t="s">
        <v>20</v>
      </c>
      <c r="B402">
        <v>17643</v>
      </c>
      <c r="C402" t="s">
        <v>426</v>
      </c>
      <c r="D402" t="s">
        <v>427</v>
      </c>
      <c r="E402" t="s">
        <v>11857</v>
      </c>
      <c r="F402" t="s">
        <v>12708</v>
      </c>
      <c r="G402" t="s">
        <v>12709</v>
      </c>
      <c r="H402" t="s">
        <v>12710</v>
      </c>
      <c r="I402" t="s">
        <v>431</v>
      </c>
      <c r="M402" t="s">
        <v>33</v>
      </c>
      <c r="N402" t="s">
        <v>432</v>
      </c>
    </row>
    <row r="403" spans="1:14" x14ac:dyDescent="0.35">
      <c r="A403" t="s">
        <v>20</v>
      </c>
      <c r="B403">
        <v>17643</v>
      </c>
      <c r="C403" t="s">
        <v>426</v>
      </c>
      <c r="D403" t="s">
        <v>427</v>
      </c>
      <c r="E403" t="s">
        <v>11861</v>
      </c>
      <c r="F403" t="s">
        <v>12711</v>
      </c>
      <c r="G403" t="s">
        <v>12712</v>
      </c>
      <c r="H403" t="s">
        <v>12713</v>
      </c>
      <c r="I403" t="s">
        <v>431</v>
      </c>
      <c r="M403" t="s">
        <v>33</v>
      </c>
      <c r="N403" t="s">
        <v>432</v>
      </c>
    </row>
    <row r="404" spans="1:14" x14ac:dyDescent="0.35">
      <c r="A404" t="s">
        <v>20</v>
      </c>
      <c r="B404">
        <v>17643</v>
      </c>
      <c r="C404" t="s">
        <v>426</v>
      </c>
      <c r="D404" t="s">
        <v>427</v>
      </c>
      <c r="E404" t="s">
        <v>11865</v>
      </c>
      <c r="F404" t="s">
        <v>12714</v>
      </c>
      <c r="G404" t="s">
        <v>12715</v>
      </c>
      <c r="H404" t="s">
        <v>12716</v>
      </c>
      <c r="I404" t="s">
        <v>431</v>
      </c>
      <c r="M404" t="s">
        <v>33</v>
      </c>
      <c r="N404" t="s">
        <v>432</v>
      </c>
    </row>
    <row r="405" spans="1:14" x14ac:dyDescent="0.35">
      <c r="A405" t="s">
        <v>20</v>
      </c>
      <c r="B405">
        <v>17643</v>
      </c>
      <c r="C405" t="s">
        <v>426</v>
      </c>
      <c r="D405" t="s">
        <v>427</v>
      </c>
      <c r="E405" t="s">
        <v>11869</v>
      </c>
      <c r="F405" t="s">
        <v>12717</v>
      </c>
      <c r="G405" t="s">
        <v>12718</v>
      </c>
      <c r="H405" t="s">
        <v>12719</v>
      </c>
      <c r="I405" t="s">
        <v>431</v>
      </c>
      <c r="M405" t="s">
        <v>33</v>
      </c>
      <c r="N405" t="s">
        <v>432</v>
      </c>
    </row>
    <row r="406" spans="1:14" x14ac:dyDescent="0.35">
      <c r="A406" t="s">
        <v>20</v>
      </c>
      <c r="B406">
        <v>17643</v>
      </c>
      <c r="C406" t="s">
        <v>426</v>
      </c>
      <c r="D406" t="s">
        <v>427</v>
      </c>
      <c r="E406" t="s">
        <v>11873</v>
      </c>
      <c r="F406" t="s">
        <v>12720</v>
      </c>
      <c r="G406" t="s">
        <v>12721</v>
      </c>
      <c r="H406" t="s">
        <v>12722</v>
      </c>
      <c r="I406" t="s">
        <v>431</v>
      </c>
      <c r="M406" t="s">
        <v>33</v>
      </c>
      <c r="N406" t="s">
        <v>432</v>
      </c>
    </row>
    <row r="407" spans="1:14" x14ac:dyDescent="0.35">
      <c r="A407" t="s">
        <v>20</v>
      </c>
      <c r="B407">
        <v>17643</v>
      </c>
      <c r="C407" t="s">
        <v>426</v>
      </c>
      <c r="D407" t="s">
        <v>427</v>
      </c>
      <c r="E407" t="s">
        <v>11877</v>
      </c>
      <c r="F407" t="s">
        <v>12723</v>
      </c>
      <c r="G407" t="s">
        <v>12724</v>
      </c>
      <c r="H407" t="s">
        <v>12725</v>
      </c>
      <c r="I407" t="s">
        <v>431</v>
      </c>
      <c r="M407" t="s">
        <v>33</v>
      </c>
      <c r="N407" t="s">
        <v>432</v>
      </c>
    </row>
    <row r="408" spans="1:14" x14ac:dyDescent="0.35">
      <c r="A408" t="s">
        <v>20</v>
      </c>
      <c r="B408">
        <v>17643</v>
      </c>
      <c r="C408" t="s">
        <v>426</v>
      </c>
      <c r="D408" t="s">
        <v>427</v>
      </c>
      <c r="E408" t="s">
        <v>11881</v>
      </c>
      <c r="F408" t="s">
        <v>12726</v>
      </c>
      <c r="G408" t="s">
        <v>12727</v>
      </c>
      <c r="H408" t="s">
        <v>12728</v>
      </c>
      <c r="I408" t="s">
        <v>431</v>
      </c>
      <c r="M408" t="s">
        <v>33</v>
      </c>
      <c r="N408" t="s">
        <v>432</v>
      </c>
    </row>
    <row r="409" spans="1:14" x14ac:dyDescent="0.35">
      <c r="A409" t="s">
        <v>20</v>
      </c>
      <c r="B409">
        <v>17643</v>
      </c>
      <c r="C409" t="s">
        <v>426</v>
      </c>
      <c r="D409" t="s">
        <v>427</v>
      </c>
      <c r="E409" t="s">
        <v>11885</v>
      </c>
      <c r="F409" t="s">
        <v>12729</v>
      </c>
      <c r="G409" t="s">
        <v>12730</v>
      </c>
      <c r="H409" t="s">
        <v>12731</v>
      </c>
      <c r="I409" t="s">
        <v>431</v>
      </c>
      <c r="M409" t="s">
        <v>33</v>
      </c>
      <c r="N409" t="s">
        <v>432</v>
      </c>
    </row>
    <row r="410" spans="1:14" x14ac:dyDescent="0.35">
      <c r="A410" t="s">
        <v>20</v>
      </c>
      <c r="B410">
        <v>17643</v>
      </c>
      <c r="C410" t="s">
        <v>426</v>
      </c>
      <c r="D410" t="s">
        <v>427</v>
      </c>
      <c r="E410" t="s">
        <v>11889</v>
      </c>
      <c r="F410" t="s">
        <v>12732</v>
      </c>
      <c r="G410" t="s">
        <v>12733</v>
      </c>
      <c r="H410" t="s">
        <v>12734</v>
      </c>
      <c r="I410" t="s">
        <v>431</v>
      </c>
      <c r="M410" t="s">
        <v>33</v>
      </c>
      <c r="N410" t="s">
        <v>432</v>
      </c>
    </row>
    <row r="411" spans="1:14" x14ac:dyDescent="0.35">
      <c r="A411" t="s">
        <v>20</v>
      </c>
      <c r="B411">
        <v>17643</v>
      </c>
      <c r="C411" t="s">
        <v>426</v>
      </c>
      <c r="D411" t="s">
        <v>427</v>
      </c>
      <c r="E411" t="s">
        <v>11893</v>
      </c>
      <c r="F411" t="s">
        <v>12735</v>
      </c>
      <c r="G411" t="s">
        <v>12736</v>
      </c>
      <c r="H411" t="s">
        <v>12737</v>
      </c>
      <c r="I411" t="s">
        <v>431</v>
      </c>
      <c r="M411" t="s">
        <v>33</v>
      </c>
      <c r="N411" t="s">
        <v>432</v>
      </c>
    </row>
    <row r="412" spans="1:14" x14ac:dyDescent="0.35">
      <c r="A412" t="s">
        <v>20</v>
      </c>
      <c r="B412">
        <v>17643</v>
      </c>
      <c r="C412" t="s">
        <v>426</v>
      </c>
      <c r="D412" t="s">
        <v>427</v>
      </c>
      <c r="E412" t="s">
        <v>11897</v>
      </c>
      <c r="F412" t="s">
        <v>12738</v>
      </c>
      <c r="G412" t="s">
        <v>12739</v>
      </c>
      <c r="H412" t="s">
        <v>12740</v>
      </c>
      <c r="I412" t="s">
        <v>431</v>
      </c>
      <c r="M412" t="s">
        <v>33</v>
      </c>
      <c r="N412" t="s">
        <v>432</v>
      </c>
    </row>
    <row r="413" spans="1:14" x14ac:dyDescent="0.35">
      <c r="A413" t="s">
        <v>20</v>
      </c>
      <c r="B413">
        <v>17643</v>
      </c>
      <c r="C413" t="s">
        <v>426</v>
      </c>
      <c r="D413" t="s">
        <v>427</v>
      </c>
      <c r="E413" t="s">
        <v>11901</v>
      </c>
      <c r="F413" t="s">
        <v>12741</v>
      </c>
      <c r="G413" t="s">
        <v>12742</v>
      </c>
      <c r="H413" t="s">
        <v>12743</v>
      </c>
      <c r="I413" t="s">
        <v>431</v>
      </c>
      <c r="M413" t="s">
        <v>33</v>
      </c>
      <c r="N413" t="s">
        <v>432</v>
      </c>
    </row>
    <row r="414" spans="1:14" x14ac:dyDescent="0.35">
      <c r="A414" t="s">
        <v>20</v>
      </c>
      <c r="B414">
        <v>17643</v>
      </c>
      <c r="C414" t="s">
        <v>426</v>
      </c>
      <c r="D414" t="s">
        <v>427</v>
      </c>
      <c r="E414" t="s">
        <v>11905</v>
      </c>
      <c r="F414" t="s">
        <v>12744</v>
      </c>
      <c r="G414" t="s">
        <v>12745</v>
      </c>
      <c r="H414" t="s">
        <v>12746</v>
      </c>
      <c r="I414" t="s">
        <v>431</v>
      </c>
      <c r="M414" t="s">
        <v>33</v>
      </c>
      <c r="N414" t="s">
        <v>432</v>
      </c>
    </row>
    <row r="415" spans="1:14" x14ac:dyDescent="0.35">
      <c r="A415" t="s">
        <v>20</v>
      </c>
      <c r="B415">
        <v>17643</v>
      </c>
      <c r="C415" t="s">
        <v>426</v>
      </c>
      <c r="D415" t="s">
        <v>427</v>
      </c>
      <c r="E415" t="s">
        <v>11909</v>
      </c>
      <c r="F415" t="s">
        <v>12747</v>
      </c>
      <c r="G415" t="s">
        <v>12748</v>
      </c>
      <c r="H415" t="s">
        <v>12749</v>
      </c>
      <c r="I415" t="s">
        <v>431</v>
      </c>
      <c r="M415" t="s">
        <v>33</v>
      </c>
      <c r="N415" t="s">
        <v>432</v>
      </c>
    </row>
    <row r="416" spans="1:14" x14ac:dyDescent="0.35">
      <c r="A416" t="s">
        <v>20</v>
      </c>
      <c r="B416">
        <v>17643</v>
      </c>
      <c r="C416" t="s">
        <v>426</v>
      </c>
      <c r="D416" t="s">
        <v>427</v>
      </c>
      <c r="E416" t="s">
        <v>11913</v>
      </c>
      <c r="F416" t="s">
        <v>12750</v>
      </c>
      <c r="G416" t="s">
        <v>12751</v>
      </c>
      <c r="H416" t="s">
        <v>12752</v>
      </c>
      <c r="I416" t="s">
        <v>431</v>
      </c>
      <c r="M416" t="s">
        <v>33</v>
      </c>
      <c r="N416" t="s">
        <v>432</v>
      </c>
    </row>
    <row r="417" spans="1:14" x14ac:dyDescent="0.35">
      <c r="A417" t="s">
        <v>20</v>
      </c>
      <c r="B417">
        <v>17643</v>
      </c>
      <c r="C417" t="s">
        <v>426</v>
      </c>
      <c r="D417" t="s">
        <v>427</v>
      </c>
      <c r="E417" t="s">
        <v>11917</v>
      </c>
      <c r="F417" t="s">
        <v>12753</v>
      </c>
      <c r="G417" t="s">
        <v>12754</v>
      </c>
      <c r="H417" t="s">
        <v>12755</v>
      </c>
      <c r="I417" t="s">
        <v>431</v>
      </c>
      <c r="M417" t="s">
        <v>33</v>
      </c>
      <c r="N417" t="s">
        <v>432</v>
      </c>
    </row>
    <row r="418" spans="1:14" x14ac:dyDescent="0.35">
      <c r="A418" t="s">
        <v>20</v>
      </c>
      <c r="B418">
        <v>17643</v>
      </c>
      <c r="C418" t="s">
        <v>426</v>
      </c>
      <c r="D418" t="s">
        <v>427</v>
      </c>
      <c r="E418" t="s">
        <v>11921</v>
      </c>
      <c r="F418" t="s">
        <v>12756</v>
      </c>
      <c r="G418" t="s">
        <v>12757</v>
      </c>
      <c r="H418" t="s">
        <v>12758</v>
      </c>
      <c r="I418" t="s">
        <v>431</v>
      </c>
      <c r="M418" t="s">
        <v>33</v>
      </c>
      <c r="N418" t="s">
        <v>432</v>
      </c>
    </row>
    <row r="419" spans="1:14" x14ac:dyDescent="0.35">
      <c r="A419" t="s">
        <v>20</v>
      </c>
      <c r="B419">
        <v>17643</v>
      </c>
      <c r="C419" t="s">
        <v>426</v>
      </c>
      <c r="D419" t="s">
        <v>427</v>
      </c>
      <c r="E419" t="s">
        <v>11925</v>
      </c>
      <c r="F419" t="s">
        <v>12759</v>
      </c>
      <c r="G419" t="s">
        <v>12760</v>
      </c>
      <c r="H419" t="s">
        <v>12761</v>
      </c>
      <c r="I419" t="s">
        <v>431</v>
      </c>
      <c r="M419" t="s">
        <v>33</v>
      </c>
      <c r="N419" t="s">
        <v>432</v>
      </c>
    </row>
    <row r="420" spans="1:14" x14ac:dyDescent="0.35">
      <c r="A420" t="s">
        <v>20</v>
      </c>
      <c r="B420">
        <v>17643</v>
      </c>
      <c r="C420" t="s">
        <v>426</v>
      </c>
      <c r="D420" t="s">
        <v>427</v>
      </c>
      <c r="E420" t="s">
        <v>11929</v>
      </c>
      <c r="F420" t="s">
        <v>12762</v>
      </c>
      <c r="G420" t="s">
        <v>12763</v>
      </c>
      <c r="H420" t="s">
        <v>12764</v>
      </c>
      <c r="I420" t="s">
        <v>431</v>
      </c>
      <c r="M420" t="s">
        <v>33</v>
      </c>
      <c r="N420" t="s">
        <v>432</v>
      </c>
    </row>
    <row r="421" spans="1:14" x14ac:dyDescent="0.35">
      <c r="A421" t="s">
        <v>20</v>
      </c>
      <c r="B421">
        <v>17643</v>
      </c>
      <c r="C421" t="s">
        <v>426</v>
      </c>
      <c r="D421" t="s">
        <v>427</v>
      </c>
      <c r="E421" t="s">
        <v>11933</v>
      </c>
      <c r="F421" t="s">
        <v>12765</v>
      </c>
      <c r="G421" t="s">
        <v>12766</v>
      </c>
      <c r="H421" t="s">
        <v>12767</v>
      </c>
      <c r="I421" t="s">
        <v>431</v>
      </c>
      <c r="M421" t="s">
        <v>33</v>
      </c>
      <c r="N421" t="s">
        <v>432</v>
      </c>
    </row>
    <row r="422" spans="1:14" x14ac:dyDescent="0.35">
      <c r="A422" t="s">
        <v>20</v>
      </c>
      <c r="B422">
        <v>17643</v>
      </c>
      <c r="C422" t="s">
        <v>426</v>
      </c>
      <c r="D422" t="s">
        <v>427</v>
      </c>
      <c r="E422" t="s">
        <v>11937</v>
      </c>
      <c r="F422" t="s">
        <v>12768</v>
      </c>
      <c r="G422" t="s">
        <v>12769</v>
      </c>
      <c r="H422" t="s">
        <v>12770</v>
      </c>
      <c r="I422" t="s">
        <v>431</v>
      </c>
      <c r="M422" t="s">
        <v>33</v>
      </c>
      <c r="N422" t="s">
        <v>432</v>
      </c>
    </row>
    <row r="423" spans="1:14" x14ac:dyDescent="0.35">
      <c r="A423" t="s">
        <v>20</v>
      </c>
      <c r="B423">
        <v>17643</v>
      </c>
      <c r="C423" t="s">
        <v>426</v>
      </c>
      <c r="D423" t="s">
        <v>427</v>
      </c>
      <c r="E423" t="s">
        <v>11941</v>
      </c>
      <c r="F423" t="s">
        <v>12771</v>
      </c>
      <c r="G423" t="s">
        <v>12772</v>
      </c>
      <c r="H423" t="s">
        <v>12773</v>
      </c>
      <c r="I423" t="s">
        <v>431</v>
      </c>
      <c r="M423" t="s">
        <v>33</v>
      </c>
      <c r="N423" t="s">
        <v>432</v>
      </c>
    </row>
    <row r="424" spans="1:14" x14ac:dyDescent="0.35">
      <c r="A424" t="s">
        <v>20</v>
      </c>
      <c r="B424">
        <v>17643</v>
      </c>
      <c r="C424" t="s">
        <v>426</v>
      </c>
      <c r="D424" t="s">
        <v>427</v>
      </c>
      <c r="E424" t="s">
        <v>11945</v>
      </c>
      <c r="F424" t="s">
        <v>12774</v>
      </c>
      <c r="G424" t="s">
        <v>12775</v>
      </c>
      <c r="H424" t="s">
        <v>12776</v>
      </c>
      <c r="I424" t="s">
        <v>431</v>
      </c>
      <c r="M424" t="s">
        <v>33</v>
      </c>
      <c r="N424" t="s">
        <v>432</v>
      </c>
    </row>
    <row r="425" spans="1:14" x14ac:dyDescent="0.35">
      <c r="A425" t="s">
        <v>20</v>
      </c>
      <c r="B425">
        <v>17643</v>
      </c>
      <c r="C425" t="s">
        <v>426</v>
      </c>
      <c r="D425" t="s">
        <v>427</v>
      </c>
      <c r="E425" t="s">
        <v>11949</v>
      </c>
      <c r="F425" t="s">
        <v>12777</v>
      </c>
      <c r="G425" t="s">
        <v>12778</v>
      </c>
      <c r="H425" t="s">
        <v>12779</v>
      </c>
      <c r="I425" t="s">
        <v>431</v>
      </c>
      <c r="M425" t="s">
        <v>33</v>
      </c>
      <c r="N425" t="s">
        <v>432</v>
      </c>
    </row>
    <row r="426" spans="1:14" x14ac:dyDescent="0.35">
      <c r="A426" t="s">
        <v>20</v>
      </c>
      <c r="B426">
        <v>17643</v>
      </c>
      <c r="C426" t="s">
        <v>426</v>
      </c>
      <c r="D426" t="s">
        <v>427</v>
      </c>
      <c r="E426" t="s">
        <v>11953</v>
      </c>
      <c r="F426" t="s">
        <v>12780</v>
      </c>
      <c r="G426" t="s">
        <v>12781</v>
      </c>
      <c r="H426" t="s">
        <v>12782</v>
      </c>
      <c r="I426" t="s">
        <v>431</v>
      </c>
      <c r="M426" t="s">
        <v>33</v>
      </c>
      <c r="N426" t="s">
        <v>432</v>
      </c>
    </row>
    <row r="427" spans="1:14" x14ac:dyDescent="0.35">
      <c r="A427" t="s">
        <v>20</v>
      </c>
      <c r="B427">
        <v>17643</v>
      </c>
      <c r="C427" t="s">
        <v>426</v>
      </c>
      <c r="D427" t="s">
        <v>427</v>
      </c>
      <c r="E427" t="s">
        <v>11957</v>
      </c>
      <c r="F427" t="s">
        <v>12783</v>
      </c>
      <c r="G427" t="s">
        <v>12784</v>
      </c>
      <c r="H427" t="s">
        <v>12785</v>
      </c>
      <c r="I427" t="s">
        <v>431</v>
      </c>
      <c r="M427" t="s">
        <v>33</v>
      </c>
      <c r="N427" t="s">
        <v>432</v>
      </c>
    </row>
    <row r="428" spans="1:14" x14ac:dyDescent="0.35">
      <c r="A428" t="s">
        <v>20</v>
      </c>
      <c r="B428">
        <v>17643</v>
      </c>
      <c r="C428" t="s">
        <v>426</v>
      </c>
      <c r="D428" t="s">
        <v>427</v>
      </c>
      <c r="E428" t="s">
        <v>11961</v>
      </c>
      <c r="F428" t="s">
        <v>12786</v>
      </c>
      <c r="G428" t="s">
        <v>12787</v>
      </c>
      <c r="H428" t="s">
        <v>12788</v>
      </c>
      <c r="I428" t="s">
        <v>431</v>
      </c>
      <c r="M428" t="s">
        <v>33</v>
      </c>
      <c r="N428" t="s">
        <v>432</v>
      </c>
    </row>
    <row r="429" spans="1:14" x14ac:dyDescent="0.35">
      <c r="A429" t="s">
        <v>20</v>
      </c>
      <c r="B429">
        <v>17643</v>
      </c>
      <c r="C429" t="s">
        <v>426</v>
      </c>
      <c r="D429" t="s">
        <v>427</v>
      </c>
      <c r="E429" t="s">
        <v>11965</v>
      </c>
      <c r="F429" t="s">
        <v>12789</v>
      </c>
      <c r="G429" t="s">
        <v>12790</v>
      </c>
      <c r="H429" t="s">
        <v>12791</v>
      </c>
      <c r="I429" t="s">
        <v>431</v>
      </c>
      <c r="M429" t="s">
        <v>33</v>
      </c>
      <c r="N429" t="s">
        <v>432</v>
      </c>
    </row>
    <row r="430" spans="1:14" x14ac:dyDescent="0.35">
      <c r="A430" t="s">
        <v>20</v>
      </c>
      <c r="B430">
        <v>17643</v>
      </c>
      <c r="C430" t="s">
        <v>426</v>
      </c>
      <c r="D430" t="s">
        <v>427</v>
      </c>
      <c r="E430" t="s">
        <v>11969</v>
      </c>
      <c r="F430" t="s">
        <v>12792</v>
      </c>
      <c r="G430" t="s">
        <v>12793</v>
      </c>
      <c r="H430" t="s">
        <v>12794</v>
      </c>
      <c r="I430" t="s">
        <v>431</v>
      </c>
      <c r="M430" t="s">
        <v>33</v>
      </c>
      <c r="N430" t="s">
        <v>432</v>
      </c>
    </row>
    <row r="431" spans="1:14" x14ac:dyDescent="0.35">
      <c r="A431" t="s">
        <v>20</v>
      </c>
      <c r="B431">
        <v>17643</v>
      </c>
      <c r="C431" t="s">
        <v>426</v>
      </c>
      <c r="D431" t="s">
        <v>427</v>
      </c>
      <c r="E431" t="s">
        <v>11973</v>
      </c>
      <c r="F431" t="s">
        <v>12795</v>
      </c>
      <c r="G431" t="s">
        <v>12796</v>
      </c>
      <c r="H431" t="s">
        <v>12797</v>
      </c>
      <c r="I431" t="s">
        <v>431</v>
      </c>
      <c r="M431" t="s">
        <v>33</v>
      </c>
      <c r="N431" t="s">
        <v>432</v>
      </c>
    </row>
    <row r="432" spans="1:14" x14ac:dyDescent="0.35">
      <c r="A432" t="s">
        <v>20</v>
      </c>
      <c r="B432">
        <v>17643</v>
      </c>
      <c r="C432" t="s">
        <v>426</v>
      </c>
      <c r="D432" t="s">
        <v>427</v>
      </c>
      <c r="E432" t="s">
        <v>11977</v>
      </c>
      <c r="F432" t="s">
        <v>12798</v>
      </c>
      <c r="G432" t="s">
        <v>12799</v>
      </c>
      <c r="H432" t="s">
        <v>12800</v>
      </c>
      <c r="I432" t="s">
        <v>431</v>
      </c>
      <c r="M432" t="s">
        <v>33</v>
      </c>
      <c r="N432" t="s">
        <v>432</v>
      </c>
    </row>
    <row r="433" spans="1:14" x14ac:dyDescent="0.35">
      <c r="A433" t="s">
        <v>20</v>
      </c>
      <c r="B433">
        <v>17643</v>
      </c>
      <c r="C433" t="s">
        <v>426</v>
      </c>
      <c r="D433" t="s">
        <v>427</v>
      </c>
      <c r="E433" t="s">
        <v>11981</v>
      </c>
      <c r="F433" t="s">
        <v>12801</v>
      </c>
      <c r="G433" t="s">
        <v>12802</v>
      </c>
      <c r="H433" t="s">
        <v>12803</v>
      </c>
      <c r="I433" t="s">
        <v>431</v>
      </c>
      <c r="M433" t="s">
        <v>33</v>
      </c>
      <c r="N433" t="s">
        <v>432</v>
      </c>
    </row>
    <row r="434" spans="1:14" x14ac:dyDescent="0.35">
      <c r="A434" t="s">
        <v>20</v>
      </c>
      <c r="B434">
        <v>17643</v>
      </c>
      <c r="C434" t="s">
        <v>426</v>
      </c>
      <c r="D434" t="s">
        <v>427</v>
      </c>
      <c r="E434" t="s">
        <v>11985</v>
      </c>
      <c r="F434" t="s">
        <v>12804</v>
      </c>
      <c r="G434" t="s">
        <v>12805</v>
      </c>
      <c r="H434" t="s">
        <v>12806</v>
      </c>
      <c r="I434" t="s">
        <v>431</v>
      </c>
      <c r="M434" t="s">
        <v>33</v>
      </c>
      <c r="N434" t="s">
        <v>432</v>
      </c>
    </row>
    <row r="435" spans="1:14" x14ac:dyDescent="0.35">
      <c r="A435" t="s">
        <v>20</v>
      </c>
      <c r="B435">
        <v>17643</v>
      </c>
      <c r="C435" t="s">
        <v>426</v>
      </c>
      <c r="D435" t="s">
        <v>427</v>
      </c>
      <c r="E435" t="s">
        <v>11989</v>
      </c>
      <c r="F435" t="s">
        <v>12807</v>
      </c>
      <c r="G435" t="s">
        <v>12808</v>
      </c>
      <c r="H435" t="s">
        <v>12809</v>
      </c>
      <c r="I435" t="s">
        <v>431</v>
      </c>
      <c r="M435" t="s">
        <v>33</v>
      </c>
      <c r="N435" t="s">
        <v>432</v>
      </c>
    </row>
    <row r="436" spans="1:14" x14ac:dyDescent="0.35">
      <c r="A436" t="s">
        <v>20</v>
      </c>
      <c r="B436">
        <v>17643</v>
      </c>
      <c r="C436" t="s">
        <v>426</v>
      </c>
      <c r="D436" t="s">
        <v>427</v>
      </c>
      <c r="E436" t="s">
        <v>11993</v>
      </c>
      <c r="F436" t="s">
        <v>12810</v>
      </c>
      <c r="G436" t="s">
        <v>12811</v>
      </c>
      <c r="H436" t="s">
        <v>12812</v>
      </c>
      <c r="I436" t="s">
        <v>431</v>
      </c>
      <c r="M436" t="s">
        <v>33</v>
      </c>
      <c r="N436" t="s">
        <v>432</v>
      </c>
    </row>
    <row r="437" spans="1:14" x14ac:dyDescent="0.35">
      <c r="A437" t="s">
        <v>20</v>
      </c>
      <c r="B437">
        <v>17643</v>
      </c>
      <c r="C437" t="s">
        <v>426</v>
      </c>
      <c r="D437" t="s">
        <v>427</v>
      </c>
      <c r="E437" t="s">
        <v>11997</v>
      </c>
      <c r="F437" t="s">
        <v>12810</v>
      </c>
      <c r="G437" t="s">
        <v>12811</v>
      </c>
      <c r="H437" t="s">
        <v>12812</v>
      </c>
      <c r="I437" t="s">
        <v>431</v>
      </c>
      <c r="M437" t="s">
        <v>33</v>
      </c>
      <c r="N437" t="s">
        <v>432</v>
      </c>
    </row>
    <row r="438" spans="1:14" x14ac:dyDescent="0.35">
      <c r="A438" t="s">
        <v>20</v>
      </c>
      <c r="B438">
        <v>17643</v>
      </c>
      <c r="C438" t="s">
        <v>426</v>
      </c>
      <c r="D438" t="s">
        <v>427</v>
      </c>
      <c r="E438" t="s">
        <v>12001</v>
      </c>
      <c r="F438" t="s">
        <v>12813</v>
      </c>
      <c r="G438" t="s">
        <v>12814</v>
      </c>
      <c r="H438" t="s">
        <v>12815</v>
      </c>
      <c r="I438" t="s">
        <v>431</v>
      </c>
      <c r="M438" t="s">
        <v>33</v>
      </c>
      <c r="N438" t="s">
        <v>432</v>
      </c>
    </row>
    <row r="439" spans="1:14" x14ac:dyDescent="0.35">
      <c r="A439" t="s">
        <v>20</v>
      </c>
      <c r="B439">
        <v>17643</v>
      </c>
      <c r="C439" t="s">
        <v>426</v>
      </c>
      <c r="D439" t="s">
        <v>427</v>
      </c>
      <c r="E439" t="s">
        <v>12005</v>
      </c>
      <c r="F439" t="s">
        <v>12816</v>
      </c>
      <c r="G439" t="s">
        <v>12817</v>
      </c>
      <c r="H439" t="s">
        <v>12818</v>
      </c>
      <c r="I439" t="s">
        <v>431</v>
      </c>
      <c r="M439" t="s">
        <v>33</v>
      </c>
      <c r="N439" t="s">
        <v>432</v>
      </c>
    </row>
    <row r="440" spans="1:14" x14ac:dyDescent="0.35">
      <c r="A440" t="s">
        <v>20</v>
      </c>
      <c r="B440">
        <v>17643</v>
      </c>
      <c r="C440" t="s">
        <v>426</v>
      </c>
      <c r="D440" t="s">
        <v>427</v>
      </c>
      <c r="E440" t="s">
        <v>12009</v>
      </c>
      <c r="F440" t="s">
        <v>12819</v>
      </c>
      <c r="G440" t="s">
        <v>12820</v>
      </c>
      <c r="H440" t="s">
        <v>12821</v>
      </c>
      <c r="I440" t="s">
        <v>431</v>
      </c>
      <c r="M440" t="s">
        <v>33</v>
      </c>
      <c r="N440" t="s">
        <v>432</v>
      </c>
    </row>
    <row r="441" spans="1:14" x14ac:dyDescent="0.35">
      <c r="A441" t="s">
        <v>20</v>
      </c>
      <c r="B441">
        <v>17643</v>
      </c>
      <c r="C441" t="s">
        <v>426</v>
      </c>
      <c r="D441" t="s">
        <v>427</v>
      </c>
      <c r="E441" t="s">
        <v>12013</v>
      </c>
      <c r="F441" t="s">
        <v>12822</v>
      </c>
      <c r="G441" t="s">
        <v>12823</v>
      </c>
      <c r="H441" t="s">
        <v>12824</v>
      </c>
      <c r="I441" t="s">
        <v>431</v>
      </c>
      <c r="M441" t="s">
        <v>33</v>
      </c>
      <c r="N441" t="s">
        <v>432</v>
      </c>
    </row>
    <row r="442" spans="1:14" x14ac:dyDescent="0.35">
      <c r="A442" t="s">
        <v>20</v>
      </c>
      <c r="B442">
        <v>17643</v>
      </c>
      <c r="C442" t="s">
        <v>426</v>
      </c>
      <c r="D442" t="s">
        <v>427</v>
      </c>
      <c r="E442" t="s">
        <v>12017</v>
      </c>
      <c r="F442" t="s">
        <v>12825</v>
      </c>
      <c r="G442" t="s">
        <v>12826</v>
      </c>
      <c r="H442" t="s">
        <v>12827</v>
      </c>
      <c r="I442" t="s">
        <v>431</v>
      </c>
      <c r="M442" t="s">
        <v>33</v>
      </c>
      <c r="N442" t="s">
        <v>432</v>
      </c>
    </row>
    <row r="443" spans="1:14" x14ac:dyDescent="0.35">
      <c r="A443" t="s">
        <v>20</v>
      </c>
      <c r="B443">
        <v>17643</v>
      </c>
      <c r="C443" t="s">
        <v>426</v>
      </c>
      <c r="D443" t="s">
        <v>427</v>
      </c>
      <c r="E443" t="s">
        <v>12021</v>
      </c>
      <c r="F443" t="s">
        <v>12828</v>
      </c>
      <c r="G443" t="s">
        <v>12829</v>
      </c>
      <c r="H443" t="s">
        <v>12830</v>
      </c>
      <c r="I443" t="s">
        <v>431</v>
      </c>
      <c r="M443" t="s">
        <v>33</v>
      </c>
      <c r="N443" t="s">
        <v>432</v>
      </c>
    </row>
    <row r="444" spans="1:14" x14ac:dyDescent="0.35">
      <c r="A444" t="s">
        <v>20</v>
      </c>
      <c r="B444">
        <v>17643</v>
      </c>
      <c r="C444" t="s">
        <v>426</v>
      </c>
      <c r="D444" t="s">
        <v>427</v>
      </c>
      <c r="E444" t="s">
        <v>12025</v>
      </c>
      <c r="F444" t="s">
        <v>12831</v>
      </c>
      <c r="G444" t="s">
        <v>11034</v>
      </c>
      <c r="H444" t="s">
        <v>12832</v>
      </c>
      <c r="I444" t="s">
        <v>431</v>
      </c>
      <c r="M444" t="s">
        <v>33</v>
      </c>
      <c r="N444" t="s">
        <v>432</v>
      </c>
    </row>
    <row r="445" spans="1:14" x14ac:dyDescent="0.35">
      <c r="A445" t="s">
        <v>20</v>
      </c>
      <c r="B445">
        <v>17643</v>
      </c>
      <c r="C445" t="s">
        <v>426</v>
      </c>
      <c r="D445" t="s">
        <v>427</v>
      </c>
      <c r="E445" t="s">
        <v>12029</v>
      </c>
      <c r="F445" t="s">
        <v>12833</v>
      </c>
      <c r="G445" t="s">
        <v>12834</v>
      </c>
      <c r="H445" t="s">
        <v>12835</v>
      </c>
      <c r="I445" t="s">
        <v>431</v>
      </c>
      <c r="M445" t="s">
        <v>33</v>
      </c>
      <c r="N445" t="s">
        <v>432</v>
      </c>
    </row>
    <row r="446" spans="1:14" x14ac:dyDescent="0.35">
      <c r="A446" t="s">
        <v>20</v>
      </c>
      <c r="B446">
        <v>17643</v>
      </c>
      <c r="C446" t="s">
        <v>426</v>
      </c>
      <c r="D446" t="s">
        <v>427</v>
      </c>
      <c r="E446" t="s">
        <v>12033</v>
      </c>
      <c r="F446" t="s">
        <v>12836</v>
      </c>
      <c r="G446" t="s">
        <v>12837</v>
      </c>
      <c r="H446" t="s">
        <v>12838</v>
      </c>
      <c r="I446" t="s">
        <v>431</v>
      </c>
      <c r="M446" t="s">
        <v>33</v>
      </c>
      <c r="N446" t="s">
        <v>432</v>
      </c>
    </row>
    <row r="447" spans="1:14" x14ac:dyDescent="0.35">
      <c r="A447" t="s">
        <v>20</v>
      </c>
      <c r="B447">
        <v>17643</v>
      </c>
      <c r="C447" t="s">
        <v>426</v>
      </c>
      <c r="D447" t="s">
        <v>427</v>
      </c>
      <c r="E447" t="s">
        <v>12037</v>
      </c>
      <c r="F447" t="s">
        <v>12839</v>
      </c>
      <c r="G447" t="s">
        <v>12840</v>
      </c>
      <c r="H447" t="s">
        <v>12841</v>
      </c>
      <c r="I447" t="s">
        <v>431</v>
      </c>
      <c r="M447" t="s">
        <v>33</v>
      </c>
      <c r="N447" t="s">
        <v>432</v>
      </c>
    </row>
    <row r="448" spans="1:14" x14ac:dyDescent="0.35">
      <c r="A448" t="s">
        <v>20</v>
      </c>
      <c r="B448">
        <v>17643</v>
      </c>
      <c r="C448" t="s">
        <v>426</v>
      </c>
      <c r="D448" t="s">
        <v>427</v>
      </c>
      <c r="E448" t="s">
        <v>12041</v>
      </c>
      <c r="F448" t="s">
        <v>12842</v>
      </c>
      <c r="G448" t="s">
        <v>12843</v>
      </c>
      <c r="H448" t="s">
        <v>12844</v>
      </c>
      <c r="I448" t="s">
        <v>431</v>
      </c>
      <c r="M448" t="s">
        <v>33</v>
      </c>
      <c r="N448" t="s">
        <v>432</v>
      </c>
    </row>
    <row r="449" spans="1:14" x14ac:dyDescent="0.35">
      <c r="A449" t="s">
        <v>20</v>
      </c>
      <c r="B449">
        <v>17643</v>
      </c>
      <c r="C449" t="s">
        <v>426</v>
      </c>
      <c r="D449" t="s">
        <v>427</v>
      </c>
      <c r="E449" t="s">
        <v>12045</v>
      </c>
      <c r="F449" t="s">
        <v>12845</v>
      </c>
      <c r="G449" t="s">
        <v>12846</v>
      </c>
      <c r="H449" t="s">
        <v>12847</v>
      </c>
      <c r="I449" t="s">
        <v>431</v>
      </c>
      <c r="M449" t="s">
        <v>33</v>
      </c>
      <c r="N449" t="s">
        <v>432</v>
      </c>
    </row>
    <row r="450" spans="1:14" x14ac:dyDescent="0.35">
      <c r="A450" t="s">
        <v>20</v>
      </c>
      <c r="B450">
        <v>17643</v>
      </c>
      <c r="C450" t="s">
        <v>426</v>
      </c>
      <c r="D450" t="s">
        <v>427</v>
      </c>
      <c r="E450" t="s">
        <v>12049</v>
      </c>
      <c r="F450" t="s">
        <v>12848</v>
      </c>
      <c r="G450" t="s">
        <v>12849</v>
      </c>
      <c r="H450" t="s">
        <v>12850</v>
      </c>
      <c r="I450" t="s">
        <v>431</v>
      </c>
      <c r="M450" t="s">
        <v>33</v>
      </c>
      <c r="N450" t="s">
        <v>432</v>
      </c>
    </row>
    <row r="451" spans="1:14" x14ac:dyDescent="0.35">
      <c r="A451" t="s">
        <v>20</v>
      </c>
      <c r="B451">
        <v>17643</v>
      </c>
      <c r="C451" t="s">
        <v>426</v>
      </c>
      <c r="D451" t="s">
        <v>427</v>
      </c>
      <c r="E451" t="s">
        <v>12053</v>
      </c>
      <c r="F451" t="s">
        <v>12851</v>
      </c>
      <c r="G451" t="s">
        <v>12852</v>
      </c>
      <c r="H451" t="s">
        <v>12853</v>
      </c>
      <c r="I451" t="s">
        <v>431</v>
      </c>
      <c r="M451" t="s">
        <v>33</v>
      </c>
      <c r="N451" t="s">
        <v>432</v>
      </c>
    </row>
    <row r="452" spans="1:14" x14ac:dyDescent="0.35">
      <c r="A452" t="s">
        <v>20</v>
      </c>
      <c r="B452">
        <v>17643</v>
      </c>
      <c r="C452" t="s">
        <v>426</v>
      </c>
      <c r="D452" t="s">
        <v>427</v>
      </c>
      <c r="E452" t="s">
        <v>12057</v>
      </c>
      <c r="F452" t="s">
        <v>12854</v>
      </c>
      <c r="G452" t="s">
        <v>12855</v>
      </c>
      <c r="H452" t="s">
        <v>12856</v>
      </c>
      <c r="I452" t="s">
        <v>431</v>
      </c>
      <c r="M452" t="s">
        <v>33</v>
      </c>
      <c r="N452" t="s">
        <v>432</v>
      </c>
    </row>
    <row r="453" spans="1:14" x14ac:dyDescent="0.35">
      <c r="A453" t="s">
        <v>20</v>
      </c>
      <c r="B453">
        <v>17643</v>
      </c>
      <c r="C453" t="s">
        <v>426</v>
      </c>
      <c r="D453" t="s">
        <v>427</v>
      </c>
      <c r="E453" t="s">
        <v>12061</v>
      </c>
      <c r="F453" t="s">
        <v>12857</v>
      </c>
      <c r="G453" t="s">
        <v>12858</v>
      </c>
      <c r="H453" t="s">
        <v>12859</v>
      </c>
      <c r="I453" t="s">
        <v>431</v>
      </c>
      <c r="M453" t="s">
        <v>33</v>
      </c>
      <c r="N453" t="s">
        <v>432</v>
      </c>
    </row>
    <row r="454" spans="1:14" x14ac:dyDescent="0.35">
      <c r="A454" t="s">
        <v>20</v>
      </c>
      <c r="B454">
        <v>17643</v>
      </c>
      <c r="C454" t="s">
        <v>426</v>
      </c>
      <c r="D454" t="s">
        <v>427</v>
      </c>
      <c r="E454" t="s">
        <v>12065</v>
      </c>
      <c r="F454" t="s">
        <v>12860</v>
      </c>
      <c r="G454" t="s">
        <v>12861</v>
      </c>
      <c r="H454" t="s">
        <v>12862</v>
      </c>
      <c r="I454" t="s">
        <v>431</v>
      </c>
      <c r="M454" t="s">
        <v>33</v>
      </c>
      <c r="N454" t="s">
        <v>432</v>
      </c>
    </row>
    <row r="455" spans="1:14" x14ac:dyDescent="0.35">
      <c r="A455" t="s">
        <v>20</v>
      </c>
      <c r="B455">
        <v>17643</v>
      </c>
      <c r="C455" t="s">
        <v>426</v>
      </c>
      <c r="D455" t="s">
        <v>427</v>
      </c>
      <c r="E455" t="s">
        <v>12069</v>
      </c>
      <c r="F455" t="s">
        <v>12863</v>
      </c>
      <c r="G455" t="s">
        <v>12864</v>
      </c>
      <c r="H455" t="s">
        <v>12865</v>
      </c>
      <c r="I455" t="s">
        <v>431</v>
      </c>
      <c r="M455" t="s">
        <v>33</v>
      </c>
      <c r="N455" t="s">
        <v>432</v>
      </c>
    </row>
    <row r="456" spans="1:14" x14ac:dyDescent="0.35">
      <c r="A456" t="s">
        <v>20</v>
      </c>
      <c r="B456">
        <v>17643</v>
      </c>
      <c r="C456" t="s">
        <v>426</v>
      </c>
      <c r="D456" t="s">
        <v>427</v>
      </c>
      <c r="E456" t="s">
        <v>12073</v>
      </c>
      <c r="F456" t="s">
        <v>12866</v>
      </c>
      <c r="G456" t="s">
        <v>12867</v>
      </c>
      <c r="H456" t="s">
        <v>12868</v>
      </c>
      <c r="I456" t="s">
        <v>431</v>
      </c>
      <c r="M456" t="s">
        <v>33</v>
      </c>
      <c r="N456" t="s">
        <v>432</v>
      </c>
    </row>
    <row r="457" spans="1:14" x14ac:dyDescent="0.35">
      <c r="A457" t="s">
        <v>20</v>
      </c>
      <c r="B457">
        <v>17643</v>
      </c>
      <c r="C457" t="s">
        <v>426</v>
      </c>
      <c r="D457" t="s">
        <v>427</v>
      </c>
      <c r="E457" t="s">
        <v>12077</v>
      </c>
      <c r="F457" t="s">
        <v>12869</v>
      </c>
      <c r="G457" t="s">
        <v>12870</v>
      </c>
      <c r="H457" t="s">
        <v>12871</v>
      </c>
      <c r="I457" t="s">
        <v>431</v>
      </c>
      <c r="M457" t="s">
        <v>33</v>
      </c>
      <c r="N457" t="s">
        <v>432</v>
      </c>
    </row>
    <row r="458" spans="1:14" x14ac:dyDescent="0.35">
      <c r="A458" t="s">
        <v>20</v>
      </c>
      <c r="B458">
        <v>17643</v>
      </c>
      <c r="C458" t="s">
        <v>426</v>
      </c>
      <c r="D458" t="s">
        <v>427</v>
      </c>
      <c r="E458" t="s">
        <v>12081</v>
      </c>
      <c r="F458" t="s">
        <v>12872</v>
      </c>
      <c r="G458" t="s">
        <v>12873</v>
      </c>
      <c r="H458" t="s">
        <v>12874</v>
      </c>
      <c r="I458" t="s">
        <v>431</v>
      </c>
      <c r="M458" t="s">
        <v>33</v>
      </c>
      <c r="N458" t="s">
        <v>432</v>
      </c>
    </row>
    <row r="459" spans="1:14" x14ac:dyDescent="0.35">
      <c r="A459" t="s">
        <v>20</v>
      </c>
      <c r="B459">
        <v>17643</v>
      </c>
      <c r="C459" t="s">
        <v>426</v>
      </c>
      <c r="D459" t="s">
        <v>427</v>
      </c>
      <c r="E459" t="s">
        <v>12085</v>
      </c>
      <c r="F459" t="s">
        <v>12875</v>
      </c>
      <c r="G459" t="s">
        <v>12876</v>
      </c>
      <c r="H459" t="s">
        <v>12877</v>
      </c>
      <c r="I459" t="s">
        <v>431</v>
      </c>
      <c r="M459" t="s">
        <v>33</v>
      </c>
      <c r="N459" t="s">
        <v>432</v>
      </c>
    </row>
    <row r="460" spans="1:14" x14ac:dyDescent="0.35">
      <c r="A460" t="s">
        <v>20</v>
      </c>
      <c r="B460">
        <v>17643</v>
      </c>
      <c r="C460" t="s">
        <v>426</v>
      </c>
      <c r="D460" t="s">
        <v>427</v>
      </c>
      <c r="E460" t="s">
        <v>12089</v>
      </c>
      <c r="F460" t="s">
        <v>12878</v>
      </c>
      <c r="G460" t="s">
        <v>12879</v>
      </c>
      <c r="H460" t="s">
        <v>12880</v>
      </c>
      <c r="I460" t="s">
        <v>431</v>
      </c>
      <c r="M460" t="s">
        <v>33</v>
      </c>
      <c r="N460" t="s">
        <v>432</v>
      </c>
    </row>
    <row r="461" spans="1:14" x14ac:dyDescent="0.35">
      <c r="A461" t="s">
        <v>20</v>
      </c>
      <c r="B461">
        <v>17643</v>
      </c>
      <c r="C461" t="s">
        <v>426</v>
      </c>
      <c r="D461" t="s">
        <v>427</v>
      </c>
      <c r="E461" t="s">
        <v>12093</v>
      </c>
      <c r="F461" t="s">
        <v>12881</v>
      </c>
      <c r="G461" t="s">
        <v>12882</v>
      </c>
      <c r="H461" t="s">
        <v>12883</v>
      </c>
      <c r="I461" t="s">
        <v>431</v>
      </c>
      <c r="M461" t="s">
        <v>33</v>
      </c>
      <c r="N461" t="s">
        <v>432</v>
      </c>
    </row>
    <row r="462" spans="1:14" x14ac:dyDescent="0.35">
      <c r="A462" t="s">
        <v>20</v>
      </c>
      <c r="B462">
        <v>17643</v>
      </c>
      <c r="C462" t="s">
        <v>426</v>
      </c>
      <c r="D462" t="s">
        <v>427</v>
      </c>
      <c r="E462" t="s">
        <v>12097</v>
      </c>
      <c r="F462" t="s">
        <v>12884</v>
      </c>
      <c r="G462" t="s">
        <v>12885</v>
      </c>
      <c r="H462" t="s">
        <v>12886</v>
      </c>
      <c r="I462" t="s">
        <v>431</v>
      </c>
      <c r="M462" t="s">
        <v>33</v>
      </c>
      <c r="N462" t="s">
        <v>432</v>
      </c>
    </row>
    <row r="463" spans="1:14" x14ac:dyDescent="0.35">
      <c r="A463" t="s">
        <v>20</v>
      </c>
      <c r="B463">
        <v>17643</v>
      </c>
      <c r="C463" t="s">
        <v>426</v>
      </c>
      <c r="D463" t="s">
        <v>427</v>
      </c>
      <c r="E463" t="s">
        <v>12101</v>
      </c>
      <c r="F463" t="s">
        <v>12887</v>
      </c>
      <c r="G463" t="s">
        <v>12888</v>
      </c>
      <c r="H463" t="s">
        <v>12889</v>
      </c>
      <c r="I463" t="s">
        <v>431</v>
      </c>
      <c r="M463" t="s">
        <v>33</v>
      </c>
      <c r="N463" t="s">
        <v>432</v>
      </c>
    </row>
    <row r="464" spans="1:14" x14ac:dyDescent="0.35">
      <c r="A464" t="s">
        <v>20</v>
      </c>
      <c r="B464">
        <v>17643</v>
      </c>
      <c r="C464" t="s">
        <v>426</v>
      </c>
      <c r="D464" t="s">
        <v>427</v>
      </c>
      <c r="E464" t="s">
        <v>12105</v>
      </c>
      <c r="F464" t="s">
        <v>12890</v>
      </c>
      <c r="G464" t="s">
        <v>12891</v>
      </c>
      <c r="H464" t="s">
        <v>12892</v>
      </c>
      <c r="I464" t="s">
        <v>431</v>
      </c>
      <c r="K464" t="s">
        <v>1681</v>
      </c>
      <c r="M464" t="s">
        <v>33</v>
      </c>
      <c r="N464" t="s">
        <v>432</v>
      </c>
    </row>
    <row r="465" spans="1:14" x14ac:dyDescent="0.35">
      <c r="A465" t="s">
        <v>20</v>
      </c>
      <c r="B465">
        <v>17643</v>
      </c>
      <c r="C465" t="s">
        <v>426</v>
      </c>
      <c r="D465" t="s">
        <v>427</v>
      </c>
      <c r="E465" t="s">
        <v>12109</v>
      </c>
      <c r="F465" t="s">
        <v>12893</v>
      </c>
      <c r="G465" t="s">
        <v>12894</v>
      </c>
      <c r="H465" t="s">
        <v>12895</v>
      </c>
      <c r="I465" t="s">
        <v>431</v>
      </c>
      <c r="M465" t="s">
        <v>33</v>
      </c>
      <c r="N465" t="s">
        <v>432</v>
      </c>
    </row>
    <row r="466" spans="1:14" x14ac:dyDescent="0.35">
      <c r="A466" t="s">
        <v>20</v>
      </c>
      <c r="B466">
        <v>17643</v>
      </c>
      <c r="C466" t="s">
        <v>426</v>
      </c>
      <c r="D466" t="s">
        <v>427</v>
      </c>
      <c r="E466" t="s">
        <v>12113</v>
      </c>
      <c r="F466" t="s">
        <v>12896</v>
      </c>
      <c r="G466" t="s">
        <v>12897</v>
      </c>
      <c r="H466" t="s">
        <v>12898</v>
      </c>
      <c r="I466" t="s">
        <v>431</v>
      </c>
      <c r="M466" t="s">
        <v>33</v>
      </c>
      <c r="N466" t="s">
        <v>432</v>
      </c>
    </row>
    <row r="467" spans="1:14" x14ac:dyDescent="0.35">
      <c r="A467" t="s">
        <v>20</v>
      </c>
      <c r="B467">
        <v>17643</v>
      </c>
      <c r="C467" t="s">
        <v>426</v>
      </c>
      <c r="D467" t="s">
        <v>427</v>
      </c>
      <c r="E467" t="s">
        <v>12117</v>
      </c>
      <c r="F467" t="s">
        <v>12899</v>
      </c>
      <c r="G467" t="s">
        <v>12900</v>
      </c>
      <c r="H467" t="s">
        <v>12901</v>
      </c>
      <c r="I467" t="s">
        <v>431</v>
      </c>
      <c r="M467" t="s">
        <v>33</v>
      </c>
      <c r="N467" t="s">
        <v>432</v>
      </c>
    </row>
    <row r="468" spans="1:14" x14ac:dyDescent="0.35">
      <c r="A468" t="s">
        <v>20</v>
      </c>
      <c r="B468">
        <v>17643</v>
      </c>
      <c r="C468" t="s">
        <v>426</v>
      </c>
      <c r="D468" t="s">
        <v>427</v>
      </c>
      <c r="E468" t="s">
        <v>12121</v>
      </c>
      <c r="F468" t="s">
        <v>12902</v>
      </c>
      <c r="G468" t="s">
        <v>12903</v>
      </c>
      <c r="H468" t="s">
        <v>12904</v>
      </c>
      <c r="I468" t="s">
        <v>431</v>
      </c>
      <c r="M468" t="s">
        <v>33</v>
      </c>
      <c r="N468" t="s">
        <v>432</v>
      </c>
    </row>
    <row r="469" spans="1:14" x14ac:dyDescent="0.35">
      <c r="A469" t="s">
        <v>20</v>
      </c>
      <c r="B469">
        <v>17643</v>
      </c>
      <c r="C469" t="s">
        <v>426</v>
      </c>
      <c r="D469" t="s">
        <v>427</v>
      </c>
      <c r="E469" t="s">
        <v>12125</v>
      </c>
      <c r="F469" t="s">
        <v>12905</v>
      </c>
      <c r="G469" t="s">
        <v>12906</v>
      </c>
      <c r="H469" t="s">
        <v>12907</v>
      </c>
      <c r="I469" t="s">
        <v>431</v>
      </c>
      <c r="M469" t="s">
        <v>33</v>
      </c>
      <c r="N469" t="s">
        <v>432</v>
      </c>
    </row>
    <row r="470" spans="1:14" x14ac:dyDescent="0.35">
      <c r="A470" t="s">
        <v>20</v>
      </c>
      <c r="B470">
        <v>17643</v>
      </c>
      <c r="C470" t="s">
        <v>426</v>
      </c>
      <c r="D470" t="s">
        <v>427</v>
      </c>
      <c r="E470" t="s">
        <v>12129</v>
      </c>
      <c r="F470" t="s">
        <v>12908</v>
      </c>
      <c r="G470" t="s">
        <v>12909</v>
      </c>
      <c r="H470" t="s">
        <v>12910</v>
      </c>
      <c r="I470" t="s">
        <v>431</v>
      </c>
      <c r="M470" t="s">
        <v>33</v>
      </c>
      <c r="N470" t="s">
        <v>432</v>
      </c>
    </row>
    <row r="471" spans="1:14" x14ac:dyDescent="0.35">
      <c r="A471" t="s">
        <v>20</v>
      </c>
      <c r="B471">
        <v>17643</v>
      </c>
      <c r="C471" t="s">
        <v>426</v>
      </c>
      <c r="D471" t="s">
        <v>427</v>
      </c>
      <c r="E471" t="s">
        <v>12133</v>
      </c>
      <c r="F471" t="s">
        <v>12911</v>
      </c>
      <c r="G471" t="s">
        <v>12912</v>
      </c>
      <c r="H471" t="s">
        <v>12913</v>
      </c>
      <c r="I471" t="s">
        <v>431</v>
      </c>
      <c r="M471" t="s">
        <v>33</v>
      </c>
      <c r="N471" t="s">
        <v>432</v>
      </c>
    </row>
    <row r="472" spans="1:14" x14ac:dyDescent="0.35">
      <c r="A472" t="s">
        <v>20</v>
      </c>
      <c r="B472">
        <v>17643</v>
      </c>
      <c r="C472" t="s">
        <v>426</v>
      </c>
      <c r="D472" t="s">
        <v>427</v>
      </c>
      <c r="E472" t="s">
        <v>12137</v>
      </c>
      <c r="F472" t="s">
        <v>12914</v>
      </c>
      <c r="G472" t="s">
        <v>12915</v>
      </c>
      <c r="H472" t="s">
        <v>12916</v>
      </c>
      <c r="I472" t="s">
        <v>431</v>
      </c>
      <c r="M472" t="s">
        <v>33</v>
      </c>
      <c r="N472" t="s">
        <v>432</v>
      </c>
    </row>
    <row r="473" spans="1:14" x14ac:dyDescent="0.35">
      <c r="A473" t="s">
        <v>20</v>
      </c>
      <c r="B473">
        <v>17643</v>
      </c>
      <c r="C473" t="s">
        <v>426</v>
      </c>
      <c r="D473" t="s">
        <v>427</v>
      </c>
      <c r="E473" t="s">
        <v>12141</v>
      </c>
      <c r="F473" t="s">
        <v>12917</v>
      </c>
      <c r="G473" t="s">
        <v>12918</v>
      </c>
      <c r="H473" t="s">
        <v>12919</v>
      </c>
      <c r="I473" t="s">
        <v>431</v>
      </c>
      <c r="M473" t="s">
        <v>33</v>
      </c>
      <c r="N473" t="s">
        <v>432</v>
      </c>
    </row>
    <row r="474" spans="1:14" x14ac:dyDescent="0.35">
      <c r="A474" t="s">
        <v>20</v>
      </c>
      <c r="B474">
        <v>17643</v>
      </c>
      <c r="C474" t="s">
        <v>426</v>
      </c>
      <c r="D474" t="s">
        <v>427</v>
      </c>
      <c r="E474" t="s">
        <v>12145</v>
      </c>
      <c r="F474" t="s">
        <v>12920</v>
      </c>
      <c r="G474" t="s">
        <v>12921</v>
      </c>
      <c r="H474" t="s">
        <v>12922</v>
      </c>
      <c r="I474" t="s">
        <v>431</v>
      </c>
      <c r="M474" t="s">
        <v>33</v>
      </c>
      <c r="N474" t="s">
        <v>432</v>
      </c>
    </row>
    <row r="475" spans="1:14" x14ac:dyDescent="0.35">
      <c r="A475" t="s">
        <v>20</v>
      </c>
      <c r="B475">
        <v>17643</v>
      </c>
      <c r="C475" t="s">
        <v>426</v>
      </c>
      <c r="D475" t="s">
        <v>427</v>
      </c>
      <c r="E475" t="s">
        <v>12149</v>
      </c>
      <c r="F475" t="s">
        <v>12923</v>
      </c>
      <c r="G475" t="s">
        <v>12924</v>
      </c>
      <c r="H475" t="s">
        <v>12925</v>
      </c>
      <c r="I475" t="s">
        <v>431</v>
      </c>
      <c r="M475" t="s">
        <v>33</v>
      </c>
      <c r="N475" t="s">
        <v>432</v>
      </c>
    </row>
    <row r="476" spans="1:14" x14ac:dyDescent="0.35">
      <c r="A476" t="s">
        <v>20</v>
      </c>
      <c r="B476">
        <v>17643</v>
      </c>
      <c r="C476" t="s">
        <v>426</v>
      </c>
      <c r="D476" t="s">
        <v>427</v>
      </c>
      <c r="E476" t="s">
        <v>12153</v>
      </c>
      <c r="F476" t="s">
        <v>12926</v>
      </c>
      <c r="G476" t="s">
        <v>12927</v>
      </c>
      <c r="H476" t="s">
        <v>12928</v>
      </c>
      <c r="I476" t="s">
        <v>431</v>
      </c>
      <c r="M476" t="s">
        <v>33</v>
      </c>
      <c r="N476" t="s">
        <v>432</v>
      </c>
    </row>
    <row r="477" spans="1:14" x14ac:dyDescent="0.35">
      <c r="A477" t="s">
        <v>20</v>
      </c>
      <c r="B477">
        <v>17643</v>
      </c>
      <c r="C477" t="s">
        <v>426</v>
      </c>
      <c r="D477" t="s">
        <v>427</v>
      </c>
      <c r="E477" t="s">
        <v>12157</v>
      </c>
      <c r="F477" t="s">
        <v>12929</v>
      </c>
      <c r="G477" t="s">
        <v>12930</v>
      </c>
      <c r="H477" t="s">
        <v>12931</v>
      </c>
      <c r="I477" t="s">
        <v>431</v>
      </c>
      <c r="M477" t="s">
        <v>33</v>
      </c>
      <c r="N477" t="s">
        <v>432</v>
      </c>
    </row>
    <row r="478" spans="1:14" x14ac:dyDescent="0.35">
      <c r="A478" t="s">
        <v>20</v>
      </c>
      <c r="B478">
        <v>17643</v>
      </c>
      <c r="C478" t="s">
        <v>426</v>
      </c>
      <c r="D478" t="s">
        <v>427</v>
      </c>
      <c r="E478" t="s">
        <v>12161</v>
      </c>
      <c r="F478" t="s">
        <v>12932</v>
      </c>
      <c r="G478" t="s">
        <v>12933</v>
      </c>
      <c r="H478" t="s">
        <v>12934</v>
      </c>
      <c r="I478" t="s">
        <v>431</v>
      </c>
      <c r="M478" t="s">
        <v>33</v>
      </c>
      <c r="N478" t="s">
        <v>432</v>
      </c>
    </row>
    <row r="479" spans="1:14" x14ac:dyDescent="0.35">
      <c r="A479" t="s">
        <v>20</v>
      </c>
      <c r="B479">
        <v>17643</v>
      </c>
      <c r="C479" t="s">
        <v>426</v>
      </c>
      <c r="D479" t="s">
        <v>427</v>
      </c>
      <c r="E479" t="s">
        <v>12165</v>
      </c>
      <c r="F479" t="s">
        <v>12935</v>
      </c>
      <c r="G479" t="s">
        <v>12936</v>
      </c>
      <c r="H479" t="s">
        <v>12937</v>
      </c>
      <c r="I479" t="s">
        <v>431</v>
      </c>
      <c r="M479" t="s">
        <v>33</v>
      </c>
      <c r="N479" t="s">
        <v>432</v>
      </c>
    </row>
    <row r="480" spans="1:14" x14ac:dyDescent="0.35">
      <c r="A480" t="s">
        <v>20</v>
      </c>
      <c r="B480">
        <v>17643</v>
      </c>
      <c r="C480" t="s">
        <v>426</v>
      </c>
      <c r="D480" t="s">
        <v>427</v>
      </c>
      <c r="E480" t="s">
        <v>12169</v>
      </c>
      <c r="F480" t="s">
        <v>12938</v>
      </c>
      <c r="G480" t="s">
        <v>12939</v>
      </c>
      <c r="H480" t="s">
        <v>12940</v>
      </c>
      <c r="I480" t="s">
        <v>431</v>
      </c>
      <c r="M480" t="s">
        <v>33</v>
      </c>
      <c r="N480" t="s">
        <v>432</v>
      </c>
    </row>
    <row r="481" spans="1:14" x14ac:dyDescent="0.35">
      <c r="A481" t="s">
        <v>20</v>
      </c>
      <c r="B481">
        <v>17643</v>
      </c>
      <c r="C481" t="s">
        <v>426</v>
      </c>
      <c r="D481" t="s">
        <v>427</v>
      </c>
      <c r="E481" t="s">
        <v>12173</v>
      </c>
      <c r="F481" t="s">
        <v>12941</v>
      </c>
      <c r="G481" t="s">
        <v>12942</v>
      </c>
      <c r="H481" t="s">
        <v>12943</v>
      </c>
      <c r="I481" t="s">
        <v>431</v>
      </c>
      <c r="M481" t="s">
        <v>33</v>
      </c>
      <c r="N481" t="s">
        <v>432</v>
      </c>
    </row>
    <row r="482" spans="1:14" x14ac:dyDescent="0.35">
      <c r="A482" t="s">
        <v>20</v>
      </c>
      <c r="B482">
        <v>17643</v>
      </c>
      <c r="C482" t="s">
        <v>426</v>
      </c>
      <c r="D482" t="s">
        <v>427</v>
      </c>
      <c r="E482" t="s">
        <v>12177</v>
      </c>
      <c r="F482" t="s">
        <v>12944</v>
      </c>
      <c r="G482" t="s">
        <v>12945</v>
      </c>
      <c r="H482" t="s">
        <v>12946</v>
      </c>
      <c r="I482" t="s">
        <v>431</v>
      </c>
      <c r="M482" t="s">
        <v>33</v>
      </c>
      <c r="N482" t="s">
        <v>432</v>
      </c>
    </row>
    <row r="483" spans="1:14" x14ac:dyDescent="0.35">
      <c r="A483" t="s">
        <v>20</v>
      </c>
      <c r="B483">
        <v>17643</v>
      </c>
      <c r="C483" t="s">
        <v>426</v>
      </c>
      <c r="D483" t="s">
        <v>427</v>
      </c>
      <c r="E483" t="s">
        <v>12181</v>
      </c>
      <c r="F483" t="s">
        <v>12947</v>
      </c>
      <c r="G483" t="s">
        <v>12948</v>
      </c>
      <c r="H483" t="s">
        <v>12949</v>
      </c>
      <c r="I483" t="s">
        <v>431</v>
      </c>
      <c r="M483" t="s">
        <v>33</v>
      </c>
      <c r="N483" t="s">
        <v>432</v>
      </c>
    </row>
    <row r="484" spans="1:14" x14ac:dyDescent="0.35">
      <c r="A484" t="s">
        <v>20</v>
      </c>
      <c r="B484">
        <v>17643</v>
      </c>
      <c r="C484" t="s">
        <v>426</v>
      </c>
      <c r="D484" t="s">
        <v>427</v>
      </c>
      <c r="E484" t="s">
        <v>12185</v>
      </c>
      <c r="F484" t="s">
        <v>12950</v>
      </c>
      <c r="G484" t="s">
        <v>12951</v>
      </c>
      <c r="H484" t="s">
        <v>12952</v>
      </c>
      <c r="I484" t="s">
        <v>431</v>
      </c>
      <c r="M484" t="s">
        <v>33</v>
      </c>
      <c r="N484" t="s">
        <v>432</v>
      </c>
    </row>
    <row r="485" spans="1:14" x14ac:dyDescent="0.35">
      <c r="A485" t="s">
        <v>20</v>
      </c>
      <c r="B485">
        <v>17643</v>
      </c>
      <c r="C485" t="s">
        <v>426</v>
      </c>
      <c r="D485" t="s">
        <v>427</v>
      </c>
      <c r="E485" t="s">
        <v>12189</v>
      </c>
      <c r="F485" t="s">
        <v>12953</v>
      </c>
      <c r="G485" t="s">
        <v>12954</v>
      </c>
      <c r="H485" t="s">
        <v>12955</v>
      </c>
      <c r="I485" t="s">
        <v>431</v>
      </c>
      <c r="M485" t="s">
        <v>33</v>
      </c>
      <c r="N485" t="s">
        <v>432</v>
      </c>
    </row>
    <row r="486" spans="1:14" x14ac:dyDescent="0.35">
      <c r="A486" t="s">
        <v>20</v>
      </c>
      <c r="B486">
        <v>17643</v>
      </c>
      <c r="C486" t="s">
        <v>426</v>
      </c>
      <c r="D486" t="s">
        <v>427</v>
      </c>
      <c r="E486" t="s">
        <v>12193</v>
      </c>
      <c r="F486" t="s">
        <v>12956</v>
      </c>
      <c r="G486" t="s">
        <v>12957</v>
      </c>
      <c r="H486" t="s">
        <v>12958</v>
      </c>
      <c r="I486" t="s">
        <v>431</v>
      </c>
      <c r="M486" t="s">
        <v>33</v>
      </c>
      <c r="N486" t="s">
        <v>432</v>
      </c>
    </row>
    <row r="487" spans="1:14" x14ac:dyDescent="0.35">
      <c r="A487" t="s">
        <v>20</v>
      </c>
      <c r="B487">
        <v>17643</v>
      </c>
      <c r="C487" t="s">
        <v>426</v>
      </c>
      <c r="D487" t="s">
        <v>427</v>
      </c>
      <c r="E487" t="s">
        <v>12197</v>
      </c>
      <c r="F487" t="s">
        <v>12959</v>
      </c>
      <c r="G487" t="s">
        <v>12960</v>
      </c>
      <c r="H487" t="s">
        <v>12961</v>
      </c>
      <c r="I487" t="s">
        <v>431</v>
      </c>
      <c r="M487" t="s">
        <v>33</v>
      </c>
      <c r="N487" t="s">
        <v>432</v>
      </c>
    </row>
    <row r="488" spans="1:14" x14ac:dyDescent="0.35">
      <c r="A488" t="s">
        <v>20</v>
      </c>
      <c r="B488">
        <v>17643</v>
      </c>
      <c r="C488" t="s">
        <v>426</v>
      </c>
      <c r="D488" t="s">
        <v>427</v>
      </c>
      <c r="E488" t="s">
        <v>12201</v>
      </c>
      <c r="F488" t="s">
        <v>12962</v>
      </c>
      <c r="G488" t="s">
        <v>12963</v>
      </c>
      <c r="H488" t="s">
        <v>12964</v>
      </c>
      <c r="I488" t="s">
        <v>431</v>
      </c>
      <c r="M488" t="s">
        <v>33</v>
      </c>
      <c r="N488" t="s">
        <v>432</v>
      </c>
    </row>
    <row r="489" spans="1:14" x14ac:dyDescent="0.35">
      <c r="A489" t="s">
        <v>20</v>
      </c>
      <c r="B489">
        <v>17643</v>
      </c>
      <c r="C489" t="s">
        <v>426</v>
      </c>
      <c r="D489" t="s">
        <v>427</v>
      </c>
      <c r="E489" t="s">
        <v>12205</v>
      </c>
      <c r="F489" t="s">
        <v>12965</v>
      </c>
      <c r="G489" t="s">
        <v>12966</v>
      </c>
      <c r="H489" t="s">
        <v>12967</v>
      </c>
      <c r="I489" t="s">
        <v>431</v>
      </c>
      <c r="M489" t="s">
        <v>33</v>
      </c>
      <c r="N489" t="s">
        <v>432</v>
      </c>
    </row>
    <row r="490" spans="1:14" x14ac:dyDescent="0.35">
      <c r="A490" t="s">
        <v>20</v>
      </c>
      <c r="B490">
        <v>17643</v>
      </c>
      <c r="C490" t="s">
        <v>426</v>
      </c>
      <c r="D490" t="s">
        <v>427</v>
      </c>
      <c r="E490" t="s">
        <v>12209</v>
      </c>
      <c r="F490" t="s">
        <v>12968</v>
      </c>
      <c r="G490" t="s">
        <v>12969</v>
      </c>
      <c r="H490" t="s">
        <v>12970</v>
      </c>
      <c r="I490" t="s">
        <v>431</v>
      </c>
      <c r="M490" t="s">
        <v>33</v>
      </c>
      <c r="N490" t="s">
        <v>432</v>
      </c>
    </row>
    <row r="491" spans="1:14" x14ac:dyDescent="0.35">
      <c r="A491" t="s">
        <v>20</v>
      </c>
      <c r="B491">
        <v>17643</v>
      </c>
      <c r="C491" t="s">
        <v>426</v>
      </c>
      <c r="D491" t="s">
        <v>427</v>
      </c>
      <c r="E491" t="s">
        <v>12213</v>
      </c>
      <c r="F491" t="s">
        <v>12971</v>
      </c>
      <c r="G491" t="s">
        <v>12972</v>
      </c>
      <c r="H491" t="s">
        <v>12973</v>
      </c>
      <c r="I491" t="s">
        <v>431</v>
      </c>
      <c r="M491" t="s">
        <v>33</v>
      </c>
      <c r="N491" t="s">
        <v>432</v>
      </c>
    </row>
    <row r="492" spans="1:14" x14ac:dyDescent="0.35">
      <c r="A492" t="s">
        <v>20</v>
      </c>
      <c r="B492">
        <v>17643</v>
      </c>
      <c r="C492" t="s">
        <v>426</v>
      </c>
      <c r="D492" t="s">
        <v>427</v>
      </c>
      <c r="E492" t="s">
        <v>12217</v>
      </c>
      <c r="F492" t="s">
        <v>12974</v>
      </c>
      <c r="G492" t="s">
        <v>12975</v>
      </c>
      <c r="H492" t="s">
        <v>12976</v>
      </c>
      <c r="I492" t="s">
        <v>431</v>
      </c>
      <c r="M492" t="s">
        <v>33</v>
      </c>
      <c r="N492" t="s">
        <v>432</v>
      </c>
    </row>
    <row r="493" spans="1:14" x14ac:dyDescent="0.35">
      <c r="A493" t="s">
        <v>20</v>
      </c>
      <c r="B493">
        <v>17643</v>
      </c>
      <c r="C493" t="s">
        <v>426</v>
      </c>
      <c r="D493" t="s">
        <v>427</v>
      </c>
      <c r="E493" t="s">
        <v>12221</v>
      </c>
      <c r="F493" t="s">
        <v>12977</v>
      </c>
      <c r="G493" t="s">
        <v>12978</v>
      </c>
      <c r="H493" t="s">
        <v>12979</v>
      </c>
      <c r="I493" t="s">
        <v>431</v>
      </c>
      <c r="M493" t="s">
        <v>33</v>
      </c>
      <c r="N493" t="s">
        <v>432</v>
      </c>
    </row>
    <row r="494" spans="1:14" x14ac:dyDescent="0.35">
      <c r="A494" t="s">
        <v>20</v>
      </c>
      <c r="B494">
        <v>17643</v>
      </c>
      <c r="C494" t="s">
        <v>426</v>
      </c>
      <c r="D494" t="s">
        <v>427</v>
      </c>
      <c r="E494" t="s">
        <v>12225</v>
      </c>
      <c r="F494" t="s">
        <v>12980</v>
      </c>
      <c r="G494" t="s">
        <v>12981</v>
      </c>
      <c r="H494" t="s">
        <v>12982</v>
      </c>
      <c r="I494" t="s">
        <v>431</v>
      </c>
      <c r="M494" t="s">
        <v>33</v>
      </c>
      <c r="N494" t="s">
        <v>432</v>
      </c>
    </row>
    <row r="495" spans="1:14" x14ac:dyDescent="0.35">
      <c r="A495" t="s">
        <v>20</v>
      </c>
      <c r="B495">
        <v>17643</v>
      </c>
      <c r="C495" t="s">
        <v>426</v>
      </c>
      <c r="D495" t="s">
        <v>427</v>
      </c>
      <c r="E495" t="s">
        <v>12229</v>
      </c>
      <c r="F495" t="s">
        <v>12983</v>
      </c>
      <c r="G495" t="s">
        <v>12984</v>
      </c>
      <c r="H495" t="s">
        <v>12985</v>
      </c>
      <c r="I495" t="s">
        <v>431</v>
      </c>
      <c r="M495" t="s">
        <v>33</v>
      </c>
      <c r="N495" t="s">
        <v>432</v>
      </c>
    </row>
    <row r="496" spans="1:14" x14ac:dyDescent="0.35">
      <c r="A496" t="s">
        <v>20</v>
      </c>
      <c r="B496">
        <v>17643</v>
      </c>
      <c r="C496" t="s">
        <v>426</v>
      </c>
      <c r="D496" t="s">
        <v>427</v>
      </c>
      <c r="E496" t="s">
        <v>12233</v>
      </c>
      <c r="F496" t="s">
        <v>12986</v>
      </c>
      <c r="G496" t="s">
        <v>12987</v>
      </c>
      <c r="H496" t="s">
        <v>12988</v>
      </c>
      <c r="I496" t="s">
        <v>431</v>
      </c>
      <c r="M496" t="s">
        <v>33</v>
      </c>
      <c r="N496" t="s">
        <v>432</v>
      </c>
    </row>
    <row r="497" spans="1:14" x14ac:dyDescent="0.35">
      <c r="A497" t="s">
        <v>20</v>
      </c>
      <c r="B497">
        <v>17643</v>
      </c>
      <c r="C497" t="s">
        <v>426</v>
      </c>
      <c r="D497" t="s">
        <v>427</v>
      </c>
      <c r="E497" t="s">
        <v>12237</v>
      </c>
      <c r="F497" t="s">
        <v>12989</v>
      </c>
      <c r="G497" t="s">
        <v>12990</v>
      </c>
      <c r="H497" t="s">
        <v>12991</v>
      </c>
      <c r="I497" t="s">
        <v>431</v>
      </c>
      <c r="M497" t="s">
        <v>33</v>
      </c>
      <c r="N497" t="s">
        <v>432</v>
      </c>
    </row>
    <row r="498" spans="1:14" x14ac:dyDescent="0.35">
      <c r="A498" t="s">
        <v>20</v>
      </c>
      <c r="B498">
        <v>17643</v>
      </c>
      <c r="C498" t="s">
        <v>426</v>
      </c>
      <c r="D498" t="s">
        <v>427</v>
      </c>
      <c r="E498" t="s">
        <v>12238</v>
      </c>
      <c r="F498" t="s">
        <v>12992</v>
      </c>
      <c r="G498" t="s">
        <v>12993</v>
      </c>
      <c r="H498" t="s">
        <v>12994</v>
      </c>
      <c r="I498" t="s">
        <v>431</v>
      </c>
      <c r="M498" t="s">
        <v>33</v>
      </c>
      <c r="N498" t="s">
        <v>432</v>
      </c>
    </row>
    <row r="499" spans="1:14" x14ac:dyDescent="0.35">
      <c r="A499" t="s">
        <v>20</v>
      </c>
      <c r="B499">
        <v>17643</v>
      </c>
      <c r="C499" t="s">
        <v>426</v>
      </c>
      <c r="D499" t="s">
        <v>427</v>
      </c>
      <c r="E499" t="s">
        <v>12242</v>
      </c>
      <c r="F499" t="s">
        <v>12995</v>
      </c>
      <c r="G499" t="s">
        <v>12996</v>
      </c>
      <c r="H499" t="s">
        <v>12997</v>
      </c>
      <c r="I499" t="s">
        <v>431</v>
      </c>
      <c r="M499" t="s">
        <v>33</v>
      </c>
      <c r="N499" t="s">
        <v>432</v>
      </c>
    </row>
    <row r="500" spans="1:14" x14ac:dyDescent="0.35">
      <c r="A500" t="s">
        <v>20</v>
      </c>
      <c r="B500">
        <v>17643</v>
      </c>
      <c r="C500" t="s">
        <v>426</v>
      </c>
      <c r="D500" t="s">
        <v>427</v>
      </c>
      <c r="E500" t="s">
        <v>12246</v>
      </c>
      <c r="F500" t="s">
        <v>12998</v>
      </c>
      <c r="G500" t="s">
        <v>12999</v>
      </c>
      <c r="H500" t="s">
        <v>13000</v>
      </c>
      <c r="I500" t="s">
        <v>431</v>
      </c>
      <c r="M500" t="s">
        <v>33</v>
      </c>
      <c r="N500" t="s">
        <v>432</v>
      </c>
    </row>
    <row r="501" spans="1:14" x14ac:dyDescent="0.35">
      <c r="A501" t="s">
        <v>20</v>
      </c>
      <c r="B501">
        <v>17643</v>
      </c>
      <c r="C501" t="s">
        <v>426</v>
      </c>
      <c r="D501" t="s">
        <v>427</v>
      </c>
      <c r="E501" t="s">
        <v>12250</v>
      </c>
      <c r="F501" t="s">
        <v>13001</v>
      </c>
      <c r="G501" t="s">
        <v>13002</v>
      </c>
      <c r="H501" t="s">
        <v>13003</v>
      </c>
      <c r="I501" t="s">
        <v>431</v>
      </c>
      <c r="M501" t="s">
        <v>33</v>
      </c>
      <c r="N501" t="s">
        <v>432</v>
      </c>
    </row>
    <row r="502" spans="1:14" x14ac:dyDescent="0.35">
      <c r="A502" t="s">
        <v>20</v>
      </c>
      <c r="B502">
        <v>17643</v>
      </c>
      <c r="C502" t="s">
        <v>426</v>
      </c>
      <c r="D502" t="s">
        <v>427</v>
      </c>
      <c r="E502" t="s">
        <v>12254</v>
      </c>
      <c r="F502" t="s">
        <v>13004</v>
      </c>
      <c r="G502" t="s">
        <v>13005</v>
      </c>
      <c r="H502" t="s">
        <v>13006</v>
      </c>
      <c r="I502" t="s">
        <v>431</v>
      </c>
      <c r="M502" t="s">
        <v>33</v>
      </c>
      <c r="N502" t="s">
        <v>432</v>
      </c>
    </row>
    <row r="503" spans="1:14" x14ac:dyDescent="0.35">
      <c r="A503" t="s">
        <v>20</v>
      </c>
      <c r="B503">
        <v>17643</v>
      </c>
      <c r="C503" t="s">
        <v>426</v>
      </c>
      <c r="D503" t="s">
        <v>427</v>
      </c>
      <c r="E503" t="s">
        <v>12258</v>
      </c>
      <c r="F503" t="s">
        <v>13007</v>
      </c>
      <c r="G503" t="s">
        <v>13008</v>
      </c>
      <c r="H503" t="s">
        <v>13009</v>
      </c>
      <c r="I503" t="s">
        <v>431</v>
      </c>
      <c r="M503" t="s">
        <v>33</v>
      </c>
      <c r="N503" t="s">
        <v>432</v>
      </c>
    </row>
    <row r="504" spans="1:14" x14ac:dyDescent="0.35">
      <c r="A504" t="s">
        <v>20</v>
      </c>
      <c r="B504">
        <v>17645</v>
      </c>
      <c r="C504" t="s">
        <v>949</v>
      </c>
      <c r="D504" t="s">
        <v>950</v>
      </c>
      <c r="E504" t="s">
        <v>11235</v>
      </c>
      <c r="F504" t="s">
        <v>13010</v>
      </c>
      <c r="G504" t="s">
        <v>13011</v>
      </c>
      <c r="H504" t="s">
        <v>13012</v>
      </c>
      <c r="I504" t="s">
        <v>954</v>
      </c>
      <c r="K504" t="s">
        <v>1686</v>
      </c>
      <c r="M504" t="s">
        <v>33</v>
      </c>
    </row>
    <row r="505" spans="1:14" x14ac:dyDescent="0.35">
      <c r="A505" t="s">
        <v>20</v>
      </c>
      <c r="B505">
        <v>17645</v>
      </c>
      <c r="C505" t="s">
        <v>949</v>
      </c>
      <c r="D505" t="s">
        <v>950</v>
      </c>
      <c r="E505" t="s">
        <v>11239</v>
      </c>
      <c r="F505" t="s">
        <v>13013</v>
      </c>
      <c r="G505" t="s">
        <v>13014</v>
      </c>
      <c r="H505" t="s">
        <v>13015</v>
      </c>
      <c r="I505" t="s">
        <v>954</v>
      </c>
      <c r="K505" t="s">
        <v>1686</v>
      </c>
      <c r="M505" t="s">
        <v>33</v>
      </c>
    </row>
    <row r="506" spans="1:14" x14ac:dyDescent="0.35">
      <c r="A506" t="s">
        <v>20</v>
      </c>
      <c r="B506">
        <v>17645</v>
      </c>
      <c r="C506" t="s">
        <v>949</v>
      </c>
      <c r="D506" t="s">
        <v>950</v>
      </c>
      <c r="E506" t="s">
        <v>11243</v>
      </c>
      <c r="F506" t="s">
        <v>13016</v>
      </c>
      <c r="G506" t="s">
        <v>13017</v>
      </c>
      <c r="H506" t="s">
        <v>13018</v>
      </c>
      <c r="I506" t="s">
        <v>954</v>
      </c>
      <c r="K506" t="s">
        <v>1686</v>
      </c>
      <c r="M506" t="s">
        <v>33</v>
      </c>
    </row>
    <row r="507" spans="1:14" x14ac:dyDescent="0.35">
      <c r="A507" t="s">
        <v>20</v>
      </c>
      <c r="B507">
        <v>17645</v>
      </c>
      <c r="C507" t="s">
        <v>949</v>
      </c>
      <c r="D507" t="s">
        <v>950</v>
      </c>
      <c r="E507" t="s">
        <v>11247</v>
      </c>
      <c r="F507" t="s">
        <v>13019</v>
      </c>
      <c r="G507" t="s">
        <v>13020</v>
      </c>
      <c r="H507" t="s">
        <v>13021</v>
      </c>
      <c r="I507" t="s">
        <v>954</v>
      </c>
      <c r="K507" t="s">
        <v>1686</v>
      </c>
      <c r="M507" t="s">
        <v>33</v>
      </c>
    </row>
    <row r="508" spans="1:14" x14ac:dyDescent="0.35">
      <c r="A508" t="s">
        <v>20</v>
      </c>
      <c r="B508">
        <v>17645</v>
      </c>
      <c r="C508" t="s">
        <v>949</v>
      </c>
      <c r="D508" t="s">
        <v>950</v>
      </c>
      <c r="E508" t="s">
        <v>11251</v>
      </c>
      <c r="F508" t="s">
        <v>13022</v>
      </c>
      <c r="G508" t="s">
        <v>13023</v>
      </c>
      <c r="H508" t="s">
        <v>13024</v>
      </c>
      <c r="I508" t="s">
        <v>954</v>
      </c>
      <c r="K508" t="s">
        <v>1686</v>
      </c>
      <c r="M508" t="s">
        <v>33</v>
      </c>
    </row>
    <row r="509" spans="1:14" x14ac:dyDescent="0.35">
      <c r="A509" t="s">
        <v>20</v>
      </c>
      <c r="B509">
        <v>17645</v>
      </c>
      <c r="C509" t="s">
        <v>949</v>
      </c>
      <c r="D509" t="s">
        <v>950</v>
      </c>
      <c r="E509" t="s">
        <v>11252</v>
      </c>
      <c r="F509" t="s">
        <v>13025</v>
      </c>
      <c r="G509" t="s">
        <v>13026</v>
      </c>
      <c r="H509" t="s">
        <v>13027</v>
      </c>
      <c r="I509" t="s">
        <v>954</v>
      </c>
      <c r="K509" t="s">
        <v>1686</v>
      </c>
      <c r="M509" t="s">
        <v>33</v>
      </c>
    </row>
    <row r="510" spans="1:14" x14ac:dyDescent="0.35">
      <c r="A510" t="s">
        <v>20</v>
      </c>
      <c r="B510">
        <v>17645</v>
      </c>
      <c r="C510" t="s">
        <v>949</v>
      </c>
      <c r="D510" t="s">
        <v>950</v>
      </c>
      <c r="E510" t="s">
        <v>11256</v>
      </c>
      <c r="F510" t="s">
        <v>13028</v>
      </c>
      <c r="G510" t="s">
        <v>13029</v>
      </c>
      <c r="H510" t="s">
        <v>13030</v>
      </c>
      <c r="I510" t="s">
        <v>954</v>
      </c>
      <c r="K510" t="s">
        <v>1686</v>
      </c>
      <c r="M510" t="s">
        <v>33</v>
      </c>
    </row>
    <row r="511" spans="1:14" x14ac:dyDescent="0.35">
      <c r="A511" t="s">
        <v>20</v>
      </c>
      <c r="B511">
        <v>17645</v>
      </c>
      <c r="C511" t="s">
        <v>949</v>
      </c>
      <c r="D511" t="s">
        <v>950</v>
      </c>
      <c r="E511" t="s">
        <v>11260</v>
      </c>
      <c r="F511" t="s">
        <v>13031</v>
      </c>
      <c r="G511" t="s">
        <v>13032</v>
      </c>
      <c r="H511" t="s">
        <v>13033</v>
      </c>
      <c r="I511" t="s">
        <v>954</v>
      </c>
      <c r="K511" t="s">
        <v>1686</v>
      </c>
      <c r="M511" t="s">
        <v>33</v>
      </c>
    </row>
    <row r="512" spans="1:14" x14ac:dyDescent="0.35">
      <c r="A512" t="s">
        <v>20</v>
      </c>
      <c r="B512">
        <v>17645</v>
      </c>
      <c r="C512" t="s">
        <v>949</v>
      </c>
      <c r="D512" t="s">
        <v>950</v>
      </c>
      <c r="E512" t="s">
        <v>11264</v>
      </c>
      <c r="F512" t="s">
        <v>13034</v>
      </c>
      <c r="G512" t="s">
        <v>13035</v>
      </c>
      <c r="H512" t="s">
        <v>13036</v>
      </c>
      <c r="I512" t="s">
        <v>954</v>
      </c>
      <c r="K512" t="s">
        <v>1686</v>
      </c>
      <c r="M512" t="s">
        <v>33</v>
      </c>
    </row>
    <row r="513" spans="1:13" x14ac:dyDescent="0.35">
      <c r="A513" t="s">
        <v>20</v>
      </c>
      <c r="B513">
        <v>17645</v>
      </c>
      <c r="C513" t="s">
        <v>949</v>
      </c>
      <c r="D513" t="s">
        <v>950</v>
      </c>
      <c r="E513" t="s">
        <v>11268</v>
      </c>
      <c r="F513" t="s">
        <v>13037</v>
      </c>
      <c r="G513" t="s">
        <v>13038</v>
      </c>
      <c r="H513" t="s">
        <v>13039</v>
      </c>
      <c r="I513" t="s">
        <v>954</v>
      </c>
      <c r="K513" t="s">
        <v>1686</v>
      </c>
      <c r="M513" t="s">
        <v>33</v>
      </c>
    </row>
    <row r="514" spans="1:13" x14ac:dyDescent="0.35">
      <c r="A514" t="s">
        <v>20</v>
      </c>
      <c r="B514">
        <v>17645</v>
      </c>
      <c r="C514" t="s">
        <v>949</v>
      </c>
      <c r="D514" t="s">
        <v>950</v>
      </c>
      <c r="E514" t="s">
        <v>11272</v>
      </c>
      <c r="F514" t="s">
        <v>13040</v>
      </c>
      <c r="G514" t="s">
        <v>13041</v>
      </c>
      <c r="H514" t="s">
        <v>13042</v>
      </c>
      <c r="I514" t="s">
        <v>954</v>
      </c>
      <c r="K514" t="s">
        <v>1686</v>
      </c>
      <c r="M514" t="s">
        <v>33</v>
      </c>
    </row>
    <row r="515" spans="1:13" x14ac:dyDescent="0.35">
      <c r="A515" t="s">
        <v>20</v>
      </c>
      <c r="B515">
        <v>17645</v>
      </c>
      <c r="C515" t="s">
        <v>949</v>
      </c>
      <c r="D515" t="s">
        <v>950</v>
      </c>
      <c r="E515" t="s">
        <v>11276</v>
      </c>
      <c r="F515" t="s">
        <v>13043</v>
      </c>
      <c r="G515" t="s">
        <v>13044</v>
      </c>
      <c r="H515" t="s">
        <v>13045</v>
      </c>
      <c r="I515" t="s">
        <v>954</v>
      </c>
      <c r="K515" t="s">
        <v>1686</v>
      </c>
      <c r="M515" t="s">
        <v>33</v>
      </c>
    </row>
    <row r="516" spans="1:13" x14ac:dyDescent="0.35">
      <c r="A516" t="s">
        <v>20</v>
      </c>
      <c r="B516">
        <v>17645</v>
      </c>
      <c r="C516" t="s">
        <v>949</v>
      </c>
      <c r="D516" t="s">
        <v>950</v>
      </c>
      <c r="E516" t="s">
        <v>11280</v>
      </c>
      <c r="F516" t="s">
        <v>13046</v>
      </c>
      <c r="G516" t="s">
        <v>13047</v>
      </c>
      <c r="H516" t="s">
        <v>13048</v>
      </c>
      <c r="I516" t="s">
        <v>954</v>
      </c>
      <c r="K516" t="s">
        <v>1686</v>
      </c>
      <c r="M516" t="s">
        <v>33</v>
      </c>
    </row>
    <row r="517" spans="1:13" x14ac:dyDescent="0.35">
      <c r="A517" t="s">
        <v>20</v>
      </c>
      <c r="B517">
        <v>17645</v>
      </c>
      <c r="C517" t="s">
        <v>949</v>
      </c>
      <c r="D517" t="s">
        <v>950</v>
      </c>
      <c r="E517" t="s">
        <v>11284</v>
      </c>
      <c r="F517" t="s">
        <v>13049</v>
      </c>
      <c r="G517" t="s">
        <v>13050</v>
      </c>
      <c r="H517" t="s">
        <v>13051</v>
      </c>
      <c r="I517" t="s">
        <v>954</v>
      </c>
      <c r="K517" t="s">
        <v>1686</v>
      </c>
      <c r="M517" t="s">
        <v>33</v>
      </c>
    </row>
    <row r="518" spans="1:13" x14ac:dyDescent="0.35">
      <c r="A518" t="s">
        <v>20</v>
      </c>
      <c r="B518">
        <v>17645</v>
      </c>
      <c r="C518" t="s">
        <v>949</v>
      </c>
      <c r="D518" t="s">
        <v>950</v>
      </c>
      <c r="E518" t="s">
        <v>11288</v>
      </c>
      <c r="F518" t="s">
        <v>13052</v>
      </c>
      <c r="G518" t="s">
        <v>13053</v>
      </c>
      <c r="H518" t="s">
        <v>13054</v>
      </c>
      <c r="I518" t="s">
        <v>954</v>
      </c>
      <c r="K518" t="s">
        <v>1686</v>
      </c>
      <c r="M518" t="s">
        <v>33</v>
      </c>
    </row>
    <row r="519" spans="1:13" x14ac:dyDescent="0.35">
      <c r="A519" t="s">
        <v>20</v>
      </c>
      <c r="B519">
        <v>17645</v>
      </c>
      <c r="C519" t="s">
        <v>949</v>
      </c>
      <c r="D519" t="s">
        <v>950</v>
      </c>
      <c r="E519" t="s">
        <v>11292</v>
      </c>
      <c r="F519" t="s">
        <v>13055</v>
      </c>
      <c r="G519" t="s">
        <v>13056</v>
      </c>
      <c r="H519" t="s">
        <v>13057</v>
      </c>
      <c r="I519" t="s">
        <v>954</v>
      </c>
      <c r="K519" t="s">
        <v>1686</v>
      </c>
      <c r="M519" t="s">
        <v>33</v>
      </c>
    </row>
    <row r="520" spans="1:13" x14ac:dyDescent="0.35">
      <c r="A520" t="s">
        <v>20</v>
      </c>
      <c r="B520">
        <v>17645</v>
      </c>
      <c r="C520" t="s">
        <v>949</v>
      </c>
      <c r="D520" t="s">
        <v>950</v>
      </c>
      <c r="E520" t="s">
        <v>11296</v>
      </c>
      <c r="F520" t="s">
        <v>13058</v>
      </c>
      <c r="G520" t="s">
        <v>13059</v>
      </c>
      <c r="H520" t="s">
        <v>13060</v>
      </c>
      <c r="I520" t="s">
        <v>954</v>
      </c>
      <c r="K520" t="s">
        <v>1686</v>
      </c>
      <c r="M520" t="s">
        <v>33</v>
      </c>
    </row>
    <row r="521" spans="1:13" x14ac:dyDescent="0.35">
      <c r="A521" t="s">
        <v>20</v>
      </c>
      <c r="B521">
        <v>17645</v>
      </c>
      <c r="C521" t="s">
        <v>949</v>
      </c>
      <c r="D521" t="s">
        <v>950</v>
      </c>
      <c r="E521" t="s">
        <v>11300</v>
      </c>
      <c r="F521" t="s">
        <v>13061</v>
      </c>
      <c r="G521" t="s">
        <v>13062</v>
      </c>
      <c r="H521" t="s">
        <v>13063</v>
      </c>
      <c r="I521" t="s">
        <v>954</v>
      </c>
      <c r="K521" t="s">
        <v>1686</v>
      </c>
      <c r="M521" t="s">
        <v>33</v>
      </c>
    </row>
    <row r="522" spans="1:13" x14ac:dyDescent="0.35">
      <c r="A522" t="s">
        <v>20</v>
      </c>
      <c r="B522">
        <v>17645</v>
      </c>
      <c r="C522" t="s">
        <v>949</v>
      </c>
      <c r="D522" t="s">
        <v>950</v>
      </c>
      <c r="E522" t="s">
        <v>11304</v>
      </c>
      <c r="F522" t="s">
        <v>13064</v>
      </c>
      <c r="G522" t="s">
        <v>13065</v>
      </c>
      <c r="H522" t="s">
        <v>13066</v>
      </c>
      <c r="I522" t="s">
        <v>954</v>
      </c>
      <c r="K522" t="s">
        <v>1686</v>
      </c>
      <c r="M522" t="s">
        <v>33</v>
      </c>
    </row>
    <row r="523" spans="1:13" x14ac:dyDescent="0.35">
      <c r="A523" t="s">
        <v>20</v>
      </c>
      <c r="B523">
        <v>17645</v>
      </c>
      <c r="C523" t="s">
        <v>949</v>
      </c>
      <c r="D523" t="s">
        <v>950</v>
      </c>
      <c r="E523" t="s">
        <v>11308</v>
      </c>
      <c r="F523" t="s">
        <v>13067</v>
      </c>
      <c r="G523" t="s">
        <v>13068</v>
      </c>
      <c r="H523" t="s">
        <v>13069</v>
      </c>
      <c r="I523" t="s">
        <v>954</v>
      </c>
      <c r="K523" t="s">
        <v>1686</v>
      </c>
      <c r="M523" t="s">
        <v>33</v>
      </c>
    </row>
    <row r="524" spans="1:13" x14ac:dyDescent="0.35">
      <c r="A524" t="s">
        <v>20</v>
      </c>
      <c r="B524">
        <v>17645</v>
      </c>
      <c r="C524" t="s">
        <v>949</v>
      </c>
      <c r="D524" t="s">
        <v>950</v>
      </c>
      <c r="E524" t="s">
        <v>11312</v>
      </c>
      <c r="F524" t="s">
        <v>13070</v>
      </c>
      <c r="G524" t="s">
        <v>13071</v>
      </c>
      <c r="H524" t="s">
        <v>13072</v>
      </c>
      <c r="I524" t="s">
        <v>954</v>
      </c>
      <c r="K524" t="s">
        <v>1686</v>
      </c>
      <c r="M524" t="s">
        <v>33</v>
      </c>
    </row>
    <row r="525" spans="1:13" x14ac:dyDescent="0.35">
      <c r="A525" t="s">
        <v>20</v>
      </c>
      <c r="B525">
        <v>17645</v>
      </c>
      <c r="C525" t="s">
        <v>949</v>
      </c>
      <c r="D525" t="s">
        <v>950</v>
      </c>
      <c r="E525" t="s">
        <v>11316</v>
      </c>
      <c r="F525" t="s">
        <v>13073</v>
      </c>
      <c r="G525" t="s">
        <v>13074</v>
      </c>
      <c r="H525" t="s">
        <v>13075</v>
      </c>
      <c r="I525" t="s">
        <v>954</v>
      </c>
      <c r="K525" t="s">
        <v>1686</v>
      </c>
      <c r="M525" t="s">
        <v>33</v>
      </c>
    </row>
    <row r="526" spans="1:13" x14ac:dyDescent="0.35">
      <c r="A526" t="s">
        <v>20</v>
      </c>
      <c r="B526">
        <v>17645</v>
      </c>
      <c r="C526" t="s">
        <v>949</v>
      </c>
      <c r="D526" t="s">
        <v>950</v>
      </c>
      <c r="E526" t="s">
        <v>11320</v>
      </c>
      <c r="F526" t="s">
        <v>13076</v>
      </c>
      <c r="G526" t="s">
        <v>13077</v>
      </c>
      <c r="H526" t="s">
        <v>13078</v>
      </c>
      <c r="I526" t="s">
        <v>954</v>
      </c>
      <c r="K526" t="s">
        <v>1686</v>
      </c>
      <c r="M526" t="s">
        <v>33</v>
      </c>
    </row>
    <row r="527" spans="1:13" x14ac:dyDescent="0.35">
      <c r="A527" t="s">
        <v>20</v>
      </c>
      <c r="B527">
        <v>17645</v>
      </c>
      <c r="C527" t="s">
        <v>949</v>
      </c>
      <c r="D527" t="s">
        <v>950</v>
      </c>
      <c r="E527" t="s">
        <v>11324</v>
      </c>
      <c r="F527" t="s">
        <v>13079</v>
      </c>
      <c r="G527" t="s">
        <v>13080</v>
      </c>
      <c r="H527" t="s">
        <v>13081</v>
      </c>
      <c r="I527" t="s">
        <v>954</v>
      </c>
      <c r="K527" t="s">
        <v>1686</v>
      </c>
      <c r="M527" t="s">
        <v>33</v>
      </c>
    </row>
    <row r="528" spans="1:13" x14ac:dyDescent="0.35">
      <c r="A528" t="s">
        <v>20</v>
      </c>
      <c r="B528">
        <v>17645</v>
      </c>
      <c r="C528" t="s">
        <v>949</v>
      </c>
      <c r="D528" t="s">
        <v>950</v>
      </c>
      <c r="E528" t="s">
        <v>11328</v>
      </c>
      <c r="F528" t="s">
        <v>13082</v>
      </c>
      <c r="G528" t="s">
        <v>13083</v>
      </c>
      <c r="H528" t="s">
        <v>13084</v>
      </c>
      <c r="I528" t="s">
        <v>954</v>
      </c>
      <c r="K528" t="s">
        <v>1686</v>
      </c>
      <c r="M528" t="s">
        <v>33</v>
      </c>
    </row>
    <row r="529" spans="1:13" x14ac:dyDescent="0.35">
      <c r="A529" t="s">
        <v>20</v>
      </c>
      <c r="B529">
        <v>17645</v>
      </c>
      <c r="C529" t="s">
        <v>949</v>
      </c>
      <c r="D529" t="s">
        <v>950</v>
      </c>
      <c r="E529" t="s">
        <v>11331</v>
      </c>
      <c r="F529" t="s">
        <v>13085</v>
      </c>
      <c r="G529" t="s">
        <v>13086</v>
      </c>
      <c r="H529" t="s">
        <v>13087</v>
      </c>
      <c r="I529" t="s">
        <v>954</v>
      </c>
      <c r="K529" t="s">
        <v>1686</v>
      </c>
      <c r="M529" t="s">
        <v>33</v>
      </c>
    </row>
    <row r="530" spans="1:13" x14ac:dyDescent="0.35">
      <c r="A530" t="s">
        <v>20</v>
      </c>
      <c r="B530">
        <v>17645</v>
      </c>
      <c r="C530" t="s">
        <v>949</v>
      </c>
      <c r="D530" t="s">
        <v>950</v>
      </c>
      <c r="E530" t="s">
        <v>11335</v>
      </c>
      <c r="F530" t="s">
        <v>13088</v>
      </c>
      <c r="G530" t="s">
        <v>13089</v>
      </c>
      <c r="H530" t="s">
        <v>13090</v>
      </c>
      <c r="I530" t="s">
        <v>954</v>
      </c>
      <c r="K530" t="s">
        <v>1686</v>
      </c>
      <c r="M530" t="s">
        <v>33</v>
      </c>
    </row>
    <row r="531" spans="1:13" x14ac:dyDescent="0.35">
      <c r="A531" t="s">
        <v>20</v>
      </c>
      <c r="B531">
        <v>17645</v>
      </c>
      <c r="C531" t="s">
        <v>949</v>
      </c>
      <c r="D531" t="s">
        <v>950</v>
      </c>
      <c r="E531" t="s">
        <v>11339</v>
      </c>
      <c r="F531" t="s">
        <v>13091</v>
      </c>
      <c r="G531" t="s">
        <v>13092</v>
      </c>
      <c r="H531" t="s">
        <v>13093</v>
      </c>
      <c r="I531" t="s">
        <v>954</v>
      </c>
      <c r="K531" t="s">
        <v>1686</v>
      </c>
      <c r="M531" t="s">
        <v>33</v>
      </c>
    </row>
    <row r="532" spans="1:13" x14ac:dyDescent="0.35">
      <c r="A532" t="s">
        <v>20</v>
      </c>
      <c r="B532">
        <v>17645</v>
      </c>
      <c r="C532" t="s">
        <v>949</v>
      </c>
      <c r="D532" t="s">
        <v>950</v>
      </c>
      <c r="E532" t="s">
        <v>11343</v>
      </c>
      <c r="F532" t="s">
        <v>13094</v>
      </c>
      <c r="G532" t="s">
        <v>13095</v>
      </c>
      <c r="H532" t="s">
        <v>13096</v>
      </c>
      <c r="I532" t="s">
        <v>954</v>
      </c>
      <c r="K532" t="s">
        <v>1686</v>
      </c>
      <c r="M532" t="s">
        <v>33</v>
      </c>
    </row>
    <row r="533" spans="1:13" x14ac:dyDescent="0.35">
      <c r="A533" t="s">
        <v>20</v>
      </c>
      <c r="B533">
        <v>17645</v>
      </c>
      <c r="C533" t="s">
        <v>949</v>
      </c>
      <c r="D533" t="s">
        <v>950</v>
      </c>
      <c r="E533" t="s">
        <v>11347</v>
      </c>
      <c r="F533" t="s">
        <v>13097</v>
      </c>
      <c r="G533" t="s">
        <v>13098</v>
      </c>
      <c r="H533" t="s">
        <v>13099</v>
      </c>
      <c r="I533" t="s">
        <v>954</v>
      </c>
      <c r="K533" t="s">
        <v>1686</v>
      </c>
      <c r="M533" t="s">
        <v>33</v>
      </c>
    </row>
    <row r="534" spans="1:13" x14ac:dyDescent="0.35">
      <c r="A534" t="s">
        <v>20</v>
      </c>
      <c r="B534">
        <v>17645</v>
      </c>
      <c r="C534" t="s">
        <v>949</v>
      </c>
      <c r="D534" t="s">
        <v>950</v>
      </c>
      <c r="E534" t="s">
        <v>11351</v>
      </c>
      <c r="F534" t="s">
        <v>13100</v>
      </c>
      <c r="G534" t="s">
        <v>13101</v>
      </c>
      <c r="H534" t="s">
        <v>13102</v>
      </c>
      <c r="I534" t="s">
        <v>954</v>
      </c>
      <c r="K534" t="s">
        <v>1681</v>
      </c>
      <c r="M534" t="s">
        <v>33</v>
      </c>
    </row>
    <row r="535" spans="1:13" x14ac:dyDescent="0.35">
      <c r="A535" t="s">
        <v>20</v>
      </c>
      <c r="B535">
        <v>17645</v>
      </c>
      <c r="C535" t="s">
        <v>949</v>
      </c>
      <c r="D535" t="s">
        <v>950</v>
      </c>
      <c r="E535" t="s">
        <v>11355</v>
      </c>
      <c r="F535" t="s">
        <v>13103</v>
      </c>
      <c r="G535" t="s">
        <v>13104</v>
      </c>
      <c r="H535" t="s">
        <v>13105</v>
      </c>
      <c r="I535" t="s">
        <v>954</v>
      </c>
      <c r="K535" t="s">
        <v>1686</v>
      </c>
      <c r="M535" t="s">
        <v>33</v>
      </c>
    </row>
    <row r="536" spans="1:13" x14ac:dyDescent="0.35">
      <c r="A536" t="s">
        <v>20</v>
      </c>
      <c r="B536">
        <v>17645</v>
      </c>
      <c r="C536" t="s">
        <v>949</v>
      </c>
      <c r="D536" t="s">
        <v>950</v>
      </c>
      <c r="E536" t="s">
        <v>11359</v>
      </c>
      <c r="F536" t="s">
        <v>13106</v>
      </c>
      <c r="G536" t="s">
        <v>13107</v>
      </c>
      <c r="H536" t="s">
        <v>13108</v>
      </c>
      <c r="I536" t="s">
        <v>954</v>
      </c>
      <c r="K536" t="s">
        <v>1686</v>
      </c>
      <c r="M536" t="s">
        <v>33</v>
      </c>
    </row>
    <row r="537" spans="1:13" x14ac:dyDescent="0.35">
      <c r="A537" t="s">
        <v>20</v>
      </c>
      <c r="B537">
        <v>17645</v>
      </c>
      <c r="C537" t="s">
        <v>949</v>
      </c>
      <c r="D537" t="s">
        <v>950</v>
      </c>
      <c r="E537" t="s">
        <v>11363</v>
      </c>
      <c r="F537" t="s">
        <v>13109</v>
      </c>
      <c r="G537" t="s">
        <v>13110</v>
      </c>
      <c r="H537" t="s">
        <v>13111</v>
      </c>
      <c r="I537" t="s">
        <v>954</v>
      </c>
      <c r="K537" t="s">
        <v>1686</v>
      </c>
      <c r="M537" t="s">
        <v>33</v>
      </c>
    </row>
    <row r="538" spans="1:13" x14ac:dyDescent="0.35">
      <c r="A538" t="s">
        <v>20</v>
      </c>
      <c r="B538">
        <v>17645</v>
      </c>
      <c r="C538" t="s">
        <v>949</v>
      </c>
      <c r="D538" t="s">
        <v>950</v>
      </c>
      <c r="E538" t="s">
        <v>11367</v>
      </c>
      <c r="F538" t="s">
        <v>13112</v>
      </c>
      <c r="G538" t="s">
        <v>13113</v>
      </c>
      <c r="H538" t="s">
        <v>13114</v>
      </c>
      <c r="I538" t="s">
        <v>954</v>
      </c>
      <c r="K538" t="s">
        <v>1686</v>
      </c>
      <c r="M538" t="s">
        <v>33</v>
      </c>
    </row>
    <row r="539" spans="1:13" x14ac:dyDescent="0.35">
      <c r="A539" t="s">
        <v>20</v>
      </c>
      <c r="B539">
        <v>17645</v>
      </c>
      <c r="C539" t="s">
        <v>949</v>
      </c>
      <c r="D539" t="s">
        <v>950</v>
      </c>
      <c r="E539" t="s">
        <v>11371</v>
      </c>
      <c r="F539" t="s">
        <v>13115</v>
      </c>
      <c r="G539" t="s">
        <v>13116</v>
      </c>
      <c r="H539" t="s">
        <v>13117</v>
      </c>
      <c r="I539" t="s">
        <v>954</v>
      </c>
      <c r="K539" t="s">
        <v>1686</v>
      </c>
      <c r="M539" t="s">
        <v>33</v>
      </c>
    </row>
    <row r="540" spans="1:13" x14ac:dyDescent="0.35">
      <c r="A540" t="s">
        <v>20</v>
      </c>
      <c r="B540">
        <v>17645</v>
      </c>
      <c r="C540" t="s">
        <v>949</v>
      </c>
      <c r="D540" t="s">
        <v>950</v>
      </c>
      <c r="E540" t="s">
        <v>11375</v>
      </c>
      <c r="F540" t="s">
        <v>13118</v>
      </c>
      <c r="G540" t="s">
        <v>13119</v>
      </c>
      <c r="H540" t="s">
        <v>13120</v>
      </c>
      <c r="I540" t="s">
        <v>954</v>
      </c>
      <c r="K540" t="s">
        <v>1686</v>
      </c>
      <c r="M540" t="s">
        <v>33</v>
      </c>
    </row>
    <row r="541" spans="1:13" x14ac:dyDescent="0.35">
      <c r="A541" t="s">
        <v>20</v>
      </c>
      <c r="B541">
        <v>17645</v>
      </c>
      <c r="C541" t="s">
        <v>949</v>
      </c>
      <c r="D541" t="s">
        <v>950</v>
      </c>
      <c r="E541" t="s">
        <v>11379</v>
      </c>
      <c r="F541" t="s">
        <v>13121</v>
      </c>
      <c r="G541" t="s">
        <v>13122</v>
      </c>
      <c r="H541" t="s">
        <v>13123</v>
      </c>
      <c r="I541" t="s">
        <v>954</v>
      </c>
      <c r="K541" t="s">
        <v>1686</v>
      </c>
      <c r="M541" t="s">
        <v>33</v>
      </c>
    </row>
    <row r="542" spans="1:13" x14ac:dyDescent="0.35">
      <c r="A542" t="s">
        <v>20</v>
      </c>
      <c r="B542">
        <v>17645</v>
      </c>
      <c r="C542" t="s">
        <v>949</v>
      </c>
      <c r="D542" t="s">
        <v>950</v>
      </c>
      <c r="E542" t="s">
        <v>11383</v>
      </c>
      <c r="F542" t="s">
        <v>13124</v>
      </c>
      <c r="G542" t="s">
        <v>13125</v>
      </c>
      <c r="H542" t="s">
        <v>13126</v>
      </c>
      <c r="I542" t="s">
        <v>954</v>
      </c>
      <c r="K542" t="s">
        <v>1686</v>
      </c>
      <c r="M542" t="s">
        <v>33</v>
      </c>
    </row>
    <row r="543" spans="1:13" x14ac:dyDescent="0.35">
      <c r="A543" t="s">
        <v>20</v>
      </c>
      <c r="B543">
        <v>17645</v>
      </c>
      <c r="C543" t="s">
        <v>949</v>
      </c>
      <c r="D543" t="s">
        <v>950</v>
      </c>
      <c r="E543" t="s">
        <v>11387</v>
      </c>
      <c r="F543" t="s">
        <v>13127</v>
      </c>
      <c r="G543" t="s">
        <v>13128</v>
      </c>
      <c r="H543" t="s">
        <v>13129</v>
      </c>
      <c r="I543" t="s">
        <v>954</v>
      </c>
      <c r="K543" t="s">
        <v>1686</v>
      </c>
      <c r="M543" t="s">
        <v>33</v>
      </c>
    </row>
    <row r="544" spans="1:13" x14ac:dyDescent="0.35">
      <c r="A544" t="s">
        <v>20</v>
      </c>
      <c r="B544">
        <v>17645</v>
      </c>
      <c r="C544" t="s">
        <v>949</v>
      </c>
      <c r="D544" t="s">
        <v>950</v>
      </c>
      <c r="E544" t="s">
        <v>11391</v>
      </c>
      <c r="F544" t="s">
        <v>13130</v>
      </c>
      <c r="G544" t="s">
        <v>13131</v>
      </c>
      <c r="H544" t="s">
        <v>13132</v>
      </c>
      <c r="I544" t="s">
        <v>954</v>
      </c>
      <c r="K544" t="s">
        <v>1686</v>
      </c>
      <c r="M544" t="s">
        <v>33</v>
      </c>
    </row>
    <row r="545" spans="1:13" x14ac:dyDescent="0.35">
      <c r="A545" t="s">
        <v>20</v>
      </c>
      <c r="B545">
        <v>17645</v>
      </c>
      <c r="C545" t="s">
        <v>949</v>
      </c>
      <c r="D545" t="s">
        <v>950</v>
      </c>
      <c r="E545" t="s">
        <v>11395</v>
      </c>
      <c r="F545" t="s">
        <v>13133</v>
      </c>
      <c r="G545" t="s">
        <v>13134</v>
      </c>
      <c r="H545" t="s">
        <v>13135</v>
      </c>
      <c r="I545" t="s">
        <v>954</v>
      </c>
      <c r="K545" t="s">
        <v>1686</v>
      </c>
      <c r="M545" t="s">
        <v>33</v>
      </c>
    </row>
    <row r="546" spans="1:13" x14ac:dyDescent="0.35">
      <c r="A546" t="s">
        <v>20</v>
      </c>
      <c r="B546">
        <v>17645</v>
      </c>
      <c r="C546" t="s">
        <v>949</v>
      </c>
      <c r="D546" t="s">
        <v>950</v>
      </c>
      <c r="E546" t="s">
        <v>11399</v>
      </c>
      <c r="F546" t="s">
        <v>13136</v>
      </c>
      <c r="G546" t="s">
        <v>13137</v>
      </c>
      <c r="H546" t="s">
        <v>13138</v>
      </c>
      <c r="I546" t="s">
        <v>954</v>
      </c>
      <c r="K546" t="s">
        <v>1686</v>
      </c>
      <c r="M546" t="s">
        <v>33</v>
      </c>
    </row>
    <row r="547" spans="1:13" x14ac:dyDescent="0.35">
      <c r="A547" t="s">
        <v>20</v>
      </c>
      <c r="B547">
        <v>17645</v>
      </c>
      <c r="C547" t="s">
        <v>949</v>
      </c>
      <c r="D547" t="s">
        <v>950</v>
      </c>
      <c r="E547" t="s">
        <v>11403</v>
      </c>
      <c r="F547" t="s">
        <v>13139</v>
      </c>
      <c r="G547" t="s">
        <v>13140</v>
      </c>
      <c r="H547" t="s">
        <v>13141</v>
      </c>
      <c r="I547" t="s">
        <v>954</v>
      </c>
      <c r="K547" t="s">
        <v>1686</v>
      </c>
      <c r="M547" t="s">
        <v>33</v>
      </c>
    </row>
    <row r="548" spans="1:13" x14ac:dyDescent="0.35">
      <c r="A548" t="s">
        <v>20</v>
      </c>
      <c r="B548">
        <v>17645</v>
      </c>
      <c r="C548" t="s">
        <v>949</v>
      </c>
      <c r="D548" t="s">
        <v>950</v>
      </c>
      <c r="E548" t="s">
        <v>11407</v>
      </c>
      <c r="F548" t="s">
        <v>13142</v>
      </c>
      <c r="G548" t="s">
        <v>13143</v>
      </c>
      <c r="H548" t="s">
        <v>13144</v>
      </c>
      <c r="I548" t="s">
        <v>954</v>
      </c>
      <c r="K548" t="s">
        <v>1686</v>
      </c>
      <c r="M548" t="s">
        <v>33</v>
      </c>
    </row>
    <row r="549" spans="1:13" x14ac:dyDescent="0.35">
      <c r="A549" t="s">
        <v>20</v>
      </c>
      <c r="B549">
        <v>17645</v>
      </c>
      <c r="C549" t="s">
        <v>949</v>
      </c>
      <c r="D549" t="s">
        <v>950</v>
      </c>
      <c r="E549" t="s">
        <v>11411</v>
      </c>
      <c r="F549" t="s">
        <v>13145</v>
      </c>
      <c r="G549" t="s">
        <v>13146</v>
      </c>
      <c r="H549" t="s">
        <v>13147</v>
      </c>
      <c r="I549" t="s">
        <v>954</v>
      </c>
      <c r="K549" t="s">
        <v>1686</v>
      </c>
      <c r="M549" t="s">
        <v>33</v>
      </c>
    </row>
    <row r="550" spans="1:13" x14ac:dyDescent="0.35">
      <c r="A550" t="s">
        <v>20</v>
      </c>
      <c r="B550">
        <v>17645</v>
      </c>
      <c r="C550" t="s">
        <v>949</v>
      </c>
      <c r="D550" t="s">
        <v>950</v>
      </c>
      <c r="E550" t="s">
        <v>11415</v>
      </c>
      <c r="F550" t="s">
        <v>13148</v>
      </c>
      <c r="G550" t="s">
        <v>13149</v>
      </c>
      <c r="H550" t="s">
        <v>13150</v>
      </c>
      <c r="I550" t="s">
        <v>954</v>
      </c>
      <c r="K550" t="s">
        <v>1686</v>
      </c>
      <c r="M550" t="s">
        <v>33</v>
      </c>
    </row>
    <row r="551" spans="1:13" x14ac:dyDescent="0.35">
      <c r="A551" t="s">
        <v>20</v>
      </c>
      <c r="B551">
        <v>17645</v>
      </c>
      <c r="C551" t="s">
        <v>949</v>
      </c>
      <c r="D551" t="s">
        <v>950</v>
      </c>
      <c r="E551" t="s">
        <v>11419</v>
      </c>
      <c r="F551" t="s">
        <v>13151</v>
      </c>
      <c r="G551" t="s">
        <v>13152</v>
      </c>
      <c r="H551" t="s">
        <v>13153</v>
      </c>
      <c r="I551" t="s">
        <v>954</v>
      </c>
      <c r="K551" t="s">
        <v>1686</v>
      </c>
      <c r="M551" t="s">
        <v>33</v>
      </c>
    </row>
    <row r="552" spans="1:13" x14ac:dyDescent="0.35">
      <c r="A552" t="s">
        <v>20</v>
      </c>
      <c r="B552">
        <v>17645</v>
      </c>
      <c r="C552" t="s">
        <v>949</v>
      </c>
      <c r="D552" t="s">
        <v>950</v>
      </c>
      <c r="E552" t="s">
        <v>11423</v>
      </c>
      <c r="F552" t="s">
        <v>13154</v>
      </c>
      <c r="G552" t="s">
        <v>13155</v>
      </c>
      <c r="H552" t="s">
        <v>13156</v>
      </c>
      <c r="I552" t="s">
        <v>954</v>
      </c>
      <c r="K552" t="s">
        <v>1686</v>
      </c>
      <c r="M552" t="s">
        <v>33</v>
      </c>
    </row>
    <row r="553" spans="1:13" x14ac:dyDescent="0.35">
      <c r="A553" t="s">
        <v>20</v>
      </c>
      <c r="B553">
        <v>17645</v>
      </c>
      <c r="C553" t="s">
        <v>949</v>
      </c>
      <c r="D553" t="s">
        <v>950</v>
      </c>
      <c r="E553" t="s">
        <v>11427</v>
      </c>
      <c r="F553" t="s">
        <v>13157</v>
      </c>
      <c r="G553" t="s">
        <v>13158</v>
      </c>
      <c r="H553" t="s">
        <v>13159</v>
      </c>
      <c r="I553" t="s">
        <v>954</v>
      </c>
      <c r="K553" t="s">
        <v>1686</v>
      </c>
      <c r="M553" t="s">
        <v>33</v>
      </c>
    </row>
    <row r="554" spans="1:13" x14ac:dyDescent="0.35">
      <c r="A554" t="s">
        <v>20</v>
      </c>
      <c r="B554">
        <v>17645</v>
      </c>
      <c r="C554" t="s">
        <v>949</v>
      </c>
      <c r="D554" t="s">
        <v>950</v>
      </c>
      <c r="E554" t="s">
        <v>11431</v>
      </c>
      <c r="F554" t="s">
        <v>13160</v>
      </c>
      <c r="G554" t="s">
        <v>13161</v>
      </c>
      <c r="H554" t="s">
        <v>13162</v>
      </c>
      <c r="I554" t="s">
        <v>954</v>
      </c>
      <c r="K554" t="s">
        <v>1686</v>
      </c>
      <c r="M554" t="s">
        <v>33</v>
      </c>
    </row>
    <row r="555" spans="1:13" x14ac:dyDescent="0.35">
      <c r="A555" t="s">
        <v>20</v>
      </c>
      <c r="B555">
        <v>17645</v>
      </c>
      <c r="C555" t="s">
        <v>949</v>
      </c>
      <c r="D555" t="s">
        <v>950</v>
      </c>
      <c r="E555" t="s">
        <v>11435</v>
      </c>
      <c r="F555" t="s">
        <v>13163</v>
      </c>
      <c r="G555" t="s">
        <v>13164</v>
      </c>
      <c r="H555" t="s">
        <v>13165</v>
      </c>
      <c r="I555" t="s">
        <v>954</v>
      </c>
      <c r="K555" t="s">
        <v>1686</v>
      </c>
      <c r="M555" t="s">
        <v>33</v>
      </c>
    </row>
    <row r="556" spans="1:13" x14ac:dyDescent="0.35">
      <c r="A556" t="s">
        <v>20</v>
      </c>
      <c r="B556">
        <v>17645</v>
      </c>
      <c r="C556" t="s">
        <v>949</v>
      </c>
      <c r="D556" t="s">
        <v>950</v>
      </c>
      <c r="E556" t="s">
        <v>11439</v>
      </c>
      <c r="F556" t="s">
        <v>13166</v>
      </c>
      <c r="G556" t="s">
        <v>13167</v>
      </c>
      <c r="H556" t="s">
        <v>13168</v>
      </c>
      <c r="I556" t="s">
        <v>954</v>
      </c>
      <c r="K556" t="s">
        <v>1686</v>
      </c>
      <c r="M556" t="s">
        <v>33</v>
      </c>
    </row>
    <row r="557" spans="1:13" x14ac:dyDescent="0.35">
      <c r="A557" t="s">
        <v>20</v>
      </c>
      <c r="B557">
        <v>17645</v>
      </c>
      <c r="C557" t="s">
        <v>949</v>
      </c>
      <c r="D557" t="s">
        <v>950</v>
      </c>
      <c r="E557" t="s">
        <v>11443</v>
      </c>
      <c r="F557" t="s">
        <v>13169</v>
      </c>
      <c r="G557" t="s">
        <v>13170</v>
      </c>
      <c r="H557" t="s">
        <v>13171</v>
      </c>
      <c r="I557" t="s">
        <v>954</v>
      </c>
      <c r="K557" t="s">
        <v>1686</v>
      </c>
      <c r="M557" t="s">
        <v>33</v>
      </c>
    </row>
    <row r="558" spans="1:13" x14ac:dyDescent="0.35">
      <c r="A558" t="s">
        <v>20</v>
      </c>
      <c r="B558">
        <v>17645</v>
      </c>
      <c r="C558" t="s">
        <v>949</v>
      </c>
      <c r="D558" t="s">
        <v>950</v>
      </c>
      <c r="E558" t="s">
        <v>11447</v>
      </c>
      <c r="F558" t="s">
        <v>13172</v>
      </c>
      <c r="G558" t="s">
        <v>13173</v>
      </c>
      <c r="H558" t="s">
        <v>13174</v>
      </c>
      <c r="I558" t="s">
        <v>954</v>
      </c>
      <c r="K558" t="s">
        <v>1686</v>
      </c>
      <c r="M558" t="s">
        <v>33</v>
      </c>
    </row>
    <row r="559" spans="1:13" x14ac:dyDescent="0.35">
      <c r="A559" t="s">
        <v>20</v>
      </c>
      <c r="B559">
        <v>17645</v>
      </c>
      <c r="C559" t="s">
        <v>949</v>
      </c>
      <c r="D559" t="s">
        <v>950</v>
      </c>
      <c r="E559" t="s">
        <v>11451</v>
      </c>
      <c r="F559" t="s">
        <v>13175</v>
      </c>
      <c r="G559" t="s">
        <v>13176</v>
      </c>
      <c r="H559" t="s">
        <v>13177</v>
      </c>
      <c r="I559" t="s">
        <v>954</v>
      </c>
      <c r="K559" t="s">
        <v>1686</v>
      </c>
      <c r="M559" t="s">
        <v>33</v>
      </c>
    </row>
    <row r="560" spans="1:13" x14ac:dyDescent="0.35">
      <c r="A560" t="s">
        <v>20</v>
      </c>
      <c r="B560">
        <v>17645</v>
      </c>
      <c r="C560" t="s">
        <v>949</v>
      </c>
      <c r="D560" t="s">
        <v>950</v>
      </c>
      <c r="E560" t="s">
        <v>11455</v>
      </c>
      <c r="F560" t="s">
        <v>13178</v>
      </c>
      <c r="G560" t="s">
        <v>13179</v>
      </c>
      <c r="H560" t="s">
        <v>13180</v>
      </c>
      <c r="I560" t="s">
        <v>954</v>
      </c>
      <c r="K560" t="s">
        <v>1686</v>
      </c>
      <c r="M560" t="s">
        <v>33</v>
      </c>
    </row>
    <row r="561" spans="1:13" x14ac:dyDescent="0.35">
      <c r="A561" t="s">
        <v>20</v>
      </c>
      <c r="B561">
        <v>17645</v>
      </c>
      <c r="C561" t="s">
        <v>949</v>
      </c>
      <c r="D561" t="s">
        <v>950</v>
      </c>
      <c r="E561" t="s">
        <v>11459</v>
      </c>
      <c r="F561" t="s">
        <v>13181</v>
      </c>
      <c r="G561" t="s">
        <v>13182</v>
      </c>
      <c r="H561" t="s">
        <v>13183</v>
      </c>
      <c r="I561" t="s">
        <v>954</v>
      </c>
      <c r="K561" t="s">
        <v>1686</v>
      </c>
      <c r="M561" t="s">
        <v>33</v>
      </c>
    </row>
    <row r="562" spans="1:13" x14ac:dyDescent="0.35">
      <c r="A562" t="s">
        <v>20</v>
      </c>
      <c r="B562">
        <v>17645</v>
      </c>
      <c r="C562" t="s">
        <v>949</v>
      </c>
      <c r="D562" t="s">
        <v>950</v>
      </c>
      <c r="E562" t="s">
        <v>11463</v>
      </c>
      <c r="F562" t="s">
        <v>13184</v>
      </c>
      <c r="G562" t="s">
        <v>13185</v>
      </c>
      <c r="H562" t="s">
        <v>13186</v>
      </c>
      <c r="I562" t="s">
        <v>954</v>
      </c>
      <c r="K562" t="s">
        <v>1681</v>
      </c>
      <c r="M562" t="s">
        <v>33</v>
      </c>
    </row>
    <row r="563" spans="1:13" x14ac:dyDescent="0.35">
      <c r="A563" t="s">
        <v>20</v>
      </c>
      <c r="B563">
        <v>17645</v>
      </c>
      <c r="C563" t="s">
        <v>949</v>
      </c>
      <c r="D563" t="s">
        <v>950</v>
      </c>
      <c r="E563" t="s">
        <v>11467</v>
      </c>
      <c r="F563" t="s">
        <v>13187</v>
      </c>
      <c r="G563" t="s">
        <v>13188</v>
      </c>
      <c r="H563" t="s">
        <v>13189</v>
      </c>
      <c r="I563" t="s">
        <v>954</v>
      </c>
      <c r="K563" t="s">
        <v>1686</v>
      </c>
      <c r="M563" t="s">
        <v>33</v>
      </c>
    </row>
    <row r="564" spans="1:13" x14ac:dyDescent="0.35">
      <c r="A564" t="s">
        <v>20</v>
      </c>
      <c r="B564">
        <v>17645</v>
      </c>
      <c r="C564" t="s">
        <v>949</v>
      </c>
      <c r="D564" t="s">
        <v>950</v>
      </c>
      <c r="E564" t="s">
        <v>11471</v>
      </c>
      <c r="F564" t="s">
        <v>13190</v>
      </c>
      <c r="G564" t="s">
        <v>13191</v>
      </c>
      <c r="H564" t="s">
        <v>13192</v>
      </c>
      <c r="I564" t="s">
        <v>954</v>
      </c>
      <c r="K564" t="s">
        <v>1686</v>
      </c>
      <c r="M564" t="s">
        <v>33</v>
      </c>
    </row>
    <row r="565" spans="1:13" x14ac:dyDescent="0.35">
      <c r="A565" t="s">
        <v>20</v>
      </c>
      <c r="B565">
        <v>17645</v>
      </c>
      <c r="C565" t="s">
        <v>949</v>
      </c>
      <c r="D565" t="s">
        <v>950</v>
      </c>
      <c r="E565" t="s">
        <v>11475</v>
      </c>
      <c r="F565" t="s">
        <v>13193</v>
      </c>
      <c r="G565" t="s">
        <v>13194</v>
      </c>
      <c r="H565" t="s">
        <v>13195</v>
      </c>
      <c r="I565" t="s">
        <v>954</v>
      </c>
      <c r="K565" t="s">
        <v>1686</v>
      </c>
      <c r="M565" t="s">
        <v>33</v>
      </c>
    </row>
    <row r="566" spans="1:13" x14ac:dyDescent="0.35">
      <c r="A566" t="s">
        <v>20</v>
      </c>
      <c r="B566">
        <v>17645</v>
      </c>
      <c r="C566" t="s">
        <v>949</v>
      </c>
      <c r="D566" t="s">
        <v>950</v>
      </c>
      <c r="E566" t="s">
        <v>11479</v>
      </c>
      <c r="F566" t="s">
        <v>13196</v>
      </c>
      <c r="G566" t="s">
        <v>13197</v>
      </c>
      <c r="H566" t="s">
        <v>13198</v>
      </c>
      <c r="I566" t="s">
        <v>954</v>
      </c>
      <c r="K566" t="s">
        <v>1686</v>
      </c>
      <c r="M566" t="s">
        <v>33</v>
      </c>
    </row>
    <row r="567" spans="1:13" x14ac:dyDescent="0.35">
      <c r="A567" t="s">
        <v>20</v>
      </c>
      <c r="B567">
        <v>17645</v>
      </c>
      <c r="C567" t="s">
        <v>949</v>
      </c>
      <c r="D567" t="s">
        <v>950</v>
      </c>
      <c r="E567" t="s">
        <v>11483</v>
      </c>
      <c r="F567" t="s">
        <v>13199</v>
      </c>
      <c r="G567" t="s">
        <v>13200</v>
      </c>
      <c r="H567" t="s">
        <v>13201</v>
      </c>
      <c r="I567" t="s">
        <v>954</v>
      </c>
      <c r="K567" t="s">
        <v>1686</v>
      </c>
      <c r="M567" t="s">
        <v>33</v>
      </c>
    </row>
    <row r="568" spans="1:13" x14ac:dyDescent="0.35">
      <c r="A568" t="s">
        <v>20</v>
      </c>
      <c r="B568">
        <v>17645</v>
      </c>
      <c r="C568" t="s">
        <v>949</v>
      </c>
      <c r="D568" t="s">
        <v>950</v>
      </c>
      <c r="E568" t="s">
        <v>11487</v>
      </c>
      <c r="F568" t="s">
        <v>13202</v>
      </c>
      <c r="G568" t="s">
        <v>13203</v>
      </c>
      <c r="H568" t="s">
        <v>13204</v>
      </c>
      <c r="I568" t="s">
        <v>954</v>
      </c>
      <c r="K568" t="s">
        <v>1681</v>
      </c>
      <c r="M568" t="s">
        <v>33</v>
      </c>
    </row>
    <row r="569" spans="1:13" x14ac:dyDescent="0.35">
      <c r="A569" t="s">
        <v>20</v>
      </c>
      <c r="B569">
        <v>17645</v>
      </c>
      <c r="C569" t="s">
        <v>949</v>
      </c>
      <c r="D569" t="s">
        <v>950</v>
      </c>
      <c r="E569" t="s">
        <v>11491</v>
      </c>
      <c r="F569" t="s">
        <v>13205</v>
      </c>
      <c r="G569" t="s">
        <v>13206</v>
      </c>
      <c r="H569" t="s">
        <v>13207</v>
      </c>
      <c r="I569" t="s">
        <v>954</v>
      </c>
      <c r="K569" t="s">
        <v>1686</v>
      </c>
      <c r="M569" t="s">
        <v>33</v>
      </c>
    </row>
    <row r="570" spans="1:13" x14ac:dyDescent="0.35">
      <c r="A570" t="s">
        <v>20</v>
      </c>
      <c r="B570">
        <v>17645</v>
      </c>
      <c r="C570" t="s">
        <v>949</v>
      </c>
      <c r="D570" t="s">
        <v>950</v>
      </c>
      <c r="E570" t="s">
        <v>11495</v>
      </c>
      <c r="F570" t="s">
        <v>13208</v>
      </c>
      <c r="G570" t="s">
        <v>13209</v>
      </c>
      <c r="H570" t="s">
        <v>13210</v>
      </c>
      <c r="I570" t="s">
        <v>954</v>
      </c>
      <c r="K570" t="s">
        <v>1681</v>
      </c>
      <c r="M570" t="s">
        <v>33</v>
      </c>
    </row>
    <row r="571" spans="1:13" x14ac:dyDescent="0.35">
      <c r="A571" t="s">
        <v>20</v>
      </c>
      <c r="B571">
        <v>17645</v>
      </c>
      <c r="C571" t="s">
        <v>949</v>
      </c>
      <c r="D571" t="s">
        <v>950</v>
      </c>
      <c r="E571" t="s">
        <v>11499</v>
      </c>
      <c r="F571" t="s">
        <v>13211</v>
      </c>
      <c r="G571" t="s">
        <v>13212</v>
      </c>
      <c r="H571" t="s">
        <v>13213</v>
      </c>
      <c r="I571" t="s">
        <v>954</v>
      </c>
      <c r="K571" t="s">
        <v>1686</v>
      </c>
      <c r="M571" t="s">
        <v>33</v>
      </c>
    </row>
    <row r="572" spans="1:13" x14ac:dyDescent="0.35">
      <c r="A572" t="s">
        <v>20</v>
      </c>
      <c r="B572">
        <v>17645</v>
      </c>
      <c r="C572" t="s">
        <v>949</v>
      </c>
      <c r="D572" t="s">
        <v>950</v>
      </c>
      <c r="E572" t="s">
        <v>11503</v>
      </c>
      <c r="F572" t="s">
        <v>13214</v>
      </c>
      <c r="G572" t="s">
        <v>13215</v>
      </c>
      <c r="H572" t="s">
        <v>13216</v>
      </c>
      <c r="I572" t="s">
        <v>954</v>
      </c>
      <c r="K572" t="s">
        <v>1686</v>
      </c>
      <c r="M572" t="s">
        <v>33</v>
      </c>
    </row>
    <row r="573" spans="1:13" x14ac:dyDescent="0.35">
      <c r="A573" t="s">
        <v>20</v>
      </c>
      <c r="B573">
        <v>17645</v>
      </c>
      <c r="C573" t="s">
        <v>949</v>
      </c>
      <c r="D573" t="s">
        <v>950</v>
      </c>
      <c r="E573" t="s">
        <v>11507</v>
      </c>
      <c r="F573" t="s">
        <v>13217</v>
      </c>
      <c r="G573" t="s">
        <v>13218</v>
      </c>
      <c r="H573" t="s">
        <v>13219</v>
      </c>
      <c r="I573" t="s">
        <v>954</v>
      </c>
      <c r="K573" t="s">
        <v>1686</v>
      </c>
      <c r="M573" t="s">
        <v>33</v>
      </c>
    </row>
    <row r="574" spans="1:13" x14ac:dyDescent="0.35">
      <c r="A574" t="s">
        <v>20</v>
      </c>
      <c r="B574">
        <v>17645</v>
      </c>
      <c r="C574" t="s">
        <v>949</v>
      </c>
      <c r="D574" t="s">
        <v>950</v>
      </c>
      <c r="E574" t="s">
        <v>11776</v>
      </c>
      <c r="F574" t="s">
        <v>13220</v>
      </c>
      <c r="G574" t="s">
        <v>13221</v>
      </c>
      <c r="H574" t="s">
        <v>13222</v>
      </c>
      <c r="I574" t="s">
        <v>1090</v>
      </c>
      <c r="K574" t="s">
        <v>1686</v>
      </c>
      <c r="M574" t="s">
        <v>33</v>
      </c>
    </row>
    <row r="575" spans="1:13" x14ac:dyDescent="0.35">
      <c r="A575" t="s">
        <v>20</v>
      </c>
      <c r="B575">
        <v>17645</v>
      </c>
      <c r="C575" t="s">
        <v>949</v>
      </c>
      <c r="D575" t="s">
        <v>950</v>
      </c>
      <c r="E575" t="s">
        <v>11780</v>
      </c>
      <c r="F575" t="s">
        <v>13223</v>
      </c>
      <c r="G575" t="s">
        <v>13224</v>
      </c>
      <c r="H575" t="s">
        <v>13225</v>
      </c>
      <c r="I575" t="s">
        <v>1090</v>
      </c>
      <c r="K575" t="s">
        <v>1686</v>
      </c>
      <c r="M575" t="s">
        <v>33</v>
      </c>
    </row>
    <row r="576" spans="1:13" x14ac:dyDescent="0.35">
      <c r="A576" t="s">
        <v>20</v>
      </c>
      <c r="B576">
        <v>17645</v>
      </c>
      <c r="C576" t="s">
        <v>949</v>
      </c>
      <c r="D576" t="s">
        <v>950</v>
      </c>
      <c r="E576" t="s">
        <v>11784</v>
      </c>
      <c r="F576" t="s">
        <v>13226</v>
      </c>
      <c r="G576" t="s">
        <v>13227</v>
      </c>
      <c r="H576" t="s">
        <v>13228</v>
      </c>
      <c r="I576" t="s">
        <v>1090</v>
      </c>
      <c r="K576" t="s">
        <v>1686</v>
      </c>
      <c r="M576" t="s">
        <v>33</v>
      </c>
    </row>
    <row r="577" spans="1:13" x14ac:dyDescent="0.35">
      <c r="A577" t="s">
        <v>20</v>
      </c>
      <c r="B577">
        <v>17645</v>
      </c>
      <c r="C577" t="s">
        <v>949</v>
      </c>
      <c r="D577" t="s">
        <v>950</v>
      </c>
      <c r="E577" t="s">
        <v>11788</v>
      </c>
      <c r="F577" t="s">
        <v>13229</v>
      </c>
      <c r="G577" t="s">
        <v>13230</v>
      </c>
      <c r="H577" t="s">
        <v>13231</v>
      </c>
      <c r="I577" t="s">
        <v>1090</v>
      </c>
      <c r="K577" t="s">
        <v>1686</v>
      </c>
      <c r="M577" t="s">
        <v>33</v>
      </c>
    </row>
    <row r="578" spans="1:13" x14ac:dyDescent="0.35">
      <c r="A578" t="s">
        <v>20</v>
      </c>
      <c r="B578">
        <v>17645</v>
      </c>
      <c r="C578" t="s">
        <v>949</v>
      </c>
      <c r="D578" t="s">
        <v>950</v>
      </c>
      <c r="E578" t="s">
        <v>11792</v>
      </c>
      <c r="F578" t="s">
        <v>13232</v>
      </c>
      <c r="G578" t="s">
        <v>13233</v>
      </c>
      <c r="H578" t="s">
        <v>13234</v>
      </c>
      <c r="I578" t="s">
        <v>1090</v>
      </c>
      <c r="K578" t="s">
        <v>1686</v>
      </c>
      <c r="M578" t="s">
        <v>33</v>
      </c>
    </row>
    <row r="579" spans="1:13" x14ac:dyDescent="0.35">
      <c r="A579" t="s">
        <v>20</v>
      </c>
      <c r="B579">
        <v>17645</v>
      </c>
      <c r="C579" t="s">
        <v>949</v>
      </c>
      <c r="D579" t="s">
        <v>950</v>
      </c>
      <c r="E579" t="s">
        <v>11796</v>
      </c>
      <c r="F579" t="s">
        <v>13235</v>
      </c>
      <c r="G579" t="s">
        <v>13236</v>
      </c>
      <c r="H579" t="s">
        <v>13237</v>
      </c>
      <c r="I579" t="s">
        <v>1090</v>
      </c>
      <c r="K579" t="s">
        <v>1686</v>
      </c>
      <c r="M579" t="s">
        <v>33</v>
      </c>
    </row>
    <row r="580" spans="1:13" x14ac:dyDescent="0.35">
      <c r="A580" t="s">
        <v>20</v>
      </c>
      <c r="B580">
        <v>17645</v>
      </c>
      <c r="C580" t="s">
        <v>949</v>
      </c>
      <c r="D580" t="s">
        <v>950</v>
      </c>
      <c r="E580" t="s">
        <v>11800</v>
      </c>
      <c r="F580" t="s">
        <v>13238</v>
      </c>
      <c r="G580" t="s">
        <v>13239</v>
      </c>
      <c r="H580" t="s">
        <v>13240</v>
      </c>
      <c r="I580" t="s">
        <v>1090</v>
      </c>
      <c r="K580" t="s">
        <v>1686</v>
      </c>
      <c r="M580" t="s">
        <v>33</v>
      </c>
    </row>
    <row r="581" spans="1:13" x14ac:dyDescent="0.35">
      <c r="A581" t="s">
        <v>20</v>
      </c>
      <c r="B581">
        <v>17645</v>
      </c>
      <c r="C581" t="s">
        <v>949</v>
      </c>
      <c r="D581" t="s">
        <v>950</v>
      </c>
      <c r="E581" t="s">
        <v>11804</v>
      </c>
      <c r="F581" t="s">
        <v>13241</v>
      </c>
      <c r="G581" t="s">
        <v>13242</v>
      </c>
      <c r="H581" t="s">
        <v>13243</v>
      </c>
      <c r="I581" t="s">
        <v>1090</v>
      </c>
      <c r="K581" t="s">
        <v>1686</v>
      </c>
      <c r="M581" t="s">
        <v>33</v>
      </c>
    </row>
    <row r="582" spans="1:13" x14ac:dyDescent="0.35">
      <c r="A582" t="s">
        <v>20</v>
      </c>
      <c r="B582">
        <v>17645</v>
      </c>
      <c r="C582" t="s">
        <v>949</v>
      </c>
      <c r="D582" t="s">
        <v>950</v>
      </c>
      <c r="E582" t="s">
        <v>11808</v>
      </c>
      <c r="F582" t="s">
        <v>13244</v>
      </c>
      <c r="G582" t="s">
        <v>13245</v>
      </c>
      <c r="H582" t="s">
        <v>13246</v>
      </c>
      <c r="I582" t="s">
        <v>1090</v>
      </c>
      <c r="K582" t="s">
        <v>1686</v>
      </c>
      <c r="M582" t="s">
        <v>33</v>
      </c>
    </row>
    <row r="583" spans="1:13" x14ac:dyDescent="0.35">
      <c r="A583" t="s">
        <v>20</v>
      </c>
      <c r="B583">
        <v>17645</v>
      </c>
      <c r="C583" t="s">
        <v>949</v>
      </c>
      <c r="D583" t="s">
        <v>950</v>
      </c>
      <c r="E583" t="s">
        <v>11812</v>
      </c>
      <c r="F583" t="s">
        <v>13247</v>
      </c>
      <c r="G583" t="s">
        <v>13248</v>
      </c>
      <c r="H583" t="s">
        <v>13249</v>
      </c>
      <c r="I583" t="s">
        <v>1090</v>
      </c>
      <c r="K583" t="s">
        <v>1686</v>
      </c>
      <c r="M583" t="s">
        <v>33</v>
      </c>
    </row>
    <row r="584" spans="1:13" x14ac:dyDescent="0.35">
      <c r="A584" t="s">
        <v>20</v>
      </c>
      <c r="B584">
        <v>17645</v>
      </c>
      <c r="C584" t="s">
        <v>949</v>
      </c>
      <c r="D584" t="s">
        <v>950</v>
      </c>
      <c r="E584" t="s">
        <v>11816</v>
      </c>
      <c r="F584" t="s">
        <v>13250</v>
      </c>
      <c r="G584" t="s">
        <v>13251</v>
      </c>
      <c r="H584" t="s">
        <v>13252</v>
      </c>
      <c r="I584" t="s">
        <v>1090</v>
      </c>
      <c r="K584" t="s">
        <v>1686</v>
      </c>
      <c r="M584" t="s">
        <v>33</v>
      </c>
    </row>
    <row r="585" spans="1:13" x14ac:dyDescent="0.35">
      <c r="A585" t="s">
        <v>20</v>
      </c>
      <c r="B585">
        <v>17645</v>
      </c>
      <c r="C585" t="s">
        <v>949</v>
      </c>
      <c r="D585" t="s">
        <v>950</v>
      </c>
      <c r="E585" t="s">
        <v>11820</v>
      </c>
      <c r="F585" t="s">
        <v>13253</v>
      </c>
      <c r="G585" t="s">
        <v>13254</v>
      </c>
      <c r="H585" t="s">
        <v>13255</v>
      </c>
      <c r="I585" t="s">
        <v>1090</v>
      </c>
      <c r="K585" t="s">
        <v>1681</v>
      </c>
      <c r="M585" t="s">
        <v>33</v>
      </c>
    </row>
    <row r="586" spans="1:13" x14ac:dyDescent="0.35">
      <c r="A586" t="s">
        <v>20</v>
      </c>
      <c r="B586">
        <v>17645</v>
      </c>
      <c r="C586" t="s">
        <v>949</v>
      </c>
      <c r="D586" t="s">
        <v>950</v>
      </c>
      <c r="E586" t="s">
        <v>11824</v>
      </c>
      <c r="F586" t="s">
        <v>13256</v>
      </c>
      <c r="G586" t="s">
        <v>13257</v>
      </c>
      <c r="H586" t="s">
        <v>13258</v>
      </c>
      <c r="I586" t="s">
        <v>1090</v>
      </c>
      <c r="K586" t="s">
        <v>1686</v>
      </c>
      <c r="M586" t="s">
        <v>33</v>
      </c>
    </row>
    <row r="587" spans="1:13" x14ac:dyDescent="0.35">
      <c r="A587" t="s">
        <v>20</v>
      </c>
      <c r="B587">
        <v>17645</v>
      </c>
      <c r="C587" t="s">
        <v>949</v>
      </c>
      <c r="D587" t="s">
        <v>950</v>
      </c>
      <c r="E587" t="s">
        <v>11828</v>
      </c>
      <c r="F587" t="s">
        <v>13259</v>
      </c>
      <c r="G587" t="s">
        <v>13260</v>
      </c>
      <c r="H587" t="s">
        <v>13261</v>
      </c>
      <c r="I587" t="s">
        <v>1090</v>
      </c>
      <c r="K587" t="s">
        <v>1686</v>
      </c>
      <c r="M587" t="s">
        <v>33</v>
      </c>
    </row>
    <row r="588" spans="1:13" x14ac:dyDescent="0.35">
      <c r="A588" t="s">
        <v>20</v>
      </c>
      <c r="B588">
        <v>17645</v>
      </c>
      <c r="C588" t="s">
        <v>949</v>
      </c>
      <c r="D588" t="s">
        <v>950</v>
      </c>
      <c r="E588" t="s">
        <v>11832</v>
      </c>
      <c r="F588" t="s">
        <v>13262</v>
      </c>
      <c r="G588" t="s">
        <v>13263</v>
      </c>
      <c r="H588" t="s">
        <v>13264</v>
      </c>
      <c r="I588" t="s">
        <v>1090</v>
      </c>
      <c r="K588" t="s">
        <v>1686</v>
      </c>
      <c r="M588" t="s">
        <v>33</v>
      </c>
    </row>
    <row r="589" spans="1:13" x14ac:dyDescent="0.35">
      <c r="A589" t="s">
        <v>20</v>
      </c>
      <c r="B589">
        <v>17645</v>
      </c>
      <c r="C589" t="s">
        <v>949</v>
      </c>
      <c r="D589" t="s">
        <v>950</v>
      </c>
      <c r="E589" t="s">
        <v>11836</v>
      </c>
      <c r="F589" t="s">
        <v>13265</v>
      </c>
      <c r="G589" t="s">
        <v>13266</v>
      </c>
      <c r="H589" t="s">
        <v>13267</v>
      </c>
      <c r="I589" t="s">
        <v>1090</v>
      </c>
      <c r="K589" t="s">
        <v>1686</v>
      </c>
      <c r="M589" t="s">
        <v>33</v>
      </c>
    </row>
    <row r="590" spans="1:13" x14ac:dyDescent="0.35">
      <c r="A590" t="s">
        <v>20</v>
      </c>
      <c r="B590">
        <v>17645</v>
      </c>
      <c r="C590" t="s">
        <v>949</v>
      </c>
      <c r="D590" t="s">
        <v>950</v>
      </c>
      <c r="E590" t="s">
        <v>11837</v>
      </c>
      <c r="F590" t="s">
        <v>13268</v>
      </c>
      <c r="G590" t="s">
        <v>13269</v>
      </c>
      <c r="H590" t="s">
        <v>13270</v>
      </c>
      <c r="I590" t="s">
        <v>1090</v>
      </c>
      <c r="K590" t="s">
        <v>1686</v>
      </c>
      <c r="M590" t="s">
        <v>33</v>
      </c>
    </row>
    <row r="591" spans="1:13" x14ac:dyDescent="0.35">
      <c r="A591" t="s">
        <v>20</v>
      </c>
      <c r="B591">
        <v>17645</v>
      </c>
      <c r="C591" t="s">
        <v>949</v>
      </c>
      <c r="D591" t="s">
        <v>950</v>
      </c>
      <c r="E591" t="s">
        <v>11841</v>
      </c>
      <c r="F591" t="s">
        <v>13271</v>
      </c>
      <c r="G591" t="s">
        <v>13272</v>
      </c>
      <c r="H591" t="s">
        <v>13273</v>
      </c>
      <c r="I591" t="s">
        <v>1090</v>
      </c>
      <c r="K591" t="s">
        <v>1686</v>
      </c>
      <c r="M591" t="s">
        <v>33</v>
      </c>
    </row>
    <row r="592" spans="1:13" x14ac:dyDescent="0.35">
      <c r="A592" t="s">
        <v>20</v>
      </c>
      <c r="B592">
        <v>17645</v>
      </c>
      <c r="C592" t="s">
        <v>949</v>
      </c>
      <c r="D592" t="s">
        <v>950</v>
      </c>
      <c r="E592" t="s">
        <v>11845</v>
      </c>
      <c r="F592" t="s">
        <v>13274</v>
      </c>
      <c r="G592" t="s">
        <v>13275</v>
      </c>
      <c r="H592" t="s">
        <v>13276</v>
      </c>
      <c r="I592" t="s">
        <v>1090</v>
      </c>
      <c r="K592" t="s">
        <v>1686</v>
      </c>
      <c r="M592" t="s">
        <v>33</v>
      </c>
    </row>
    <row r="593" spans="1:13" x14ac:dyDescent="0.35">
      <c r="A593" t="s">
        <v>20</v>
      </c>
      <c r="B593">
        <v>17645</v>
      </c>
      <c r="C593" t="s">
        <v>949</v>
      </c>
      <c r="D593" t="s">
        <v>950</v>
      </c>
      <c r="E593" t="s">
        <v>11849</v>
      </c>
      <c r="F593" t="s">
        <v>13277</v>
      </c>
      <c r="G593" t="s">
        <v>13278</v>
      </c>
      <c r="H593" t="s">
        <v>13279</v>
      </c>
      <c r="I593" t="s">
        <v>1090</v>
      </c>
      <c r="K593" t="s">
        <v>1686</v>
      </c>
      <c r="M593" t="s">
        <v>33</v>
      </c>
    </row>
    <row r="594" spans="1:13" x14ac:dyDescent="0.35">
      <c r="A594" t="s">
        <v>20</v>
      </c>
      <c r="B594">
        <v>17645</v>
      </c>
      <c r="C594" t="s">
        <v>949</v>
      </c>
      <c r="D594" t="s">
        <v>950</v>
      </c>
      <c r="E594" t="s">
        <v>11853</v>
      </c>
      <c r="F594" t="s">
        <v>13280</v>
      </c>
      <c r="G594" t="s">
        <v>13281</v>
      </c>
      <c r="H594" t="s">
        <v>13282</v>
      </c>
      <c r="I594" t="s">
        <v>1090</v>
      </c>
      <c r="K594" t="s">
        <v>1686</v>
      </c>
      <c r="M594" t="s">
        <v>33</v>
      </c>
    </row>
    <row r="595" spans="1:13" x14ac:dyDescent="0.35">
      <c r="A595" t="s">
        <v>20</v>
      </c>
      <c r="B595">
        <v>17645</v>
      </c>
      <c r="C595" t="s">
        <v>949</v>
      </c>
      <c r="D595" t="s">
        <v>950</v>
      </c>
      <c r="E595" t="s">
        <v>11857</v>
      </c>
      <c r="F595" t="s">
        <v>13283</v>
      </c>
      <c r="G595" t="s">
        <v>13284</v>
      </c>
      <c r="H595" t="s">
        <v>13285</v>
      </c>
      <c r="I595" t="s">
        <v>1090</v>
      </c>
      <c r="K595" t="s">
        <v>1686</v>
      </c>
      <c r="M595" t="s">
        <v>33</v>
      </c>
    </row>
    <row r="596" spans="1:13" x14ac:dyDescent="0.35">
      <c r="A596" t="s">
        <v>20</v>
      </c>
      <c r="B596">
        <v>17645</v>
      </c>
      <c r="C596" t="s">
        <v>949</v>
      </c>
      <c r="D596" t="s">
        <v>950</v>
      </c>
      <c r="E596" t="s">
        <v>11861</v>
      </c>
      <c r="F596" t="s">
        <v>13286</v>
      </c>
      <c r="G596" t="s">
        <v>13287</v>
      </c>
      <c r="H596" t="s">
        <v>13288</v>
      </c>
      <c r="I596" t="s">
        <v>1090</v>
      </c>
      <c r="K596" t="s">
        <v>1686</v>
      </c>
      <c r="M596" t="s">
        <v>33</v>
      </c>
    </row>
    <row r="597" spans="1:13" x14ac:dyDescent="0.35">
      <c r="A597" t="s">
        <v>20</v>
      </c>
      <c r="B597">
        <v>17645</v>
      </c>
      <c r="C597" t="s">
        <v>949</v>
      </c>
      <c r="D597" t="s">
        <v>950</v>
      </c>
      <c r="E597" t="s">
        <v>11865</v>
      </c>
      <c r="F597" t="s">
        <v>13289</v>
      </c>
      <c r="G597" t="s">
        <v>13290</v>
      </c>
      <c r="H597" t="s">
        <v>13291</v>
      </c>
      <c r="I597" t="s">
        <v>1090</v>
      </c>
      <c r="K597" t="s">
        <v>1686</v>
      </c>
      <c r="M597" t="s">
        <v>33</v>
      </c>
    </row>
    <row r="598" spans="1:13" x14ac:dyDescent="0.35">
      <c r="A598" t="s">
        <v>20</v>
      </c>
      <c r="B598">
        <v>17645</v>
      </c>
      <c r="C598" t="s">
        <v>949</v>
      </c>
      <c r="D598" t="s">
        <v>950</v>
      </c>
      <c r="E598" t="s">
        <v>11869</v>
      </c>
      <c r="F598" t="s">
        <v>13292</v>
      </c>
      <c r="G598" t="s">
        <v>13293</v>
      </c>
      <c r="H598" t="s">
        <v>13294</v>
      </c>
      <c r="I598" t="s">
        <v>1090</v>
      </c>
      <c r="K598" t="s">
        <v>1686</v>
      </c>
      <c r="M598" t="s">
        <v>33</v>
      </c>
    </row>
    <row r="599" spans="1:13" x14ac:dyDescent="0.35">
      <c r="A599" t="s">
        <v>20</v>
      </c>
      <c r="B599">
        <v>17645</v>
      </c>
      <c r="C599" t="s">
        <v>949</v>
      </c>
      <c r="D599" t="s">
        <v>950</v>
      </c>
      <c r="E599" t="s">
        <v>11873</v>
      </c>
      <c r="F599" t="s">
        <v>13295</v>
      </c>
      <c r="G599" t="s">
        <v>13296</v>
      </c>
      <c r="H599" t="s">
        <v>13297</v>
      </c>
      <c r="I599" t="s">
        <v>1090</v>
      </c>
      <c r="K599" t="s">
        <v>1686</v>
      </c>
      <c r="M599" t="s">
        <v>33</v>
      </c>
    </row>
    <row r="600" spans="1:13" x14ac:dyDescent="0.35">
      <c r="A600" t="s">
        <v>20</v>
      </c>
      <c r="B600">
        <v>17645</v>
      </c>
      <c r="C600" t="s">
        <v>949</v>
      </c>
      <c r="D600" t="s">
        <v>950</v>
      </c>
      <c r="E600" t="s">
        <v>11877</v>
      </c>
      <c r="F600" t="s">
        <v>13298</v>
      </c>
      <c r="G600" t="s">
        <v>13299</v>
      </c>
      <c r="H600" t="s">
        <v>13300</v>
      </c>
      <c r="I600" t="s">
        <v>1090</v>
      </c>
      <c r="K600" t="s">
        <v>1681</v>
      </c>
      <c r="M600" t="s">
        <v>33</v>
      </c>
    </row>
    <row r="601" spans="1:13" x14ac:dyDescent="0.35">
      <c r="A601" t="s">
        <v>20</v>
      </c>
      <c r="B601">
        <v>17645</v>
      </c>
      <c r="C601" t="s">
        <v>949</v>
      </c>
      <c r="D601" t="s">
        <v>950</v>
      </c>
      <c r="E601" t="s">
        <v>11881</v>
      </c>
      <c r="F601" t="s">
        <v>13301</v>
      </c>
      <c r="G601" t="s">
        <v>13302</v>
      </c>
      <c r="H601" t="s">
        <v>13303</v>
      </c>
      <c r="I601" t="s">
        <v>1090</v>
      </c>
      <c r="K601" t="s">
        <v>1686</v>
      </c>
      <c r="M601" t="s">
        <v>33</v>
      </c>
    </row>
    <row r="602" spans="1:13" x14ac:dyDescent="0.35">
      <c r="A602" t="s">
        <v>20</v>
      </c>
      <c r="B602">
        <v>17645</v>
      </c>
      <c r="C602" t="s">
        <v>949</v>
      </c>
      <c r="D602" t="s">
        <v>950</v>
      </c>
      <c r="E602" t="s">
        <v>11885</v>
      </c>
      <c r="F602" t="s">
        <v>13304</v>
      </c>
      <c r="G602" t="s">
        <v>13305</v>
      </c>
      <c r="H602" t="s">
        <v>13306</v>
      </c>
      <c r="I602" t="s">
        <v>1090</v>
      </c>
      <c r="K602" t="s">
        <v>1686</v>
      </c>
      <c r="M602" t="s">
        <v>33</v>
      </c>
    </row>
    <row r="603" spans="1:13" x14ac:dyDescent="0.35">
      <c r="A603" t="s">
        <v>20</v>
      </c>
      <c r="B603">
        <v>17645</v>
      </c>
      <c r="C603" t="s">
        <v>949</v>
      </c>
      <c r="D603" t="s">
        <v>950</v>
      </c>
      <c r="E603" t="s">
        <v>11889</v>
      </c>
      <c r="F603" t="s">
        <v>13307</v>
      </c>
      <c r="G603" t="s">
        <v>13308</v>
      </c>
      <c r="H603" t="s">
        <v>13309</v>
      </c>
      <c r="I603" t="s">
        <v>1090</v>
      </c>
      <c r="K603" t="s">
        <v>1686</v>
      </c>
      <c r="M603" t="s">
        <v>33</v>
      </c>
    </row>
    <row r="604" spans="1:13" x14ac:dyDescent="0.35">
      <c r="A604" t="s">
        <v>20</v>
      </c>
      <c r="B604">
        <v>17645</v>
      </c>
      <c r="C604" t="s">
        <v>949</v>
      </c>
      <c r="D604" t="s">
        <v>950</v>
      </c>
      <c r="E604" t="s">
        <v>11893</v>
      </c>
      <c r="F604" t="s">
        <v>13310</v>
      </c>
      <c r="G604" t="s">
        <v>13311</v>
      </c>
      <c r="H604" t="s">
        <v>13312</v>
      </c>
      <c r="I604" t="s">
        <v>1090</v>
      </c>
      <c r="K604" t="s">
        <v>1686</v>
      </c>
      <c r="M604" t="s">
        <v>33</v>
      </c>
    </row>
    <row r="605" spans="1:13" x14ac:dyDescent="0.35">
      <c r="A605" t="s">
        <v>20</v>
      </c>
      <c r="B605">
        <v>17645</v>
      </c>
      <c r="C605" t="s">
        <v>949</v>
      </c>
      <c r="D605" t="s">
        <v>950</v>
      </c>
      <c r="E605" t="s">
        <v>11897</v>
      </c>
      <c r="F605" t="s">
        <v>13313</v>
      </c>
      <c r="G605" t="s">
        <v>13314</v>
      </c>
      <c r="H605" t="s">
        <v>13315</v>
      </c>
      <c r="I605" t="s">
        <v>1090</v>
      </c>
      <c r="K605" t="s">
        <v>1686</v>
      </c>
      <c r="M605" t="s">
        <v>33</v>
      </c>
    </row>
    <row r="606" spans="1:13" x14ac:dyDescent="0.35">
      <c r="A606" t="s">
        <v>20</v>
      </c>
      <c r="B606">
        <v>17645</v>
      </c>
      <c r="C606" t="s">
        <v>949</v>
      </c>
      <c r="D606" t="s">
        <v>950</v>
      </c>
      <c r="E606" t="s">
        <v>11901</v>
      </c>
      <c r="F606" t="s">
        <v>13316</v>
      </c>
      <c r="G606" t="s">
        <v>13317</v>
      </c>
      <c r="H606" t="s">
        <v>13318</v>
      </c>
      <c r="I606" t="s">
        <v>1090</v>
      </c>
      <c r="K606" t="s">
        <v>1686</v>
      </c>
      <c r="M606" t="s">
        <v>33</v>
      </c>
    </row>
    <row r="607" spans="1:13" x14ac:dyDescent="0.35">
      <c r="A607" t="s">
        <v>20</v>
      </c>
      <c r="B607">
        <v>17645</v>
      </c>
      <c r="C607" t="s">
        <v>949</v>
      </c>
      <c r="D607" t="s">
        <v>950</v>
      </c>
      <c r="E607" t="s">
        <v>11905</v>
      </c>
      <c r="F607" t="s">
        <v>13319</v>
      </c>
      <c r="G607" t="s">
        <v>13320</v>
      </c>
      <c r="H607" t="s">
        <v>13321</v>
      </c>
      <c r="I607" t="s">
        <v>1090</v>
      </c>
      <c r="K607" t="s">
        <v>1681</v>
      </c>
      <c r="M607" t="s">
        <v>33</v>
      </c>
    </row>
    <row r="608" spans="1:13" x14ac:dyDescent="0.35">
      <c r="A608" t="s">
        <v>20</v>
      </c>
      <c r="B608">
        <v>17645</v>
      </c>
      <c r="C608" t="s">
        <v>949</v>
      </c>
      <c r="D608" t="s">
        <v>950</v>
      </c>
      <c r="E608" t="s">
        <v>11909</v>
      </c>
      <c r="F608" t="s">
        <v>13322</v>
      </c>
      <c r="G608" t="s">
        <v>13323</v>
      </c>
      <c r="H608" t="s">
        <v>13324</v>
      </c>
      <c r="I608" t="s">
        <v>1090</v>
      </c>
      <c r="K608" t="s">
        <v>1686</v>
      </c>
      <c r="M608" t="s">
        <v>33</v>
      </c>
    </row>
    <row r="609" spans="1:13" x14ac:dyDescent="0.35">
      <c r="A609" t="s">
        <v>20</v>
      </c>
      <c r="B609">
        <v>17645</v>
      </c>
      <c r="C609" t="s">
        <v>949</v>
      </c>
      <c r="D609" t="s">
        <v>950</v>
      </c>
      <c r="E609" t="s">
        <v>11913</v>
      </c>
      <c r="F609" t="s">
        <v>13325</v>
      </c>
      <c r="G609" t="s">
        <v>13326</v>
      </c>
      <c r="H609" t="s">
        <v>13327</v>
      </c>
      <c r="I609" t="s">
        <v>1090</v>
      </c>
      <c r="K609" t="s">
        <v>1686</v>
      </c>
      <c r="M609" t="s">
        <v>33</v>
      </c>
    </row>
    <row r="610" spans="1:13" x14ac:dyDescent="0.35">
      <c r="A610" t="s">
        <v>20</v>
      </c>
      <c r="B610">
        <v>17645</v>
      </c>
      <c r="C610" t="s">
        <v>949</v>
      </c>
      <c r="D610" t="s">
        <v>950</v>
      </c>
      <c r="E610" t="s">
        <v>11917</v>
      </c>
      <c r="F610" t="s">
        <v>13328</v>
      </c>
      <c r="G610" t="s">
        <v>13329</v>
      </c>
      <c r="H610" t="s">
        <v>13330</v>
      </c>
      <c r="I610" t="s">
        <v>1090</v>
      </c>
      <c r="K610" t="s">
        <v>1686</v>
      </c>
      <c r="M610" t="s">
        <v>33</v>
      </c>
    </row>
    <row r="611" spans="1:13" x14ac:dyDescent="0.35">
      <c r="A611" t="s">
        <v>20</v>
      </c>
      <c r="B611">
        <v>17645</v>
      </c>
      <c r="C611" t="s">
        <v>949</v>
      </c>
      <c r="D611" t="s">
        <v>950</v>
      </c>
      <c r="E611" t="s">
        <v>11921</v>
      </c>
      <c r="F611" t="s">
        <v>13331</v>
      </c>
      <c r="G611" t="s">
        <v>13332</v>
      </c>
      <c r="H611" t="s">
        <v>13333</v>
      </c>
      <c r="I611" t="s">
        <v>1090</v>
      </c>
      <c r="K611" t="s">
        <v>1686</v>
      </c>
      <c r="M611" t="s">
        <v>33</v>
      </c>
    </row>
    <row r="612" spans="1:13" x14ac:dyDescent="0.35">
      <c r="A612" t="s">
        <v>20</v>
      </c>
      <c r="B612">
        <v>17645</v>
      </c>
      <c r="C612" t="s">
        <v>949</v>
      </c>
      <c r="D612" t="s">
        <v>950</v>
      </c>
      <c r="E612" t="s">
        <v>11925</v>
      </c>
      <c r="F612" t="s">
        <v>13334</v>
      </c>
      <c r="G612" t="s">
        <v>13335</v>
      </c>
      <c r="H612" t="s">
        <v>13336</v>
      </c>
      <c r="I612" t="s">
        <v>1090</v>
      </c>
      <c r="K612" t="s">
        <v>1686</v>
      </c>
      <c r="M612" t="s">
        <v>33</v>
      </c>
    </row>
    <row r="613" spans="1:13" x14ac:dyDescent="0.35">
      <c r="A613" t="s">
        <v>20</v>
      </c>
      <c r="B613">
        <v>17645</v>
      </c>
      <c r="C613" t="s">
        <v>949</v>
      </c>
      <c r="D613" t="s">
        <v>950</v>
      </c>
      <c r="E613" t="s">
        <v>11929</v>
      </c>
      <c r="F613" t="s">
        <v>13337</v>
      </c>
      <c r="G613" t="s">
        <v>13338</v>
      </c>
      <c r="H613" t="s">
        <v>13339</v>
      </c>
      <c r="I613" t="s">
        <v>1090</v>
      </c>
      <c r="K613" t="s">
        <v>1686</v>
      </c>
      <c r="M613" t="s">
        <v>33</v>
      </c>
    </row>
    <row r="614" spans="1:13" x14ac:dyDescent="0.35">
      <c r="A614" t="s">
        <v>20</v>
      </c>
      <c r="B614">
        <v>17645</v>
      </c>
      <c r="C614" t="s">
        <v>949</v>
      </c>
      <c r="D614" t="s">
        <v>950</v>
      </c>
      <c r="E614" t="s">
        <v>11933</v>
      </c>
      <c r="F614" t="s">
        <v>13340</v>
      </c>
      <c r="G614" t="s">
        <v>13341</v>
      </c>
      <c r="H614" t="s">
        <v>13342</v>
      </c>
      <c r="I614" t="s">
        <v>1090</v>
      </c>
      <c r="K614" t="s">
        <v>1686</v>
      </c>
      <c r="M614" t="s">
        <v>33</v>
      </c>
    </row>
    <row r="615" spans="1:13" x14ac:dyDescent="0.35">
      <c r="A615" t="s">
        <v>20</v>
      </c>
      <c r="B615">
        <v>17645</v>
      </c>
      <c r="C615" t="s">
        <v>949</v>
      </c>
      <c r="D615" t="s">
        <v>950</v>
      </c>
      <c r="E615" t="s">
        <v>11937</v>
      </c>
      <c r="F615" t="s">
        <v>13343</v>
      </c>
      <c r="G615" t="s">
        <v>13344</v>
      </c>
      <c r="H615" t="s">
        <v>13345</v>
      </c>
      <c r="I615" t="s">
        <v>1090</v>
      </c>
      <c r="K615" t="s">
        <v>1686</v>
      </c>
      <c r="M615" t="s">
        <v>33</v>
      </c>
    </row>
    <row r="616" spans="1:13" x14ac:dyDescent="0.35">
      <c r="A616" t="s">
        <v>20</v>
      </c>
      <c r="B616">
        <v>17645</v>
      </c>
      <c r="C616" t="s">
        <v>949</v>
      </c>
      <c r="D616" t="s">
        <v>950</v>
      </c>
      <c r="E616" t="s">
        <v>11941</v>
      </c>
      <c r="F616" t="s">
        <v>13346</v>
      </c>
      <c r="G616" t="s">
        <v>13347</v>
      </c>
      <c r="H616" t="s">
        <v>13348</v>
      </c>
      <c r="I616" t="s">
        <v>1090</v>
      </c>
      <c r="K616" t="s">
        <v>1686</v>
      </c>
      <c r="M616" t="s">
        <v>33</v>
      </c>
    </row>
    <row r="617" spans="1:13" x14ac:dyDescent="0.35">
      <c r="A617" t="s">
        <v>20</v>
      </c>
      <c r="B617">
        <v>17645</v>
      </c>
      <c r="C617" t="s">
        <v>949</v>
      </c>
      <c r="D617" t="s">
        <v>950</v>
      </c>
      <c r="E617" t="s">
        <v>11945</v>
      </c>
      <c r="F617" t="s">
        <v>13349</v>
      </c>
      <c r="G617" t="s">
        <v>13350</v>
      </c>
      <c r="H617" t="s">
        <v>13351</v>
      </c>
      <c r="I617" t="s">
        <v>1090</v>
      </c>
      <c r="K617" t="s">
        <v>1686</v>
      </c>
      <c r="M617" t="s">
        <v>33</v>
      </c>
    </row>
    <row r="618" spans="1:13" x14ac:dyDescent="0.35">
      <c r="A618" t="s">
        <v>20</v>
      </c>
      <c r="B618">
        <v>17645</v>
      </c>
      <c r="C618" t="s">
        <v>949</v>
      </c>
      <c r="D618" t="s">
        <v>950</v>
      </c>
      <c r="E618" t="s">
        <v>11949</v>
      </c>
      <c r="F618" t="s">
        <v>13352</v>
      </c>
      <c r="G618" t="s">
        <v>13353</v>
      </c>
      <c r="H618" t="s">
        <v>13354</v>
      </c>
      <c r="I618" t="s">
        <v>1090</v>
      </c>
      <c r="K618" t="s">
        <v>1686</v>
      </c>
      <c r="M618" t="s">
        <v>33</v>
      </c>
    </row>
    <row r="619" spans="1:13" x14ac:dyDescent="0.35">
      <c r="A619" t="s">
        <v>20</v>
      </c>
      <c r="B619">
        <v>17645</v>
      </c>
      <c r="C619" t="s">
        <v>949</v>
      </c>
      <c r="D619" t="s">
        <v>950</v>
      </c>
      <c r="E619" t="s">
        <v>11953</v>
      </c>
      <c r="F619" t="s">
        <v>13355</v>
      </c>
      <c r="G619" t="s">
        <v>13356</v>
      </c>
      <c r="H619" t="s">
        <v>13357</v>
      </c>
      <c r="I619" t="s">
        <v>1090</v>
      </c>
      <c r="K619" t="s">
        <v>1686</v>
      </c>
      <c r="M619" t="s">
        <v>33</v>
      </c>
    </row>
    <row r="620" spans="1:13" x14ac:dyDescent="0.35">
      <c r="A620" t="s">
        <v>20</v>
      </c>
      <c r="B620">
        <v>17645</v>
      </c>
      <c r="C620" t="s">
        <v>949</v>
      </c>
      <c r="D620" t="s">
        <v>950</v>
      </c>
      <c r="E620" t="s">
        <v>11957</v>
      </c>
      <c r="F620" t="s">
        <v>13358</v>
      </c>
      <c r="G620" t="s">
        <v>13359</v>
      </c>
      <c r="H620" t="s">
        <v>13360</v>
      </c>
      <c r="I620" t="s">
        <v>1090</v>
      </c>
      <c r="K620" t="s">
        <v>1686</v>
      </c>
      <c r="M620" t="s">
        <v>33</v>
      </c>
    </row>
    <row r="621" spans="1:13" x14ac:dyDescent="0.35">
      <c r="A621" t="s">
        <v>20</v>
      </c>
      <c r="B621">
        <v>17645</v>
      </c>
      <c r="C621" t="s">
        <v>949</v>
      </c>
      <c r="D621" t="s">
        <v>950</v>
      </c>
      <c r="E621" t="s">
        <v>11961</v>
      </c>
      <c r="F621" t="s">
        <v>13361</v>
      </c>
      <c r="G621" t="s">
        <v>13362</v>
      </c>
      <c r="H621" t="s">
        <v>13363</v>
      </c>
      <c r="I621" t="s">
        <v>1090</v>
      </c>
      <c r="K621" t="s">
        <v>1686</v>
      </c>
      <c r="M621" t="s">
        <v>33</v>
      </c>
    </row>
    <row r="622" spans="1:13" x14ac:dyDescent="0.35">
      <c r="A622" t="s">
        <v>20</v>
      </c>
      <c r="B622">
        <v>17645</v>
      </c>
      <c r="C622" t="s">
        <v>949</v>
      </c>
      <c r="D622" t="s">
        <v>950</v>
      </c>
      <c r="E622" t="s">
        <v>11965</v>
      </c>
      <c r="F622" t="s">
        <v>13364</v>
      </c>
      <c r="G622" t="s">
        <v>13365</v>
      </c>
      <c r="H622" t="s">
        <v>13366</v>
      </c>
      <c r="I622" t="s">
        <v>1090</v>
      </c>
      <c r="K622" t="s">
        <v>1686</v>
      </c>
      <c r="M622" t="s">
        <v>33</v>
      </c>
    </row>
    <row r="623" spans="1:13" x14ac:dyDescent="0.35">
      <c r="A623" t="s">
        <v>20</v>
      </c>
      <c r="B623">
        <v>17645</v>
      </c>
      <c r="C623" t="s">
        <v>949</v>
      </c>
      <c r="D623" t="s">
        <v>950</v>
      </c>
      <c r="E623" t="s">
        <v>11969</v>
      </c>
      <c r="F623" t="s">
        <v>13367</v>
      </c>
      <c r="G623" t="s">
        <v>13368</v>
      </c>
      <c r="H623" t="s">
        <v>13369</v>
      </c>
      <c r="I623" t="s">
        <v>1090</v>
      </c>
      <c r="K623" t="s">
        <v>1686</v>
      </c>
      <c r="M623" t="s">
        <v>33</v>
      </c>
    </row>
    <row r="624" spans="1:13" x14ac:dyDescent="0.35">
      <c r="A624" t="s">
        <v>20</v>
      </c>
      <c r="B624">
        <v>17645</v>
      </c>
      <c r="C624" t="s">
        <v>949</v>
      </c>
      <c r="D624" t="s">
        <v>950</v>
      </c>
      <c r="E624" t="s">
        <v>11973</v>
      </c>
      <c r="F624" t="s">
        <v>13370</v>
      </c>
      <c r="G624" t="s">
        <v>13371</v>
      </c>
      <c r="H624" t="s">
        <v>13372</v>
      </c>
      <c r="I624" t="s">
        <v>1090</v>
      </c>
      <c r="K624" t="s">
        <v>1681</v>
      </c>
      <c r="M624" t="s">
        <v>33</v>
      </c>
    </row>
    <row r="625" spans="1:13" x14ac:dyDescent="0.35">
      <c r="A625" t="s">
        <v>20</v>
      </c>
      <c r="B625">
        <v>17645</v>
      </c>
      <c r="C625" t="s">
        <v>949</v>
      </c>
      <c r="D625" t="s">
        <v>950</v>
      </c>
      <c r="E625" t="s">
        <v>11977</v>
      </c>
      <c r="F625" t="s">
        <v>13373</v>
      </c>
      <c r="G625" t="s">
        <v>13374</v>
      </c>
      <c r="H625" t="s">
        <v>13375</v>
      </c>
      <c r="I625" t="s">
        <v>1090</v>
      </c>
      <c r="K625" t="s">
        <v>1686</v>
      </c>
      <c r="M625" t="s">
        <v>33</v>
      </c>
    </row>
    <row r="626" spans="1:13" x14ac:dyDescent="0.35">
      <c r="A626" t="s">
        <v>20</v>
      </c>
      <c r="B626">
        <v>17645</v>
      </c>
      <c r="C626" t="s">
        <v>949</v>
      </c>
      <c r="D626" t="s">
        <v>950</v>
      </c>
      <c r="E626" t="s">
        <v>11981</v>
      </c>
      <c r="F626" t="s">
        <v>13376</v>
      </c>
      <c r="G626" t="s">
        <v>13377</v>
      </c>
      <c r="H626" t="s">
        <v>13378</v>
      </c>
      <c r="I626" t="s">
        <v>1090</v>
      </c>
      <c r="K626" t="s">
        <v>1686</v>
      </c>
      <c r="M626" t="s">
        <v>33</v>
      </c>
    </row>
    <row r="627" spans="1:13" x14ac:dyDescent="0.35">
      <c r="A627" t="s">
        <v>20</v>
      </c>
      <c r="B627">
        <v>17645</v>
      </c>
      <c r="C627" t="s">
        <v>949</v>
      </c>
      <c r="D627" t="s">
        <v>950</v>
      </c>
      <c r="E627" t="s">
        <v>11985</v>
      </c>
      <c r="F627" t="s">
        <v>13379</v>
      </c>
      <c r="G627" t="s">
        <v>13380</v>
      </c>
      <c r="H627" t="s">
        <v>13381</v>
      </c>
      <c r="I627" t="s">
        <v>1090</v>
      </c>
      <c r="K627" t="s">
        <v>1686</v>
      </c>
      <c r="M627" t="s">
        <v>33</v>
      </c>
    </row>
    <row r="628" spans="1:13" x14ac:dyDescent="0.35">
      <c r="A628" t="s">
        <v>20</v>
      </c>
      <c r="B628">
        <v>17645</v>
      </c>
      <c r="C628" t="s">
        <v>949</v>
      </c>
      <c r="D628" t="s">
        <v>950</v>
      </c>
      <c r="E628" t="s">
        <v>11989</v>
      </c>
      <c r="F628" t="s">
        <v>13382</v>
      </c>
      <c r="G628" t="s">
        <v>13383</v>
      </c>
      <c r="H628" t="s">
        <v>13384</v>
      </c>
      <c r="I628" t="s">
        <v>1090</v>
      </c>
      <c r="K628" t="s">
        <v>1686</v>
      </c>
      <c r="M628" t="s">
        <v>33</v>
      </c>
    </row>
    <row r="629" spans="1:13" x14ac:dyDescent="0.35">
      <c r="A629" t="s">
        <v>20</v>
      </c>
      <c r="B629">
        <v>17645</v>
      </c>
      <c r="C629" t="s">
        <v>949</v>
      </c>
      <c r="D629" t="s">
        <v>950</v>
      </c>
      <c r="E629" t="s">
        <v>11993</v>
      </c>
      <c r="F629" t="s">
        <v>13385</v>
      </c>
      <c r="G629" t="s">
        <v>13386</v>
      </c>
      <c r="H629" t="s">
        <v>13387</v>
      </c>
      <c r="I629" t="s">
        <v>1090</v>
      </c>
      <c r="K629" t="s">
        <v>1686</v>
      </c>
      <c r="M629" t="s">
        <v>33</v>
      </c>
    </row>
    <row r="630" spans="1:13" x14ac:dyDescent="0.35">
      <c r="A630" t="s">
        <v>20</v>
      </c>
      <c r="B630">
        <v>17645</v>
      </c>
      <c r="C630" t="s">
        <v>949</v>
      </c>
      <c r="D630" t="s">
        <v>950</v>
      </c>
      <c r="E630" t="s">
        <v>11997</v>
      </c>
      <c r="F630" t="s">
        <v>13388</v>
      </c>
      <c r="G630" t="s">
        <v>13389</v>
      </c>
      <c r="H630" t="s">
        <v>13390</v>
      </c>
      <c r="I630" t="s">
        <v>1090</v>
      </c>
      <c r="K630" t="s">
        <v>1686</v>
      </c>
      <c r="M630" t="s">
        <v>33</v>
      </c>
    </row>
    <row r="631" spans="1:13" x14ac:dyDescent="0.35">
      <c r="A631" t="s">
        <v>20</v>
      </c>
      <c r="B631">
        <v>17645</v>
      </c>
      <c r="C631" t="s">
        <v>949</v>
      </c>
      <c r="D631" t="s">
        <v>950</v>
      </c>
      <c r="E631" t="s">
        <v>12001</v>
      </c>
      <c r="F631" t="s">
        <v>13391</v>
      </c>
      <c r="G631" t="s">
        <v>13392</v>
      </c>
      <c r="H631" t="s">
        <v>13393</v>
      </c>
      <c r="I631" t="s">
        <v>1090</v>
      </c>
      <c r="K631" t="s">
        <v>1686</v>
      </c>
      <c r="M631" t="s">
        <v>33</v>
      </c>
    </row>
    <row r="632" spans="1:13" x14ac:dyDescent="0.35">
      <c r="A632" t="s">
        <v>20</v>
      </c>
      <c r="B632">
        <v>17645</v>
      </c>
      <c r="C632" t="s">
        <v>949</v>
      </c>
      <c r="D632" t="s">
        <v>950</v>
      </c>
      <c r="E632" t="s">
        <v>12005</v>
      </c>
      <c r="F632" t="s">
        <v>13394</v>
      </c>
      <c r="G632" t="s">
        <v>13395</v>
      </c>
      <c r="H632" t="s">
        <v>13396</v>
      </c>
      <c r="I632" t="s">
        <v>1090</v>
      </c>
      <c r="K632" t="s">
        <v>1686</v>
      </c>
      <c r="M632" t="s">
        <v>33</v>
      </c>
    </row>
    <row r="633" spans="1:13" x14ac:dyDescent="0.35">
      <c r="A633" t="s">
        <v>20</v>
      </c>
      <c r="B633">
        <v>17645</v>
      </c>
      <c r="C633" t="s">
        <v>949</v>
      </c>
      <c r="D633" t="s">
        <v>950</v>
      </c>
      <c r="E633" t="s">
        <v>12009</v>
      </c>
      <c r="F633" t="s">
        <v>13397</v>
      </c>
      <c r="G633" t="s">
        <v>13398</v>
      </c>
      <c r="H633" t="s">
        <v>13399</v>
      </c>
      <c r="I633" t="s">
        <v>1090</v>
      </c>
      <c r="K633" t="s">
        <v>1686</v>
      </c>
      <c r="M633" t="s">
        <v>33</v>
      </c>
    </row>
    <row r="634" spans="1:13" x14ac:dyDescent="0.35">
      <c r="A634" t="s">
        <v>20</v>
      </c>
      <c r="B634">
        <v>17645</v>
      </c>
      <c r="C634" t="s">
        <v>949</v>
      </c>
      <c r="D634" t="s">
        <v>950</v>
      </c>
      <c r="E634" t="s">
        <v>12013</v>
      </c>
      <c r="F634" t="s">
        <v>13400</v>
      </c>
      <c r="G634" t="s">
        <v>13401</v>
      </c>
      <c r="H634" t="s">
        <v>13402</v>
      </c>
      <c r="I634" t="s">
        <v>1090</v>
      </c>
      <c r="K634" t="s">
        <v>1681</v>
      </c>
      <c r="M634" t="s">
        <v>33</v>
      </c>
    </row>
    <row r="635" spans="1:13" x14ac:dyDescent="0.35">
      <c r="A635" t="s">
        <v>20</v>
      </c>
      <c r="B635">
        <v>17645</v>
      </c>
      <c r="C635" t="s">
        <v>949</v>
      </c>
      <c r="D635" t="s">
        <v>950</v>
      </c>
      <c r="E635" t="s">
        <v>12017</v>
      </c>
      <c r="F635" t="s">
        <v>13403</v>
      </c>
      <c r="G635" t="s">
        <v>13404</v>
      </c>
      <c r="H635" t="s">
        <v>13405</v>
      </c>
      <c r="I635" t="s">
        <v>1090</v>
      </c>
      <c r="K635" t="s">
        <v>1686</v>
      </c>
      <c r="M635" t="s">
        <v>33</v>
      </c>
    </row>
    <row r="636" spans="1:13" x14ac:dyDescent="0.35">
      <c r="A636" t="s">
        <v>20</v>
      </c>
      <c r="B636">
        <v>17645</v>
      </c>
      <c r="C636" t="s">
        <v>949</v>
      </c>
      <c r="D636" t="s">
        <v>950</v>
      </c>
      <c r="E636" t="s">
        <v>12021</v>
      </c>
      <c r="F636" t="s">
        <v>13406</v>
      </c>
      <c r="G636" t="s">
        <v>13407</v>
      </c>
      <c r="H636" t="s">
        <v>13408</v>
      </c>
      <c r="I636" t="s">
        <v>1090</v>
      </c>
      <c r="K636" t="s">
        <v>1686</v>
      </c>
      <c r="M636" t="s">
        <v>33</v>
      </c>
    </row>
    <row r="637" spans="1:13" x14ac:dyDescent="0.35">
      <c r="A637" t="s">
        <v>20</v>
      </c>
      <c r="B637">
        <v>17645</v>
      </c>
      <c r="C637" t="s">
        <v>949</v>
      </c>
      <c r="D637" t="s">
        <v>950</v>
      </c>
      <c r="E637" t="s">
        <v>12025</v>
      </c>
      <c r="F637" t="s">
        <v>13409</v>
      </c>
      <c r="G637" t="s">
        <v>13410</v>
      </c>
      <c r="H637" t="s">
        <v>13411</v>
      </c>
      <c r="I637" t="s">
        <v>1090</v>
      </c>
      <c r="K637" t="s">
        <v>1686</v>
      </c>
      <c r="M637" t="s">
        <v>33</v>
      </c>
    </row>
    <row r="638" spans="1:13" x14ac:dyDescent="0.35">
      <c r="A638" t="s">
        <v>20</v>
      </c>
      <c r="B638">
        <v>17645</v>
      </c>
      <c r="C638" t="s">
        <v>949</v>
      </c>
      <c r="D638" t="s">
        <v>950</v>
      </c>
      <c r="E638" t="s">
        <v>12029</v>
      </c>
      <c r="F638" t="s">
        <v>13412</v>
      </c>
      <c r="G638" t="s">
        <v>13413</v>
      </c>
      <c r="H638" t="s">
        <v>13414</v>
      </c>
      <c r="I638" t="s">
        <v>1090</v>
      </c>
      <c r="K638" t="s">
        <v>1686</v>
      </c>
      <c r="M638" t="s">
        <v>33</v>
      </c>
    </row>
    <row r="639" spans="1:13" x14ac:dyDescent="0.35">
      <c r="A639" t="s">
        <v>20</v>
      </c>
      <c r="B639">
        <v>17645</v>
      </c>
      <c r="C639" t="s">
        <v>949</v>
      </c>
      <c r="D639" t="s">
        <v>950</v>
      </c>
      <c r="E639" t="s">
        <v>12033</v>
      </c>
      <c r="F639" t="s">
        <v>13415</v>
      </c>
      <c r="G639" t="s">
        <v>13416</v>
      </c>
      <c r="H639" t="s">
        <v>13417</v>
      </c>
      <c r="I639" t="s">
        <v>1090</v>
      </c>
      <c r="K639" t="s">
        <v>1686</v>
      </c>
      <c r="M639" t="s">
        <v>33</v>
      </c>
    </row>
    <row r="640" spans="1:13" x14ac:dyDescent="0.35">
      <c r="A640" t="s">
        <v>20</v>
      </c>
      <c r="B640">
        <v>17645</v>
      </c>
      <c r="C640" t="s">
        <v>949</v>
      </c>
      <c r="D640" t="s">
        <v>950</v>
      </c>
      <c r="E640" t="s">
        <v>12037</v>
      </c>
      <c r="F640" t="s">
        <v>13418</v>
      </c>
      <c r="G640" t="s">
        <v>13419</v>
      </c>
      <c r="H640" t="s">
        <v>13420</v>
      </c>
      <c r="I640" t="s">
        <v>1090</v>
      </c>
      <c r="K640" t="s">
        <v>1686</v>
      </c>
      <c r="M640" t="s">
        <v>33</v>
      </c>
    </row>
    <row r="641" spans="1:13" x14ac:dyDescent="0.35">
      <c r="A641" t="s">
        <v>20</v>
      </c>
      <c r="B641">
        <v>17645</v>
      </c>
      <c r="C641" t="s">
        <v>949</v>
      </c>
      <c r="D641" t="s">
        <v>950</v>
      </c>
      <c r="E641" t="s">
        <v>12041</v>
      </c>
      <c r="F641" t="s">
        <v>13421</v>
      </c>
      <c r="G641" t="s">
        <v>13422</v>
      </c>
      <c r="H641" t="s">
        <v>13423</v>
      </c>
      <c r="I641" t="s">
        <v>1090</v>
      </c>
      <c r="K641" t="s">
        <v>1686</v>
      </c>
      <c r="M641" t="s">
        <v>33</v>
      </c>
    </row>
    <row r="642" spans="1:13" x14ac:dyDescent="0.35">
      <c r="A642" t="s">
        <v>20</v>
      </c>
      <c r="B642">
        <v>17645</v>
      </c>
      <c r="C642" t="s">
        <v>949</v>
      </c>
      <c r="D642" t="s">
        <v>950</v>
      </c>
      <c r="E642" t="s">
        <v>12045</v>
      </c>
      <c r="F642" t="s">
        <v>13424</v>
      </c>
      <c r="G642" t="s">
        <v>13425</v>
      </c>
      <c r="H642" t="s">
        <v>13426</v>
      </c>
      <c r="I642" t="s">
        <v>1090</v>
      </c>
      <c r="K642" t="s">
        <v>1686</v>
      </c>
      <c r="M642" t="s">
        <v>33</v>
      </c>
    </row>
    <row r="643" spans="1:13" x14ac:dyDescent="0.35">
      <c r="A643" t="s">
        <v>20</v>
      </c>
      <c r="B643">
        <v>17645</v>
      </c>
      <c r="C643" t="s">
        <v>949</v>
      </c>
      <c r="D643" t="s">
        <v>950</v>
      </c>
      <c r="E643" t="s">
        <v>12049</v>
      </c>
      <c r="F643" t="s">
        <v>13427</v>
      </c>
      <c r="G643" t="s">
        <v>13428</v>
      </c>
      <c r="H643" t="s">
        <v>13429</v>
      </c>
      <c r="I643" t="s">
        <v>1090</v>
      </c>
      <c r="K643" t="s">
        <v>1686</v>
      </c>
      <c r="M643" t="s">
        <v>33</v>
      </c>
    </row>
    <row r="644" spans="1:13" x14ac:dyDescent="0.35">
      <c r="A644" t="s">
        <v>20</v>
      </c>
      <c r="B644">
        <v>17645</v>
      </c>
      <c r="C644" t="s">
        <v>949</v>
      </c>
      <c r="D644" t="s">
        <v>950</v>
      </c>
      <c r="E644" t="s">
        <v>12053</v>
      </c>
      <c r="F644" t="s">
        <v>13430</v>
      </c>
      <c r="G644" t="s">
        <v>13431</v>
      </c>
      <c r="H644" t="s">
        <v>13432</v>
      </c>
      <c r="I644" t="s">
        <v>1090</v>
      </c>
      <c r="K644" t="s">
        <v>1686</v>
      </c>
      <c r="M644" t="s">
        <v>33</v>
      </c>
    </row>
    <row r="645" spans="1:13" x14ac:dyDescent="0.35">
      <c r="A645" t="s">
        <v>20</v>
      </c>
      <c r="B645">
        <v>17645</v>
      </c>
      <c r="C645" t="s">
        <v>949</v>
      </c>
      <c r="D645" t="s">
        <v>950</v>
      </c>
      <c r="E645" t="s">
        <v>12057</v>
      </c>
      <c r="F645" t="s">
        <v>13433</v>
      </c>
      <c r="G645" t="s">
        <v>13434</v>
      </c>
      <c r="H645" t="s">
        <v>13435</v>
      </c>
      <c r="I645" t="s">
        <v>1090</v>
      </c>
      <c r="K645" t="s">
        <v>1686</v>
      </c>
      <c r="M645" t="s">
        <v>33</v>
      </c>
    </row>
    <row r="646" spans="1:13" x14ac:dyDescent="0.35">
      <c r="A646" t="s">
        <v>20</v>
      </c>
      <c r="B646">
        <v>17645</v>
      </c>
      <c r="C646" t="s">
        <v>949</v>
      </c>
      <c r="D646" t="s">
        <v>950</v>
      </c>
      <c r="E646" t="s">
        <v>12061</v>
      </c>
      <c r="F646" t="s">
        <v>13436</v>
      </c>
      <c r="G646" t="s">
        <v>13437</v>
      </c>
      <c r="H646" t="s">
        <v>13438</v>
      </c>
      <c r="I646" t="s">
        <v>1090</v>
      </c>
      <c r="K646" t="s">
        <v>1686</v>
      </c>
      <c r="M646" t="s">
        <v>33</v>
      </c>
    </row>
    <row r="647" spans="1:13" x14ac:dyDescent="0.35">
      <c r="A647" t="s">
        <v>20</v>
      </c>
      <c r="B647">
        <v>17643</v>
      </c>
      <c r="C647" t="s">
        <v>426</v>
      </c>
      <c r="D647" t="s">
        <v>427</v>
      </c>
      <c r="E647" t="s">
        <v>11235</v>
      </c>
      <c r="F647" t="s">
        <v>12382</v>
      </c>
      <c r="G647" t="s">
        <v>12383</v>
      </c>
      <c r="H647" t="s">
        <v>12384</v>
      </c>
      <c r="I647" t="s">
        <v>557</v>
      </c>
      <c r="M647" t="s">
        <v>33</v>
      </c>
    </row>
    <row r="648" spans="1:13" x14ac:dyDescent="0.35">
      <c r="A648" t="s">
        <v>20</v>
      </c>
      <c r="B648">
        <v>17643</v>
      </c>
      <c r="C648" t="s">
        <v>426</v>
      </c>
      <c r="D648" t="s">
        <v>427</v>
      </c>
      <c r="E648" t="s">
        <v>11239</v>
      </c>
      <c r="F648" t="s">
        <v>12385</v>
      </c>
      <c r="G648" t="s">
        <v>12386</v>
      </c>
      <c r="H648" t="s">
        <v>12387</v>
      </c>
      <c r="I648" t="s">
        <v>557</v>
      </c>
      <c r="M648" t="s">
        <v>33</v>
      </c>
    </row>
    <row r="649" spans="1:13" x14ac:dyDescent="0.35">
      <c r="A649" t="s">
        <v>20</v>
      </c>
      <c r="B649">
        <v>17643</v>
      </c>
      <c r="C649" t="s">
        <v>426</v>
      </c>
      <c r="D649" t="s">
        <v>427</v>
      </c>
      <c r="E649" t="s">
        <v>11243</v>
      </c>
      <c r="F649" t="s">
        <v>12388</v>
      </c>
      <c r="G649" t="s">
        <v>12389</v>
      </c>
      <c r="H649" t="s">
        <v>12390</v>
      </c>
      <c r="I649" t="s">
        <v>557</v>
      </c>
      <c r="M649" t="s">
        <v>33</v>
      </c>
    </row>
    <row r="650" spans="1:13" x14ac:dyDescent="0.35">
      <c r="A650" t="s">
        <v>20</v>
      </c>
      <c r="B650">
        <v>17643</v>
      </c>
      <c r="C650" t="s">
        <v>426</v>
      </c>
      <c r="D650" t="s">
        <v>427</v>
      </c>
      <c r="E650" t="s">
        <v>11247</v>
      </c>
      <c r="F650" t="s">
        <v>12391</v>
      </c>
      <c r="G650" t="s">
        <v>12392</v>
      </c>
      <c r="H650" t="s">
        <v>12393</v>
      </c>
      <c r="I650" t="s">
        <v>557</v>
      </c>
      <c r="M650" t="s">
        <v>33</v>
      </c>
    </row>
    <row r="651" spans="1:13" x14ac:dyDescent="0.35">
      <c r="A651" t="s">
        <v>20</v>
      </c>
      <c r="B651">
        <v>17643</v>
      </c>
      <c r="C651" t="s">
        <v>426</v>
      </c>
      <c r="D651" t="s">
        <v>427</v>
      </c>
      <c r="E651" t="s">
        <v>11251</v>
      </c>
      <c r="F651" t="s">
        <v>12394</v>
      </c>
      <c r="G651" t="s">
        <v>12395</v>
      </c>
      <c r="H651" t="s">
        <v>12396</v>
      </c>
      <c r="I651" t="s">
        <v>557</v>
      </c>
      <c r="M651" t="s">
        <v>33</v>
      </c>
    </row>
    <row r="652" spans="1:13" x14ac:dyDescent="0.35">
      <c r="A652" t="s">
        <v>20</v>
      </c>
      <c r="B652">
        <v>17643</v>
      </c>
      <c r="C652" t="s">
        <v>426</v>
      </c>
      <c r="D652" t="s">
        <v>427</v>
      </c>
      <c r="E652" t="s">
        <v>11252</v>
      </c>
      <c r="F652" t="s">
        <v>12397</v>
      </c>
      <c r="G652" t="s">
        <v>12398</v>
      </c>
      <c r="H652" t="s">
        <v>12399</v>
      </c>
      <c r="I652" t="s">
        <v>557</v>
      </c>
      <c r="M652" t="s">
        <v>33</v>
      </c>
    </row>
    <row r="653" spans="1:13" x14ac:dyDescent="0.35">
      <c r="A653" t="s">
        <v>20</v>
      </c>
      <c r="B653">
        <v>17643</v>
      </c>
      <c r="C653" t="s">
        <v>426</v>
      </c>
      <c r="D653" t="s">
        <v>427</v>
      </c>
      <c r="E653" t="s">
        <v>11256</v>
      </c>
      <c r="F653" t="s">
        <v>12400</v>
      </c>
      <c r="G653" t="s">
        <v>12401</v>
      </c>
      <c r="H653" t="s">
        <v>12402</v>
      </c>
      <c r="I653" t="s">
        <v>557</v>
      </c>
      <c r="M653" t="s">
        <v>33</v>
      </c>
    </row>
    <row r="654" spans="1:13" x14ac:dyDescent="0.35">
      <c r="A654" t="s">
        <v>20</v>
      </c>
      <c r="B654">
        <v>17643</v>
      </c>
      <c r="C654" t="s">
        <v>426</v>
      </c>
      <c r="D654" t="s">
        <v>427</v>
      </c>
      <c r="E654" t="s">
        <v>11260</v>
      </c>
      <c r="F654" t="s">
        <v>12403</v>
      </c>
      <c r="G654" t="s">
        <v>12404</v>
      </c>
      <c r="H654" t="s">
        <v>12405</v>
      </c>
      <c r="I654" t="s">
        <v>557</v>
      </c>
      <c r="M654" t="s">
        <v>33</v>
      </c>
    </row>
    <row r="655" spans="1:13" x14ac:dyDescent="0.35">
      <c r="A655" t="s">
        <v>20</v>
      </c>
      <c r="B655">
        <v>17643</v>
      </c>
      <c r="C655" t="s">
        <v>426</v>
      </c>
      <c r="D655" t="s">
        <v>427</v>
      </c>
      <c r="E655" t="s">
        <v>11264</v>
      </c>
      <c r="F655" t="s">
        <v>12406</v>
      </c>
      <c r="G655" t="s">
        <v>12407</v>
      </c>
      <c r="H655" t="s">
        <v>12408</v>
      </c>
      <c r="I655" t="s">
        <v>557</v>
      </c>
      <c r="M655" t="s">
        <v>33</v>
      </c>
    </row>
    <row r="656" spans="1:13" x14ac:dyDescent="0.35">
      <c r="A656" t="s">
        <v>20</v>
      </c>
      <c r="B656">
        <v>17643</v>
      </c>
      <c r="C656" t="s">
        <v>426</v>
      </c>
      <c r="D656" t="s">
        <v>427</v>
      </c>
      <c r="E656" t="s">
        <v>11268</v>
      </c>
      <c r="F656" t="s">
        <v>12409</v>
      </c>
      <c r="G656" t="s">
        <v>12410</v>
      </c>
      <c r="H656" t="s">
        <v>12411</v>
      </c>
      <c r="I656" t="s">
        <v>557</v>
      </c>
      <c r="M656" t="s">
        <v>33</v>
      </c>
    </row>
    <row r="657" spans="1:13" x14ac:dyDescent="0.35">
      <c r="A657" t="s">
        <v>20</v>
      </c>
      <c r="B657">
        <v>17643</v>
      </c>
      <c r="C657" t="s">
        <v>426</v>
      </c>
      <c r="D657" t="s">
        <v>427</v>
      </c>
      <c r="E657" t="s">
        <v>11272</v>
      </c>
      <c r="F657" t="s">
        <v>12412</v>
      </c>
      <c r="G657" t="s">
        <v>12413</v>
      </c>
      <c r="H657" t="s">
        <v>12414</v>
      </c>
      <c r="I657" t="s">
        <v>557</v>
      </c>
      <c r="M657" t="s">
        <v>33</v>
      </c>
    </row>
    <row r="658" spans="1:13" x14ac:dyDescent="0.35">
      <c r="A658" t="s">
        <v>20</v>
      </c>
      <c r="B658">
        <v>17643</v>
      </c>
      <c r="C658" t="s">
        <v>426</v>
      </c>
      <c r="D658" t="s">
        <v>427</v>
      </c>
      <c r="E658" t="s">
        <v>11276</v>
      </c>
      <c r="F658" t="s">
        <v>12415</v>
      </c>
      <c r="G658" t="s">
        <v>12416</v>
      </c>
      <c r="H658" t="s">
        <v>12417</v>
      </c>
      <c r="I658" t="s">
        <v>557</v>
      </c>
      <c r="M658" t="s">
        <v>33</v>
      </c>
    </row>
    <row r="659" spans="1:13" x14ac:dyDescent="0.35">
      <c r="A659" t="s">
        <v>20</v>
      </c>
      <c r="B659">
        <v>17643</v>
      </c>
      <c r="C659" t="s">
        <v>426</v>
      </c>
      <c r="D659" t="s">
        <v>427</v>
      </c>
      <c r="E659" t="s">
        <v>11280</v>
      </c>
      <c r="F659" t="s">
        <v>12418</v>
      </c>
      <c r="G659" t="s">
        <v>12419</v>
      </c>
      <c r="H659" t="s">
        <v>12420</v>
      </c>
      <c r="I659" t="s">
        <v>557</v>
      </c>
      <c r="M659" t="s">
        <v>33</v>
      </c>
    </row>
    <row r="660" spans="1:13" x14ac:dyDescent="0.35">
      <c r="A660" t="s">
        <v>20</v>
      </c>
      <c r="B660">
        <v>17643</v>
      </c>
      <c r="C660" t="s">
        <v>426</v>
      </c>
      <c r="D660" t="s">
        <v>427</v>
      </c>
      <c r="E660" t="s">
        <v>11284</v>
      </c>
      <c r="F660" t="s">
        <v>12421</v>
      </c>
      <c r="G660" t="s">
        <v>12422</v>
      </c>
      <c r="H660" t="s">
        <v>12423</v>
      </c>
      <c r="I660" t="s">
        <v>557</v>
      </c>
      <c r="M660" t="s">
        <v>33</v>
      </c>
    </row>
    <row r="661" spans="1:13" x14ac:dyDescent="0.35">
      <c r="A661" t="s">
        <v>20</v>
      </c>
      <c r="B661">
        <v>17643</v>
      </c>
      <c r="C661" t="s">
        <v>426</v>
      </c>
      <c r="D661" t="s">
        <v>427</v>
      </c>
      <c r="E661" t="s">
        <v>11288</v>
      </c>
      <c r="F661" t="s">
        <v>12424</v>
      </c>
      <c r="G661" t="s">
        <v>12425</v>
      </c>
      <c r="H661" t="s">
        <v>12426</v>
      </c>
      <c r="I661" t="s">
        <v>557</v>
      </c>
      <c r="M661" t="s">
        <v>33</v>
      </c>
    </row>
    <row r="662" spans="1:13" x14ac:dyDescent="0.35">
      <c r="A662" t="s">
        <v>20</v>
      </c>
      <c r="B662">
        <v>17643</v>
      </c>
      <c r="C662" t="s">
        <v>426</v>
      </c>
      <c r="D662" t="s">
        <v>427</v>
      </c>
      <c r="E662" t="s">
        <v>11292</v>
      </c>
      <c r="F662" t="s">
        <v>12427</v>
      </c>
      <c r="G662" t="s">
        <v>12428</v>
      </c>
      <c r="H662" t="s">
        <v>12429</v>
      </c>
      <c r="I662" t="s">
        <v>557</v>
      </c>
      <c r="M662" t="s">
        <v>33</v>
      </c>
    </row>
    <row r="663" spans="1:13" x14ac:dyDescent="0.35">
      <c r="A663" t="s">
        <v>20</v>
      </c>
      <c r="B663">
        <v>17643</v>
      </c>
      <c r="C663" t="s">
        <v>426</v>
      </c>
      <c r="D663" t="s">
        <v>427</v>
      </c>
      <c r="E663" t="s">
        <v>11296</v>
      </c>
      <c r="F663" t="s">
        <v>12430</v>
      </c>
      <c r="G663" t="s">
        <v>12431</v>
      </c>
      <c r="H663" t="s">
        <v>12432</v>
      </c>
      <c r="I663" t="s">
        <v>557</v>
      </c>
      <c r="K663" t="s">
        <v>1681</v>
      </c>
      <c r="M663" t="s">
        <v>33</v>
      </c>
    </row>
    <row r="664" spans="1:13" x14ac:dyDescent="0.35">
      <c r="A664" t="s">
        <v>20</v>
      </c>
      <c r="B664">
        <v>17643</v>
      </c>
      <c r="C664" t="s">
        <v>426</v>
      </c>
      <c r="D664" t="s">
        <v>427</v>
      </c>
      <c r="E664" t="s">
        <v>11300</v>
      </c>
      <c r="F664" t="s">
        <v>12433</v>
      </c>
      <c r="G664" t="s">
        <v>12434</v>
      </c>
      <c r="H664" t="s">
        <v>12435</v>
      </c>
      <c r="I664" t="s">
        <v>557</v>
      </c>
      <c r="M664" t="s">
        <v>33</v>
      </c>
    </row>
    <row r="665" spans="1:13" x14ac:dyDescent="0.35">
      <c r="A665" t="s">
        <v>20</v>
      </c>
      <c r="B665">
        <v>17643</v>
      </c>
      <c r="C665" t="s">
        <v>426</v>
      </c>
      <c r="D665" t="s">
        <v>427</v>
      </c>
      <c r="E665" t="s">
        <v>11304</v>
      </c>
      <c r="F665" t="s">
        <v>12436</v>
      </c>
      <c r="G665" t="s">
        <v>12437</v>
      </c>
      <c r="H665" t="s">
        <v>12438</v>
      </c>
      <c r="I665" t="s">
        <v>557</v>
      </c>
      <c r="M665" t="s">
        <v>33</v>
      </c>
    </row>
    <row r="666" spans="1:13" x14ac:dyDescent="0.35">
      <c r="A666" t="s">
        <v>20</v>
      </c>
      <c r="B666">
        <v>17643</v>
      </c>
      <c r="C666" t="s">
        <v>426</v>
      </c>
      <c r="D666" t="s">
        <v>427</v>
      </c>
      <c r="E666" t="s">
        <v>11308</v>
      </c>
      <c r="F666" t="s">
        <v>12439</v>
      </c>
      <c r="G666" t="s">
        <v>12440</v>
      </c>
      <c r="H666" t="s">
        <v>12441</v>
      </c>
      <c r="I666" t="s">
        <v>557</v>
      </c>
      <c r="M666" t="s">
        <v>33</v>
      </c>
    </row>
    <row r="667" spans="1:13" x14ac:dyDescent="0.35">
      <c r="A667" t="s">
        <v>20</v>
      </c>
      <c r="B667">
        <v>17643</v>
      </c>
      <c r="C667" t="s">
        <v>426</v>
      </c>
      <c r="D667" t="s">
        <v>427</v>
      </c>
      <c r="E667" t="s">
        <v>11312</v>
      </c>
      <c r="F667" t="s">
        <v>12442</v>
      </c>
      <c r="G667" t="s">
        <v>12443</v>
      </c>
      <c r="H667" t="s">
        <v>12444</v>
      </c>
      <c r="I667" t="s">
        <v>557</v>
      </c>
      <c r="M667" t="s">
        <v>33</v>
      </c>
    </row>
    <row r="668" spans="1:13" x14ac:dyDescent="0.35">
      <c r="A668" t="s">
        <v>20</v>
      </c>
      <c r="B668">
        <v>17643</v>
      </c>
      <c r="C668" t="s">
        <v>426</v>
      </c>
      <c r="D668" t="s">
        <v>427</v>
      </c>
      <c r="E668" t="s">
        <v>11316</v>
      </c>
      <c r="F668" t="s">
        <v>12445</v>
      </c>
      <c r="G668" t="s">
        <v>12446</v>
      </c>
      <c r="H668" t="s">
        <v>12447</v>
      </c>
      <c r="I668" t="s">
        <v>557</v>
      </c>
      <c r="M668" t="s">
        <v>33</v>
      </c>
    </row>
    <row r="669" spans="1:13" x14ac:dyDescent="0.35">
      <c r="A669" t="s">
        <v>20</v>
      </c>
      <c r="B669">
        <v>17643</v>
      </c>
      <c r="C669" t="s">
        <v>426</v>
      </c>
      <c r="D669" t="s">
        <v>427</v>
      </c>
      <c r="E669" t="s">
        <v>11320</v>
      </c>
      <c r="F669" t="s">
        <v>12448</v>
      </c>
      <c r="G669" t="s">
        <v>12449</v>
      </c>
      <c r="H669" t="s">
        <v>12450</v>
      </c>
      <c r="I669" t="s">
        <v>557</v>
      </c>
      <c r="K669" t="s">
        <v>1681</v>
      </c>
      <c r="M669" t="s">
        <v>33</v>
      </c>
    </row>
    <row r="670" spans="1:13" x14ac:dyDescent="0.35">
      <c r="A670" t="s">
        <v>20</v>
      </c>
      <c r="B670">
        <v>17643</v>
      </c>
      <c r="C670" t="s">
        <v>426</v>
      </c>
      <c r="D670" t="s">
        <v>427</v>
      </c>
      <c r="E670" t="s">
        <v>11324</v>
      </c>
      <c r="F670" t="s">
        <v>12451</v>
      </c>
      <c r="G670" t="s">
        <v>12452</v>
      </c>
      <c r="H670" t="s">
        <v>12453</v>
      </c>
      <c r="I670" t="s">
        <v>557</v>
      </c>
      <c r="M670" t="s">
        <v>33</v>
      </c>
    </row>
    <row r="671" spans="1:13" x14ac:dyDescent="0.35">
      <c r="A671" t="s">
        <v>20</v>
      </c>
      <c r="B671">
        <v>17643</v>
      </c>
      <c r="C671" t="s">
        <v>426</v>
      </c>
      <c r="D671" t="s">
        <v>427</v>
      </c>
      <c r="E671" t="s">
        <v>11328</v>
      </c>
      <c r="F671" t="s">
        <v>12454</v>
      </c>
      <c r="G671" t="s">
        <v>12455</v>
      </c>
      <c r="H671" t="s">
        <v>12456</v>
      </c>
      <c r="I671" t="s">
        <v>557</v>
      </c>
      <c r="M671" t="s">
        <v>33</v>
      </c>
    </row>
    <row r="672" spans="1:13" x14ac:dyDescent="0.35">
      <c r="A672" t="s">
        <v>20</v>
      </c>
      <c r="B672">
        <v>17643</v>
      </c>
      <c r="C672" t="s">
        <v>426</v>
      </c>
      <c r="D672" t="s">
        <v>427</v>
      </c>
      <c r="E672" t="s">
        <v>11331</v>
      </c>
      <c r="F672" t="s">
        <v>12457</v>
      </c>
      <c r="G672" t="s">
        <v>12458</v>
      </c>
      <c r="H672" t="s">
        <v>12459</v>
      </c>
      <c r="I672" t="s">
        <v>557</v>
      </c>
      <c r="M672" t="s">
        <v>33</v>
      </c>
    </row>
    <row r="673" spans="1:13" x14ac:dyDescent="0.35">
      <c r="A673" t="s">
        <v>20</v>
      </c>
      <c r="B673">
        <v>17643</v>
      </c>
      <c r="C673" t="s">
        <v>426</v>
      </c>
      <c r="D673" t="s">
        <v>427</v>
      </c>
      <c r="E673" t="s">
        <v>11335</v>
      </c>
      <c r="F673" t="s">
        <v>12460</v>
      </c>
      <c r="G673" t="s">
        <v>12461</v>
      </c>
      <c r="H673" t="s">
        <v>12462</v>
      </c>
      <c r="I673" t="s">
        <v>557</v>
      </c>
      <c r="M673" t="s">
        <v>33</v>
      </c>
    </row>
    <row r="674" spans="1:13" x14ac:dyDescent="0.35">
      <c r="A674" t="s">
        <v>20</v>
      </c>
      <c r="B674">
        <v>17643</v>
      </c>
      <c r="C674" t="s">
        <v>426</v>
      </c>
      <c r="D674" t="s">
        <v>427</v>
      </c>
      <c r="E674" t="s">
        <v>11339</v>
      </c>
      <c r="F674" t="s">
        <v>12463</v>
      </c>
      <c r="G674" t="s">
        <v>12464</v>
      </c>
      <c r="H674" t="s">
        <v>12465</v>
      </c>
      <c r="I674" t="s">
        <v>557</v>
      </c>
      <c r="M674" t="s">
        <v>33</v>
      </c>
    </row>
    <row r="675" spans="1:13" x14ac:dyDescent="0.35">
      <c r="A675" t="s">
        <v>20</v>
      </c>
      <c r="B675">
        <v>17643</v>
      </c>
      <c r="C675" t="s">
        <v>426</v>
      </c>
      <c r="D675" t="s">
        <v>427</v>
      </c>
      <c r="E675" t="s">
        <v>11343</v>
      </c>
      <c r="F675" t="s">
        <v>12466</v>
      </c>
      <c r="G675" t="s">
        <v>12467</v>
      </c>
      <c r="H675" t="s">
        <v>12468</v>
      </c>
      <c r="I675" t="s">
        <v>557</v>
      </c>
      <c r="K675" t="s">
        <v>1681</v>
      </c>
      <c r="M675" t="s">
        <v>33</v>
      </c>
    </row>
    <row r="676" spans="1:13" x14ac:dyDescent="0.35">
      <c r="A676" t="s">
        <v>20</v>
      </c>
      <c r="B676">
        <v>17643</v>
      </c>
      <c r="C676" t="s">
        <v>426</v>
      </c>
      <c r="D676" t="s">
        <v>427</v>
      </c>
      <c r="E676" t="s">
        <v>11347</v>
      </c>
      <c r="F676" t="s">
        <v>12469</v>
      </c>
      <c r="G676" t="s">
        <v>12470</v>
      </c>
      <c r="H676" t="s">
        <v>12471</v>
      </c>
      <c r="I676" t="s">
        <v>557</v>
      </c>
      <c r="M676" t="s">
        <v>33</v>
      </c>
    </row>
    <row r="677" spans="1:13" x14ac:dyDescent="0.35">
      <c r="A677" t="s">
        <v>20</v>
      </c>
      <c r="B677">
        <v>17643</v>
      </c>
      <c r="C677" t="s">
        <v>426</v>
      </c>
      <c r="D677" t="s">
        <v>427</v>
      </c>
      <c r="E677" t="s">
        <v>11351</v>
      </c>
      <c r="F677" t="s">
        <v>12472</v>
      </c>
      <c r="G677" t="s">
        <v>12473</v>
      </c>
      <c r="H677" t="s">
        <v>12474</v>
      </c>
      <c r="I677" t="s">
        <v>557</v>
      </c>
      <c r="M677" t="s">
        <v>33</v>
      </c>
    </row>
    <row r="678" spans="1:13" x14ac:dyDescent="0.35">
      <c r="A678" t="s">
        <v>20</v>
      </c>
      <c r="B678">
        <v>17643</v>
      </c>
      <c r="C678" t="s">
        <v>426</v>
      </c>
      <c r="D678" t="s">
        <v>427</v>
      </c>
      <c r="E678" t="s">
        <v>11355</v>
      </c>
      <c r="F678" t="s">
        <v>12475</v>
      </c>
      <c r="G678" t="s">
        <v>12476</v>
      </c>
      <c r="H678" t="s">
        <v>12477</v>
      </c>
      <c r="I678" t="s">
        <v>557</v>
      </c>
      <c r="M678" t="s">
        <v>33</v>
      </c>
    </row>
    <row r="679" spans="1:13" x14ac:dyDescent="0.35">
      <c r="A679" t="s">
        <v>20</v>
      </c>
      <c r="B679">
        <v>17643</v>
      </c>
      <c r="C679" t="s">
        <v>426</v>
      </c>
      <c r="D679" t="s">
        <v>427</v>
      </c>
      <c r="E679" t="s">
        <v>11359</v>
      </c>
      <c r="F679" t="s">
        <v>12478</v>
      </c>
      <c r="G679" t="s">
        <v>12479</v>
      </c>
      <c r="H679" t="s">
        <v>12480</v>
      </c>
      <c r="I679" t="s">
        <v>557</v>
      </c>
      <c r="M679" t="s">
        <v>33</v>
      </c>
    </row>
    <row r="680" spans="1:13" x14ac:dyDescent="0.35">
      <c r="A680" t="s">
        <v>20</v>
      </c>
      <c r="B680">
        <v>17643</v>
      </c>
      <c r="C680" t="s">
        <v>426</v>
      </c>
      <c r="D680" t="s">
        <v>427</v>
      </c>
      <c r="E680" t="s">
        <v>11363</v>
      </c>
      <c r="F680" t="s">
        <v>12481</v>
      </c>
      <c r="G680" t="s">
        <v>12482</v>
      </c>
      <c r="H680" t="s">
        <v>12483</v>
      </c>
      <c r="I680" t="s">
        <v>557</v>
      </c>
      <c r="M680" t="s">
        <v>33</v>
      </c>
    </row>
    <row r="681" spans="1:13" x14ac:dyDescent="0.35">
      <c r="A681" t="s">
        <v>20</v>
      </c>
      <c r="B681">
        <v>17643</v>
      </c>
      <c r="C681" t="s">
        <v>426</v>
      </c>
      <c r="D681" t="s">
        <v>427</v>
      </c>
      <c r="E681" t="s">
        <v>11367</v>
      </c>
      <c r="F681" t="s">
        <v>12484</v>
      </c>
      <c r="G681" t="s">
        <v>12485</v>
      </c>
      <c r="H681" t="s">
        <v>12486</v>
      </c>
      <c r="I681" t="s">
        <v>557</v>
      </c>
      <c r="M681" t="s">
        <v>33</v>
      </c>
    </row>
    <row r="682" spans="1:13" x14ac:dyDescent="0.35">
      <c r="A682" t="s">
        <v>20</v>
      </c>
      <c r="B682">
        <v>17643</v>
      </c>
      <c r="C682" t="s">
        <v>426</v>
      </c>
      <c r="D682" t="s">
        <v>427</v>
      </c>
      <c r="E682" t="s">
        <v>11371</v>
      </c>
      <c r="F682" t="s">
        <v>12487</v>
      </c>
      <c r="G682" t="s">
        <v>12488</v>
      </c>
      <c r="H682" t="s">
        <v>12489</v>
      </c>
      <c r="I682" t="s">
        <v>557</v>
      </c>
      <c r="M682" t="s">
        <v>33</v>
      </c>
    </row>
    <row r="683" spans="1:13" x14ac:dyDescent="0.35">
      <c r="A683" t="s">
        <v>20</v>
      </c>
      <c r="B683">
        <v>17643</v>
      </c>
      <c r="C683" t="s">
        <v>426</v>
      </c>
      <c r="D683" t="s">
        <v>427</v>
      </c>
      <c r="E683" t="s">
        <v>11375</v>
      </c>
      <c r="F683" t="s">
        <v>12490</v>
      </c>
      <c r="G683" t="s">
        <v>12491</v>
      </c>
      <c r="H683" t="s">
        <v>12492</v>
      </c>
      <c r="I683" t="s">
        <v>557</v>
      </c>
      <c r="M683" t="s">
        <v>33</v>
      </c>
    </row>
    <row r="684" spans="1:13" x14ac:dyDescent="0.35">
      <c r="A684" t="s">
        <v>20</v>
      </c>
      <c r="B684">
        <v>17643</v>
      </c>
      <c r="C684" t="s">
        <v>426</v>
      </c>
      <c r="D684" t="s">
        <v>427</v>
      </c>
      <c r="E684" t="s">
        <v>11379</v>
      </c>
      <c r="F684" t="s">
        <v>12493</v>
      </c>
      <c r="G684" t="s">
        <v>12494</v>
      </c>
      <c r="H684" t="s">
        <v>12495</v>
      </c>
      <c r="I684" t="s">
        <v>557</v>
      </c>
      <c r="M684" t="s">
        <v>33</v>
      </c>
    </row>
    <row r="685" spans="1:13" x14ac:dyDescent="0.35">
      <c r="A685" t="s">
        <v>20</v>
      </c>
      <c r="B685">
        <v>17643</v>
      </c>
      <c r="C685" t="s">
        <v>426</v>
      </c>
      <c r="D685" t="s">
        <v>427</v>
      </c>
      <c r="E685" t="s">
        <v>11383</v>
      </c>
      <c r="F685" t="s">
        <v>12496</v>
      </c>
      <c r="G685" t="s">
        <v>12497</v>
      </c>
      <c r="H685" t="s">
        <v>12498</v>
      </c>
      <c r="I685" t="s">
        <v>557</v>
      </c>
      <c r="M685" t="s">
        <v>33</v>
      </c>
    </row>
    <row r="686" spans="1:13" x14ac:dyDescent="0.35">
      <c r="A686" t="s">
        <v>20</v>
      </c>
      <c r="B686">
        <v>17643</v>
      </c>
      <c r="C686" t="s">
        <v>426</v>
      </c>
      <c r="D686" t="s">
        <v>427</v>
      </c>
      <c r="E686" t="s">
        <v>11387</v>
      </c>
      <c r="F686" t="s">
        <v>12499</v>
      </c>
      <c r="G686" t="s">
        <v>12500</v>
      </c>
      <c r="H686" t="s">
        <v>12501</v>
      </c>
      <c r="I686" t="s">
        <v>557</v>
      </c>
      <c r="M686" t="s">
        <v>33</v>
      </c>
    </row>
    <row r="687" spans="1:13" x14ac:dyDescent="0.35">
      <c r="A687" t="s">
        <v>20</v>
      </c>
      <c r="B687">
        <v>17643</v>
      </c>
      <c r="C687" t="s">
        <v>426</v>
      </c>
      <c r="D687" t="s">
        <v>427</v>
      </c>
      <c r="E687" t="s">
        <v>11391</v>
      </c>
      <c r="F687" t="s">
        <v>12502</v>
      </c>
      <c r="G687" t="s">
        <v>12503</v>
      </c>
      <c r="H687" t="s">
        <v>12504</v>
      </c>
      <c r="I687" t="s">
        <v>557</v>
      </c>
      <c r="M687" t="s">
        <v>33</v>
      </c>
    </row>
    <row r="688" spans="1:13" x14ac:dyDescent="0.35">
      <c r="A688" t="s">
        <v>20</v>
      </c>
      <c r="B688">
        <v>17643</v>
      </c>
      <c r="C688" t="s">
        <v>426</v>
      </c>
      <c r="D688" t="s">
        <v>427</v>
      </c>
      <c r="E688" t="s">
        <v>11395</v>
      </c>
      <c r="F688" t="s">
        <v>12505</v>
      </c>
      <c r="G688" t="s">
        <v>12506</v>
      </c>
      <c r="H688" t="s">
        <v>12507</v>
      </c>
      <c r="I688" t="s">
        <v>557</v>
      </c>
      <c r="M688" t="s">
        <v>33</v>
      </c>
    </row>
    <row r="689" spans="1:13" x14ac:dyDescent="0.35">
      <c r="A689" t="s">
        <v>20</v>
      </c>
      <c r="B689">
        <v>17643</v>
      </c>
      <c r="C689" t="s">
        <v>426</v>
      </c>
      <c r="D689" t="s">
        <v>427</v>
      </c>
      <c r="E689" t="s">
        <v>11399</v>
      </c>
      <c r="F689" t="s">
        <v>12508</v>
      </c>
      <c r="G689" t="s">
        <v>12509</v>
      </c>
      <c r="H689" t="s">
        <v>12510</v>
      </c>
      <c r="I689" t="s">
        <v>557</v>
      </c>
      <c r="M689" t="s">
        <v>33</v>
      </c>
    </row>
    <row r="690" spans="1:13" x14ac:dyDescent="0.35">
      <c r="A690" t="s">
        <v>20</v>
      </c>
      <c r="B690">
        <v>17643</v>
      </c>
      <c r="C690" t="s">
        <v>426</v>
      </c>
      <c r="D690" t="s">
        <v>427</v>
      </c>
      <c r="E690" t="s">
        <v>11403</v>
      </c>
      <c r="F690" t="s">
        <v>12511</v>
      </c>
      <c r="G690" t="s">
        <v>12512</v>
      </c>
      <c r="H690" t="s">
        <v>12513</v>
      </c>
      <c r="I690" t="s">
        <v>557</v>
      </c>
      <c r="M690" t="s">
        <v>33</v>
      </c>
    </row>
    <row r="691" spans="1:13" x14ac:dyDescent="0.35">
      <c r="A691" t="s">
        <v>20</v>
      </c>
      <c r="B691">
        <v>17643</v>
      </c>
      <c r="C691" t="s">
        <v>426</v>
      </c>
      <c r="D691" t="s">
        <v>427</v>
      </c>
      <c r="E691" t="s">
        <v>11407</v>
      </c>
      <c r="F691" t="s">
        <v>12514</v>
      </c>
      <c r="G691" t="s">
        <v>12515</v>
      </c>
      <c r="H691" t="s">
        <v>12516</v>
      </c>
      <c r="I691" t="s">
        <v>557</v>
      </c>
      <c r="M691" t="s">
        <v>33</v>
      </c>
    </row>
    <row r="692" spans="1:13" x14ac:dyDescent="0.35">
      <c r="A692" t="s">
        <v>20</v>
      </c>
      <c r="B692">
        <v>17643</v>
      </c>
      <c r="C692" t="s">
        <v>426</v>
      </c>
      <c r="D692" t="s">
        <v>427</v>
      </c>
      <c r="E692" t="s">
        <v>11411</v>
      </c>
      <c r="F692" t="s">
        <v>12517</v>
      </c>
      <c r="G692" t="s">
        <v>12518</v>
      </c>
      <c r="H692" t="s">
        <v>12519</v>
      </c>
      <c r="I692" t="s">
        <v>557</v>
      </c>
      <c r="M692" t="s">
        <v>33</v>
      </c>
    </row>
    <row r="693" spans="1:13" x14ac:dyDescent="0.35">
      <c r="A693" t="s">
        <v>20</v>
      </c>
      <c r="B693">
        <v>17643</v>
      </c>
      <c r="C693" t="s">
        <v>426</v>
      </c>
      <c r="D693" t="s">
        <v>427</v>
      </c>
      <c r="E693" t="s">
        <v>11415</v>
      </c>
      <c r="F693" t="s">
        <v>12520</v>
      </c>
      <c r="G693" t="s">
        <v>12521</v>
      </c>
      <c r="H693" t="s">
        <v>12522</v>
      </c>
      <c r="I693" t="s">
        <v>557</v>
      </c>
      <c r="M693" t="s">
        <v>33</v>
      </c>
    </row>
    <row r="694" spans="1:13" x14ac:dyDescent="0.35">
      <c r="A694" t="s">
        <v>20</v>
      </c>
      <c r="B694">
        <v>17643</v>
      </c>
      <c r="C694" t="s">
        <v>426</v>
      </c>
      <c r="D694" t="s">
        <v>427</v>
      </c>
      <c r="E694" t="s">
        <v>11419</v>
      </c>
      <c r="F694" t="s">
        <v>12523</v>
      </c>
      <c r="G694" t="s">
        <v>12524</v>
      </c>
      <c r="H694" t="s">
        <v>12525</v>
      </c>
      <c r="I694" t="s">
        <v>557</v>
      </c>
      <c r="M694" t="s">
        <v>33</v>
      </c>
    </row>
    <row r="695" spans="1:13" x14ac:dyDescent="0.35">
      <c r="A695" t="s">
        <v>20</v>
      </c>
      <c r="B695">
        <v>17643</v>
      </c>
      <c r="C695" t="s">
        <v>426</v>
      </c>
      <c r="D695" t="s">
        <v>427</v>
      </c>
      <c r="E695" t="s">
        <v>11423</v>
      </c>
      <c r="F695" t="s">
        <v>12526</v>
      </c>
      <c r="G695" t="s">
        <v>12527</v>
      </c>
      <c r="H695" t="s">
        <v>12528</v>
      </c>
      <c r="I695" t="s">
        <v>557</v>
      </c>
      <c r="M695" t="s">
        <v>33</v>
      </c>
    </row>
    <row r="696" spans="1:13" x14ac:dyDescent="0.35">
      <c r="A696" t="s">
        <v>20</v>
      </c>
      <c r="B696">
        <v>17643</v>
      </c>
      <c r="C696" t="s">
        <v>426</v>
      </c>
      <c r="D696" t="s">
        <v>427</v>
      </c>
      <c r="E696" t="s">
        <v>11427</v>
      </c>
      <c r="F696" t="s">
        <v>10435</v>
      </c>
      <c r="G696" t="s">
        <v>10436</v>
      </c>
      <c r="H696" t="s">
        <v>10437</v>
      </c>
      <c r="I696" t="s">
        <v>557</v>
      </c>
      <c r="M696" t="s">
        <v>33</v>
      </c>
    </row>
    <row r="697" spans="1:13" x14ac:dyDescent="0.35">
      <c r="A697" t="s">
        <v>20</v>
      </c>
      <c r="B697">
        <v>17643</v>
      </c>
      <c r="C697" t="s">
        <v>426</v>
      </c>
      <c r="D697" t="s">
        <v>427</v>
      </c>
      <c r="E697" t="s">
        <v>11431</v>
      </c>
      <c r="F697" t="s">
        <v>12529</v>
      </c>
      <c r="G697" t="s">
        <v>12530</v>
      </c>
      <c r="H697" t="s">
        <v>12531</v>
      </c>
      <c r="I697" t="s">
        <v>557</v>
      </c>
      <c r="M697" t="s">
        <v>33</v>
      </c>
    </row>
    <row r="698" spans="1:13" x14ac:dyDescent="0.35">
      <c r="A698" t="s">
        <v>20</v>
      </c>
      <c r="B698">
        <v>17643</v>
      </c>
      <c r="C698" t="s">
        <v>426</v>
      </c>
      <c r="D698" t="s">
        <v>427</v>
      </c>
      <c r="E698" t="s">
        <v>11435</v>
      </c>
      <c r="F698" t="s">
        <v>12532</v>
      </c>
      <c r="G698" t="s">
        <v>12533</v>
      </c>
      <c r="H698" t="s">
        <v>12534</v>
      </c>
      <c r="I698" t="s">
        <v>557</v>
      </c>
      <c r="M698" t="s">
        <v>33</v>
      </c>
    </row>
    <row r="699" spans="1:13" x14ac:dyDescent="0.35">
      <c r="A699" t="s">
        <v>20</v>
      </c>
      <c r="B699">
        <v>17643</v>
      </c>
      <c r="C699" t="s">
        <v>426</v>
      </c>
      <c r="D699" t="s">
        <v>427</v>
      </c>
      <c r="E699" t="s">
        <v>11439</v>
      </c>
      <c r="F699" t="s">
        <v>12535</v>
      </c>
      <c r="G699" t="s">
        <v>12536</v>
      </c>
      <c r="H699" t="s">
        <v>12537</v>
      </c>
      <c r="I699" t="s">
        <v>557</v>
      </c>
      <c r="M699" t="s">
        <v>33</v>
      </c>
    </row>
    <row r="700" spans="1:13" x14ac:dyDescent="0.35">
      <c r="A700" t="s">
        <v>20</v>
      </c>
      <c r="B700">
        <v>17643</v>
      </c>
      <c r="C700" t="s">
        <v>426</v>
      </c>
      <c r="D700" t="s">
        <v>427</v>
      </c>
      <c r="E700" t="s">
        <v>11443</v>
      </c>
      <c r="F700" t="s">
        <v>12538</v>
      </c>
      <c r="G700" t="s">
        <v>12539</v>
      </c>
      <c r="H700" t="s">
        <v>12540</v>
      </c>
      <c r="I700" t="s">
        <v>557</v>
      </c>
      <c r="M700" t="s">
        <v>33</v>
      </c>
    </row>
    <row r="701" spans="1:13" x14ac:dyDescent="0.35">
      <c r="A701" t="s">
        <v>20</v>
      </c>
      <c r="B701">
        <v>17643</v>
      </c>
      <c r="C701" t="s">
        <v>426</v>
      </c>
      <c r="D701" t="s">
        <v>427</v>
      </c>
      <c r="E701" t="s">
        <v>11447</v>
      </c>
      <c r="F701" t="s">
        <v>12541</v>
      </c>
      <c r="G701" t="s">
        <v>12542</v>
      </c>
      <c r="H701" t="s">
        <v>12543</v>
      </c>
      <c r="I701" t="s">
        <v>557</v>
      </c>
      <c r="M701" t="s">
        <v>33</v>
      </c>
    </row>
    <row r="702" spans="1:13" x14ac:dyDescent="0.35">
      <c r="A702" t="s">
        <v>20</v>
      </c>
      <c r="B702">
        <v>17643</v>
      </c>
      <c r="C702" t="s">
        <v>426</v>
      </c>
      <c r="D702" t="s">
        <v>427</v>
      </c>
      <c r="E702" t="s">
        <v>11451</v>
      </c>
      <c r="F702" t="s">
        <v>12544</v>
      </c>
      <c r="G702" t="s">
        <v>12545</v>
      </c>
      <c r="H702" t="s">
        <v>12546</v>
      </c>
      <c r="I702" t="s">
        <v>557</v>
      </c>
      <c r="M702" t="s">
        <v>33</v>
      </c>
    </row>
    <row r="703" spans="1:13" x14ac:dyDescent="0.35">
      <c r="A703" t="s">
        <v>20</v>
      </c>
      <c r="B703">
        <v>17643</v>
      </c>
      <c r="C703" t="s">
        <v>426</v>
      </c>
      <c r="D703" t="s">
        <v>427</v>
      </c>
      <c r="E703" t="s">
        <v>11455</v>
      </c>
      <c r="F703" t="s">
        <v>12547</v>
      </c>
      <c r="G703" t="s">
        <v>12548</v>
      </c>
      <c r="H703" t="s">
        <v>12549</v>
      </c>
      <c r="I703" t="s">
        <v>557</v>
      </c>
      <c r="M703" t="s">
        <v>33</v>
      </c>
    </row>
    <row r="704" spans="1:13" x14ac:dyDescent="0.35">
      <c r="A704" t="s">
        <v>20</v>
      </c>
      <c r="B704">
        <v>17643</v>
      </c>
      <c r="C704" t="s">
        <v>426</v>
      </c>
      <c r="D704" t="s">
        <v>427</v>
      </c>
      <c r="E704" t="s">
        <v>11459</v>
      </c>
      <c r="F704" t="s">
        <v>12550</v>
      </c>
      <c r="G704" t="s">
        <v>12551</v>
      </c>
      <c r="H704" t="s">
        <v>12552</v>
      </c>
      <c r="I704" t="s">
        <v>557</v>
      </c>
      <c r="M704" t="s">
        <v>33</v>
      </c>
    </row>
    <row r="705" spans="1:13" x14ac:dyDescent="0.35">
      <c r="A705" t="s">
        <v>20</v>
      </c>
      <c r="B705">
        <v>17643</v>
      </c>
      <c r="C705" t="s">
        <v>426</v>
      </c>
      <c r="D705" t="s">
        <v>427</v>
      </c>
      <c r="E705" t="s">
        <v>11463</v>
      </c>
      <c r="F705" t="s">
        <v>12553</v>
      </c>
      <c r="G705" t="s">
        <v>12554</v>
      </c>
      <c r="H705" t="s">
        <v>12555</v>
      </c>
      <c r="I705" t="s">
        <v>557</v>
      </c>
      <c r="K705" t="s">
        <v>1681</v>
      </c>
      <c r="M705" t="s">
        <v>33</v>
      </c>
    </row>
    <row r="706" spans="1:13" x14ac:dyDescent="0.35">
      <c r="A706" t="s">
        <v>20</v>
      </c>
      <c r="B706">
        <v>17643</v>
      </c>
      <c r="C706" t="s">
        <v>426</v>
      </c>
      <c r="D706" t="s">
        <v>427</v>
      </c>
      <c r="E706" t="s">
        <v>11467</v>
      </c>
      <c r="F706" t="s">
        <v>12556</v>
      </c>
      <c r="G706" t="s">
        <v>12557</v>
      </c>
      <c r="H706" t="s">
        <v>12558</v>
      </c>
      <c r="I706" t="s">
        <v>557</v>
      </c>
      <c r="M706" t="s">
        <v>33</v>
      </c>
    </row>
    <row r="707" spans="1:13" x14ac:dyDescent="0.35">
      <c r="A707" t="s">
        <v>20</v>
      </c>
      <c r="B707">
        <v>17643</v>
      </c>
      <c r="C707" t="s">
        <v>426</v>
      </c>
      <c r="D707" t="s">
        <v>427</v>
      </c>
      <c r="E707" t="s">
        <v>11471</v>
      </c>
      <c r="F707" t="s">
        <v>12559</v>
      </c>
      <c r="G707" t="s">
        <v>12560</v>
      </c>
      <c r="H707" t="s">
        <v>12561</v>
      </c>
      <c r="I707" t="s">
        <v>557</v>
      </c>
      <c r="M707" t="s">
        <v>33</v>
      </c>
    </row>
    <row r="708" spans="1:13" x14ac:dyDescent="0.35">
      <c r="A708" t="s">
        <v>20</v>
      </c>
      <c r="B708">
        <v>17643</v>
      </c>
      <c r="C708" t="s">
        <v>426</v>
      </c>
      <c r="D708" t="s">
        <v>427</v>
      </c>
      <c r="E708" t="s">
        <v>11475</v>
      </c>
      <c r="F708" t="s">
        <v>12562</v>
      </c>
      <c r="G708" t="s">
        <v>12563</v>
      </c>
      <c r="H708" t="s">
        <v>12564</v>
      </c>
      <c r="I708" t="s">
        <v>557</v>
      </c>
      <c r="K708" t="s">
        <v>1681</v>
      </c>
      <c r="M708" t="s">
        <v>33</v>
      </c>
    </row>
    <row r="709" spans="1:13" x14ac:dyDescent="0.35">
      <c r="A709" t="s">
        <v>20</v>
      </c>
      <c r="B709">
        <v>17643</v>
      </c>
      <c r="C709" t="s">
        <v>426</v>
      </c>
      <c r="D709" t="s">
        <v>427</v>
      </c>
      <c r="E709" t="s">
        <v>11479</v>
      </c>
      <c r="F709" t="s">
        <v>12565</v>
      </c>
      <c r="G709" t="s">
        <v>12566</v>
      </c>
      <c r="H709" t="s">
        <v>12567</v>
      </c>
      <c r="I709" t="s">
        <v>557</v>
      </c>
      <c r="M709" t="s">
        <v>33</v>
      </c>
    </row>
    <row r="710" spans="1:13" x14ac:dyDescent="0.35">
      <c r="A710" t="s">
        <v>20</v>
      </c>
      <c r="B710">
        <v>17643</v>
      </c>
      <c r="C710" t="s">
        <v>426</v>
      </c>
      <c r="D710" t="s">
        <v>427</v>
      </c>
      <c r="E710" t="s">
        <v>11483</v>
      </c>
      <c r="F710" t="s">
        <v>12568</v>
      </c>
      <c r="G710" t="s">
        <v>12569</v>
      </c>
      <c r="H710" t="s">
        <v>12570</v>
      </c>
      <c r="I710" t="s">
        <v>557</v>
      </c>
      <c r="M710" t="s">
        <v>33</v>
      </c>
    </row>
    <row r="711" spans="1:13" x14ac:dyDescent="0.35">
      <c r="A711" t="s">
        <v>20</v>
      </c>
      <c r="B711">
        <v>17643</v>
      </c>
      <c r="C711" t="s">
        <v>426</v>
      </c>
      <c r="D711" t="s">
        <v>427</v>
      </c>
      <c r="E711" t="s">
        <v>11487</v>
      </c>
      <c r="F711" t="s">
        <v>12571</v>
      </c>
      <c r="G711" t="s">
        <v>12572</v>
      </c>
      <c r="H711" t="s">
        <v>12573</v>
      </c>
      <c r="I711" t="s">
        <v>557</v>
      </c>
      <c r="M711" t="s">
        <v>33</v>
      </c>
    </row>
    <row r="712" spans="1:13" x14ac:dyDescent="0.35">
      <c r="A712" t="s">
        <v>20</v>
      </c>
      <c r="B712">
        <v>17643</v>
      </c>
      <c r="C712" t="s">
        <v>426</v>
      </c>
      <c r="D712" t="s">
        <v>427</v>
      </c>
      <c r="E712" t="s">
        <v>11491</v>
      </c>
      <c r="F712" t="s">
        <v>12574</v>
      </c>
      <c r="G712" t="s">
        <v>12575</v>
      </c>
      <c r="H712" t="s">
        <v>12576</v>
      </c>
      <c r="I712" t="s">
        <v>557</v>
      </c>
      <c r="M712" t="s">
        <v>33</v>
      </c>
    </row>
    <row r="713" spans="1:13" x14ac:dyDescent="0.35">
      <c r="A713" t="s">
        <v>20</v>
      </c>
      <c r="B713">
        <v>17643</v>
      </c>
      <c r="C713" t="s">
        <v>426</v>
      </c>
      <c r="D713" t="s">
        <v>427</v>
      </c>
      <c r="E713" t="s">
        <v>11495</v>
      </c>
      <c r="F713" t="s">
        <v>12577</v>
      </c>
      <c r="G713" t="s">
        <v>12578</v>
      </c>
      <c r="H713" t="s">
        <v>12579</v>
      </c>
      <c r="I713" t="s">
        <v>557</v>
      </c>
      <c r="M713" t="s">
        <v>33</v>
      </c>
    </row>
    <row r="714" spans="1:13" x14ac:dyDescent="0.35">
      <c r="A714" t="s">
        <v>20</v>
      </c>
      <c r="B714">
        <v>17643</v>
      </c>
      <c r="C714" t="s">
        <v>426</v>
      </c>
      <c r="D714" t="s">
        <v>427</v>
      </c>
      <c r="E714" t="s">
        <v>11499</v>
      </c>
      <c r="F714" t="s">
        <v>12580</v>
      </c>
      <c r="G714" t="s">
        <v>12581</v>
      </c>
      <c r="H714" t="s">
        <v>12582</v>
      </c>
      <c r="I714" t="s">
        <v>557</v>
      </c>
      <c r="M714" t="s">
        <v>33</v>
      </c>
    </row>
    <row r="715" spans="1:13" x14ac:dyDescent="0.35">
      <c r="A715" t="s">
        <v>20</v>
      </c>
      <c r="B715">
        <v>17643</v>
      </c>
      <c r="C715" t="s">
        <v>426</v>
      </c>
      <c r="D715" t="s">
        <v>427</v>
      </c>
      <c r="E715" t="s">
        <v>11503</v>
      </c>
      <c r="F715" t="s">
        <v>12583</v>
      </c>
      <c r="G715" t="s">
        <v>12584</v>
      </c>
      <c r="H715" t="s">
        <v>12585</v>
      </c>
      <c r="I715" t="s">
        <v>557</v>
      </c>
      <c r="M715" t="s">
        <v>33</v>
      </c>
    </row>
    <row r="716" spans="1:13" x14ac:dyDescent="0.35">
      <c r="A716" t="s">
        <v>20</v>
      </c>
      <c r="B716">
        <v>17643</v>
      </c>
      <c r="C716" t="s">
        <v>426</v>
      </c>
      <c r="D716" t="s">
        <v>427</v>
      </c>
      <c r="E716" t="s">
        <v>11507</v>
      </c>
      <c r="F716" t="s">
        <v>12586</v>
      </c>
      <c r="G716" t="s">
        <v>12587</v>
      </c>
      <c r="H716" t="s">
        <v>12588</v>
      </c>
      <c r="I716" t="s">
        <v>557</v>
      </c>
      <c r="M716" t="s">
        <v>33</v>
      </c>
    </row>
    <row r="717" spans="1:13" x14ac:dyDescent="0.35">
      <c r="A717" t="s">
        <v>20</v>
      </c>
      <c r="B717">
        <v>17643</v>
      </c>
      <c r="C717" t="s">
        <v>426</v>
      </c>
      <c r="D717" t="s">
        <v>427</v>
      </c>
      <c r="E717" t="s">
        <v>11511</v>
      </c>
      <c r="F717" t="s">
        <v>12589</v>
      </c>
      <c r="G717" t="s">
        <v>12590</v>
      </c>
      <c r="H717" t="s">
        <v>12591</v>
      </c>
      <c r="I717" t="s">
        <v>557</v>
      </c>
      <c r="M717" t="s">
        <v>33</v>
      </c>
    </row>
    <row r="718" spans="1:13" x14ac:dyDescent="0.35">
      <c r="A718" t="s">
        <v>20</v>
      </c>
      <c r="B718">
        <v>17643</v>
      </c>
      <c r="C718" t="s">
        <v>426</v>
      </c>
      <c r="D718" t="s">
        <v>427</v>
      </c>
      <c r="E718" t="s">
        <v>11512</v>
      </c>
      <c r="F718" t="s">
        <v>12592</v>
      </c>
      <c r="G718" t="s">
        <v>12593</v>
      </c>
      <c r="H718" t="s">
        <v>12594</v>
      </c>
      <c r="I718" t="s">
        <v>557</v>
      </c>
      <c r="M718" t="s">
        <v>33</v>
      </c>
    </row>
    <row r="719" spans="1:13" x14ac:dyDescent="0.35">
      <c r="A719" t="s">
        <v>20</v>
      </c>
      <c r="B719">
        <v>17643</v>
      </c>
      <c r="C719" t="s">
        <v>426</v>
      </c>
      <c r="D719" t="s">
        <v>427</v>
      </c>
      <c r="E719" t="s">
        <v>11516</v>
      </c>
      <c r="F719" t="s">
        <v>12595</v>
      </c>
      <c r="G719" t="s">
        <v>12596</v>
      </c>
      <c r="H719" t="s">
        <v>12597</v>
      </c>
      <c r="I719" t="s">
        <v>557</v>
      </c>
      <c r="M719" t="s">
        <v>33</v>
      </c>
    </row>
    <row r="720" spans="1:13" x14ac:dyDescent="0.35">
      <c r="A720" t="s">
        <v>20</v>
      </c>
      <c r="B720">
        <v>17643</v>
      </c>
      <c r="C720" t="s">
        <v>426</v>
      </c>
      <c r="D720" t="s">
        <v>427</v>
      </c>
      <c r="E720" t="s">
        <v>11520</v>
      </c>
      <c r="F720" t="s">
        <v>2455</v>
      </c>
      <c r="G720" t="s">
        <v>12598</v>
      </c>
      <c r="H720" t="s">
        <v>12599</v>
      </c>
      <c r="I720" t="s">
        <v>557</v>
      </c>
      <c r="M720" t="s">
        <v>33</v>
      </c>
    </row>
    <row r="721" spans="1:13" x14ac:dyDescent="0.35">
      <c r="A721" t="s">
        <v>20</v>
      </c>
      <c r="B721">
        <v>17643</v>
      </c>
      <c r="C721" t="s">
        <v>426</v>
      </c>
      <c r="D721" t="s">
        <v>427</v>
      </c>
      <c r="E721" t="s">
        <v>11524</v>
      </c>
      <c r="F721" t="s">
        <v>12600</v>
      </c>
      <c r="G721" t="s">
        <v>12601</v>
      </c>
      <c r="H721" t="s">
        <v>12602</v>
      </c>
      <c r="I721" t="s">
        <v>557</v>
      </c>
      <c r="M721" t="s">
        <v>33</v>
      </c>
    </row>
    <row r="722" spans="1:13" x14ac:dyDescent="0.35">
      <c r="A722" t="s">
        <v>20</v>
      </c>
      <c r="B722">
        <v>17643</v>
      </c>
      <c r="C722" t="s">
        <v>426</v>
      </c>
      <c r="D722" t="s">
        <v>427</v>
      </c>
      <c r="E722" t="s">
        <v>11528</v>
      </c>
      <c r="F722" t="s">
        <v>12603</v>
      </c>
      <c r="G722" t="s">
        <v>12604</v>
      </c>
      <c r="H722" t="s">
        <v>12605</v>
      </c>
      <c r="I722" t="s">
        <v>557</v>
      </c>
      <c r="M722" t="s">
        <v>33</v>
      </c>
    </row>
    <row r="723" spans="1:13" x14ac:dyDescent="0.35">
      <c r="A723" t="s">
        <v>20</v>
      </c>
      <c r="B723">
        <v>17643</v>
      </c>
      <c r="C723" t="s">
        <v>426</v>
      </c>
      <c r="D723" t="s">
        <v>427</v>
      </c>
      <c r="E723" t="s">
        <v>11532</v>
      </c>
      <c r="F723" t="s">
        <v>12606</v>
      </c>
      <c r="G723" t="s">
        <v>12607</v>
      </c>
      <c r="H723" t="s">
        <v>12608</v>
      </c>
      <c r="I723" t="s">
        <v>557</v>
      </c>
      <c r="M723" t="s">
        <v>33</v>
      </c>
    </row>
    <row r="724" spans="1:13" x14ac:dyDescent="0.35">
      <c r="A724" t="s">
        <v>20</v>
      </c>
      <c r="B724">
        <v>17643</v>
      </c>
      <c r="C724" t="s">
        <v>426</v>
      </c>
      <c r="D724" t="s">
        <v>427</v>
      </c>
      <c r="E724" t="s">
        <v>11536</v>
      </c>
      <c r="F724" t="s">
        <v>12609</v>
      </c>
      <c r="G724" t="s">
        <v>12610</v>
      </c>
      <c r="H724" t="s">
        <v>12611</v>
      </c>
      <c r="I724" t="s">
        <v>557</v>
      </c>
      <c r="M724" t="s">
        <v>33</v>
      </c>
    </row>
    <row r="725" spans="1:13" x14ac:dyDescent="0.35">
      <c r="A725" t="s">
        <v>20</v>
      </c>
      <c r="B725">
        <v>17643</v>
      </c>
      <c r="C725" t="s">
        <v>426</v>
      </c>
      <c r="D725" t="s">
        <v>427</v>
      </c>
      <c r="E725" t="s">
        <v>11540</v>
      </c>
      <c r="F725" t="s">
        <v>12612</v>
      </c>
      <c r="G725" t="s">
        <v>12613</v>
      </c>
      <c r="H725" t="s">
        <v>12614</v>
      </c>
      <c r="I725" t="s">
        <v>557</v>
      </c>
      <c r="M725" t="s">
        <v>33</v>
      </c>
    </row>
    <row r="726" spans="1:13" x14ac:dyDescent="0.35">
      <c r="A726" t="s">
        <v>20</v>
      </c>
      <c r="B726">
        <v>17643</v>
      </c>
      <c r="C726" t="s">
        <v>426</v>
      </c>
      <c r="D726" t="s">
        <v>427</v>
      </c>
      <c r="E726" t="s">
        <v>11544</v>
      </c>
      <c r="F726" t="s">
        <v>12615</v>
      </c>
      <c r="G726" t="s">
        <v>12616</v>
      </c>
      <c r="H726" t="s">
        <v>12617</v>
      </c>
      <c r="I726" t="s">
        <v>557</v>
      </c>
      <c r="M726" t="s">
        <v>33</v>
      </c>
    </row>
    <row r="727" spans="1:13" x14ac:dyDescent="0.35">
      <c r="A727" t="s">
        <v>20</v>
      </c>
      <c r="B727">
        <v>17643</v>
      </c>
      <c r="C727" t="s">
        <v>426</v>
      </c>
      <c r="D727" t="s">
        <v>427</v>
      </c>
      <c r="E727" t="s">
        <v>11548</v>
      </c>
      <c r="F727" t="s">
        <v>12618</v>
      </c>
      <c r="G727" t="s">
        <v>12619</v>
      </c>
      <c r="H727" t="s">
        <v>12620</v>
      </c>
      <c r="I727" t="s">
        <v>557</v>
      </c>
      <c r="M727" t="s">
        <v>33</v>
      </c>
    </row>
    <row r="728" spans="1:13" x14ac:dyDescent="0.35">
      <c r="A728" t="s">
        <v>20</v>
      </c>
      <c r="B728">
        <v>17643</v>
      </c>
      <c r="C728" t="s">
        <v>426</v>
      </c>
      <c r="D728" t="s">
        <v>427</v>
      </c>
      <c r="E728" t="s">
        <v>11552</v>
      </c>
      <c r="F728" t="s">
        <v>12621</v>
      </c>
      <c r="G728" t="s">
        <v>12622</v>
      </c>
      <c r="H728" t="s">
        <v>12623</v>
      </c>
      <c r="I728" t="s">
        <v>557</v>
      </c>
      <c r="M728" t="s">
        <v>33</v>
      </c>
    </row>
    <row r="729" spans="1:13" x14ac:dyDescent="0.35">
      <c r="A729" t="s">
        <v>20</v>
      </c>
      <c r="B729">
        <v>17643</v>
      </c>
      <c r="C729" t="s">
        <v>426</v>
      </c>
      <c r="D729" t="s">
        <v>427</v>
      </c>
      <c r="E729" t="s">
        <v>11556</v>
      </c>
      <c r="F729" t="s">
        <v>12624</v>
      </c>
      <c r="G729" t="s">
        <v>12625</v>
      </c>
      <c r="H729" t="s">
        <v>12626</v>
      </c>
      <c r="I729" t="s">
        <v>557</v>
      </c>
      <c r="M729" t="s">
        <v>33</v>
      </c>
    </row>
    <row r="730" spans="1:13" x14ac:dyDescent="0.35">
      <c r="A730" t="s">
        <v>20</v>
      </c>
      <c r="B730">
        <v>17643</v>
      </c>
      <c r="C730" t="s">
        <v>426</v>
      </c>
      <c r="D730" t="s">
        <v>427</v>
      </c>
      <c r="E730" t="s">
        <v>11560</v>
      </c>
      <c r="F730" t="s">
        <v>12627</v>
      </c>
      <c r="G730" t="s">
        <v>12628</v>
      </c>
      <c r="H730" t="s">
        <v>12629</v>
      </c>
      <c r="I730" t="s">
        <v>557</v>
      </c>
      <c r="M730" t="s">
        <v>33</v>
      </c>
    </row>
    <row r="731" spans="1:13" x14ac:dyDescent="0.35">
      <c r="A731" t="s">
        <v>20</v>
      </c>
      <c r="B731">
        <v>17643</v>
      </c>
      <c r="C731" t="s">
        <v>426</v>
      </c>
      <c r="D731" t="s">
        <v>427</v>
      </c>
      <c r="E731" t="s">
        <v>11564</v>
      </c>
      <c r="F731" t="s">
        <v>12630</v>
      </c>
      <c r="G731" t="s">
        <v>12631</v>
      </c>
      <c r="H731" t="s">
        <v>12632</v>
      </c>
      <c r="I731" t="s">
        <v>557</v>
      </c>
      <c r="M731" t="s">
        <v>33</v>
      </c>
    </row>
    <row r="732" spans="1:13" x14ac:dyDescent="0.35">
      <c r="A732" t="s">
        <v>20</v>
      </c>
      <c r="B732">
        <v>17643</v>
      </c>
      <c r="C732" t="s">
        <v>426</v>
      </c>
      <c r="D732" t="s">
        <v>427</v>
      </c>
      <c r="E732" t="s">
        <v>11568</v>
      </c>
      <c r="F732" t="s">
        <v>12633</v>
      </c>
      <c r="G732" t="s">
        <v>12634</v>
      </c>
      <c r="H732" t="s">
        <v>12635</v>
      </c>
      <c r="I732" t="s">
        <v>557</v>
      </c>
      <c r="M732" t="s">
        <v>33</v>
      </c>
    </row>
    <row r="733" spans="1:13" x14ac:dyDescent="0.35">
      <c r="A733" t="s">
        <v>20</v>
      </c>
      <c r="B733">
        <v>17643</v>
      </c>
      <c r="C733" t="s">
        <v>426</v>
      </c>
      <c r="D733" t="s">
        <v>427</v>
      </c>
      <c r="E733" t="s">
        <v>11572</v>
      </c>
      <c r="F733" t="s">
        <v>12636</v>
      </c>
      <c r="G733" t="s">
        <v>12637</v>
      </c>
      <c r="H733" t="s">
        <v>12638</v>
      </c>
      <c r="I733" t="s">
        <v>557</v>
      </c>
      <c r="K733" t="s">
        <v>1681</v>
      </c>
      <c r="M733" t="s">
        <v>33</v>
      </c>
    </row>
    <row r="734" spans="1:13" x14ac:dyDescent="0.35">
      <c r="A734" t="s">
        <v>20</v>
      </c>
      <c r="B734">
        <v>17643</v>
      </c>
      <c r="C734" t="s">
        <v>426</v>
      </c>
      <c r="D734" t="s">
        <v>427</v>
      </c>
      <c r="E734" t="s">
        <v>11576</v>
      </c>
      <c r="F734" t="s">
        <v>12639</v>
      </c>
      <c r="G734" t="s">
        <v>12640</v>
      </c>
      <c r="H734" t="s">
        <v>12641</v>
      </c>
      <c r="I734" t="s">
        <v>557</v>
      </c>
      <c r="M734" t="s">
        <v>33</v>
      </c>
    </row>
    <row r="735" spans="1:13" x14ac:dyDescent="0.35">
      <c r="A735" t="s">
        <v>20</v>
      </c>
      <c r="B735">
        <v>17643</v>
      </c>
      <c r="C735" t="s">
        <v>426</v>
      </c>
      <c r="D735" t="s">
        <v>427</v>
      </c>
      <c r="E735" t="s">
        <v>11580</v>
      </c>
      <c r="F735" t="s">
        <v>12642</v>
      </c>
      <c r="G735" t="s">
        <v>12643</v>
      </c>
      <c r="H735" t="s">
        <v>12644</v>
      </c>
      <c r="I735" t="s">
        <v>557</v>
      </c>
      <c r="M735" t="s">
        <v>33</v>
      </c>
    </row>
    <row r="736" spans="1:13" x14ac:dyDescent="0.35">
      <c r="A736" t="s">
        <v>20</v>
      </c>
      <c r="B736">
        <v>17643</v>
      </c>
      <c r="C736" t="s">
        <v>426</v>
      </c>
      <c r="D736" t="s">
        <v>427</v>
      </c>
      <c r="E736" t="s">
        <v>11776</v>
      </c>
      <c r="F736" t="s">
        <v>12645</v>
      </c>
      <c r="G736" t="s">
        <v>12646</v>
      </c>
      <c r="H736" t="s">
        <v>12647</v>
      </c>
      <c r="I736" t="s">
        <v>431</v>
      </c>
      <c r="M736" t="s">
        <v>33</v>
      </c>
    </row>
    <row r="737" spans="1:13" x14ac:dyDescent="0.35">
      <c r="A737" t="s">
        <v>20</v>
      </c>
      <c r="B737">
        <v>17643</v>
      </c>
      <c r="C737" t="s">
        <v>426</v>
      </c>
      <c r="D737" t="s">
        <v>427</v>
      </c>
      <c r="E737" t="s">
        <v>11780</v>
      </c>
      <c r="F737" t="s">
        <v>12648</v>
      </c>
      <c r="G737" t="s">
        <v>12649</v>
      </c>
      <c r="H737" t="s">
        <v>12650</v>
      </c>
      <c r="I737" t="s">
        <v>431</v>
      </c>
      <c r="M737" t="s">
        <v>33</v>
      </c>
    </row>
    <row r="738" spans="1:13" x14ac:dyDescent="0.35">
      <c r="A738" t="s">
        <v>20</v>
      </c>
      <c r="B738">
        <v>17643</v>
      </c>
      <c r="C738" t="s">
        <v>426</v>
      </c>
      <c r="D738" t="s">
        <v>427</v>
      </c>
      <c r="E738" t="s">
        <v>11784</v>
      </c>
      <c r="F738" t="s">
        <v>12651</v>
      </c>
      <c r="G738" t="s">
        <v>12652</v>
      </c>
      <c r="H738" t="s">
        <v>12653</v>
      </c>
      <c r="I738" t="s">
        <v>431</v>
      </c>
      <c r="K738" t="s">
        <v>1681</v>
      </c>
      <c r="M738" t="s">
        <v>33</v>
      </c>
    </row>
    <row r="739" spans="1:13" x14ac:dyDescent="0.35">
      <c r="A739" t="s">
        <v>20</v>
      </c>
      <c r="B739">
        <v>17643</v>
      </c>
      <c r="C739" t="s">
        <v>426</v>
      </c>
      <c r="D739" t="s">
        <v>427</v>
      </c>
      <c r="E739" t="s">
        <v>11788</v>
      </c>
      <c r="F739" t="s">
        <v>12654</v>
      </c>
      <c r="G739" t="s">
        <v>12655</v>
      </c>
      <c r="H739" t="s">
        <v>12656</v>
      </c>
      <c r="I739" t="s">
        <v>431</v>
      </c>
      <c r="M739" t="s">
        <v>33</v>
      </c>
    </row>
    <row r="740" spans="1:13" x14ac:dyDescent="0.35">
      <c r="A740" t="s">
        <v>20</v>
      </c>
      <c r="B740">
        <v>17643</v>
      </c>
      <c r="C740" t="s">
        <v>426</v>
      </c>
      <c r="D740" t="s">
        <v>427</v>
      </c>
      <c r="E740" t="s">
        <v>11792</v>
      </c>
      <c r="F740" t="s">
        <v>12657</v>
      </c>
      <c r="G740" t="s">
        <v>12658</v>
      </c>
      <c r="H740" t="s">
        <v>12659</v>
      </c>
      <c r="I740" t="s">
        <v>431</v>
      </c>
      <c r="M740" t="s">
        <v>33</v>
      </c>
    </row>
    <row r="741" spans="1:13" x14ac:dyDescent="0.35">
      <c r="A741" t="s">
        <v>20</v>
      </c>
      <c r="B741">
        <v>17643</v>
      </c>
      <c r="C741" t="s">
        <v>426</v>
      </c>
      <c r="D741" t="s">
        <v>427</v>
      </c>
      <c r="E741" t="s">
        <v>11796</v>
      </c>
      <c r="F741" t="s">
        <v>12660</v>
      </c>
      <c r="G741" t="s">
        <v>12661</v>
      </c>
      <c r="H741" t="s">
        <v>12662</v>
      </c>
      <c r="I741" t="s">
        <v>431</v>
      </c>
      <c r="M741" t="s">
        <v>33</v>
      </c>
    </row>
    <row r="742" spans="1:13" x14ac:dyDescent="0.35">
      <c r="A742" t="s">
        <v>20</v>
      </c>
      <c r="B742">
        <v>17643</v>
      </c>
      <c r="C742" t="s">
        <v>426</v>
      </c>
      <c r="D742" t="s">
        <v>427</v>
      </c>
      <c r="E742" t="s">
        <v>11800</v>
      </c>
      <c r="F742" t="s">
        <v>12663</v>
      </c>
      <c r="G742" t="s">
        <v>12664</v>
      </c>
      <c r="H742" t="s">
        <v>12665</v>
      </c>
      <c r="I742" t="s">
        <v>431</v>
      </c>
      <c r="M742" t="s">
        <v>33</v>
      </c>
    </row>
    <row r="743" spans="1:13" x14ac:dyDescent="0.35">
      <c r="A743" t="s">
        <v>20</v>
      </c>
      <c r="B743">
        <v>17643</v>
      </c>
      <c r="C743" t="s">
        <v>426</v>
      </c>
      <c r="D743" t="s">
        <v>427</v>
      </c>
      <c r="E743" t="s">
        <v>11804</v>
      </c>
      <c r="F743" t="s">
        <v>12666</v>
      </c>
      <c r="G743" t="s">
        <v>12667</v>
      </c>
      <c r="H743" t="s">
        <v>12668</v>
      </c>
      <c r="I743" t="s">
        <v>431</v>
      </c>
      <c r="M743" t="s">
        <v>33</v>
      </c>
    </row>
    <row r="744" spans="1:13" x14ac:dyDescent="0.35">
      <c r="A744" t="s">
        <v>20</v>
      </c>
      <c r="B744">
        <v>17643</v>
      </c>
      <c r="C744" t="s">
        <v>426</v>
      </c>
      <c r="D744" t="s">
        <v>427</v>
      </c>
      <c r="E744" t="s">
        <v>11808</v>
      </c>
      <c r="F744" t="s">
        <v>12669</v>
      </c>
      <c r="G744" t="s">
        <v>12670</v>
      </c>
      <c r="H744" t="s">
        <v>12671</v>
      </c>
      <c r="I744" t="s">
        <v>431</v>
      </c>
      <c r="K744" t="s">
        <v>1681</v>
      </c>
      <c r="M744" t="s">
        <v>33</v>
      </c>
    </row>
    <row r="745" spans="1:13" x14ac:dyDescent="0.35">
      <c r="A745" t="s">
        <v>20</v>
      </c>
      <c r="B745">
        <v>17643</v>
      </c>
      <c r="C745" t="s">
        <v>426</v>
      </c>
      <c r="D745" t="s">
        <v>427</v>
      </c>
      <c r="E745" t="s">
        <v>11812</v>
      </c>
      <c r="F745" t="s">
        <v>12672</v>
      </c>
      <c r="G745" t="s">
        <v>12673</v>
      </c>
      <c r="H745" t="s">
        <v>12674</v>
      </c>
      <c r="I745" t="s">
        <v>431</v>
      </c>
      <c r="M745" t="s">
        <v>33</v>
      </c>
    </row>
    <row r="746" spans="1:13" x14ac:dyDescent="0.35">
      <c r="A746" t="s">
        <v>20</v>
      </c>
      <c r="B746">
        <v>17643</v>
      </c>
      <c r="C746" t="s">
        <v>426</v>
      </c>
      <c r="D746" t="s">
        <v>427</v>
      </c>
      <c r="E746" t="s">
        <v>11816</v>
      </c>
      <c r="F746" t="s">
        <v>12675</v>
      </c>
      <c r="G746" t="s">
        <v>12676</v>
      </c>
      <c r="H746" t="s">
        <v>12677</v>
      </c>
      <c r="I746" t="s">
        <v>431</v>
      </c>
      <c r="K746" t="s">
        <v>1681</v>
      </c>
      <c r="M746" t="s">
        <v>33</v>
      </c>
    </row>
    <row r="747" spans="1:13" x14ac:dyDescent="0.35">
      <c r="A747" t="s">
        <v>20</v>
      </c>
      <c r="B747">
        <v>17643</v>
      </c>
      <c r="C747" t="s">
        <v>426</v>
      </c>
      <c r="D747" t="s">
        <v>427</v>
      </c>
      <c r="E747" t="s">
        <v>11820</v>
      </c>
      <c r="F747" t="s">
        <v>12678</v>
      </c>
      <c r="G747" t="s">
        <v>12679</v>
      </c>
      <c r="H747" t="s">
        <v>12680</v>
      </c>
      <c r="I747" t="s">
        <v>431</v>
      </c>
      <c r="M747" t="s">
        <v>33</v>
      </c>
    </row>
    <row r="748" spans="1:13" x14ac:dyDescent="0.35">
      <c r="A748" t="s">
        <v>20</v>
      </c>
      <c r="B748">
        <v>17643</v>
      </c>
      <c r="C748" t="s">
        <v>426</v>
      </c>
      <c r="D748" t="s">
        <v>427</v>
      </c>
      <c r="E748" t="s">
        <v>11824</v>
      </c>
      <c r="F748" t="s">
        <v>12681</v>
      </c>
      <c r="G748" t="s">
        <v>12682</v>
      </c>
      <c r="H748" t="s">
        <v>12683</v>
      </c>
      <c r="I748" t="s">
        <v>431</v>
      </c>
      <c r="M748" t="s">
        <v>33</v>
      </c>
    </row>
    <row r="749" spans="1:13" x14ac:dyDescent="0.35">
      <c r="A749" t="s">
        <v>20</v>
      </c>
      <c r="B749">
        <v>17643</v>
      </c>
      <c r="C749" t="s">
        <v>426</v>
      </c>
      <c r="D749" t="s">
        <v>427</v>
      </c>
      <c r="E749" t="s">
        <v>11828</v>
      </c>
      <c r="F749" t="s">
        <v>12684</v>
      </c>
      <c r="G749" t="s">
        <v>12685</v>
      </c>
      <c r="H749" t="s">
        <v>12686</v>
      </c>
      <c r="I749" t="s">
        <v>431</v>
      </c>
      <c r="M749" t="s">
        <v>33</v>
      </c>
    </row>
    <row r="750" spans="1:13" x14ac:dyDescent="0.35">
      <c r="A750" t="s">
        <v>20</v>
      </c>
      <c r="B750">
        <v>17643</v>
      </c>
      <c r="C750" t="s">
        <v>426</v>
      </c>
      <c r="D750" t="s">
        <v>427</v>
      </c>
      <c r="E750" t="s">
        <v>11832</v>
      </c>
      <c r="F750" t="s">
        <v>12687</v>
      </c>
      <c r="G750" t="s">
        <v>12688</v>
      </c>
      <c r="H750" t="s">
        <v>12689</v>
      </c>
      <c r="I750" t="s">
        <v>431</v>
      </c>
      <c r="M750" t="s">
        <v>33</v>
      </c>
    </row>
    <row r="751" spans="1:13" x14ac:dyDescent="0.35">
      <c r="A751" t="s">
        <v>20</v>
      </c>
      <c r="B751">
        <v>17643</v>
      </c>
      <c r="C751" t="s">
        <v>426</v>
      </c>
      <c r="D751" t="s">
        <v>427</v>
      </c>
      <c r="E751" t="s">
        <v>11836</v>
      </c>
      <c r="F751" t="s">
        <v>12690</v>
      </c>
      <c r="G751" t="s">
        <v>12691</v>
      </c>
      <c r="H751" t="s">
        <v>12692</v>
      </c>
      <c r="I751" t="s">
        <v>431</v>
      </c>
      <c r="M751" t="s">
        <v>33</v>
      </c>
    </row>
    <row r="752" spans="1:13" x14ac:dyDescent="0.35">
      <c r="A752" t="s">
        <v>20</v>
      </c>
      <c r="B752">
        <v>17643</v>
      </c>
      <c r="C752" t="s">
        <v>426</v>
      </c>
      <c r="D752" t="s">
        <v>427</v>
      </c>
      <c r="E752" t="s">
        <v>11837</v>
      </c>
      <c r="F752" t="s">
        <v>12693</v>
      </c>
      <c r="G752" t="s">
        <v>12694</v>
      </c>
      <c r="H752" t="s">
        <v>12695</v>
      </c>
      <c r="I752" t="s">
        <v>431</v>
      </c>
      <c r="M752" t="s">
        <v>33</v>
      </c>
    </row>
    <row r="753" spans="1:13" x14ac:dyDescent="0.35">
      <c r="A753" t="s">
        <v>20</v>
      </c>
      <c r="B753">
        <v>17643</v>
      </c>
      <c r="C753" t="s">
        <v>426</v>
      </c>
      <c r="D753" t="s">
        <v>427</v>
      </c>
      <c r="E753" t="s">
        <v>11841</v>
      </c>
      <c r="F753" t="s">
        <v>12696</v>
      </c>
      <c r="G753" t="s">
        <v>12697</v>
      </c>
      <c r="H753" t="s">
        <v>12698</v>
      </c>
      <c r="I753" t="s">
        <v>431</v>
      </c>
      <c r="M753" t="s">
        <v>33</v>
      </c>
    </row>
    <row r="754" spans="1:13" x14ac:dyDescent="0.35">
      <c r="A754" t="s">
        <v>20</v>
      </c>
      <c r="B754">
        <v>17643</v>
      </c>
      <c r="C754" t="s">
        <v>426</v>
      </c>
      <c r="D754" t="s">
        <v>427</v>
      </c>
      <c r="E754" t="s">
        <v>11845</v>
      </c>
      <c r="F754" t="s">
        <v>12699</v>
      </c>
      <c r="G754" t="s">
        <v>12700</v>
      </c>
      <c r="H754" t="s">
        <v>12701</v>
      </c>
      <c r="I754" t="s">
        <v>431</v>
      </c>
      <c r="M754" t="s">
        <v>33</v>
      </c>
    </row>
    <row r="755" spans="1:13" x14ac:dyDescent="0.35">
      <c r="A755" t="s">
        <v>20</v>
      </c>
      <c r="B755">
        <v>17643</v>
      </c>
      <c r="C755" t="s">
        <v>426</v>
      </c>
      <c r="D755" t="s">
        <v>427</v>
      </c>
      <c r="E755" t="s">
        <v>11849</v>
      </c>
      <c r="F755" t="s">
        <v>12702</v>
      </c>
      <c r="G755" t="s">
        <v>12703</v>
      </c>
      <c r="H755" t="s">
        <v>12704</v>
      </c>
      <c r="I755" t="s">
        <v>431</v>
      </c>
      <c r="M755" t="s">
        <v>33</v>
      </c>
    </row>
    <row r="756" spans="1:13" x14ac:dyDescent="0.35">
      <c r="A756" t="s">
        <v>20</v>
      </c>
      <c r="B756">
        <v>17643</v>
      </c>
      <c r="C756" t="s">
        <v>426</v>
      </c>
      <c r="D756" t="s">
        <v>427</v>
      </c>
      <c r="E756" t="s">
        <v>11853</v>
      </c>
      <c r="F756" t="s">
        <v>12705</v>
      </c>
      <c r="G756" t="s">
        <v>12706</v>
      </c>
      <c r="H756" t="s">
        <v>12707</v>
      </c>
      <c r="I756" t="s">
        <v>431</v>
      </c>
      <c r="M756" t="s">
        <v>33</v>
      </c>
    </row>
    <row r="757" spans="1:13" x14ac:dyDescent="0.35">
      <c r="A757" t="s">
        <v>20</v>
      </c>
      <c r="B757">
        <v>17643</v>
      </c>
      <c r="C757" t="s">
        <v>426</v>
      </c>
      <c r="D757" t="s">
        <v>427</v>
      </c>
      <c r="E757" t="s">
        <v>11857</v>
      </c>
      <c r="F757" t="s">
        <v>12708</v>
      </c>
      <c r="G757" t="s">
        <v>12709</v>
      </c>
      <c r="H757" t="s">
        <v>12710</v>
      </c>
      <c r="I757" t="s">
        <v>431</v>
      </c>
      <c r="M757" t="s">
        <v>33</v>
      </c>
    </row>
    <row r="758" spans="1:13" x14ac:dyDescent="0.35">
      <c r="A758" t="s">
        <v>20</v>
      </c>
      <c r="B758">
        <v>17643</v>
      </c>
      <c r="C758" t="s">
        <v>426</v>
      </c>
      <c r="D758" t="s">
        <v>427</v>
      </c>
      <c r="E758" t="s">
        <v>11861</v>
      </c>
      <c r="F758" t="s">
        <v>12711</v>
      </c>
      <c r="G758" t="s">
        <v>12712</v>
      </c>
      <c r="H758" t="s">
        <v>12713</v>
      </c>
      <c r="I758" t="s">
        <v>431</v>
      </c>
      <c r="M758" t="s">
        <v>33</v>
      </c>
    </row>
    <row r="759" spans="1:13" x14ac:dyDescent="0.35">
      <c r="A759" t="s">
        <v>20</v>
      </c>
      <c r="B759">
        <v>17643</v>
      </c>
      <c r="C759" t="s">
        <v>426</v>
      </c>
      <c r="D759" t="s">
        <v>427</v>
      </c>
      <c r="E759" t="s">
        <v>11865</v>
      </c>
      <c r="F759" t="s">
        <v>12714</v>
      </c>
      <c r="G759" t="s">
        <v>12715</v>
      </c>
      <c r="H759" t="s">
        <v>12716</v>
      </c>
      <c r="I759" t="s">
        <v>431</v>
      </c>
      <c r="M759" t="s">
        <v>33</v>
      </c>
    </row>
    <row r="760" spans="1:13" x14ac:dyDescent="0.35">
      <c r="A760" t="s">
        <v>20</v>
      </c>
      <c r="B760">
        <v>17643</v>
      </c>
      <c r="C760" t="s">
        <v>426</v>
      </c>
      <c r="D760" t="s">
        <v>427</v>
      </c>
      <c r="E760" t="s">
        <v>11869</v>
      </c>
      <c r="F760" t="s">
        <v>12717</v>
      </c>
      <c r="G760" t="s">
        <v>12718</v>
      </c>
      <c r="H760" t="s">
        <v>12719</v>
      </c>
      <c r="I760" t="s">
        <v>431</v>
      </c>
      <c r="M760" t="s">
        <v>33</v>
      </c>
    </row>
    <row r="761" spans="1:13" x14ac:dyDescent="0.35">
      <c r="A761" t="s">
        <v>20</v>
      </c>
      <c r="B761">
        <v>17643</v>
      </c>
      <c r="C761" t="s">
        <v>426</v>
      </c>
      <c r="D761" t="s">
        <v>427</v>
      </c>
      <c r="E761" t="s">
        <v>11873</v>
      </c>
      <c r="F761" t="s">
        <v>12720</v>
      </c>
      <c r="G761" t="s">
        <v>12721</v>
      </c>
      <c r="H761" t="s">
        <v>12722</v>
      </c>
      <c r="I761" t="s">
        <v>431</v>
      </c>
      <c r="M761" t="s">
        <v>33</v>
      </c>
    </row>
    <row r="762" spans="1:13" x14ac:dyDescent="0.35">
      <c r="A762" t="s">
        <v>20</v>
      </c>
      <c r="B762">
        <v>17643</v>
      </c>
      <c r="C762" t="s">
        <v>426</v>
      </c>
      <c r="D762" t="s">
        <v>427</v>
      </c>
      <c r="E762" t="s">
        <v>11877</v>
      </c>
      <c r="F762" t="s">
        <v>12723</v>
      </c>
      <c r="G762" t="s">
        <v>12724</v>
      </c>
      <c r="H762" t="s">
        <v>12725</v>
      </c>
      <c r="I762" t="s">
        <v>431</v>
      </c>
      <c r="M762" t="s">
        <v>33</v>
      </c>
    </row>
    <row r="763" spans="1:13" x14ac:dyDescent="0.35">
      <c r="A763" t="s">
        <v>20</v>
      </c>
      <c r="B763">
        <v>17643</v>
      </c>
      <c r="C763" t="s">
        <v>426</v>
      </c>
      <c r="D763" t="s">
        <v>427</v>
      </c>
      <c r="E763" t="s">
        <v>11881</v>
      </c>
      <c r="F763" t="s">
        <v>12726</v>
      </c>
      <c r="G763" t="s">
        <v>12727</v>
      </c>
      <c r="H763" t="s">
        <v>12728</v>
      </c>
      <c r="I763" t="s">
        <v>431</v>
      </c>
      <c r="M763" t="s">
        <v>33</v>
      </c>
    </row>
    <row r="764" spans="1:13" x14ac:dyDescent="0.35">
      <c r="A764" t="s">
        <v>20</v>
      </c>
      <c r="B764">
        <v>17643</v>
      </c>
      <c r="C764" t="s">
        <v>426</v>
      </c>
      <c r="D764" t="s">
        <v>427</v>
      </c>
      <c r="E764" t="s">
        <v>11885</v>
      </c>
      <c r="F764" t="s">
        <v>12729</v>
      </c>
      <c r="G764" t="s">
        <v>12730</v>
      </c>
      <c r="H764" t="s">
        <v>12731</v>
      </c>
      <c r="I764" t="s">
        <v>431</v>
      </c>
      <c r="M764" t="s">
        <v>33</v>
      </c>
    </row>
    <row r="765" spans="1:13" x14ac:dyDescent="0.35">
      <c r="A765" t="s">
        <v>20</v>
      </c>
      <c r="B765">
        <v>17643</v>
      </c>
      <c r="C765" t="s">
        <v>426</v>
      </c>
      <c r="D765" t="s">
        <v>427</v>
      </c>
      <c r="E765" t="s">
        <v>11889</v>
      </c>
      <c r="F765" t="s">
        <v>12732</v>
      </c>
      <c r="G765" t="s">
        <v>12733</v>
      </c>
      <c r="H765" t="s">
        <v>12734</v>
      </c>
      <c r="I765" t="s">
        <v>431</v>
      </c>
      <c r="M765" t="s">
        <v>33</v>
      </c>
    </row>
    <row r="766" spans="1:13" x14ac:dyDescent="0.35">
      <c r="A766" t="s">
        <v>20</v>
      </c>
      <c r="B766">
        <v>17643</v>
      </c>
      <c r="C766" t="s">
        <v>426</v>
      </c>
      <c r="D766" t="s">
        <v>427</v>
      </c>
      <c r="E766" t="s">
        <v>11893</v>
      </c>
      <c r="F766" t="s">
        <v>12735</v>
      </c>
      <c r="G766" t="s">
        <v>12736</v>
      </c>
      <c r="H766" t="s">
        <v>12737</v>
      </c>
      <c r="I766" t="s">
        <v>431</v>
      </c>
      <c r="M766" t="s">
        <v>33</v>
      </c>
    </row>
    <row r="767" spans="1:13" x14ac:dyDescent="0.35">
      <c r="A767" t="s">
        <v>20</v>
      </c>
      <c r="B767">
        <v>17643</v>
      </c>
      <c r="C767" t="s">
        <v>426</v>
      </c>
      <c r="D767" t="s">
        <v>427</v>
      </c>
      <c r="E767" t="s">
        <v>11897</v>
      </c>
      <c r="F767" t="s">
        <v>12738</v>
      </c>
      <c r="G767" t="s">
        <v>12739</v>
      </c>
      <c r="H767" t="s">
        <v>12740</v>
      </c>
      <c r="I767" t="s">
        <v>431</v>
      </c>
      <c r="M767" t="s">
        <v>33</v>
      </c>
    </row>
    <row r="768" spans="1:13" x14ac:dyDescent="0.35">
      <c r="A768" t="s">
        <v>20</v>
      </c>
      <c r="B768">
        <v>17643</v>
      </c>
      <c r="C768" t="s">
        <v>426</v>
      </c>
      <c r="D768" t="s">
        <v>427</v>
      </c>
      <c r="E768" t="s">
        <v>11901</v>
      </c>
      <c r="F768" t="s">
        <v>12741</v>
      </c>
      <c r="G768" t="s">
        <v>12742</v>
      </c>
      <c r="H768" t="s">
        <v>12743</v>
      </c>
      <c r="I768" t="s">
        <v>431</v>
      </c>
      <c r="M768" t="s">
        <v>33</v>
      </c>
    </row>
    <row r="769" spans="1:13" x14ac:dyDescent="0.35">
      <c r="A769" t="s">
        <v>20</v>
      </c>
      <c r="B769">
        <v>17643</v>
      </c>
      <c r="C769" t="s">
        <v>426</v>
      </c>
      <c r="D769" t="s">
        <v>427</v>
      </c>
      <c r="E769" t="s">
        <v>11905</v>
      </c>
      <c r="F769" t="s">
        <v>12744</v>
      </c>
      <c r="G769" t="s">
        <v>12745</v>
      </c>
      <c r="H769" t="s">
        <v>12746</v>
      </c>
      <c r="I769" t="s">
        <v>431</v>
      </c>
      <c r="M769" t="s">
        <v>33</v>
      </c>
    </row>
    <row r="770" spans="1:13" x14ac:dyDescent="0.35">
      <c r="A770" t="s">
        <v>20</v>
      </c>
      <c r="B770">
        <v>17643</v>
      </c>
      <c r="C770" t="s">
        <v>426</v>
      </c>
      <c r="D770" t="s">
        <v>427</v>
      </c>
      <c r="E770" t="s">
        <v>11909</v>
      </c>
      <c r="F770" t="s">
        <v>12747</v>
      </c>
      <c r="G770" t="s">
        <v>12748</v>
      </c>
      <c r="H770" t="s">
        <v>12749</v>
      </c>
      <c r="I770" t="s">
        <v>431</v>
      </c>
      <c r="M770" t="s">
        <v>33</v>
      </c>
    </row>
    <row r="771" spans="1:13" x14ac:dyDescent="0.35">
      <c r="A771" t="s">
        <v>20</v>
      </c>
      <c r="B771">
        <v>17643</v>
      </c>
      <c r="C771" t="s">
        <v>426</v>
      </c>
      <c r="D771" t="s">
        <v>427</v>
      </c>
      <c r="E771" t="s">
        <v>11913</v>
      </c>
      <c r="F771" t="s">
        <v>12750</v>
      </c>
      <c r="G771" t="s">
        <v>12751</v>
      </c>
      <c r="H771" t="s">
        <v>12752</v>
      </c>
      <c r="I771" t="s">
        <v>431</v>
      </c>
      <c r="M771" t="s">
        <v>33</v>
      </c>
    </row>
    <row r="772" spans="1:13" x14ac:dyDescent="0.35">
      <c r="A772" t="s">
        <v>20</v>
      </c>
      <c r="B772">
        <v>17643</v>
      </c>
      <c r="C772" t="s">
        <v>426</v>
      </c>
      <c r="D772" t="s">
        <v>427</v>
      </c>
      <c r="E772" t="s">
        <v>11917</v>
      </c>
      <c r="F772" t="s">
        <v>12753</v>
      </c>
      <c r="G772" t="s">
        <v>12754</v>
      </c>
      <c r="H772" t="s">
        <v>12755</v>
      </c>
      <c r="I772" t="s">
        <v>431</v>
      </c>
      <c r="M772" t="s">
        <v>33</v>
      </c>
    </row>
    <row r="773" spans="1:13" x14ac:dyDescent="0.35">
      <c r="A773" t="s">
        <v>20</v>
      </c>
      <c r="B773">
        <v>17643</v>
      </c>
      <c r="C773" t="s">
        <v>426</v>
      </c>
      <c r="D773" t="s">
        <v>427</v>
      </c>
      <c r="E773" t="s">
        <v>11921</v>
      </c>
      <c r="F773" t="s">
        <v>12756</v>
      </c>
      <c r="G773" t="s">
        <v>12757</v>
      </c>
      <c r="H773" t="s">
        <v>12758</v>
      </c>
      <c r="I773" t="s">
        <v>431</v>
      </c>
      <c r="M773" t="s">
        <v>33</v>
      </c>
    </row>
    <row r="774" spans="1:13" x14ac:dyDescent="0.35">
      <c r="A774" t="s">
        <v>20</v>
      </c>
      <c r="B774">
        <v>17643</v>
      </c>
      <c r="C774" t="s">
        <v>426</v>
      </c>
      <c r="D774" t="s">
        <v>427</v>
      </c>
      <c r="E774" t="s">
        <v>11925</v>
      </c>
      <c r="F774" t="s">
        <v>12759</v>
      </c>
      <c r="G774" t="s">
        <v>12760</v>
      </c>
      <c r="H774" t="s">
        <v>12761</v>
      </c>
      <c r="I774" t="s">
        <v>431</v>
      </c>
      <c r="M774" t="s">
        <v>33</v>
      </c>
    </row>
    <row r="775" spans="1:13" x14ac:dyDescent="0.35">
      <c r="A775" t="s">
        <v>20</v>
      </c>
      <c r="B775">
        <v>17643</v>
      </c>
      <c r="C775" t="s">
        <v>426</v>
      </c>
      <c r="D775" t="s">
        <v>427</v>
      </c>
      <c r="E775" t="s">
        <v>11929</v>
      </c>
      <c r="F775" t="s">
        <v>12762</v>
      </c>
      <c r="G775" t="s">
        <v>12763</v>
      </c>
      <c r="H775" t="s">
        <v>12764</v>
      </c>
      <c r="I775" t="s">
        <v>431</v>
      </c>
      <c r="M775" t="s">
        <v>33</v>
      </c>
    </row>
    <row r="776" spans="1:13" x14ac:dyDescent="0.35">
      <c r="A776" t="s">
        <v>20</v>
      </c>
      <c r="B776">
        <v>17643</v>
      </c>
      <c r="C776" t="s">
        <v>426</v>
      </c>
      <c r="D776" t="s">
        <v>427</v>
      </c>
      <c r="E776" t="s">
        <v>11933</v>
      </c>
      <c r="F776" t="s">
        <v>12765</v>
      </c>
      <c r="G776" t="s">
        <v>12766</v>
      </c>
      <c r="H776" t="s">
        <v>12767</v>
      </c>
      <c r="I776" t="s">
        <v>431</v>
      </c>
      <c r="M776" t="s">
        <v>33</v>
      </c>
    </row>
    <row r="777" spans="1:13" x14ac:dyDescent="0.35">
      <c r="A777" t="s">
        <v>20</v>
      </c>
      <c r="B777">
        <v>17643</v>
      </c>
      <c r="C777" t="s">
        <v>426</v>
      </c>
      <c r="D777" t="s">
        <v>427</v>
      </c>
      <c r="E777" t="s">
        <v>11937</v>
      </c>
      <c r="F777" t="s">
        <v>12768</v>
      </c>
      <c r="G777" t="s">
        <v>12769</v>
      </c>
      <c r="H777" t="s">
        <v>12770</v>
      </c>
      <c r="I777" t="s">
        <v>431</v>
      </c>
      <c r="M777" t="s">
        <v>33</v>
      </c>
    </row>
    <row r="778" spans="1:13" x14ac:dyDescent="0.35">
      <c r="A778" t="s">
        <v>20</v>
      </c>
      <c r="B778">
        <v>17643</v>
      </c>
      <c r="C778" t="s">
        <v>426</v>
      </c>
      <c r="D778" t="s">
        <v>427</v>
      </c>
      <c r="E778" t="s">
        <v>11941</v>
      </c>
      <c r="F778" t="s">
        <v>12771</v>
      </c>
      <c r="G778" t="s">
        <v>12772</v>
      </c>
      <c r="H778" t="s">
        <v>12773</v>
      </c>
      <c r="I778" t="s">
        <v>431</v>
      </c>
      <c r="M778" t="s">
        <v>33</v>
      </c>
    </row>
    <row r="779" spans="1:13" x14ac:dyDescent="0.35">
      <c r="A779" t="s">
        <v>20</v>
      </c>
      <c r="B779">
        <v>17643</v>
      </c>
      <c r="C779" t="s">
        <v>426</v>
      </c>
      <c r="D779" t="s">
        <v>427</v>
      </c>
      <c r="E779" t="s">
        <v>11945</v>
      </c>
      <c r="F779" t="s">
        <v>12774</v>
      </c>
      <c r="G779" t="s">
        <v>12775</v>
      </c>
      <c r="H779" t="s">
        <v>12776</v>
      </c>
      <c r="I779" t="s">
        <v>431</v>
      </c>
      <c r="M779" t="s">
        <v>33</v>
      </c>
    </row>
    <row r="780" spans="1:13" x14ac:dyDescent="0.35">
      <c r="A780" t="s">
        <v>20</v>
      </c>
      <c r="B780">
        <v>17643</v>
      </c>
      <c r="C780" t="s">
        <v>426</v>
      </c>
      <c r="D780" t="s">
        <v>427</v>
      </c>
      <c r="E780" t="s">
        <v>11949</v>
      </c>
      <c r="F780" t="s">
        <v>12777</v>
      </c>
      <c r="G780" t="s">
        <v>12778</v>
      </c>
      <c r="H780" t="s">
        <v>12779</v>
      </c>
      <c r="I780" t="s">
        <v>431</v>
      </c>
      <c r="M780" t="s">
        <v>33</v>
      </c>
    </row>
    <row r="781" spans="1:13" x14ac:dyDescent="0.35">
      <c r="A781" t="s">
        <v>20</v>
      </c>
      <c r="B781">
        <v>17643</v>
      </c>
      <c r="C781" t="s">
        <v>426</v>
      </c>
      <c r="D781" t="s">
        <v>427</v>
      </c>
      <c r="E781" t="s">
        <v>11953</v>
      </c>
      <c r="F781" t="s">
        <v>12780</v>
      </c>
      <c r="G781" t="s">
        <v>12781</v>
      </c>
      <c r="H781" t="s">
        <v>12782</v>
      </c>
      <c r="I781" t="s">
        <v>431</v>
      </c>
      <c r="M781" t="s">
        <v>33</v>
      </c>
    </row>
    <row r="782" spans="1:13" x14ac:dyDescent="0.35">
      <c r="A782" t="s">
        <v>20</v>
      </c>
      <c r="B782">
        <v>17643</v>
      </c>
      <c r="C782" t="s">
        <v>426</v>
      </c>
      <c r="D782" t="s">
        <v>427</v>
      </c>
      <c r="E782" t="s">
        <v>11957</v>
      </c>
      <c r="F782" t="s">
        <v>12783</v>
      </c>
      <c r="G782" t="s">
        <v>12784</v>
      </c>
      <c r="H782" t="s">
        <v>12785</v>
      </c>
      <c r="I782" t="s">
        <v>431</v>
      </c>
      <c r="M782" t="s">
        <v>33</v>
      </c>
    </row>
    <row r="783" spans="1:13" x14ac:dyDescent="0.35">
      <c r="A783" t="s">
        <v>20</v>
      </c>
      <c r="B783">
        <v>17643</v>
      </c>
      <c r="C783" t="s">
        <v>426</v>
      </c>
      <c r="D783" t="s">
        <v>427</v>
      </c>
      <c r="E783" t="s">
        <v>11961</v>
      </c>
      <c r="F783" t="s">
        <v>12786</v>
      </c>
      <c r="G783" t="s">
        <v>12787</v>
      </c>
      <c r="H783" t="s">
        <v>12788</v>
      </c>
      <c r="I783" t="s">
        <v>431</v>
      </c>
      <c r="M783" t="s">
        <v>33</v>
      </c>
    </row>
    <row r="784" spans="1:13" x14ac:dyDescent="0.35">
      <c r="A784" t="s">
        <v>20</v>
      </c>
      <c r="B784">
        <v>17643</v>
      </c>
      <c r="C784" t="s">
        <v>426</v>
      </c>
      <c r="D784" t="s">
        <v>427</v>
      </c>
      <c r="E784" t="s">
        <v>11965</v>
      </c>
      <c r="F784" t="s">
        <v>12789</v>
      </c>
      <c r="G784" t="s">
        <v>12790</v>
      </c>
      <c r="H784" t="s">
        <v>12791</v>
      </c>
      <c r="I784" t="s">
        <v>431</v>
      </c>
      <c r="M784" t="s">
        <v>33</v>
      </c>
    </row>
    <row r="785" spans="1:13" x14ac:dyDescent="0.35">
      <c r="A785" t="s">
        <v>20</v>
      </c>
      <c r="B785">
        <v>17643</v>
      </c>
      <c r="C785" t="s">
        <v>426</v>
      </c>
      <c r="D785" t="s">
        <v>427</v>
      </c>
      <c r="E785" t="s">
        <v>11969</v>
      </c>
      <c r="F785" t="s">
        <v>12792</v>
      </c>
      <c r="G785" t="s">
        <v>12793</v>
      </c>
      <c r="H785" t="s">
        <v>12794</v>
      </c>
      <c r="I785" t="s">
        <v>431</v>
      </c>
      <c r="M785" t="s">
        <v>33</v>
      </c>
    </row>
    <row r="786" spans="1:13" x14ac:dyDescent="0.35">
      <c r="A786" t="s">
        <v>20</v>
      </c>
      <c r="B786">
        <v>17643</v>
      </c>
      <c r="C786" t="s">
        <v>426</v>
      </c>
      <c r="D786" t="s">
        <v>427</v>
      </c>
      <c r="E786" t="s">
        <v>11973</v>
      </c>
      <c r="F786" t="s">
        <v>12795</v>
      </c>
      <c r="G786" t="s">
        <v>12796</v>
      </c>
      <c r="H786" t="s">
        <v>12797</v>
      </c>
      <c r="I786" t="s">
        <v>431</v>
      </c>
      <c r="M786" t="s">
        <v>33</v>
      </c>
    </row>
    <row r="787" spans="1:13" x14ac:dyDescent="0.35">
      <c r="A787" t="s">
        <v>20</v>
      </c>
      <c r="B787">
        <v>17643</v>
      </c>
      <c r="C787" t="s">
        <v>426</v>
      </c>
      <c r="D787" t="s">
        <v>427</v>
      </c>
      <c r="E787" t="s">
        <v>11977</v>
      </c>
      <c r="F787" t="s">
        <v>12798</v>
      </c>
      <c r="G787" t="s">
        <v>12799</v>
      </c>
      <c r="H787" t="s">
        <v>12800</v>
      </c>
      <c r="I787" t="s">
        <v>431</v>
      </c>
      <c r="M787" t="s">
        <v>33</v>
      </c>
    </row>
    <row r="788" spans="1:13" x14ac:dyDescent="0.35">
      <c r="A788" t="s">
        <v>20</v>
      </c>
      <c r="B788">
        <v>17643</v>
      </c>
      <c r="C788" t="s">
        <v>426</v>
      </c>
      <c r="D788" t="s">
        <v>427</v>
      </c>
      <c r="E788" t="s">
        <v>11981</v>
      </c>
      <c r="F788" t="s">
        <v>12801</v>
      </c>
      <c r="G788" t="s">
        <v>12802</v>
      </c>
      <c r="H788" t="s">
        <v>12803</v>
      </c>
      <c r="I788" t="s">
        <v>431</v>
      </c>
      <c r="M788" t="s">
        <v>33</v>
      </c>
    </row>
    <row r="789" spans="1:13" x14ac:dyDescent="0.35">
      <c r="A789" t="s">
        <v>20</v>
      </c>
      <c r="B789">
        <v>17643</v>
      </c>
      <c r="C789" t="s">
        <v>426</v>
      </c>
      <c r="D789" t="s">
        <v>427</v>
      </c>
      <c r="E789" t="s">
        <v>11985</v>
      </c>
      <c r="F789" t="s">
        <v>12804</v>
      </c>
      <c r="G789" t="s">
        <v>12805</v>
      </c>
      <c r="H789" t="s">
        <v>12806</v>
      </c>
      <c r="I789" t="s">
        <v>431</v>
      </c>
      <c r="M789" t="s">
        <v>33</v>
      </c>
    </row>
    <row r="790" spans="1:13" x14ac:dyDescent="0.35">
      <c r="A790" t="s">
        <v>20</v>
      </c>
      <c r="B790">
        <v>17643</v>
      </c>
      <c r="C790" t="s">
        <v>426</v>
      </c>
      <c r="D790" t="s">
        <v>427</v>
      </c>
      <c r="E790" t="s">
        <v>11989</v>
      </c>
      <c r="F790" t="s">
        <v>12807</v>
      </c>
      <c r="G790" t="s">
        <v>12808</v>
      </c>
      <c r="H790" t="s">
        <v>12809</v>
      </c>
      <c r="I790" t="s">
        <v>431</v>
      </c>
      <c r="M790" t="s">
        <v>33</v>
      </c>
    </row>
    <row r="791" spans="1:13" x14ac:dyDescent="0.35">
      <c r="A791" t="s">
        <v>20</v>
      </c>
      <c r="B791">
        <v>17643</v>
      </c>
      <c r="C791" t="s">
        <v>426</v>
      </c>
      <c r="D791" t="s">
        <v>427</v>
      </c>
      <c r="E791" t="s">
        <v>11993</v>
      </c>
      <c r="F791" t="s">
        <v>12810</v>
      </c>
      <c r="G791" t="s">
        <v>12811</v>
      </c>
      <c r="H791" t="s">
        <v>12812</v>
      </c>
      <c r="I791" t="s">
        <v>431</v>
      </c>
      <c r="M791" t="s">
        <v>33</v>
      </c>
    </row>
    <row r="792" spans="1:13" x14ac:dyDescent="0.35">
      <c r="A792" t="s">
        <v>20</v>
      </c>
      <c r="B792">
        <v>17643</v>
      </c>
      <c r="C792" t="s">
        <v>426</v>
      </c>
      <c r="D792" t="s">
        <v>427</v>
      </c>
      <c r="E792" t="s">
        <v>11997</v>
      </c>
      <c r="F792" t="s">
        <v>12810</v>
      </c>
      <c r="G792" t="s">
        <v>12811</v>
      </c>
      <c r="H792" t="s">
        <v>12812</v>
      </c>
      <c r="I792" t="s">
        <v>431</v>
      </c>
      <c r="M792" t="s">
        <v>33</v>
      </c>
    </row>
    <row r="793" spans="1:13" x14ac:dyDescent="0.35">
      <c r="A793" t="s">
        <v>20</v>
      </c>
      <c r="B793">
        <v>17643</v>
      </c>
      <c r="C793" t="s">
        <v>426</v>
      </c>
      <c r="D793" t="s">
        <v>427</v>
      </c>
      <c r="E793" t="s">
        <v>12001</v>
      </c>
      <c r="F793" t="s">
        <v>12813</v>
      </c>
      <c r="G793" t="s">
        <v>12814</v>
      </c>
      <c r="H793" t="s">
        <v>12815</v>
      </c>
      <c r="I793" t="s">
        <v>431</v>
      </c>
      <c r="M793" t="s">
        <v>33</v>
      </c>
    </row>
    <row r="794" spans="1:13" x14ac:dyDescent="0.35">
      <c r="A794" t="s">
        <v>20</v>
      </c>
      <c r="B794">
        <v>17643</v>
      </c>
      <c r="C794" t="s">
        <v>426</v>
      </c>
      <c r="D794" t="s">
        <v>427</v>
      </c>
      <c r="E794" t="s">
        <v>12005</v>
      </c>
      <c r="F794" t="s">
        <v>12816</v>
      </c>
      <c r="G794" t="s">
        <v>12817</v>
      </c>
      <c r="H794" t="s">
        <v>12818</v>
      </c>
      <c r="I794" t="s">
        <v>431</v>
      </c>
      <c r="M794" t="s">
        <v>33</v>
      </c>
    </row>
    <row r="795" spans="1:13" x14ac:dyDescent="0.35">
      <c r="A795" t="s">
        <v>20</v>
      </c>
      <c r="B795">
        <v>17643</v>
      </c>
      <c r="C795" t="s">
        <v>426</v>
      </c>
      <c r="D795" t="s">
        <v>427</v>
      </c>
      <c r="E795" t="s">
        <v>12009</v>
      </c>
      <c r="F795" t="s">
        <v>12819</v>
      </c>
      <c r="G795" t="s">
        <v>12820</v>
      </c>
      <c r="H795" t="s">
        <v>12821</v>
      </c>
      <c r="I795" t="s">
        <v>431</v>
      </c>
      <c r="M795" t="s">
        <v>33</v>
      </c>
    </row>
    <row r="796" spans="1:13" x14ac:dyDescent="0.35">
      <c r="A796" t="s">
        <v>20</v>
      </c>
      <c r="B796">
        <v>17643</v>
      </c>
      <c r="C796" t="s">
        <v>426</v>
      </c>
      <c r="D796" t="s">
        <v>427</v>
      </c>
      <c r="E796" t="s">
        <v>12013</v>
      </c>
      <c r="F796" t="s">
        <v>12822</v>
      </c>
      <c r="G796" t="s">
        <v>12823</v>
      </c>
      <c r="H796" t="s">
        <v>12824</v>
      </c>
      <c r="I796" t="s">
        <v>431</v>
      </c>
      <c r="M796" t="s">
        <v>33</v>
      </c>
    </row>
    <row r="797" spans="1:13" x14ac:dyDescent="0.35">
      <c r="A797" t="s">
        <v>20</v>
      </c>
      <c r="B797">
        <v>17643</v>
      </c>
      <c r="C797" t="s">
        <v>426</v>
      </c>
      <c r="D797" t="s">
        <v>427</v>
      </c>
      <c r="E797" t="s">
        <v>12017</v>
      </c>
      <c r="F797" t="s">
        <v>12825</v>
      </c>
      <c r="G797" t="s">
        <v>12826</v>
      </c>
      <c r="H797" t="s">
        <v>12827</v>
      </c>
      <c r="I797" t="s">
        <v>431</v>
      </c>
      <c r="M797" t="s">
        <v>33</v>
      </c>
    </row>
    <row r="798" spans="1:13" x14ac:dyDescent="0.35">
      <c r="A798" t="s">
        <v>20</v>
      </c>
      <c r="B798">
        <v>17643</v>
      </c>
      <c r="C798" t="s">
        <v>426</v>
      </c>
      <c r="D798" t="s">
        <v>427</v>
      </c>
      <c r="E798" t="s">
        <v>12021</v>
      </c>
      <c r="F798" t="s">
        <v>12828</v>
      </c>
      <c r="G798" t="s">
        <v>12829</v>
      </c>
      <c r="H798" t="s">
        <v>12830</v>
      </c>
      <c r="I798" t="s">
        <v>431</v>
      </c>
      <c r="M798" t="s">
        <v>33</v>
      </c>
    </row>
    <row r="799" spans="1:13" x14ac:dyDescent="0.35">
      <c r="A799" t="s">
        <v>20</v>
      </c>
      <c r="B799">
        <v>17643</v>
      </c>
      <c r="C799" t="s">
        <v>426</v>
      </c>
      <c r="D799" t="s">
        <v>427</v>
      </c>
      <c r="E799" t="s">
        <v>12025</v>
      </c>
      <c r="F799" t="s">
        <v>12831</v>
      </c>
      <c r="G799" t="s">
        <v>11034</v>
      </c>
      <c r="H799" t="s">
        <v>12832</v>
      </c>
      <c r="I799" t="s">
        <v>431</v>
      </c>
      <c r="M799" t="s">
        <v>33</v>
      </c>
    </row>
    <row r="800" spans="1:13" x14ac:dyDescent="0.35">
      <c r="A800" t="s">
        <v>20</v>
      </c>
      <c r="B800">
        <v>17643</v>
      </c>
      <c r="C800" t="s">
        <v>426</v>
      </c>
      <c r="D800" t="s">
        <v>427</v>
      </c>
      <c r="E800" t="s">
        <v>12029</v>
      </c>
      <c r="F800" t="s">
        <v>12833</v>
      </c>
      <c r="G800" t="s">
        <v>12834</v>
      </c>
      <c r="H800" t="s">
        <v>12835</v>
      </c>
      <c r="I800" t="s">
        <v>431</v>
      </c>
      <c r="M800" t="s">
        <v>33</v>
      </c>
    </row>
    <row r="801" spans="1:13" x14ac:dyDescent="0.35">
      <c r="A801" t="s">
        <v>20</v>
      </c>
      <c r="B801">
        <v>17643</v>
      </c>
      <c r="C801" t="s">
        <v>426</v>
      </c>
      <c r="D801" t="s">
        <v>427</v>
      </c>
      <c r="E801" t="s">
        <v>12033</v>
      </c>
      <c r="F801" t="s">
        <v>12836</v>
      </c>
      <c r="G801" t="s">
        <v>12837</v>
      </c>
      <c r="H801" t="s">
        <v>12838</v>
      </c>
      <c r="I801" t="s">
        <v>431</v>
      </c>
      <c r="M801" t="s">
        <v>33</v>
      </c>
    </row>
    <row r="802" spans="1:13" x14ac:dyDescent="0.35">
      <c r="A802" t="s">
        <v>20</v>
      </c>
      <c r="B802">
        <v>17643</v>
      </c>
      <c r="C802" t="s">
        <v>426</v>
      </c>
      <c r="D802" t="s">
        <v>427</v>
      </c>
      <c r="E802" t="s">
        <v>12037</v>
      </c>
      <c r="F802" t="s">
        <v>12839</v>
      </c>
      <c r="G802" t="s">
        <v>12840</v>
      </c>
      <c r="H802" t="s">
        <v>12841</v>
      </c>
      <c r="I802" t="s">
        <v>431</v>
      </c>
      <c r="M802" t="s">
        <v>33</v>
      </c>
    </row>
    <row r="803" spans="1:13" x14ac:dyDescent="0.35">
      <c r="A803" t="s">
        <v>20</v>
      </c>
      <c r="B803">
        <v>17643</v>
      </c>
      <c r="C803" t="s">
        <v>426</v>
      </c>
      <c r="D803" t="s">
        <v>427</v>
      </c>
      <c r="E803" t="s">
        <v>12041</v>
      </c>
      <c r="F803" t="s">
        <v>12842</v>
      </c>
      <c r="G803" t="s">
        <v>12843</v>
      </c>
      <c r="H803" t="s">
        <v>12844</v>
      </c>
      <c r="I803" t="s">
        <v>431</v>
      </c>
      <c r="M803" t="s">
        <v>33</v>
      </c>
    </row>
    <row r="804" spans="1:13" x14ac:dyDescent="0.35">
      <c r="A804" t="s">
        <v>20</v>
      </c>
      <c r="B804">
        <v>17643</v>
      </c>
      <c r="C804" t="s">
        <v>426</v>
      </c>
      <c r="D804" t="s">
        <v>427</v>
      </c>
      <c r="E804" t="s">
        <v>12045</v>
      </c>
      <c r="F804" t="s">
        <v>12845</v>
      </c>
      <c r="G804" t="s">
        <v>12846</v>
      </c>
      <c r="H804" t="s">
        <v>12847</v>
      </c>
      <c r="I804" t="s">
        <v>431</v>
      </c>
      <c r="M804" t="s">
        <v>33</v>
      </c>
    </row>
    <row r="805" spans="1:13" x14ac:dyDescent="0.35">
      <c r="A805" t="s">
        <v>20</v>
      </c>
      <c r="B805">
        <v>17643</v>
      </c>
      <c r="C805" t="s">
        <v>426</v>
      </c>
      <c r="D805" t="s">
        <v>427</v>
      </c>
      <c r="E805" t="s">
        <v>12049</v>
      </c>
      <c r="F805" t="s">
        <v>12848</v>
      </c>
      <c r="G805" t="s">
        <v>12849</v>
      </c>
      <c r="H805" t="s">
        <v>12850</v>
      </c>
      <c r="I805" t="s">
        <v>431</v>
      </c>
      <c r="M805" t="s">
        <v>33</v>
      </c>
    </row>
    <row r="806" spans="1:13" x14ac:dyDescent="0.35">
      <c r="A806" t="s">
        <v>20</v>
      </c>
      <c r="B806">
        <v>17643</v>
      </c>
      <c r="C806" t="s">
        <v>426</v>
      </c>
      <c r="D806" t="s">
        <v>427</v>
      </c>
      <c r="E806" t="s">
        <v>12053</v>
      </c>
      <c r="F806" t="s">
        <v>12851</v>
      </c>
      <c r="G806" t="s">
        <v>12852</v>
      </c>
      <c r="H806" t="s">
        <v>12853</v>
      </c>
      <c r="I806" t="s">
        <v>431</v>
      </c>
      <c r="M806" t="s">
        <v>33</v>
      </c>
    </row>
    <row r="807" spans="1:13" x14ac:dyDescent="0.35">
      <c r="A807" t="s">
        <v>20</v>
      </c>
      <c r="B807">
        <v>17643</v>
      </c>
      <c r="C807" t="s">
        <v>426</v>
      </c>
      <c r="D807" t="s">
        <v>427</v>
      </c>
      <c r="E807" t="s">
        <v>12057</v>
      </c>
      <c r="F807" t="s">
        <v>12854</v>
      </c>
      <c r="G807" t="s">
        <v>12855</v>
      </c>
      <c r="H807" t="s">
        <v>12856</v>
      </c>
      <c r="I807" t="s">
        <v>431</v>
      </c>
      <c r="M807" t="s">
        <v>33</v>
      </c>
    </row>
    <row r="808" spans="1:13" x14ac:dyDescent="0.35">
      <c r="A808" t="s">
        <v>20</v>
      </c>
      <c r="B808">
        <v>17643</v>
      </c>
      <c r="C808" t="s">
        <v>426</v>
      </c>
      <c r="D808" t="s">
        <v>427</v>
      </c>
      <c r="E808" t="s">
        <v>12061</v>
      </c>
      <c r="F808" t="s">
        <v>12857</v>
      </c>
      <c r="G808" t="s">
        <v>12858</v>
      </c>
      <c r="H808" t="s">
        <v>12859</v>
      </c>
      <c r="I808" t="s">
        <v>431</v>
      </c>
      <c r="M808" t="s">
        <v>33</v>
      </c>
    </row>
    <row r="809" spans="1:13" x14ac:dyDescent="0.35">
      <c r="A809" t="s">
        <v>20</v>
      </c>
      <c r="B809">
        <v>17643</v>
      </c>
      <c r="C809" t="s">
        <v>426</v>
      </c>
      <c r="D809" t="s">
        <v>427</v>
      </c>
      <c r="E809" t="s">
        <v>12065</v>
      </c>
      <c r="F809" t="s">
        <v>12860</v>
      </c>
      <c r="G809" t="s">
        <v>12861</v>
      </c>
      <c r="H809" t="s">
        <v>12862</v>
      </c>
      <c r="I809" t="s">
        <v>431</v>
      </c>
      <c r="M809" t="s">
        <v>33</v>
      </c>
    </row>
    <row r="810" spans="1:13" x14ac:dyDescent="0.35">
      <c r="A810" t="s">
        <v>20</v>
      </c>
      <c r="B810">
        <v>17643</v>
      </c>
      <c r="C810" t="s">
        <v>426</v>
      </c>
      <c r="D810" t="s">
        <v>427</v>
      </c>
      <c r="E810" t="s">
        <v>12069</v>
      </c>
      <c r="F810" t="s">
        <v>12863</v>
      </c>
      <c r="G810" t="s">
        <v>12864</v>
      </c>
      <c r="H810" t="s">
        <v>12865</v>
      </c>
      <c r="I810" t="s">
        <v>431</v>
      </c>
      <c r="M810" t="s">
        <v>33</v>
      </c>
    </row>
    <row r="811" spans="1:13" x14ac:dyDescent="0.35">
      <c r="A811" t="s">
        <v>20</v>
      </c>
      <c r="B811">
        <v>17643</v>
      </c>
      <c r="C811" t="s">
        <v>426</v>
      </c>
      <c r="D811" t="s">
        <v>427</v>
      </c>
      <c r="E811" t="s">
        <v>12073</v>
      </c>
      <c r="F811" t="s">
        <v>12866</v>
      </c>
      <c r="G811" t="s">
        <v>12867</v>
      </c>
      <c r="H811" t="s">
        <v>12868</v>
      </c>
      <c r="I811" t="s">
        <v>431</v>
      </c>
      <c r="M811" t="s">
        <v>33</v>
      </c>
    </row>
    <row r="812" spans="1:13" x14ac:dyDescent="0.35">
      <c r="A812" t="s">
        <v>20</v>
      </c>
      <c r="B812">
        <v>17643</v>
      </c>
      <c r="C812" t="s">
        <v>426</v>
      </c>
      <c r="D812" t="s">
        <v>427</v>
      </c>
      <c r="E812" t="s">
        <v>12077</v>
      </c>
      <c r="F812" t="s">
        <v>12869</v>
      </c>
      <c r="G812" t="s">
        <v>12870</v>
      </c>
      <c r="H812" t="s">
        <v>12871</v>
      </c>
      <c r="I812" t="s">
        <v>431</v>
      </c>
      <c r="M812" t="s">
        <v>33</v>
      </c>
    </row>
    <row r="813" spans="1:13" x14ac:dyDescent="0.35">
      <c r="A813" t="s">
        <v>20</v>
      </c>
      <c r="B813">
        <v>17643</v>
      </c>
      <c r="C813" t="s">
        <v>426</v>
      </c>
      <c r="D813" t="s">
        <v>427</v>
      </c>
      <c r="E813" t="s">
        <v>12081</v>
      </c>
      <c r="F813" t="s">
        <v>12872</v>
      </c>
      <c r="G813" t="s">
        <v>12873</v>
      </c>
      <c r="H813" t="s">
        <v>12874</v>
      </c>
      <c r="I813" t="s">
        <v>431</v>
      </c>
      <c r="M813" t="s">
        <v>33</v>
      </c>
    </row>
    <row r="814" spans="1:13" x14ac:dyDescent="0.35">
      <c r="A814" t="s">
        <v>20</v>
      </c>
      <c r="B814">
        <v>17643</v>
      </c>
      <c r="C814" t="s">
        <v>426</v>
      </c>
      <c r="D814" t="s">
        <v>427</v>
      </c>
      <c r="E814" t="s">
        <v>12085</v>
      </c>
      <c r="F814" t="s">
        <v>12875</v>
      </c>
      <c r="G814" t="s">
        <v>12876</v>
      </c>
      <c r="H814" t="s">
        <v>12877</v>
      </c>
      <c r="I814" t="s">
        <v>431</v>
      </c>
      <c r="M814" t="s">
        <v>33</v>
      </c>
    </row>
    <row r="815" spans="1:13" x14ac:dyDescent="0.35">
      <c r="A815" t="s">
        <v>20</v>
      </c>
      <c r="B815">
        <v>17643</v>
      </c>
      <c r="C815" t="s">
        <v>426</v>
      </c>
      <c r="D815" t="s">
        <v>427</v>
      </c>
      <c r="E815" t="s">
        <v>12089</v>
      </c>
      <c r="F815" t="s">
        <v>12878</v>
      </c>
      <c r="G815" t="s">
        <v>12879</v>
      </c>
      <c r="H815" t="s">
        <v>12880</v>
      </c>
      <c r="I815" t="s">
        <v>431</v>
      </c>
      <c r="M815" t="s">
        <v>33</v>
      </c>
    </row>
    <row r="816" spans="1:13" x14ac:dyDescent="0.35">
      <c r="A816" t="s">
        <v>20</v>
      </c>
      <c r="B816">
        <v>17643</v>
      </c>
      <c r="C816" t="s">
        <v>426</v>
      </c>
      <c r="D816" t="s">
        <v>427</v>
      </c>
      <c r="E816" t="s">
        <v>12093</v>
      </c>
      <c r="F816" t="s">
        <v>12881</v>
      </c>
      <c r="G816" t="s">
        <v>12882</v>
      </c>
      <c r="H816" t="s">
        <v>12883</v>
      </c>
      <c r="I816" t="s">
        <v>431</v>
      </c>
      <c r="M816" t="s">
        <v>33</v>
      </c>
    </row>
    <row r="817" spans="1:13" x14ac:dyDescent="0.35">
      <c r="A817" t="s">
        <v>20</v>
      </c>
      <c r="B817">
        <v>17643</v>
      </c>
      <c r="C817" t="s">
        <v>426</v>
      </c>
      <c r="D817" t="s">
        <v>427</v>
      </c>
      <c r="E817" t="s">
        <v>12097</v>
      </c>
      <c r="F817" t="s">
        <v>12884</v>
      </c>
      <c r="G817" t="s">
        <v>12885</v>
      </c>
      <c r="H817" t="s">
        <v>12886</v>
      </c>
      <c r="I817" t="s">
        <v>431</v>
      </c>
      <c r="M817" t="s">
        <v>33</v>
      </c>
    </row>
    <row r="818" spans="1:13" x14ac:dyDescent="0.35">
      <c r="A818" t="s">
        <v>20</v>
      </c>
      <c r="B818">
        <v>17643</v>
      </c>
      <c r="C818" t="s">
        <v>426</v>
      </c>
      <c r="D818" t="s">
        <v>427</v>
      </c>
      <c r="E818" t="s">
        <v>12101</v>
      </c>
      <c r="F818" t="s">
        <v>12887</v>
      </c>
      <c r="G818" t="s">
        <v>12888</v>
      </c>
      <c r="H818" t="s">
        <v>12889</v>
      </c>
      <c r="I818" t="s">
        <v>431</v>
      </c>
      <c r="M818" t="s">
        <v>33</v>
      </c>
    </row>
    <row r="819" spans="1:13" x14ac:dyDescent="0.35">
      <c r="A819" t="s">
        <v>20</v>
      </c>
      <c r="B819">
        <v>17643</v>
      </c>
      <c r="C819" t="s">
        <v>426</v>
      </c>
      <c r="D819" t="s">
        <v>427</v>
      </c>
      <c r="E819" t="s">
        <v>12105</v>
      </c>
      <c r="F819" t="s">
        <v>12890</v>
      </c>
      <c r="G819" t="s">
        <v>12891</v>
      </c>
      <c r="H819" t="s">
        <v>12892</v>
      </c>
      <c r="I819" t="s">
        <v>431</v>
      </c>
      <c r="K819" t="s">
        <v>1681</v>
      </c>
      <c r="M819" t="s">
        <v>33</v>
      </c>
    </row>
    <row r="820" spans="1:13" x14ac:dyDescent="0.35">
      <c r="A820" t="s">
        <v>20</v>
      </c>
      <c r="B820">
        <v>17643</v>
      </c>
      <c r="C820" t="s">
        <v>426</v>
      </c>
      <c r="D820" t="s">
        <v>427</v>
      </c>
      <c r="E820" t="s">
        <v>12109</v>
      </c>
      <c r="F820" t="s">
        <v>12893</v>
      </c>
      <c r="G820" t="s">
        <v>12894</v>
      </c>
      <c r="H820" t="s">
        <v>12895</v>
      </c>
      <c r="I820" t="s">
        <v>431</v>
      </c>
      <c r="M820" t="s">
        <v>33</v>
      </c>
    </row>
    <row r="821" spans="1:13" x14ac:dyDescent="0.35">
      <c r="A821" t="s">
        <v>20</v>
      </c>
      <c r="B821">
        <v>17643</v>
      </c>
      <c r="C821" t="s">
        <v>426</v>
      </c>
      <c r="D821" t="s">
        <v>427</v>
      </c>
      <c r="E821" t="s">
        <v>12113</v>
      </c>
      <c r="F821" t="s">
        <v>12896</v>
      </c>
      <c r="G821" t="s">
        <v>12897</v>
      </c>
      <c r="H821" t="s">
        <v>12898</v>
      </c>
      <c r="I821" t="s">
        <v>431</v>
      </c>
      <c r="M821" t="s">
        <v>33</v>
      </c>
    </row>
    <row r="822" spans="1:13" x14ac:dyDescent="0.35">
      <c r="A822" t="s">
        <v>20</v>
      </c>
      <c r="B822">
        <v>17643</v>
      </c>
      <c r="C822" t="s">
        <v>426</v>
      </c>
      <c r="D822" t="s">
        <v>427</v>
      </c>
      <c r="E822" t="s">
        <v>12117</v>
      </c>
      <c r="F822" t="s">
        <v>12899</v>
      </c>
      <c r="G822" t="s">
        <v>12900</v>
      </c>
      <c r="H822" t="s">
        <v>12901</v>
      </c>
      <c r="I822" t="s">
        <v>431</v>
      </c>
      <c r="M822" t="s">
        <v>33</v>
      </c>
    </row>
    <row r="823" spans="1:13" x14ac:dyDescent="0.35">
      <c r="A823" t="s">
        <v>20</v>
      </c>
      <c r="B823">
        <v>17643</v>
      </c>
      <c r="C823" t="s">
        <v>426</v>
      </c>
      <c r="D823" t="s">
        <v>427</v>
      </c>
      <c r="E823" t="s">
        <v>12121</v>
      </c>
      <c r="F823" t="s">
        <v>12902</v>
      </c>
      <c r="G823" t="s">
        <v>12903</v>
      </c>
      <c r="H823" t="s">
        <v>12904</v>
      </c>
      <c r="I823" t="s">
        <v>431</v>
      </c>
      <c r="M823" t="s">
        <v>33</v>
      </c>
    </row>
    <row r="824" spans="1:13" x14ac:dyDescent="0.35">
      <c r="A824" t="s">
        <v>20</v>
      </c>
      <c r="B824">
        <v>17643</v>
      </c>
      <c r="C824" t="s">
        <v>426</v>
      </c>
      <c r="D824" t="s">
        <v>427</v>
      </c>
      <c r="E824" t="s">
        <v>12125</v>
      </c>
      <c r="F824" t="s">
        <v>12905</v>
      </c>
      <c r="G824" t="s">
        <v>12906</v>
      </c>
      <c r="H824" t="s">
        <v>12907</v>
      </c>
      <c r="I824" t="s">
        <v>431</v>
      </c>
      <c r="M824" t="s">
        <v>33</v>
      </c>
    </row>
    <row r="825" spans="1:13" x14ac:dyDescent="0.35">
      <c r="A825" t="s">
        <v>20</v>
      </c>
      <c r="B825">
        <v>17643</v>
      </c>
      <c r="C825" t="s">
        <v>426</v>
      </c>
      <c r="D825" t="s">
        <v>427</v>
      </c>
      <c r="E825" t="s">
        <v>12129</v>
      </c>
      <c r="F825" t="s">
        <v>12908</v>
      </c>
      <c r="G825" t="s">
        <v>12909</v>
      </c>
      <c r="H825" t="s">
        <v>12910</v>
      </c>
      <c r="I825" t="s">
        <v>431</v>
      </c>
      <c r="M825" t="s">
        <v>33</v>
      </c>
    </row>
    <row r="826" spans="1:13" x14ac:dyDescent="0.35">
      <c r="A826" t="s">
        <v>20</v>
      </c>
      <c r="B826">
        <v>17643</v>
      </c>
      <c r="C826" t="s">
        <v>426</v>
      </c>
      <c r="D826" t="s">
        <v>427</v>
      </c>
      <c r="E826" t="s">
        <v>12133</v>
      </c>
      <c r="F826" t="s">
        <v>12911</v>
      </c>
      <c r="G826" t="s">
        <v>12912</v>
      </c>
      <c r="H826" t="s">
        <v>12913</v>
      </c>
      <c r="I826" t="s">
        <v>431</v>
      </c>
      <c r="M826" t="s">
        <v>33</v>
      </c>
    </row>
    <row r="827" spans="1:13" x14ac:dyDescent="0.35">
      <c r="A827" t="s">
        <v>20</v>
      </c>
      <c r="B827">
        <v>17643</v>
      </c>
      <c r="C827" t="s">
        <v>426</v>
      </c>
      <c r="D827" t="s">
        <v>427</v>
      </c>
      <c r="E827" t="s">
        <v>12137</v>
      </c>
      <c r="F827" t="s">
        <v>12914</v>
      </c>
      <c r="G827" t="s">
        <v>12915</v>
      </c>
      <c r="H827" t="s">
        <v>12916</v>
      </c>
      <c r="I827" t="s">
        <v>431</v>
      </c>
      <c r="M827" t="s">
        <v>33</v>
      </c>
    </row>
    <row r="828" spans="1:13" x14ac:dyDescent="0.35">
      <c r="A828" t="s">
        <v>20</v>
      </c>
      <c r="B828">
        <v>17643</v>
      </c>
      <c r="C828" t="s">
        <v>426</v>
      </c>
      <c r="D828" t="s">
        <v>427</v>
      </c>
      <c r="E828" t="s">
        <v>12141</v>
      </c>
      <c r="F828" t="s">
        <v>12917</v>
      </c>
      <c r="G828" t="s">
        <v>12918</v>
      </c>
      <c r="H828" t="s">
        <v>12919</v>
      </c>
      <c r="I828" t="s">
        <v>431</v>
      </c>
      <c r="M828" t="s">
        <v>33</v>
      </c>
    </row>
    <row r="829" spans="1:13" x14ac:dyDescent="0.35">
      <c r="A829" t="s">
        <v>20</v>
      </c>
      <c r="B829">
        <v>17643</v>
      </c>
      <c r="C829" t="s">
        <v>426</v>
      </c>
      <c r="D829" t="s">
        <v>427</v>
      </c>
      <c r="E829" t="s">
        <v>12145</v>
      </c>
      <c r="F829" t="s">
        <v>12920</v>
      </c>
      <c r="G829" t="s">
        <v>12921</v>
      </c>
      <c r="H829" t="s">
        <v>12922</v>
      </c>
      <c r="I829" t="s">
        <v>431</v>
      </c>
      <c r="M829" t="s">
        <v>33</v>
      </c>
    </row>
    <row r="830" spans="1:13" x14ac:dyDescent="0.35">
      <c r="A830" t="s">
        <v>20</v>
      </c>
      <c r="B830">
        <v>17643</v>
      </c>
      <c r="C830" t="s">
        <v>426</v>
      </c>
      <c r="D830" t="s">
        <v>427</v>
      </c>
      <c r="E830" t="s">
        <v>12149</v>
      </c>
      <c r="F830" t="s">
        <v>12923</v>
      </c>
      <c r="G830" t="s">
        <v>12924</v>
      </c>
      <c r="H830" t="s">
        <v>12925</v>
      </c>
      <c r="I830" t="s">
        <v>431</v>
      </c>
      <c r="M830" t="s">
        <v>33</v>
      </c>
    </row>
    <row r="831" spans="1:13" x14ac:dyDescent="0.35">
      <c r="A831" t="s">
        <v>20</v>
      </c>
      <c r="B831">
        <v>17643</v>
      </c>
      <c r="C831" t="s">
        <v>426</v>
      </c>
      <c r="D831" t="s">
        <v>427</v>
      </c>
      <c r="E831" t="s">
        <v>12153</v>
      </c>
      <c r="F831" t="s">
        <v>12926</v>
      </c>
      <c r="G831" t="s">
        <v>12927</v>
      </c>
      <c r="H831" t="s">
        <v>12928</v>
      </c>
      <c r="I831" t="s">
        <v>431</v>
      </c>
      <c r="M831" t="s">
        <v>33</v>
      </c>
    </row>
    <row r="832" spans="1:13" x14ac:dyDescent="0.35">
      <c r="A832" t="s">
        <v>20</v>
      </c>
      <c r="B832">
        <v>17643</v>
      </c>
      <c r="C832" t="s">
        <v>426</v>
      </c>
      <c r="D832" t="s">
        <v>427</v>
      </c>
      <c r="E832" t="s">
        <v>12157</v>
      </c>
      <c r="F832" t="s">
        <v>12929</v>
      </c>
      <c r="G832" t="s">
        <v>12930</v>
      </c>
      <c r="H832" t="s">
        <v>12931</v>
      </c>
      <c r="I832" t="s">
        <v>431</v>
      </c>
      <c r="M832" t="s">
        <v>33</v>
      </c>
    </row>
    <row r="833" spans="1:13" x14ac:dyDescent="0.35">
      <c r="A833" t="s">
        <v>20</v>
      </c>
      <c r="B833">
        <v>17643</v>
      </c>
      <c r="C833" t="s">
        <v>426</v>
      </c>
      <c r="D833" t="s">
        <v>427</v>
      </c>
      <c r="E833" t="s">
        <v>12161</v>
      </c>
      <c r="F833" t="s">
        <v>12932</v>
      </c>
      <c r="G833" t="s">
        <v>12933</v>
      </c>
      <c r="H833" t="s">
        <v>12934</v>
      </c>
      <c r="I833" t="s">
        <v>431</v>
      </c>
      <c r="M833" t="s">
        <v>33</v>
      </c>
    </row>
    <row r="834" spans="1:13" x14ac:dyDescent="0.35">
      <c r="A834" t="s">
        <v>20</v>
      </c>
      <c r="B834">
        <v>17643</v>
      </c>
      <c r="C834" t="s">
        <v>426</v>
      </c>
      <c r="D834" t="s">
        <v>427</v>
      </c>
      <c r="E834" t="s">
        <v>12165</v>
      </c>
      <c r="F834" t="s">
        <v>12935</v>
      </c>
      <c r="G834" t="s">
        <v>12936</v>
      </c>
      <c r="H834" t="s">
        <v>12937</v>
      </c>
      <c r="I834" t="s">
        <v>431</v>
      </c>
      <c r="M834" t="s">
        <v>33</v>
      </c>
    </row>
    <row r="835" spans="1:13" x14ac:dyDescent="0.35">
      <c r="A835" t="s">
        <v>20</v>
      </c>
      <c r="B835">
        <v>17643</v>
      </c>
      <c r="C835" t="s">
        <v>426</v>
      </c>
      <c r="D835" t="s">
        <v>427</v>
      </c>
      <c r="E835" t="s">
        <v>12169</v>
      </c>
      <c r="F835" t="s">
        <v>12938</v>
      </c>
      <c r="G835" t="s">
        <v>12939</v>
      </c>
      <c r="H835" t="s">
        <v>12940</v>
      </c>
      <c r="I835" t="s">
        <v>431</v>
      </c>
      <c r="M835" t="s">
        <v>33</v>
      </c>
    </row>
    <row r="836" spans="1:13" x14ac:dyDescent="0.35">
      <c r="A836" t="s">
        <v>20</v>
      </c>
      <c r="B836">
        <v>17643</v>
      </c>
      <c r="C836" t="s">
        <v>426</v>
      </c>
      <c r="D836" t="s">
        <v>427</v>
      </c>
      <c r="E836" t="s">
        <v>12173</v>
      </c>
      <c r="F836" t="s">
        <v>12941</v>
      </c>
      <c r="G836" t="s">
        <v>12942</v>
      </c>
      <c r="H836" t="s">
        <v>12943</v>
      </c>
      <c r="I836" t="s">
        <v>431</v>
      </c>
      <c r="M836" t="s">
        <v>33</v>
      </c>
    </row>
    <row r="837" spans="1:13" x14ac:dyDescent="0.35">
      <c r="A837" t="s">
        <v>20</v>
      </c>
      <c r="B837">
        <v>17643</v>
      </c>
      <c r="C837" t="s">
        <v>426</v>
      </c>
      <c r="D837" t="s">
        <v>427</v>
      </c>
      <c r="E837" t="s">
        <v>12177</v>
      </c>
      <c r="F837" t="s">
        <v>12944</v>
      </c>
      <c r="G837" t="s">
        <v>12945</v>
      </c>
      <c r="H837" t="s">
        <v>12946</v>
      </c>
      <c r="I837" t="s">
        <v>431</v>
      </c>
      <c r="M837" t="s">
        <v>33</v>
      </c>
    </row>
    <row r="838" spans="1:13" x14ac:dyDescent="0.35">
      <c r="A838" t="s">
        <v>20</v>
      </c>
      <c r="B838">
        <v>17643</v>
      </c>
      <c r="C838" t="s">
        <v>426</v>
      </c>
      <c r="D838" t="s">
        <v>427</v>
      </c>
      <c r="E838" t="s">
        <v>12181</v>
      </c>
      <c r="F838" t="s">
        <v>12947</v>
      </c>
      <c r="G838" t="s">
        <v>12948</v>
      </c>
      <c r="H838" t="s">
        <v>12949</v>
      </c>
      <c r="I838" t="s">
        <v>431</v>
      </c>
      <c r="M838" t="s">
        <v>33</v>
      </c>
    </row>
    <row r="839" spans="1:13" x14ac:dyDescent="0.35">
      <c r="A839" t="s">
        <v>20</v>
      </c>
      <c r="B839">
        <v>17643</v>
      </c>
      <c r="C839" t="s">
        <v>426</v>
      </c>
      <c r="D839" t="s">
        <v>427</v>
      </c>
      <c r="E839" t="s">
        <v>12185</v>
      </c>
      <c r="F839" t="s">
        <v>12950</v>
      </c>
      <c r="G839" t="s">
        <v>12951</v>
      </c>
      <c r="H839" t="s">
        <v>12952</v>
      </c>
      <c r="I839" t="s">
        <v>431</v>
      </c>
      <c r="M839" t="s">
        <v>33</v>
      </c>
    </row>
    <row r="840" spans="1:13" x14ac:dyDescent="0.35">
      <c r="A840" t="s">
        <v>20</v>
      </c>
      <c r="B840">
        <v>17643</v>
      </c>
      <c r="C840" t="s">
        <v>426</v>
      </c>
      <c r="D840" t="s">
        <v>427</v>
      </c>
      <c r="E840" t="s">
        <v>12189</v>
      </c>
      <c r="F840" t="s">
        <v>12953</v>
      </c>
      <c r="G840" t="s">
        <v>12954</v>
      </c>
      <c r="H840" t="s">
        <v>12955</v>
      </c>
      <c r="I840" t="s">
        <v>431</v>
      </c>
      <c r="M840" t="s">
        <v>33</v>
      </c>
    </row>
    <row r="841" spans="1:13" x14ac:dyDescent="0.35">
      <c r="A841" t="s">
        <v>20</v>
      </c>
      <c r="B841">
        <v>17643</v>
      </c>
      <c r="C841" t="s">
        <v>426</v>
      </c>
      <c r="D841" t="s">
        <v>427</v>
      </c>
      <c r="E841" t="s">
        <v>12193</v>
      </c>
      <c r="F841" t="s">
        <v>12956</v>
      </c>
      <c r="G841" t="s">
        <v>12957</v>
      </c>
      <c r="H841" t="s">
        <v>12958</v>
      </c>
      <c r="I841" t="s">
        <v>431</v>
      </c>
      <c r="M841" t="s">
        <v>33</v>
      </c>
    </row>
    <row r="842" spans="1:13" x14ac:dyDescent="0.35">
      <c r="A842" t="s">
        <v>20</v>
      </c>
      <c r="B842">
        <v>17643</v>
      </c>
      <c r="C842" t="s">
        <v>426</v>
      </c>
      <c r="D842" t="s">
        <v>427</v>
      </c>
      <c r="E842" t="s">
        <v>12197</v>
      </c>
      <c r="F842" t="s">
        <v>12959</v>
      </c>
      <c r="G842" t="s">
        <v>12960</v>
      </c>
      <c r="H842" t="s">
        <v>12961</v>
      </c>
      <c r="I842" t="s">
        <v>431</v>
      </c>
      <c r="M842" t="s">
        <v>33</v>
      </c>
    </row>
    <row r="843" spans="1:13" x14ac:dyDescent="0.35">
      <c r="A843" t="s">
        <v>20</v>
      </c>
      <c r="B843">
        <v>17643</v>
      </c>
      <c r="C843" t="s">
        <v>426</v>
      </c>
      <c r="D843" t="s">
        <v>427</v>
      </c>
      <c r="E843" t="s">
        <v>12201</v>
      </c>
      <c r="F843" t="s">
        <v>12962</v>
      </c>
      <c r="G843" t="s">
        <v>12963</v>
      </c>
      <c r="H843" t="s">
        <v>12964</v>
      </c>
      <c r="I843" t="s">
        <v>431</v>
      </c>
      <c r="M843" t="s">
        <v>33</v>
      </c>
    </row>
    <row r="844" spans="1:13" x14ac:dyDescent="0.35">
      <c r="A844" t="s">
        <v>20</v>
      </c>
      <c r="B844">
        <v>17643</v>
      </c>
      <c r="C844" t="s">
        <v>426</v>
      </c>
      <c r="D844" t="s">
        <v>427</v>
      </c>
      <c r="E844" t="s">
        <v>12205</v>
      </c>
      <c r="F844" t="s">
        <v>12965</v>
      </c>
      <c r="G844" t="s">
        <v>12966</v>
      </c>
      <c r="H844" t="s">
        <v>12967</v>
      </c>
      <c r="I844" t="s">
        <v>431</v>
      </c>
      <c r="M844" t="s">
        <v>33</v>
      </c>
    </row>
    <row r="845" spans="1:13" x14ac:dyDescent="0.35">
      <c r="A845" t="s">
        <v>20</v>
      </c>
      <c r="B845">
        <v>17643</v>
      </c>
      <c r="C845" t="s">
        <v>426</v>
      </c>
      <c r="D845" t="s">
        <v>427</v>
      </c>
      <c r="E845" t="s">
        <v>12209</v>
      </c>
      <c r="F845" t="s">
        <v>12968</v>
      </c>
      <c r="G845" t="s">
        <v>12969</v>
      </c>
      <c r="H845" t="s">
        <v>12970</v>
      </c>
      <c r="I845" t="s">
        <v>431</v>
      </c>
      <c r="M845" t="s">
        <v>33</v>
      </c>
    </row>
    <row r="846" spans="1:13" x14ac:dyDescent="0.35">
      <c r="A846" t="s">
        <v>20</v>
      </c>
      <c r="B846">
        <v>17643</v>
      </c>
      <c r="C846" t="s">
        <v>426</v>
      </c>
      <c r="D846" t="s">
        <v>427</v>
      </c>
      <c r="E846" t="s">
        <v>12213</v>
      </c>
      <c r="F846" t="s">
        <v>12971</v>
      </c>
      <c r="G846" t="s">
        <v>12972</v>
      </c>
      <c r="H846" t="s">
        <v>12973</v>
      </c>
      <c r="I846" t="s">
        <v>431</v>
      </c>
      <c r="M846" t="s">
        <v>33</v>
      </c>
    </row>
    <row r="847" spans="1:13" x14ac:dyDescent="0.35">
      <c r="A847" t="s">
        <v>20</v>
      </c>
      <c r="B847">
        <v>17643</v>
      </c>
      <c r="C847" t="s">
        <v>426</v>
      </c>
      <c r="D847" t="s">
        <v>427</v>
      </c>
      <c r="E847" t="s">
        <v>12217</v>
      </c>
      <c r="F847" t="s">
        <v>12974</v>
      </c>
      <c r="G847" t="s">
        <v>12975</v>
      </c>
      <c r="H847" t="s">
        <v>12976</v>
      </c>
      <c r="I847" t="s">
        <v>431</v>
      </c>
      <c r="M847" t="s">
        <v>33</v>
      </c>
    </row>
    <row r="848" spans="1:13" x14ac:dyDescent="0.35">
      <c r="A848" t="s">
        <v>20</v>
      </c>
      <c r="B848">
        <v>17643</v>
      </c>
      <c r="C848" t="s">
        <v>426</v>
      </c>
      <c r="D848" t="s">
        <v>427</v>
      </c>
      <c r="E848" t="s">
        <v>12221</v>
      </c>
      <c r="F848" t="s">
        <v>12977</v>
      </c>
      <c r="G848" t="s">
        <v>12978</v>
      </c>
      <c r="H848" t="s">
        <v>12979</v>
      </c>
      <c r="I848" t="s">
        <v>431</v>
      </c>
      <c r="M848" t="s">
        <v>33</v>
      </c>
    </row>
    <row r="849" spans="1:13" x14ac:dyDescent="0.35">
      <c r="A849" t="s">
        <v>20</v>
      </c>
      <c r="B849">
        <v>17643</v>
      </c>
      <c r="C849" t="s">
        <v>426</v>
      </c>
      <c r="D849" t="s">
        <v>427</v>
      </c>
      <c r="E849" t="s">
        <v>12225</v>
      </c>
      <c r="F849" t="s">
        <v>12980</v>
      </c>
      <c r="G849" t="s">
        <v>12981</v>
      </c>
      <c r="H849" t="s">
        <v>12982</v>
      </c>
      <c r="I849" t="s">
        <v>431</v>
      </c>
      <c r="M849" t="s">
        <v>33</v>
      </c>
    </row>
    <row r="850" spans="1:13" x14ac:dyDescent="0.35">
      <c r="A850" t="s">
        <v>20</v>
      </c>
      <c r="B850">
        <v>17643</v>
      </c>
      <c r="C850" t="s">
        <v>426</v>
      </c>
      <c r="D850" t="s">
        <v>427</v>
      </c>
      <c r="E850" t="s">
        <v>12229</v>
      </c>
      <c r="F850" t="s">
        <v>12983</v>
      </c>
      <c r="G850" t="s">
        <v>12984</v>
      </c>
      <c r="H850" t="s">
        <v>12985</v>
      </c>
      <c r="I850" t="s">
        <v>431</v>
      </c>
      <c r="M850" t="s">
        <v>33</v>
      </c>
    </row>
    <row r="851" spans="1:13" x14ac:dyDescent="0.35">
      <c r="A851" t="s">
        <v>20</v>
      </c>
      <c r="B851">
        <v>17643</v>
      </c>
      <c r="C851" t="s">
        <v>426</v>
      </c>
      <c r="D851" t="s">
        <v>427</v>
      </c>
      <c r="E851" t="s">
        <v>12233</v>
      </c>
      <c r="F851" t="s">
        <v>12986</v>
      </c>
      <c r="G851" t="s">
        <v>12987</v>
      </c>
      <c r="H851" t="s">
        <v>12988</v>
      </c>
      <c r="I851" t="s">
        <v>431</v>
      </c>
      <c r="M851" t="s">
        <v>33</v>
      </c>
    </row>
    <row r="852" spans="1:13" x14ac:dyDescent="0.35">
      <c r="A852" t="s">
        <v>20</v>
      </c>
      <c r="B852">
        <v>17643</v>
      </c>
      <c r="C852" t="s">
        <v>426</v>
      </c>
      <c r="D852" t="s">
        <v>427</v>
      </c>
      <c r="E852" t="s">
        <v>12237</v>
      </c>
      <c r="F852" t="s">
        <v>12989</v>
      </c>
      <c r="G852" t="s">
        <v>12990</v>
      </c>
      <c r="H852" t="s">
        <v>12991</v>
      </c>
      <c r="I852" t="s">
        <v>431</v>
      </c>
      <c r="M852" t="s">
        <v>33</v>
      </c>
    </row>
    <row r="853" spans="1:13" x14ac:dyDescent="0.35">
      <c r="A853" t="s">
        <v>20</v>
      </c>
      <c r="B853">
        <v>17643</v>
      </c>
      <c r="C853" t="s">
        <v>426</v>
      </c>
      <c r="D853" t="s">
        <v>427</v>
      </c>
      <c r="E853" t="s">
        <v>12238</v>
      </c>
      <c r="F853" t="s">
        <v>12992</v>
      </c>
      <c r="G853" t="s">
        <v>12993</v>
      </c>
      <c r="H853" t="s">
        <v>12994</v>
      </c>
      <c r="I853" t="s">
        <v>431</v>
      </c>
      <c r="M853" t="s">
        <v>33</v>
      </c>
    </row>
    <row r="854" spans="1:13" x14ac:dyDescent="0.35">
      <c r="A854" t="s">
        <v>20</v>
      </c>
      <c r="B854">
        <v>17643</v>
      </c>
      <c r="C854" t="s">
        <v>426</v>
      </c>
      <c r="D854" t="s">
        <v>427</v>
      </c>
      <c r="E854" t="s">
        <v>12242</v>
      </c>
      <c r="F854" t="s">
        <v>12995</v>
      </c>
      <c r="G854" t="s">
        <v>12996</v>
      </c>
      <c r="H854" t="s">
        <v>12997</v>
      </c>
      <c r="I854" t="s">
        <v>431</v>
      </c>
      <c r="M854" t="s">
        <v>33</v>
      </c>
    </row>
    <row r="855" spans="1:13" x14ac:dyDescent="0.35">
      <c r="A855" t="s">
        <v>20</v>
      </c>
      <c r="B855">
        <v>17643</v>
      </c>
      <c r="C855" t="s">
        <v>426</v>
      </c>
      <c r="D855" t="s">
        <v>427</v>
      </c>
      <c r="E855" t="s">
        <v>12246</v>
      </c>
      <c r="F855" t="s">
        <v>12998</v>
      </c>
      <c r="G855" t="s">
        <v>12999</v>
      </c>
      <c r="H855" t="s">
        <v>13000</v>
      </c>
      <c r="I855" t="s">
        <v>431</v>
      </c>
      <c r="M855" t="s">
        <v>33</v>
      </c>
    </row>
    <row r="856" spans="1:13" x14ac:dyDescent="0.35">
      <c r="A856" t="s">
        <v>20</v>
      </c>
      <c r="B856">
        <v>17643</v>
      </c>
      <c r="C856" t="s">
        <v>426</v>
      </c>
      <c r="D856" t="s">
        <v>427</v>
      </c>
      <c r="E856" t="s">
        <v>12250</v>
      </c>
      <c r="F856" t="s">
        <v>13001</v>
      </c>
      <c r="G856" t="s">
        <v>13002</v>
      </c>
      <c r="H856" t="s">
        <v>13003</v>
      </c>
      <c r="I856" t="s">
        <v>431</v>
      </c>
      <c r="M856" t="s">
        <v>33</v>
      </c>
    </row>
    <row r="857" spans="1:13" x14ac:dyDescent="0.35">
      <c r="A857" t="s">
        <v>20</v>
      </c>
      <c r="B857">
        <v>17643</v>
      </c>
      <c r="C857" t="s">
        <v>426</v>
      </c>
      <c r="D857" t="s">
        <v>427</v>
      </c>
      <c r="E857" t="s">
        <v>12254</v>
      </c>
      <c r="F857" t="s">
        <v>13004</v>
      </c>
      <c r="G857" t="s">
        <v>13005</v>
      </c>
      <c r="H857" t="s">
        <v>13006</v>
      </c>
      <c r="I857" t="s">
        <v>431</v>
      </c>
      <c r="M857" t="s">
        <v>33</v>
      </c>
    </row>
    <row r="858" spans="1:13" x14ac:dyDescent="0.35">
      <c r="A858" t="s">
        <v>20</v>
      </c>
      <c r="B858">
        <v>17643</v>
      </c>
      <c r="C858" t="s">
        <v>426</v>
      </c>
      <c r="D858" t="s">
        <v>427</v>
      </c>
      <c r="E858" t="s">
        <v>12258</v>
      </c>
      <c r="F858" t="s">
        <v>13007</v>
      </c>
      <c r="G858" t="s">
        <v>13008</v>
      </c>
      <c r="H858" t="s">
        <v>13009</v>
      </c>
      <c r="I858" t="s">
        <v>431</v>
      </c>
      <c r="M858" t="s">
        <v>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2"/>
  <sheetViews>
    <sheetView workbookViewId="0">
      <selection activeCell="K14" sqref="K14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1528</v>
      </c>
      <c r="M1" t="s">
        <v>15</v>
      </c>
      <c r="N1" t="s">
        <v>19</v>
      </c>
    </row>
    <row r="2" spans="1:14" x14ac:dyDescent="0.35">
      <c r="A2" t="s">
        <v>20</v>
      </c>
      <c r="B2">
        <v>17644</v>
      </c>
      <c r="C2" t="s">
        <v>21</v>
      </c>
      <c r="D2" t="s">
        <v>22</v>
      </c>
      <c r="E2" t="s">
        <v>13439</v>
      </c>
      <c r="F2" t="s">
        <v>13440</v>
      </c>
      <c r="G2" t="s">
        <v>13441</v>
      </c>
      <c r="H2" t="s">
        <v>13442</v>
      </c>
      <c r="I2" t="s">
        <v>27</v>
      </c>
      <c r="M2" t="s">
        <v>33</v>
      </c>
    </row>
    <row r="3" spans="1:14" x14ac:dyDescent="0.35">
      <c r="A3" t="s">
        <v>20</v>
      </c>
      <c r="B3">
        <v>17644</v>
      </c>
      <c r="C3" t="s">
        <v>21</v>
      </c>
      <c r="D3" t="s">
        <v>22</v>
      </c>
      <c r="E3" t="s">
        <v>13443</v>
      </c>
      <c r="F3" t="s">
        <v>13444</v>
      </c>
      <c r="G3" t="s">
        <v>13445</v>
      </c>
      <c r="H3" t="s">
        <v>13446</v>
      </c>
      <c r="I3" t="s">
        <v>27</v>
      </c>
      <c r="M3" t="s">
        <v>33</v>
      </c>
    </row>
    <row r="4" spans="1:14" x14ac:dyDescent="0.35">
      <c r="A4" t="s">
        <v>20</v>
      </c>
      <c r="B4">
        <v>17644</v>
      </c>
      <c r="C4" t="s">
        <v>21</v>
      </c>
      <c r="D4" t="s">
        <v>22</v>
      </c>
      <c r="E4" t="s">
        <v>13447</v>
      </c>
      <c r="F4" t="s">
        <v>13448</v>
      </c>
      <c r="G4" t="s">
        <v>13449</v>
      </c>
      <c r="H4" t="s">
        <v>13450</v>
      </c>
      <c r="I4" t="s">
        <v>27</v>
      </c>
      <c r="M4" t="s">
        <v>33</v>
      </c>
    </row>
    <row r="5" spans="1:14" x14ac:dyDescent="0.35">
      <c r="A5" t="s">
        <v>20</v>
      </c>
      <c r="B5">
        <v>17644</v>
      </c>
      <c r="C5" t="s">
        <v>21</v>
      </c>
      <c r="D5" t="s">
        <v>22</v>
      </c>
      <c r="E5" t="s">
        <v>13451</v>
      </c>
      <c r="F5" t="s">
        <v>13452</v>
      </c>
      <c r="G5" t="s">
        <v>13453</v>
      </c>
      <c r="H5" t="s">
        <v>13454</v>
      </c>
      <c r="I5" t="s">
        <v>27</v>
      </c>
      <c r="M5" t="s">
        <v>33</v>
      </c>
    </row>
    <row r="6" spans="1:14" x14ac:dyDescent="0.35">
      <c r="A6" t="s">
        <v>20</v>
      </c>
      <c r="B6">
        <v>17644</v>
      </c>
      <c r="C6" t="s">
        <v>21</v>
      </c>
      <c r="D6" t="s">
        <v>22</v>
      </c>
      <c r="E6" t="s">
        <v>13455</v>
      </c>
      <c r="F6" t="s">
        <v>13456</v>
      </c>
      <c r="G6" t="s">
        <v>13457</v>
      </c>
      <c r="H6" t="s">
        <v>13458</v>
      </c>
      <c r="I6" t="s">
        <v>27</v>
      </c>
      <c r="M6" t="s">
        <v>33</v>
      </c>
    </row>
    <row r="7" spans="1:14" x14ac:dyDescent="0.35">
      <c r="A7" t="s">
        <v>20</v>
      </c>
      <c r="B7">
        <v>17644</v>
      </c>
      <c r="C7" t="s">
        <v>21</v>
      </c>
      <c r="D7" t="s">
        <v>22</v>
      </c>
      <c r="E7" t="s">
        <v>13459</v>
      </c>
      <c r="F7" t="s">
        <v>13460</v>
      </c>
      <c r="G7" t="s">
        <v>13461</v>
      </c>
      <c r="H7" t="s">
        <v>13462</v>
      </c>
      <c r="I7" t="s">
        <v>27</v>
      </c>
      <c r="M7" t="s">
        <v>33</v>
      </c>
    </row>
    <row r="8" spans="1:14" x14ac:dyDescent="0.35">
      <c r="A8" t="s">
        <v>20</v>
      </c>
      <c r="B8">
        <v>17644</v>
      </c>
      <c r="C8" t="s">
        <v>21</v>
      </c>
      <c r="D8" t="s">
        <v>22</v>
      </c>
      <c r="E8" t="s">
        <v>13463</v>
      </c>
      <c r="F8" t="s">
        <v>13464</v>
      </c>
      <c r="G8" t="s">
        <v>13465</v>
      </c>
      <c r="H8" t="s">
        <v>13466</v>
      </c>
      <c r="I8" t="s">
        <v>27</v>
      </c>
      <c r="M8" t="s">
        <v>33</v>
      </c>
    </row>
    <row r="9" spans="1:14" x14ac:dyDescent="0.35">
      <c r="A9" t="s">
        <v>20</v>
      </c>
      <c r="B9">
        <v>17644</v>
      </c>
      <c r="C9" t="s">
        <v>21</v>
      </c>
      <c r="D9" t="s">
        <v>22</v>
      </c>
      <c r="E9" t="s">
        <v>13467</v>
      </c>
      <c r="F9" t="s">
        <v>13468</v>
      </c>
      <c r="G9" t="s">
        <v>13469</v>
      </c>
      <c r="H9" t="s">
        <v>13470</v>
      </c>
      <c r="I9" t="s">
        <v>27</v>
      </c>
      <c r="M9" t="s">
        <v>33</v>
      </c>
    </row>
    <row r="10" spans="1:14" x14ac:dyDescent="0.35">
      <c r="A10" t="s">
        <v>20</v>
      </c>
      <c r="B10">
        <v>17644</v>
      </c>
      <c r="C10" t="s">
        <v>21</v>
      </c>
      <c r="D10" t="s">
        <v>22</v>
      </c>
      <c r="E10" t="s">
        <v>13471</v>
      </c>
      <c r="F10" t="s">
        <v>13472</v>
      </c>
      <c r="G10" t="s">
        <v>13473</v>
      </c>
      <c r="H10" t="s">
        <v>13474</v>
      </c>
      <c r="I10" t="s">
        <v>27</v>
      </c>
      <c r="M10" t="s">
        <v>33</v>
      </c>
    </row>
    <row r="11" spans="1:14" x14ac:dyDescent="0.35">
      <c r="A11" t="s">
        <v>20</v>
      </c>
      <c r="B11">
        <v>17644</v>
      </c>
      <c r="C11" t="s">
        <v>21</v>
      </c>
      <c r="D11" t="s">
        <v>22</v>
      </c>
      <c r="E11" t="s">
        <v>13475</v>
      </c>
      <c r="F11" t="s">
        <v>13476</v>
      </c>
      <c r="G11" t="s">
        <v>13477</v>
      </c>
      <c r="H11" t="s">
        <v>13478</v>
      </c>
      <c r="I11" t="s">
        <v>27</v>
      </c>
      <c r="M11" t="s">
        <v>33</v>
      </c>
    </row>
    <row r="12" spans="1:14" x14ac:dyDescent="0.35">
      <c r="A12" t="s">
        <v>20</v>
      </c>
      <c r="B12">
        <v>17644</v>
      </c>
      <c r="C12" t="s">
        <v>21</v>
      </c>
      <c r="D12" t="s">
        <v>22</v>
      </c>
      <c r="E12" t="s">
        <v>13479</v>
      </c>
      <c r="F12" t="s">
        <v>9599</v>
      </c>
      <c r="G12" t="s">
        <v>13480</v>
      </c>
      <c r="H12" t="s">
        <v>13481</v>
      </c>
      <c r="I12" t="s">
        <v>27</v>
      </c>
      <c r="M12" t="s">
        <v>33</v>
      </c>
    </row>
    <row r="13" spans="1:14" x14ac:dyDescent="0.35">
      <c r="A13" t="s">
        <v>20</v>
      </c>
      <c r="B13">
        <v>17644</v>
      </c>
      <c r="C13" t="s">
        <v>21</v>
      </c>
      <c r="D13" t="s">
        <v>22</v>
      </c>
      <c r="E13" t="s">
        <v>13482</v>
      </c>
      <c r="F13" t="s">
        <v>13483</v>
      </c>
      <c r="G13" t="s">
        <v>13484</v>
      </c>
      <c r="H13" t="s">
        <v>13485</v>
      </c>
      <c r="I13" t="s">
        <v>27</v>
      </c>
      <c r="M13" t="s">
        <v>33</v>
      </c>
    </row>
    <row r="14" spans="1:14" x14ac:dyDescent="0.35">
      <c r="A14" t="s">
        <v>20</v>
      </c>
      <c r="B14">
        <v>17644</v>
      </c>
      <c r="C14" t="s">
        <v>21</v>
      </c>
      <c r="D14" t="s">
        <v>22</v>
      </c>
      <c r="E14" t="s">
        <v>13486</v>
      </c>
      <c r="F14" t="s">
        <v>13487</v>
      </c>
      <c r="G14" t="s">
        <v>13488</v>
      </c>
      <c r="H14" t="s">
        <v>13489</v>
      </c>
      <c r="I14" t="s">
        <v>27</v>
      </c>
      <c r="M14" t="s">
        <v>33</v>
      </c>
    </row>
    <row r="15" spans="1:14" x14ac:dyDescent="0.35">
      <c r="A15" t="s">
        <v>20</v>
      </c>
      <c r="B15">
        <v>17644</v>
      </c>
      <c r="C15" t="s">
        <v>21</v>
      </c>
      <c r="D15" t="s">
        <v>22</v>
      </c>
      <c r="E15" t="s">
        <v>13490</v>
      </c>
      <c r="F15" t="s">
        <v>13491</v>
      </c>
      <c r="G15" t="s">
        <v>13492</v>
      </c>
      <c r="H15" t="s">
        <v>13493</v>
      </c>
      <c r="I15" t="s">
        <v>27</v>
      </c>
      <c r="M15" t="s">
        <v>33</v>
      </c>
    </row>
    <row r="16" spans="1:14" x14ac:dyDescent="0.35">
      <c r="A16" t="s">
        <v>20</v>
      </c>
      <c r="B16">
        <v>17644</v>
      </c>
      <c r="C16" t="s">
        <v>21</v>
      </c>
      <c r="D16" t="s">
        <v>22</v>
      </c>
      <c r="E16" t="s">
        <v>13494</v>
      </c>
      <c r="F16" t="s">
        <v>13495</v>
      </c>
      <c r="G16" t="s">
        <v>13496</v>
      </c>
      <c r="H16" t="s">
        <v>13497</v>
      </c>
      <c r="I16" t="s">
        <v>27</v>
      </c>
      <c r="M16" t="s">
        <v>33</v>
      </c>
    </row>
    <row r="17" spans="1:13" x14ac:dyDescent="0.35">
      <c r="A17" t="s">
        <v>20</v>
      </c>
      <c r="B17">
        <v>17644</v>
      </c>
      <c r="C17" t="s">
        <v>21</v>
      </c>
      <c r="D17" t="s">
        <v>22</v>
      </c>
      <c r="E17" t="s">
        <v>13498</v>
      </c>
      <c r="F17" t="s">
        <v>13499</v>
      </c>
      <c r="G17" t="s">
        <v>13500</v>
      </c>
      <c r="H17" t="s">
        <v>13501</v>
      </c>
      <c r="I17" t="s">
        <v>27</v>
      </c>
      <c r="M17" t="s">
        <v>33</v>
      </c>
    </row>
    <row r="18" spans="1:13" x14ac:dyDescent="0.35">
      <c r="A18" t="s">
        <v>20</v>
      </c>
      <c r="B18">
        <v>17644</v>
      </c>
      <c r="C18" t="s">
        <v>21</v>
      </c>
      <c r="D18" t="s">
        <v>22</v>
      </c>
      <c r="E18" t="s">
        <v>13502</v>
      </c>
      <c r="F18" t="s">
        <v>13503</v>
      </c>
      <c r="G18" t="s">
        <v>13504</v>
      </c>
      <c r="H18" t="s">
        <v>13505</v>
      </c>
      <c r="I18" t="s">
        <v>27</v>
      </c>
      <c r="M18" t="s">
        <v>33</v>
      </c>
    </row>
    <row r="19" spans="1:13" x14ac:dyDescent="0.35">
      <c r="A19" t="s">
        <v>20</v>
      </c>
      <c r="B19">
        <v>17644</v>
      </c>
      <c r="C19" t="s">
        <v>21</v>
      </c>
      <c r="D19" t="s">
        <v>22</v>
      </c>
      <c r="E19" t="s">
        <v>13506</v>
      </c>
      <c r="F19" t="s">
        <v>13507</v>
      </c>
      <c r="G19" t="s">
        <v>13508</v>
      </c>
      <c r="H19" t="s">
        <v>13509</v>
      </c>
      <c r="I19" t="s">
        <v>27</v>
      </c>
      <c r="M19" t="s">
        <v>33</v>
      </c>
    </row>
    <row r="20" spans="1:13" x14ac:dyDescent="0.35">
      <c r="A20" t="s">
        <v>20</v>
      </c>
      <c r="B20">
        <v>17644</v>
      </c>
      <c r="C20" t="s">
        <v>21</v>
      </c>
      <c r="D20" t="s">
        <v>22</v>
      </c>
      <c r="E20" t="s">
        <v>13510</v>
      </c>
      <c r="F20" t="s">
        <v>13511</v>
      </c>
      <c r="G20" t="s">
        <v>13512</v>
      </c>
      <c r="H20" t="s">
        <v>13513</v>
      </c>
      <c r="I20" t="s">
        <v>27</v>
      </c>
      <c r="M20" t="s">
        <v>33</v>
      </c>
    </row>
    <row r="21" spans="1:13" x14ac:dyDescent="0.35">
      <c r="A21" t="s">
        <v>20</v>
      </c>
      <c r="B21">
        <v>17644</v>
      </c>
      <c r="C21" t="s">
        <v>21</v>
      </c>
      <c r="D21" t="s">
        <v>22</v>
      </c>
      <c r="E21" t="s">
        <v>13514</v>
      </c>
      <c r="F21" t="s">
        <v>4579</v>
      </c>
      <c r="G21" t="s">
        <v>13515</v>
      </c>
      <c r="H21" t="s">
        <v>13516</v>
      </c>
      <c r="I21" t="s">
        <v>27</v>
      </c>
      <c r="M21" t="s">
        <v>33</v>
      </c>
    </row>
    <row r="22" spans="1:13" x14ac:dyDescent="0.35">
      <c r="A22" t="s">
        <v>20</v>
      </c>
      <c r="B22">
        <v>17644</v>
      </c>
      <c r="C22" t="s">
        <v>21</v>
      </c>
      <c r="D22" t="s">
        <v>22</v>
      </c>
      <c r="E22" t="s">
        <v>13517</v>
      </c>
      <c r="F22" t="s">
        <v>13518</v>
      </c>
      <c r="G22" t="s">
        <v>13519</v>
      </c>
      <c r="H22" t="s">
        <v>13520</v>
      </c>
      <c r="I22" t="s">
        <v>27</v>
      </c>
      <c r="M22" t="s">
        <v>33</v>
      </c>
    </row>
    <row r="23" spans="1:13" x14ac:dyDescent="0.35">
      <c r="A23" t="s">
        <v>20</v>
      </c>
      <c r="B23">
        <v>17644</v>
      </c>
      <c r="C23" t="s">
        <v>21</v>
      </c>
      <c r="D23" t="s">
        <v>22</v>
      </c>
      <c r="E23" t="s">
        <v>13521</v>
      </c>
      <c r="F23" t="s">
        <v>13522</v>
      </c>
      <c r="G23" t="s">
        <v>13523</v>
      </c>
      <c r="H23" t="s">
        <v>13524</v>
      </c>
      <c r="I23" t="s">
        <v>27</v>
      </c>
      <c r="M23" t="s">
        <v>33</v>
      </c>
    </row>
    <row r="24" spans="1:13" x14ac:dyDescent="0.35">
      <c r="A24" t="s">
        <v>20</v>
      </c>
      <c r="B24">
        <v>17644</v>
      </c>
      <c r="C24" t="s">
        <v>21</v>
      </c>
      <c r="D24" t="s">
        <v>22</v>
      </c>
      <c r="E24" t="s">
        <v>13525</v>
      </c>
      <c r="F24" t="s">
        <v>9650</v>
      </c>
      <c r="G24" t="s">
        <v>13526</v>
      </c>
      <c r="H24" t="s">
        <v>13527</v>
      </c>
      <c r="I24" t="s">
        <v>27</v>
      </c>
      <c r="M24" t="s">
        <v>33</v>
      </c>
    </row>
    <row r="25" spans="1:13" x14ac:dyDescent="0.35">
      <c r="A25" t="s">
        <v>20</v>
      </c>
      <c r="B25">
        <v>17644</v>
      </c>
      <c r="C25" t="s">
        <v>21</v>
      </c>
      <c r="D25" t="s">
        <v>22</v>
      </c>
      <c r="E25" t="s">
        <v>13528</v>
      </c>
      <c r="F25" t="s">
        <v>11285</v>
      </c>
      <c r="G25" t="s">
        <v>13529</v>
      </c>
      <c r="H25" t="s">
        <v>13530</v>
      </c>
      <c r="I25" t="s">
        <v>27</v>
      </c>
      <c r="M25" t="s">
        <v>33</v>
      </c>
    </row>
    <row r="26" spans="1:13" x14ac:dyDescent="0.35">
      <c r="A26" t="s">
        <v>20</v>
      </c>
      <c r="B26">
        <v>17644</v>
      </c>
      <c r="C26" t="s">
        <v>21</v>
      </c>
      <c r="D26" t="s">
        <v>22</v>
      </c>
      <c r="E26" t="s">
        <v>13531</v>
      </c>
      <c r="F26" t="s">
        <v>13532</v>
      </c>
      <c r="G26" t="s">
        <v>13533</v>
      </c>
      <c r="H26" t="s">
        <v>13534</v>
      </c>
      <c r="I26" t="s">
        <v>27</v>
      </c>
      <c r="M26" t="s">
        <v>33</v>
      </c>
    </row>
    <row r="27" spans="1:13" x14ac:dyDescent="0.35">
      <c r="A27" t="s">
        <v>20</v>
      </c>
      <c r="B27">
        <v>17644</v>
      </c>
      <c r="C27" t="s">
        <v>21</v>
      </c>
      <c r="D27" t="s">
        <v>22</v>
      </c>
      <c r="E27" t="s">
        <v>13535</v>
      </c>
      <c r="F27" t="s">
        <v>13536</v>
      </c>
      <c r="G27" t="s">
        <v>13537</v>
      </c>
      <c r="H27" t="s">
        <v>13538</v>
      </c>
      <c r="I27" t="s">
        <v>27</v>
      </c>
      <c r="M27" t="s">
        <v>33</v>
      </c>
    </row>
    <row r="28" spans="1:13" x14ac:dyDescent="0.35">
      <c r="A28" t="s">
        <v>20</v>
      </c>
      <c r="B28">
        <v>17644</v>
      </c>
      <c r="C28" t="s">
        <v>21</v>
      </c>
      <c r="D28" t="s">
        <v>22</v>
      </c>
      <c r="E28" t="s">
        <v>13539</v>
      </c>
      <c r="F28" t="s">
        <v>13540</v>
      </c>
      <c r="G28" t="s">
        <v>13541</v>
      </c>
      <c r="H28" t="s">
        <v>13542</v>
      </c>
      <c r="I28" t="s">
        <v>27</v>
      </c>
      <c r="M28" t="s">
        <v>33</v>
      </c>
    </row>
    <row r="29" spans="1:13" x14ac:dyDescent="0.35">
      <c r="A29" t="s">
        <v>20</v>
      </c>
      <c r="B29">
        <v>17644</v>
      </c>
      <c r="C29" t="s">
        <v>21</v>
      </c>
      <c r="D29" t="s">
        <v>22</v>
      </c>
      <c r="E29" t="s">
        <v>13543</v>
      </c>
      <c r="F29" t="s">
        <v>13544</v>
      </c>
      <c r="G29" t="s">
        <v>13545</v>
      </c>
      <c r="H29" t="s">
        <v>13546</v>
      </c>
      <c r="I29" t="s">
        <v>27</v>
      </c>
      <c r="M29" t="s">
        <v>33</v>
      </c>
    </row>
    <row r="30" spans="1:13" x14ac:dyDescent="0.35">
      <c r="A30" t="s">
        <v>20</v>
      </c>
      <c r="B30">
        <v>17644</v>
      </c>
      <c r="C30" t="s">
        <v>21</v>
      </c>
      <c r="D30" t="s">
        <v>22</v>
      </c>
      <c r="E30" t="s">
        <v>13547</v>
      </c>
      <c r="F30" t="s">
        <v>13548</v>
      </c>
      <c r="G30" t="s">
        <v>13549</v>
      </c>
      <c r="H30" t="s">
        <v>13550</v>
      </c>
      <c r="I30" t="s">
        <v>27</v>
      </c>
      <c r="M30" t="s">
        <v>33</v>
      </c>
    </row>
    <row r="31" spans="1:13" x14ac:dyDescent="0.35">
      <c r="A31" t="s">
        <v>20</v>
      </c>
      <c r="B31">
        <v>17644</v>
      </c>
      <c r="C31" t="s">
        <v>21</v>
      </c>
      <c r="D31" t="s">
        <v>22</v>
      </c>
      <c r="E31" t="s">
        <v>13551</v>
      </c>
      <c r="F31" t="s">
        <v>13552</v>
      </c>
      <c r="G31" t="s">
        <v>13553</v>
      </c>
      <c r="H31" t="s">
        <v>13554</v>
      </c>
      <c r="I31" t="s">
        <v>27</v>
      </c>
      <c r="M31" t="s">
        <v>33</v>
      </c>
    </row>
    <row r="32" spans="1:13" x14ac:dyDescent="0.35">
      <c r="A32" t="s">
        <v>20</v>
      </c>
      <c r="B32">
        <v>17644</v>
      </c>
      <c r="C32" t="s">
        <v>21</v>
      </c>
      <c r="D32" t="s">
        <v>22</v>
      </c>
      <c r="E32" t="s">
        <v>13555</v>
      </c>
      <c r="F32" t="s">
        <v>13556</v>
      </c>
      <c r="G32" t="s">
        <v>13557</v>
      </c>
      <c r="H32" t="s">
        <v>13558</v>
      </c>
      <c r="I32" t="s">
        <v>27</v>
      </c>
      <c r="M32" t="s">
        <v>33</v>
      </c>
    </row>
    <row r="33" spans="1:13" x14ac:dyDescent="0.35">
      <c r="A33" t="s">
        <v>20</v>
      </c>
      <c r="B33">
        <v>17644</v>
      </c>
      <c r="C33" t="s">
        <v>21</v>
      </c>
      <c r="D33" t="s">
        <v>22</v>
      </c>
      <c r="E33" t="s">
        <v>13559</v>
      </c>
      <c r="F33" t="s">
        <v>13560</v>
      </c>
      <c r="G33" t="s">
        <v>13561</v>
      </c>
      <c r="H33" t="s">
        <v>13562</v>
      </c>
      <c r="I33" t="s">
        <v>27</v>
      </c>
      <c r="M33" t="s">
        <v>33</v>
      </c>
    </row>
    <row r="34" spans="1:13" x14ac:dyDescent="0.35">
      <c r="A34" t="s">
        <v>20</v>
      </c>
      <c r="B34">
        <v>17644</v>
      </c>
      <c r="C34" t="s">
        <v>21</v>
      </c>
      <c r="D34" t="s">
        <v>22</v>
      </c>
      <c r="E34" t="s">
        <v>13563</v>
      </c>
      <c r="F34" t="s">
        <v>13564</v>
      </c>
      <c r="G34" t="s">
        <v>13565</v>
      </c>
      <c r="H34" t="s">
        <v>13566</v>
      </c>
      <c r="I34" t="s">
        <v>27</v>
      </c>
      <c r="M34" t="s">
        <v>33</v>
      </c>
    </row>
    <row r="35" spans="1:13" x14ac:dyDescent="0.35">
      <c r="A35" t="s">
        <v>20</v>
      </c>
      <c r="B35">
        <v>17644</v>
      </c>
      <c r="C35" t="s">
        <v>21</v>
      </c>
      <c r="D35" t="s">
        <v>22</v>
      </c>
      <c r="E35" t="s">
        <v>13567</v>
      </c>
      <c r="F35" t="s">
        <v>13568</v>
      </c>
      <c r="G35" t="s">
        <v>13569</v>
      </c>
      <c r="H35" t="s">
        <v>13570</v>
      </c>
      <c r="I35" t="s">
        <v>27</v>
      </c>
      <c r="M35" t="s">
        <v>33</v>
      </c>
    </row>
    <row r="36" spans="1:13" x14ac:dyDescent="0.35">
      <c r="A36" t="s">
        <v>20</v>
      </c>
      <c r="B36">
        <v>17644</v>
      </c>
      <c r="C36" t="s">
        <v>21</v>
      </c>
      <c r="D36" t="s">
        <v>22</v>
      </c>
      <c r="E36" t="s">
        <v>13571</v>
      </c>
      <c r="F36" t="s">
        <v>13572</v>
      </c>
      <c r="G36" t="s">
        <v>13573</v>
      </c>
      <c r="H36" t="s">
        <v>13574</v>
      </c>
      <c r="I36" t="s">
        <v>27</v>
      </c>
      <c r="M36" t="s">
        <v>33</v>
      </c>
    </row>
    <row r="37" spans="1:13" x14ac:dyDescent="0.35">
      <c r="A37" t="s">
        <v>20</v>
      </c>
      <c r="B37">
        <v>17644</v>
      </c>
      <c r="C37" t="s">
        <v>21</v>
      </c>
      <c r="D37" t="s">
        <v>22</v>
      </c>
      <c r="E37" t="s">
        <v>13575</v>
      </c>
      <c r="F37" t="s">
        <v>13576</v>
      </c>
      <c r="G37" t="s">
        <v>13577</v>
      </c>
      <c r="H37" t="s">
        <v>13578</v>
      </c>
      <c r="I37" t="s">
        <v>27</v>
      </c>
      <c r="M37" t="s">
        <v>33</v>
      </c>
    </row>
    <row r="38" spans="1:13" x14ac:dyDescent="0.35">
      <c r="A38" t="s">
        <v>20</v>
      </c>
      <c r="B38">
        <v>17644</v>
      </c>
      <c r="C38" t="s">
        <v>21</v>
      </c>
      <c r="D38" t="s">
        <v>22</v>
      </c>
      <c r="E38" t="s">
        <v>13579</v>
      </c>
      <c r="F38" t="s">
        <v>13580</v>
      </c>
      <c r="G38" t="s">
        <v>13581</v>
      </c>
      <c r="H38" t="s">
        <v>13582</v>
      </c>
      <c r="I38" t="s">
        <v>27</v>
      </c>
      <c r="M38" t="s">
        <v>33</v>
      </c>
    </row>
    <row r="39" spans="1:13" x14ac:dyDescent="0.35">
      <c r="A39" t="s">
        <v>20</v>
      </c>
      <c r="B39">
        <v>17644</v>
      </c>
      <c r="C39" t="s">
        <v>21</v>
      </c>
      <c r="D39" t="s">
        <v>22</v>
      </c>
      <c r="E39" t="s">
        <v>13583</v>
      </c>
      <c r="F39" t="s">
        <v>13584</v>
      </c>
      <c r="G39" t="s">
        <v>13585</v>
      </c>
      <c r="H39" t="s">
        <v>13586</v>
      </c>
      <c r="I39" t="s">
        <v>27</v>
      </c>
      <c r="M39" t="s">
        <v>33</v>
      </c>
    </row>
    <row r="40" spans="1:13" x14ac:dyDescent="0.35">
      <c r="A40" t="s">
        <v>20</v>
      </c>
      <c r="B40">
        <v>17644</v>
      </c>
      <c r="C40" t="s">
        <v>21</v>
      </c>
      <c r="D40" t="s">
        <v>22</v>
      </c>
      <c r="E40" t="s">
        <v>13587</v>
      </c>
      <c r="F40" t="s">
        <v>13588</v>
      </c>
      <c r="G40" t="s">
        <v>13589</v>
      </c>
      <c r="H40" t="s">
        <v>13590</v>
      </c>
      <c r="I40" t="s">
        <v>27</v>
      </c>
      <c r="M40" t="s">
        <v>33</v>
      </c>
    </row>
    <row r="41" spans="1:13" x14ac:dyDescent="0.35">
      <c r="A41" t="s">
        <v>20</v>
      </c>
      <c r="B41">
        <v>17644</v>
      </c>
      <c r="C41" t="s">
        <v>21</v>
      </c>
      <c r="D41" t="s">
        <v>22</v>
      </c>
      <c r="E41" t="s">
        <v>13591</v>
      </c>
      <c r="F41" t="s">
        <v>13592</v>
      </c>
      <c r="G41" t="s">
        <v>13593</v>
      </c>
      <c r="H41" t="s">
        <v>13594</v>
      </c>
      <c r="I41" t="s">
        <v>27</v>
      </c>
      <c r="M41" t="s">
        <v>33</v>
      </c>
    </row>
    <row r="42" spans="1:13" x14ac:dyDescent="0.35">
      <c r="A42" t="s">
        <v>20</v>
      </c>
      <c r="B42">
        <v>17644</v>
      </c>
      <c r="C42" t="s">
        <v>21</v>
      </c>
      <c r="D42" t="s">
        <v>22</v>
      </c>
      <c r="E42" t="s">
        <v>13595</v>
      </c>
      <c r="F42" t="s">
        <v>13596</v>
      </c>
      <c r="G42" t="s">
        <v>13597</v>
      </c>
      <c r="H42" t="s">
        <v>13598</v>
      </c>
      <c r="I42" t="s">
        <v>27</v>
      </c>
      <c r="M42" t="s">
        <v>33</v>
      </c>
    </row>
    <row r="43" spans="1:13" x14ac:dyDescent="0.35">
      <c r="A43" t="s">
        <v>20</v>
      </c>
      <c r="B43">
        <v>17644</v>
      </c>
      <c r="C43" t="s">
        <v>21</v>
      </c>
      <c r="D43" t="s">
        <v>22</v>
      </c>
      <c r="E43" t="s">
        <v>13599</v>
      </c>
      <c r="F43" t="s">
        <v>13600</v>
      </c>
      <c r="G43" t="s">
        <v>13601</v>
      </c>
      <c r="H43" t="s">
        <v>13602</v>
      </c>
      <c r="I43" t="s">
        <v>27</v>
      </c>
      <c r="M43" t="s">
        <v>33</v>
      </c>
    </row>
    <row r="44" spans="1:13" x14ac:dyDescent="0.35">
      <c r="A44" t="s">
        <v>20</v>
      </c>
      <c r="B44">
        <v>17644</v>
      </c>
      <c r="C44" t="s">
        <v>21</v>
      </c>
      <c r="D44" t="s">
        <v>22</v>
      </c>
      <c r="E44" t="s">
        <v>13603</v>
      </c>
      <c r="F44" t="s">
        <v>13604</v>
      </c>
      <c r="G44" t="s">
        <v>13605</v>
      </c>
      <c r="H44" t="s">
        <v>13606</v>
      </c>
      <c r="I44" t="s">
        <v>27</v>
      </c>
      <c r="M44" t="s">
        <v>33</v>
      </c>
    </row>
    <row r="45" spans="1:13" x14ac:dyDescent="0.35">
      <c r="A45" t="s">
        <v>20</v>
      </c>
      <c r="B45">
        <v>17644</v>
      </c>
      <c r="C45" t="s">
        <v>21</v>
      </c>
      <c r="D45" t="s">
        <v>22</v>
      </c>
      <c r="E45" t="s">
        <v>13607</v>
      </c>
      <c r="F45" t="s">
        <v>13608</v>
      </c>
      <c r="G45" t="s">
        <v>13609</v>
      </c>
      <c r="H45" t="s">
        <v>13610</v>
      </c>
      <c r="I45" t="s">
        <v>27</v>
      </c>
      <c r="M45" t="s">
        <v>33</v>
      </c>
    </row>
    <row r="46" spans="1:13" x14ac:dyDescent="0.35">
      <c r="A46" t="s">
        <v>20</v>
      </c>
      <c r="B46">
        <v>17644</v>
      </c>
      <c r="C46" t="s">
        <v>21</v>
      </c>
      <c r="D46" t="s">
        <v>22</v>
      </c>
      <c r="E46" t="s">
        <v>13611</v>
      </c>
      <c r="F46" t="s">
        <v>13612</v>
      </c>
      <c r="G46" t="s">
        <v>13613</v>
      </c>
      <c r="H46" t="s">
        <v>13614</v>
      </c>
      <c r="I46" t="s">
        <v>27</v>
      </c>
      <c r="M46" t="s">
        <v>33</v>
      </c>
    </row>
    <row r="47" spans="1:13" x14ac:dyDescent="0.35">
      <c r="A47" t="s">
        <v>20</v>
      </c>
      <c r="B47">
        <v>17644</v>
      </c>
      <c r="C47" t="s">
        <v>21</v>
      </c>
      <c r="D47" t="s">
        <v>22</v>
      </c>
      <c r="E47" t="s">
        <v>13615</v>
      </c>
      <c r="F47" t="s">
        <v>9737</v>
      </c>
      <c r="G47" t="s">
        <v>13616</v>
      </c>
      <c r="H47" t="s">
        <v>13617</v>
      </c>
      <c r="I47" t="s">
        <v>27</v>
      </c>
      <c r="M47" t="s">
        <v>33</v>
      </c>
    </row>
    <row r="48" spans="1:13" x14ac:dyDescent="0.35">
      <c r="A48" t="s">
        <v>20</v>
      </c>
      <c r="B48">
        <v>17644</v>
      </c>
      <c r="C48" t="s">
        <v>21</v>
      </c>
      <c r="D48" t="s">
        <v>22</v>
      </c>
      <c r="E48" t="s">
        <v>13618</v>
      </c>
      <c r="F48" t="s">
        <v>13619</v>
      </c>
      <c r="G48" t="s">
        <v>13620</v>
      </c>
      <c r="H48" t="s">
        <v>13621</v>
      </c>
      <c r="I48" t="s">
        <v>27</v>
      </c>
      <c r="M48" t="s">
        <v>33</v>
      </c>
    </row>
    <row r="49" spans="1:13" x14ac:dyDescent="0.35">
      <c r="A49" t="s">
        <v>20</v>
      </c>
      <c r="B49">
        <v>17644</v>
      </c>
      <c r="C49" t="s">
        <v>21</v>
      </c>
      <c r="D49" t="s">
        <v>22</v>
      </c>
      <c r="E49" t="s">
        <v>13622</v>
      </c>
      <c r="F49" t="s">
        <v>13623</v>
      </c>
      <c r="G49" t="s">
        <v>13624</v>
      </c>
      <c r="H49" t="s">
        <v>13625</v>
      </c>
      <c r="I49" t="s">
        <v>27</v>
      </c>
      <c r="M49" t="s">
        <v>33</v>
      </c>
    </row>
    <row r="50" spans="1:13" x14ac:dyDescent="0.35">
      <c r="A50" t="s">
        <v>20</v>
      </c>
      <c r="B50">
        <v>17644</v>
      </c>
      <c r="C50" t="s">
        <v>21</v>
      </c>
      <c r="D50" t="s">
        <v>22</v>
      </c>
      <c r="E50" t="s">
        <v>13626</v>
      </c>
      <c r="F50" t="s">
        <v>13627</v>
      </c>
      <c r="G50" t="s">
        <v>13628</v>
      </c>
      <c r="H50" t="s">
        <v>13629</v>
      </c>
      <c r="I50" t="s">
        <v>27</v>
      </c>
      <c r="M50" t="s">
        <v>33</v>
      </c>
    </row>
    <row r="51" spans="1:13" x14ac:dyDescent="0.35">
      <c r="A51" t="s">
        <v>20</v>
      </c>
      <c r="B51">
        <v>17644</v>
      </c>
      <c r="C51" t="s">
        <v>21</v>
      </c>
      <c r="D51" t="s">
        <v>22</v>
      </c>
      <c r="E51" t="s">
        <v>13630</v>
      </c>
      <c r="F51" t="s">
        <v>13631</v>
      </c>
      <c r="G51" t="s">
        <v>13632</v>
      </c>
      <c r="H51" t="s">
        <v>13633</v>
      </c>
      <c r="I51" t="s">
        <v>27</v>
      </c>
      <c r="M51" t="s">
        <v>33</v>
      </c>
    </row>
    <row r="52" spans="1:13" x14ac:dyDescent="0.35">
      <c r="A52" t="s">
        <v>20</v>
      </c>
      <c r="B52">
        <v>17644</v>
      </c>
      <c r="C52" t="s">
        <v>21</v>
      </c>
      <c r="D52" t="s">
        <v>22</v>
      </c>
      <c r="E52" t="s">
        <v>13634</v>
      </c>
      <c r="F52" t="s">
        <v>13635</v>
      </c>
      <c r="G52" t="s">
        <v>13636</v>
      </c>
      <c r="H52" t="s">
        <v>13637</v>
      </c>
      <c r="I52" t="s">
        <v>27</v>
      </c>
      <c r="M52" t="s">
        <v>33</v>
      </c>
    </row>
    <row r="53" spans="1:13" x14ac:dyDescent="0.35">
      <c r="A53" t="s">
        <v>20</v>
      </c>
      <c r="B53">
        <v>17644</v>
      </c>
      <c r="C53" t="s">
        <v>21</v>
      </c>
      <c r="D53" t="s">
        <v>22</v>
      </c>
      <c r="E53" t="s">
        <v>13638</v>
      </c>
      <c r="F53" t="s">
        <v>13639</v>
      </c>
      <c r="G53" t="s">
        <v>13640</v>
      </c>
      <c r="H53" t="s">
        <v>13641</v>
      </c>
      <c r="I53" t="s">
        <v>27</v>
      </c>
      <c r="M53" t="s">
        <v>33</v>
      </c>
    </row>
    <row r="54" spans="1:13" x14ac:dyDescent="0.35">
      <c r="A54" t="s">
        <v>20</v>
      </c>
      <c r="B54">
        <v>17644</v>
      </c>
      <c r="C54" t="s">
        <v>21</v>
      </c>
      <c r="D54" t="s">
        <v>22</v>
      </c>
      <c r="E54" t="s">
        <v>13642</v>
      </c>
      <c r="F54" t="s">
        <v>13643</v>
      </c>
      <c r="G54" t="s">
        <v>13644</v>
      </c>
      <c r="H54" t="s">
        <v>13645</v>
      </c>
      <c r="I54" t="s">
        <v>27</v>
      </c>
      <c r="M54" t="s">
        <v>33</v>
      </c>
    </row>
    <row r="55" spans="1:13" x14ac:dyDescent="0.35">
      <c r="A55" t="s">
        <v>20</v>
      </c>
      <c r="B55">
        <v>17644</v>
      </c>
      <c r="C55" t="s">
        <v>21</v>
      </c>
      <c r="D55" t="s">
        <v>22</v>
      </c>
      <c r="E55" t="s">
        <v>13646</v>
      </c>
      <c r="F55" t="s">
        <v>13647</v>
      </c>
      <c r="G55" t="s">
        <v>13648</v>
      </c>
      <c r="H55" t="s">
        <v>13649</v>
      </c>
      <c r="I55" t="s">
        <v>27</v>
      </c>
      <c r="M55" t="s">
        <v>33</v>
      </c>
    </row>
    <row r="56" spans="1:13" x14ac:dyDescent="0.35">
      <c r="A56" t="s">
        <v>20</v>
      </c>
      <c r="B56">
        <v>17644</v>
      </c>
      <c r="C56" t="s">
        <v>21</v>
      </c>
      <c r="D56" t="s">
        <v>22</v>
      </c>
      <c r="E56" t="s">
        <v>13650</v>
      </c>
      <c r="F56" t="s">
        <v>13651</v>
      </c>
      <c r="G56" t="s">
        <v>13652</v>
      </c>
      <c r="H56" t="s">
        <v>13653</v>
      </c>
      <c r="I56" t="s">
        <v>27</v>
      </c>
      <c r="M56" t="s">
        <v>33</v>
      </c>
    </row>
    <row r="57" spans="1:13" x14ac:dyDescent="0.35">
      <c r="A57" t="s">
        <v>20</v>
      </c>
      <c r="B57">
        <v>17644</v>
      </c>
      <c r="C57" t="s">
        <v>21</v>
      </c>
      <c r="D57" t="s">
        <v>22</v>
      </c>
      <c r="E57" t="s">
        <v>13654</v>
      </c>
      <c r="F57" t="s">
        <v>13655</v>
      </c>
      <c r="G57" t="s">
        <v>13656</v>
      </c>
      <c r="H57" t="s">
        <v>13657</v>
      </c>
      <c r="I57" t="s">
        <v>27</v>
      </c>
      <c r="M57" t="s">
        <v>33</v>
      </c>
    </row>
    <row r="58" spans="1:13" x14ac:dyDescent="0.35">
      <c r="A58" t="s">
        <v>20</v>
      </c>
      <c r="B58">
        <v>17644</v>
      </c>
      <c r="C58" t="s">
        <v>21</v>
      </c>
      <c r="D58" t="s">
        <v>22</v>
      </c>
      <c r="E58" t="s">
        <v>13658</v>
      </c>
      <c r="F58" t="s">
        <v>13659</v>
      </c>
      <c r="G58" t="s">
        <v>13660</v>
      </c>
      <c r="H58" t="s">
        <v>13661</v>
      </c>
      <c r="I58" t="s">
        <v>27</v>
      </c>
      <c r="M58" t="s">
        <v>33</v>
      </c>
    </row>
    <row r="59" spans="1:13" x14ac:dyDescent="0.35">
      <c r="A59" t="s">
        <v>20</v>
      </c>
      <c r="B59">
        <v>17644</v>
      </c>
      <c r="C59" t="s">
        <v>21</v>
      </c>
      <c r="D59" t="s">
        <v>22</v>
      </c>
      <c r="E59" t="s">
        <v>13662</v>
      </c>
      <c r="F59" t="s">
        <v>13663</v>
      </c>
      <c r="G59" t="s">
        <v>13664</v>
      </c>
      <c r="H59" t="s">
        <v>13665</v>
      </c>
      <c r="I59" t="s">
        <v>27</v>
      </c>
      <c r="M59" t="s">
        <v>33</v>
      </c>
    </row>
    <row r="60" spans="1:13" x14ac:dyDescent="0.35">
      <c r="A60" t="s">
        <v>20</v>
      </c>
      <c r="B60">
        <v>17644</v>
      </c>
      <c r="C60" t="s">
        <v>21</v>
      </c>
      <c r="D60" t="s">
        <v>22</v>
      </c>
      <c r="E60" t="s">
        <v>13666</v>
      </c>
      <c r="F60" t="s">
        <v>13667</v>
      </c>
      <c r="G60" t="s">
        <v>13668</v>
      </c>
      <c r="H60" t="s">
        <v>13669</v>
      </c>
      <c r="I60" t="s">
        <v>27</v>
      </c>
      <c r="M60" t="s">
        <v>33</v>
      </c>
    </row>
    <row r="61" spans="1:13" x14ac:dyDescent="0.35">
      <c r="A61" t="s">
        <v>20</v>
      </c>
      <c r="B61">
        <v>17644</v>
      </c>
      <c r="C61" t="s">
        <v>21</v>
      </c>
      <c r="D61" t="s">
        <v>22</v>
      </c>
      <c r="E61" t="s">
        <v>13670</v>
      </c>
      <c r="F61" t="s">
        <v>13671</v>
      </c>
      <c r="G61" t="s">
        <v>13672</v>
      </c>
      <c r="H61" t="s">
        <v>13673</v>
      </c>
      <c r="I61" t="s">
        <v>27</v>
      </c>
      <c r="M61" t="s">
        <v>33</v>
      </c>
    </row>
    <row r="62" spans="1:13" x14ac:dyDescent="0.35">
      <c r="A62" t="s">
        <v>20</v>
      </c>
      <c r="B62">
        <v>17644</v>
      </c>
      <c r="C62" t="s">
        <v>21</v>
      </c>
      <c r="D62" t="s">
        <v>22</v>
      </c>
      <c r="E62" t="s">
        <v>13674</v>
      </c>
      <c r="F62" t="s">
        <v>13675</v>
      </c>
      <c r="G62" t="s">
        <v>13676</v>
      </c>
      <c r="H62" t="s">
        <v>13677</v>
      </c>
      <c r="I62" t="s">
        <v>27</v>
      </c>
      <c r="M62" t="s">
        <v>33</v>
      </c>
    </row>
    <row r="63" spans="1:13" x14ac:dyDescent="0.35">
      <c r="A63" t="s">
        <v>20</v>
      </c>
      <c r="B63">
        <v>17644</v>
      </c>
      <c r="C63" t="s">
        <v>21</v>
      </c>
      <c r="D63" t="s">
        <v>22</v>
      </c>
      <c r="E63" t="s">
        <v>13678</v>
      </c>
      <c r="F63" t="s">
        <v>13679</v>
      </c>
      <c r="G63" t="s">
        <v>13680</v>
      </c>
      <c r="H63" t="s">
        <v>13681</v>
      </c>
      <c r="I63" t="s">
        <v>27</v>
      </c>
      <c r="M63" t="s">
        <v>33</v>
      </c>
    </row>
    <row r="64" spans="1:13" x14ac:dyDescent="0.35">
      <c r="A64" t="s">
        <v>20</v>
      </c>
      <c r="B64">
        <v>17644</v>
      </c>
      <c r="C64" t="s">
        <v>21</v>
      </c>
      <c r="D64" t="s">
        <v>22</v>
      </c>
      <c r="E64" t="s">
        <v>13682</v>
      </c>
      <c r="F64" t="s">
        <v>11408</v>
      </c>
      <c r="G64" t="s">
        <v>13683</v>
      </c>
      <c r="H64" t="s">
        <v>13684</v>
      </c>
      <c r="I64" t="s">
        <v>27</v>
      </c>
      <c r="M64" t="s">
        <v>33</v>
      </c>
    </row>
    <row r="65" spans="1:13" x14ac:dyDescent="0.35">
      <c r="A65" t="s">
        <v>20</v>
      </c>
      <c r="B65">
        <v>17644</v>
      </c>
      <c r="C65" t="s">
        <v>21</v>
      </c>
      <c r="D65" t="s">
        <v>22</v>
      </c>
      <c r="E65" t="s">
        <v>13685</v>
      </c>
      <c r="F65" t="s">
        <v>13686</v>
      </c>
      <c r="G65" t="s">
        <v>13687</v>
      </c>
      <c r="H65" t="s">
        <v>13688</v>
      </c>
      <c r="I65" t="s">
        <v>27</v>
      </c>
      <c r="M65" t="s">
        <v>33</v>
      </c>
    </row>
    <row r="66" spans="1:13" x14ac:dyDescent="0.35">
      <c r="A66" t="s">
        <v>20</v>
      </c>
      <c r="B66">
        <v>17644</v>
      </c>
      <c r="C66" t="s">
        <v>21</v>
      </c>
      <c r="D66" t="s">
        <v>22</v>
      </c>
      <c r="E66" t="s">
        <v>13689</v>
      </c>
      <c r="F66" t="s">
        <v>13690</v>
      </c>
      <c r="G66" t="s">
        <v>13691</v>
      </c>
      <c r="H66" t="s">
        <v>13692</v>
      </c>
      <c r="I66" t="s">
        <v>27</v>
      </c>
      <c r="M66" t="s">
        <v>33</v>
      </c>
    </row>
    <row r="67" spans="1:13" x14ac:dyDescent="0.35">
      <c r="A67" t="s">
        <v>20</v>
      </c>
      <c r="B67">
        <v>17644</v>
      </c>
      <c r="C67" t="s">
        <v>21</v>
      </c>
      <c r="D67" t="s">
        <v>22</v>
      </c>
      <c r="E67" t="s">
        <v>13693</v>
      </c>
      <c r="F67" t="s">
        <v>13694</v>
      </c>
      <c r="G67" t="s">
        <v>13695</v>
      </c>
      <c r="H67" t="s">
        <v>13696</v>
      </c>
      <c r="I67" t="s">
        <v>27</v>
      </c>
      <c r="M67" t="s">
        <v>33</v>
      </c>
    </row>
    <row r="68" spans="1:13" x14ac:dyDescent="0.35">
      <c r="A68" t="s">
        <v>20</v>
      </c>
      <c r="B68">
        <v>17644</v>
      </c>
      <c r="C68" t="s">
        <v>21</v>
      </c>
      <c r="D68" t="s">
        <v>22</v>
      </c>
      <c r="E68" t="s">
        <v>13697</v>
      </c>
      <c r="F68" t="s">
        <v>13698</v>
      </c>
      <c r="G68" t="s">
        <v>13699</v>
      </c>
      <c r="H68" t="s">
        <v>13700</v>
      </c>
      <c r="I68" t="s">
        <v>27</v>
      </c>
      <c r="M68" t="s">
        <v>33</v>
      </c>
    </row>
    <row r="69" spans="1:13" x14ac:dyDescent="0.35">
      <c r="A69" t="s">
        <v>20</v>
      </c>
      <c r="B69">
        <v>17644</v>
      </c>
      <c r="C69" t="s">
        <v>21</v>
      </c>
      <c r="D69" t="s">
        <v>22</v>
      </c>
      <c r="E69" t="s">
        <v>13701</v>
      </c>
      <c r="F69" t="s">
        <v>13702</v>
      </c>
      <c r="G69" t="s">
        <v>13703</v>
      </c>
      <c r="H69" t="s">
        <v>13704</v>
      </c>
      <c r="I69" t="s">
        <v>27</v>
      </c>
      <c r="M69" t="s">
        <v>33</v>
      </c>
    </row>
    <row r="70" spans="1:13" x14ac:dyDescent="0.35">
      <c r="A70" t="s">
        <v>20</v>
      </c>
      <c r="B70">
        <v>17644</v>
      </c>
      <c r="C70" t="s">
        <v>21</v>
      </c>
      <c r="D70" t="s">
        <v>22</v>
      </c>
      <c r="E70" t="s">
        <v>13705</v>
      </c>
      <c r="F70" t="s">
        <v>13706</v>
      </c>
      <c r="G70" t="s">
        <v>13707</v>
      </c>
      <c r="H70" t="s">
        <v>13708</v>
      </c>
      <c r="I70" t="s">
        <v>27</v>
      </c>
      <c r="M70" t="s">
        <v>33</v>
      </c>
    </row>
    <row r="71" spans="1:13" x14ac:dyDescent="0.35">
      <c r="A71" t="s">
        <v>20</v>
      </c>
      <c r="B71">
        <v>17644</v>
      </c>
      <c r="C71" t="s">
        <v>21</v>
      </c>
      <c r="D71" t="s">
        <v>22</v>
      </c>
      <c r="E71" t="s">
        <v>13709</v>
      </c>
      <c r="F71" t="s">
        <v>13710</v>
      </c>
      <c r="G71" t="s">
        <v>13711</v>
      </c>
      <c r="H71" t="s">
        <v>13712</v>
      </c>
      <c r="I71" t="s">
        <v>27</v>
      </c>
      <c r="M71" t="s">
        <v>33</v>
      </c>
    </row>
    <row r="72" spans="1:13" x14ac:dyDescent="0.35">
      <c r="A72" t="s">
        <v>20</v>
      </c>
      <c r="B72">
        <v>17644</v>
      </c>
      <c r="C72" t="s">
        <v>21</v>
      </c>
      <c r="D72" t="s">
        <v>22</v>
      </c>
      <c r="E72" t="s">
        <v>13713</v>
      </c>
      <c r="F72" t="s">
        <v>13714</v>
      </c>
      <c r="G72" t="s">
        <v>13715</v>
      </c>
      <c r="H72" t="s">
        <v>13716</v>
      </c>
      <c r="I72" t="s">
        <v>27</v>
      </c>
      <c r="M72" t="s">
        <v>33</v>
      </c>
    </row>
    <row r="73" spans="1:13" x14ac:dyDescent="0.35">
      <c r="A73" t="s">
        <v>20</v>
      </c>
      <c r="B73">
        <v>17644</v>
      </c>
      <c r="C73" t="s">
        <v>21</v>
      </c>
      <c r="D73" t="s">
        <v>22</v>
      </c>
      <c r="E73" t="s">
        <v>13717</v>
      </c>
      <c r="F73" t="s">
        <v>13718</v>
      </c>
      <c r="G73" t="s">
        <v>13719</v>
      </c>
      <c r="H73" t="s">
        <v>13720</v>
      </c>
      <c r="I73" t="s">
        <v>27</v>
      </c>
      <c r="M73" t="s">
        <v>33</v>
      </c>
    </row>
    <row r="74" spans="1:13" x14ac:dyDescent="0.35">
      <c r="A74" t="s">
        <v>20</v>
      </c>
      <c r="B74">
        <v>17644</v>
      </c>
      <c r="C74" t="s">
        <v>21</v>
      </c>
      <c r="D74" t="s">
        <v>22</v>
      </c>
      <c r="E74" t="s">
        <v>13721</v>
      </c>
      <c r="F74" t="s">
        <v>13722</v>
      </c>
      <c r="G74" t="s">
        <v>13723</v>
      </c>
      <c r="H74" t="s">
        <v>13724</v>
      </c>
      <c r="I74" t="s">
        <v>27</v>
      </c>
      <c r="M74" t="s">
        <v>33</v>
      </c>
    </row>
    <row r="75" spans="1:13" x14ac:dyDescent="0.35">
      <c r="A75" t="s">
        <v>20</v>
      </c>
      <c r="B75">
        <v>17644</v>
      </c>
      <c r="C75" t="s">
        <v>21</v>
      </c>
      <c r="D75" t="s">
        <v>22</v>
      </c>
      <c r="E75" t="s">
        <v>13725</v>
      </c>
      <c r="F75" t="s">
        <v>13726</v>
      </c>
      <c r="G75" t="s">
        <v>13727</v>
      </c>
      <c r="H75" t="s">
        <v>13728</v>
      </c>
      <c r="I75" t="s">
        <v>27</v>
      </c>
      <c r="M75" t="s">
        <v>33</v>
      </c>
    </row>
    <row r="76" spans="1:13" x14ac:dyDescent="0.35">
      <c r="A76" t="s">
        <v>20</v>
      </c>
      <c r="B76">
        <v>17644</v>
      </c>
      <c r="C76" t="s">
        <v>21</v>
      </c>
      <c r="D76" t="s">
        <v>22</v>
      </c>
      <c r="E76" t="s">
        <v>13729</v>
      </c>
      <c r="F76" t="s">
        <v>13730</v>
      </c>
      <c r="G76" t="s">
        <v>13731</v>
      </c>
      <c r="H76" t="s">
        <v>13732</v>
      </c>
      <c r="I76" t="s">
        <v>27</v>
      </c>
      <c r="M76" t="s">
        <v>33</v>
      </c>
    </row>
    <row r="77" spans="1:13" x14ac:dyDescent="0.35">
      <c r="A77" t="s">
        <v>20</v>
      </c>
      <c r="B77">
        <v>17644</v>
      </c>
      <c r="C77" t="s">
        <v>21</v>
      </c>
      <c r="D77" t="s">
        <v>22</v>
      </c>
      <c r="E77" t="s">
        <v>13733</v>
      </c>
      <c r="F77" t="s">
        <v>13734</v>
      </c>
      <c r="G77" t="s">
        <v>13735</v>
      </c>
      <c r="H77" t="s">
        <v>13736</v>
      </c>
      <c r="I77" t="s">
        <v>27</v>
      </c>
      <c r="M77" t="s">
        <v>33</v>
      </c>
    </row>
    <row r="78" spans="1:13" x14ac:dyDescent="0.35">
      <c r="A78" t="s">
        <v>20</v>
      </c>
      <c r="B78">
        <v>17644</v>
      </c>
      <c r="C78" t="s">
        <v>21</v>
      </c>
      <c r="D78" t="s">
        <v>22</v>
      </c>
      <c r="E78" t="s">
        <v>13737</v>
      </c>
      <c r="F78" t="s">
        <v>13738</v>
      </c>
      <c r="G78" t="s">
        <v>13739</v>
      </c>
      <c r="H78" t="s">
        <v>13740</v>
      </c>
      <c r="I78" t="s">
        <v>27</v>
      </c>
      <c r="M78" t="s">
        <v>33</v>
      </c>
    </row>
    <row r="79" spans="1:13" x14ac:dyDescent="0.35">
      <c r="A79" t="s">
        <v>20</v>
      </c>
      <c r="B79">
        <v>17644</v>
      </c>
      <c r="C79" t="s">
        <v>21</v>
      </c>
      <c r="D79" t="s">
        <v>22</v>
      </c>
      <c r="E79" t="s">
        <v>13741</v>
      </c>
      <c r="F79" t="s">
        <v>13742</v>
      </c>
      <c r="G79" t="s">
        <v>13743</v>
      </c>
      <c r="H79" t="s">
        <v>13744</v>
      </c>
      <c r="I79" t="s">
        <v>27</v>
      </c>
      <c r="M79" t="s">
        <v>33</v>
      </c>
    </row>
    <row r="80" spans="1:13" x14ac:dyDescent="0.35">
      <c r="A80" t="s">
        <v>20</v>
      </c>
      <c r="B80">
        <v>17644</v>
      </c>
      <c r="C80" t="s">
        <v>21</v>
      </c>
      <c r="D80" t="s">
        <v>22</v>
      </c>
      <c r="E80" t="s">
        <v>13745</v>
      </c>
      <c r="F80" t="s">
        <v>13746</v>
      </c>
      <c r="G80" t="s">
        <v>13747</v>
      </c>
      <c r="H80" t="s">
        <v>13748</v>
      </c>
      <c r="I80" t="s">
        <v>27</v>
      </c>
      <c r="M80" t="s">
        <v>33</v>
      </c>
    </row>
    <row r="81" spans="1:13" x14ac:dyDescent="0.35">
      <c r="A81" t="s">
        <v>20</v>
      </c>
      <c r="B81">
        <v>17644</v>
      </c>
      <c r="C81" t="s">
        <v>21</v>
      </c>
      <c r="D81" t="s">
        <v>22</v>
      </c>
      <c r="E81" t="s">
        <v>13749</v>
      </c>
      <c r="F81" t="s">
        <v>13750</v>
      </c>
      <c r="G81" t="s">
        <v>13751</v>
      </c>
      <c r="H81" t="s">
        <v>13752</v>
      </c>
      <c r="I81" t="s">
        <v>27</v>
      </c>
      <c r="M81" t="s">
        <v>33</v>
      </c>
    </row>
    <row r="82" spans="1:13" x14ac:dyDescent="0.35">
      <c r="A82" t="s">
        <v>20</v>
      </c>
      <c r="B82">
        <v>17644</v>
      </c>
      <c r="C82" t="s">
        <v>21</v>
      </c>
      <c r="D82" t="s">
        <v>22</v>
      </c>
      <c r="E82" t="s">
        <v>13753</v>
      </c>
      <c r="F82" t="s">
        <v>13754</v>
      </c>
      <c r="G82" t="s">
        <v>13755</v>
      </c>
      <c r="H82" t="s">
        <v>13756</v>
      </c>
      <c r="I82" t="s">
        <v>27</v>
      </c>
      <c r="M82" t="s">
        <v>33</v>
      </c>
    </row>
    <row r="83" spans="1:13" x14ac:dyDescent="0.35">
      <c r="A83" t="s">
        <v>20</v>
      </c>
      <c r="B83">
        <v>17644</v>
      </c>
      <c r="C83" t="s">
        <v>21</v>
      </c>
      <c r="D83" t="s">
        <v>22</v>
      </c>
      <c r="E83" t="s">
        <v>13757</v>
      </c>
      <c r="F83" t="s">
        <v>13758</v>
      </c>
      <c r="G83" t="s">
        <v>13759</v>
      </c>
      <c r="H83" t="s">
        <v>13760</v>
      </c>
      <c r="I83" t="s">
        <v>27</v>
      </c>
      <c r="M83" t="s">
        <v>33</v>
      </c>
    </row>
    <row r="84" spans="1:13" x14ac:dyDescent="0.35">
      <c r="A84" t="s">
        <v>20</v>
      </c>
      <c r="B84">
        <v>17644</v>
      </c>
      <c r="C84" t="s">
        <v>21</v>
      </c>
      <c r="D84" t="s">
        <v>22</v>
      </c>
      <c r="E84" t="s">
        <v>13761</v>
      </c>
      <c r="F84" t="s">
        <v>13762</v>
      </c>
      <c r="G84" t="s">
        <v>13763</v>
      </c>
      <c r="H84" t="s">
        <v>13764</v>
      </c>
      <c r="I84" t="s">
        <v>27</v>
      </c>
      <c r="M84" t="s">
        <v>33</v>
      </c>
    </row>
    <row r="85" spans="1:13" x14ac:dyDescent="0.35">
      <c r="A85" t="s">
        <v>20</v>
      </c>
      <c r="B85">
        <v>17644</v>
      </c>
      <c r="C85" t="s">
        <v>21</v>
      </c>
      <c r="D85" t="s">
        <v>22</v>
      </c>
      <c r="E85" t="s">
        <v>13765</v>
      </c>
      <c r="F85" t="s">
        <v>13766</v>
      </c>
      <c r="G85" t="s">
        <v>13767</v>
      </c>
      <c r="H85" t="s">
        <v>13768</v>
      </c>
      <c r="I85" t="s">
        <v>27</v>
      </c>
      <c r="M85" t="s">
        <v>33</v>
      </c>
    </row>
    <row r="86" spans="1:13" x14ac:dyDescent="0.35">
      <c r="A86" t="s">
        <v>20</v>
      </c>
      <c r="B86">
        <v>17644</v>
      </c>
      <c r="C86" t="s">
        <v>21</v>
      </c>
      <c r="D86" t="s">
        <v>22</v>
      </c>
      <c r="E86" t="s">
        <v>13769</v>
      </c>
      <c r="F86" t="s">
        <v>13770</v>
      </c>
      <c r="G86" t="s">
        <v>13771</v>
      </c>
      <c r="H86" t="s">
        <v>13772</v>
      </c>
      <c r="I86" t="s">
        <v>27</v>
      </c>
      <c r="M86" t="s">
        <v>33</v>
      </c>
    </row>
    <row r="87" spans="1:13" x14ac:dyDescent="0.35">
      <c r="A87" t="s">
        <v>20</v>
      </c>
      <c r="B87">
        <v>17644</v>
      </c>
      <c r="C87" t="s">
        <v>21</v>
      </c>
      <c r="D87" t="s">
        <v>22</v>
      </c>
      <c r="E87" t="s">
        <v>13773</v>
      </c>
      <c r="F87" t="s">
        <v>13774</v>
      </c>
      <c r="G87" t="s">
        <v>13775</v>
      </c>
      <c r="H87" t="s">
        <v>13776</v>
      </c>
      <c r="I87" t="s">
        <v>27</v>
      </c>
      <c r="M87" t="s">
        <v>33</v>
      </c>
    </row>
    <row r="88" spans="1:13" x14ac:dyDescent="0.35">
      <c r="A88" t="s">
        <v>20</v>
      </c>
      <c r="B88">
        <v>17644</v>
      </c>
      <c r="C88" t="s">
        <v>21</v>
      </c>
      <c r="D88" t="s">
        <v>22</v>
      </c>
      <c r="E88" t="s">
        <v>13777</v>
      </c>
      <c r="F88" t="s">
        <v>13778</v>
      </c>
      <c r="G88" t="s">
        <v>13779</v>
      </c>
      <c r="H88" t="s">
        <v>13780</v>
      </c>
      <c r="I88" t="s">
        <v>27</v>
      </c>
      <c r="M88" t="s">
        <v>33</v>
      </c>
    </row>
    <row r="89" spans="1:13" x14ac:dyDescent="0.35">
      <c r="A89" t="s">
        <v>20</v>
      </c>
      <c r="B89">
        <v>17644</v>
      </c>
      <c r="C89" t="s">
        <v>21</v>
      </c>
      <c r="D89" t="s">
        <v>22</v>
      </c>
      <c r="E89" t="s">
        <v>13781</v>
      </c>
      <c r="F89" t="s">
        <v>13782</v>
      </c>
      <c r="G89" t="s">
        <v>13783</v>
      </c>
      <c r="H89" t="s">
        <v>13784</v>
      </c>
      <c r="I89" t="s">
        <v>27</v>
      </c>
      <c r="M89" t="s">
        <v>33</v>
      </c>
    </row>
    <row r="90" spans="1:13" x14ac:dyDescent="0.35">
      <c r="A90" t="s">
        <v>20</v>
      </c>
      <c r="B90">
        <v>17644</v>
      </c>
      <c r="C90" t="s">
        <v>21</v>
      </c>
      <c r="D90" t="s">
        <v>22</v>
      </c>
      <c r="E90" t="s">
        <v>13785</v>
      </c>
      <c r="F90" t="s">
        <v>13786</v>
      </c>
      <c r="G90" t="s">
        <v>13787</v>
      </c>
      <c r="H90" t="s">
        <v>13788</v>
      </c>
      <c r="I90" t="s">
        <v>27</v>
      </c>
      <c r="M90" t="s">
        <v>33</v>
      </c>
    </row>
    <row r="91" spans="1:13" x14ac:dyDescent="0.35">
      <c r="A91" t="s">
        <v>20</v>
      </c>
      <c r="B91">
        <v>17644</v>
      </c>
      <c r="C91" t="s">
        <v>21</v>
      </c>
      <c r="D91" t="s">
        <v>22</v>
      </c>
      <c r="E91" t="s">
        <v>13789</v>
      </c>
      <c r="F91" t="s">
        <v>13790</v>
      </c>
      <c r="G91" t="s">
        <v>13791</v>
      </c>
      <c r="H91" t="s">
        <v>13792</v>
      </c>
      <c r="I91" t="s">
        <v>27</v>
      </c>
      <c r="M91" t="s">
        <v>33</v>
      </c>
    </row>
    <row r="92" spans="1:13" x14ac:dyDescent="0.35">
      <c r="A92" t="s">
        <v>20</v>
      </c>
      <c r="B92">
        <v>17644</v>
      </c>
      <c r="C92" t="s">
        <v>21</v>
      </c>
      <c r="D92" t="s">
        <v>22</v>
      </c>
      <c r="E92" t="s">
        <v>13793</v>
      </c>
      <c r="F92" t="s">
        <v>13794</v>
      </c>
      <c r="G92" t="s">
        <v>13795</v>
      </c>
      <c r="H92" t="s">
        <v>13796</v>
      </c>
      <c r="I92" t="s">
        <v>27</v>
      </c>
      <c r="M92" t="s">
        <v>33</v>
      </c>
    </row>
    <row r="93" spans="1:13" x14ac:dyDescent="0.35">
      <c r="A93" t="s">
        <v>20</v>
      </c>
      <c r="B93">
        <v>17644</v>
      </c>
      <c r="C93" t="s">
        <v>21</v>
      </c>
      <c r="D93" t="s">
        <v>22</v>
      </c>
      <c r="E93" t="s">
        <v>13797</v>
      </c>
      <c r="F93" t="s">
        <v>13798</v>
      </c>
      <c r="G93" t="s">
        <v>13799</v>
      </c>
      <c r="H93" t="s">
        <v>13800</v>
      </c>
      <c r="I93" t="s">
        <v>27</v>
      </c>
      <c r="M93" t="s">
        <v>33</v>
      </c>
    </row>
    <row r="94" spans="1:13" x14ac:dyDescent="0.35">
      <c r="A94" t="s">
        <v>20</v>
      </c>
      <c r="B94">
        <v>17644</v>
      </c>
      <c r="C94" t="s">
        <v>21</v>
      </c>
      <c r="D94" t="s">
        <v>22</v>
      </c>
      <c r="E94" t="s">
        <v>13801</v>
      </c>
      <c r="F94" t="s">
        <v>13802</v>
      </c>
      <c r="G94" t="s">
        <v>13803</v>
      </c>
      <c r="H94" t="s">
        <v>13804</v>
      </c>
      <c r="I94" t="s">
        <v>27</v>
      </c>
      <c r="M94" t="s">
        <v>33</v>
      </c>
    </row>
    <row r="95" spans="1:13" x14ac:dyDescent="0.35">
      <c r="A95" t="s">
        <v>20</v>
      </c>
      <c r="B95">
        <v>17644</v>
      </c>
      <c r="C95" t="s">
        <v>21</v>
      </c>
      <c r="D95" t="s">
        <v>22</v>
      </c>
      <c r="E95" t="s">
        <v>13805</v>
      </c>
      <c r="F95" t="s">
        <v>13806</v>
      </c>
      <c r="G95" t="s">
        <v>13807</v>
      </c>
      <c r="H95" t="s">
        <v>13808</v>
      </c>
      <c r="I95" t="s">
        <v>27</v>
      </c>
      <c r="M95" t="s">
        <v>33</v>
      </c>
    </row>
    <row r="96" spans="1:13" x14ac:dyDescent="0.35">
      <c r="A96" t="s">
        <v>20</v>
      </c>
      <c r="B96">
        <v>17644</v>
      </c>
      <c r="C96" t="s">
        <v>21</v>
      </c>
      <c r="D96" t="s">
        <v>22</v>
      </c>
      <c r="E96" t="s">
        <v>13809</v>
      </c>
      <c r="F96" t="s">
        <v>13810</v>
      </c>
      <c r="G96" t="s">
        <v>13811</v>
      </c>
      <c r="H96" t="s">
        <v>13812</v>
      </c>
      <c r="I96" t="s">
        <v>27</v>
      </c>
      <c r="M96" t="s">
        <v>33</v>
      </c>
    </row>
    <row r="97" spans="1:13" x14ac:dyDescent="0.35">
      <c r="A97" t="s">
        <v>20</v>
      </c>
      <c r="B97">
        <v>17644</v>
      </c>
      <c r="C97" t="s">
        <v>21</v>
      </c>
      <c r="D97" t="s">
        <v>22</v>
      </c>
      <c r="E97" t="s">
        <v>13813</v>
      </c>
      <c r="F97" t="s">
        <v>13814</v>
      </c>
      <c r="G97" t="s">
        <v>13815</v>
      </c>
      <c r="H97" t="s">
        <v>13816</v>
      </c>
      <c r="I97" t="s">
        <v>27</v>
      </c>
      <c r="M97" t="s">
        <v>33</v>
      </c>
    </row>
    <row r="98" spans="1:13" x14ac:dyDescent="0.35">
      <c r="A98" t="s">
        <v>20</v>
      </c>
      <c r="B98">
        <v>17644</v>
      </c>
      <c r="C98" t="s">
        <v>21</v>
      </c>
      <c r="D98" t="s">
        <v>22</v>
      </c>
      <c r="E98" t="s">
        <v>13817</v>
      </c>
      <c r="F98" t="s">
        <v>13818</v>
      </c>
      <c r="G98" t="s">
        <v>13819</v>
      </c>
      <c r="H98" t="s">
        <v>13820</v>
      </c>
      <c r="I98" t="s">
        <v>27</v>
      </c>
      <c r="M98" t="s">
        <v>33</v>
      </c>
    </row>
    <row r="99" spans="1:13" x14ac:dyDescent="0.35">
      <c r="A99" t="s">
        <v>20</v>
      </c>
      <c r="B99">
        <v>17644</v>
      </c>
      <c r="C99" t="s">
        <v>21</v>
      </c>
      <c r="D99" t="s">
        <v>22</v>
      </c>
      <c r="E99" t="s">
        <v>13821</v>
      </c>
      <c r="F99" t="s">
        <v>13822</v>
      </c>
      <c r="G99" t="s">
        <v>13823</v>
      </c>
      <c r="H99" t="s">
        <v>13824</v>
      </c>
      <c r="I99" t="s">
        <v>27</v>
      </c>
      <c r="M99" t="s">
        <v>33</v>
      </c>
    </row>
    <row r="100" spans="1:13" x14ac:dyDescent="0.35">
      <c r="A100" t="s">
        <v>20</v>
      </c>
      <c r="B100">
        <v>17644</v>
      </c>
      <c r="C100" t="s">
        <v>21</v>
      </c>
      <c r="D100" t="s">
        <v>22</v>
      </c>
      <c r="E100" t="s">
        <v>13825</v>
      </c>
      <c r="F100" t="s">
        <v>13826</v>
      </c>
      <c r="G100" t="s">
        <v>13827</v>
      </c>
      <c r="H100" t="s">
        <v>13828</v>
      </c>
      <c r="I100" t="s">
        <v>27</v>
      </c>
      <c r="M100" t="s">
        <v>33</v>
      </c>
    </row>
    <row r="101" spans="1:13" x14ac:dyDescent="0.35">
      <c r="A101" t="s">
        <v>20</v>
      </c>
      <c r="B101">
        <v>17644</v>
      </c>
      <c r="C101" t="s">
        <v>21</v>
      </c>
      <c r="D101" t="s">
        <v>22</v>
      </c>
      <c r="E101" t="s">
        <v>13829</v>
      </c>
      <c r="F101" t="s">
        <v>13830</v>
      </c>
      <c r="G101" t="s">
        <v>13831</v>
      </c>
      <c r="H101" t="s">
        <v>13832</v>
      </c>
      <c r="I101" t="s">
        <v>27</v>
      </c>
      <c r="M101" t="s">
        <v>33</v>
      </c>
    </row>
    <row r="102" spans="1:13" x14ac:dyDescent="0.35">
      <c r="A102" t="s">
        <v>20</v>
      </c>
      <c r="B102">
        <v>17644</v>
      </c>
      <c r="C102" t="s">
        <v>21</v>
      </c>
      <c r="D102" t="s">
        <v>22</v>
      </c>
      <c r="E102" t="s">
        <v>13833</v>
      </c>
      <c r="F102" t="s">
        <v>13834</v>
      </c>
      <c r="G102" t="s">
        <v>13835</v>
      </c>
      <c r="H102" t="s">
        <v>13836</v>
      </c>
      <c r="I102" t="s">
        <v>27</v>
      </c>
      <c r="M102" t="s">
        <v>33</v>
      </c>
    </row>
    <row r="103" spans="1:13" x14ac:dyDescent="0.35">
      <c r="A103" t="s">
        <v>20</v>
      </c>
      <c r="B103">
        <v>17644</v>
      </c>
      <c r="C103" t="s">
        <v>21</v>
      </c>
      <c r="D103" t="s">
        <v>22</v>
      </c>
      <c r="E103" t="s">
        <v>13837</v>
      </c>
      <c r="F103" t="s">
        <v>13838</v>
      </c>
      <c r="G103" t="s">
        <v>13839</v>
      </c>
      <c r="H103" t="s">
        <v>13840</v>
      </c>
      <c r="I103" t="s">
        <v>27</v>
      </c>
      <c r="M103" t="s">
        <v>33</v>
      </c>
    </row>
    <row r="104" spans="1:13" x14ac:dyDescent="0.35">
      <c r="A104" t="s">
        <v>20</v>
      </c>
      <c r="B104">
        <v>17644</v>
      </c>
      <c r="C104" t="s">
        <v>21</v>
      </c>
      <c r="D104" t="s">
        <v>22</v>
      </c>
      <c r="E104" t="s">
        <v>13841</v>
      </c>
      <c r="F104" t="s">
        <v>13842</v>
      </c>
      <c r="G104" t="s">
        <v>13843</v>
      </c>
      <c r="H104" t="s">
        <v>13844</v>
      </c>
      <c r="I104" t="s">
        <v>27</v>
      </c>
      <c r="M104" t="s">
        <v>33</v>
      </c>
    </row>
    <row r="105" spans="1:13" x14ac:dyDescent="0.35">
      <c r="A105" t="s">
        <v>20</v>
      </c>
      <c r="B105">
        <v>17644</v>
      </c>
      <c r="C105" t="s">
        <v>21</v>
      </c>
      <c r="D105" t="s">
        <v>22</v>
      </c>
      <c r="E105" t="s">
        <v>13845</v>
      </c>
      <c r="F105" t="s">
        <v>13846</v>
      </c>
      <c r="G105" t="s">
        <v>13847</v>
      </c>
      <c r="H105" t="s">
        <v>13848</v>
      </c>
      <c r="I105" t="s">
        <v>27</v>
      </c>
      <c r="M105" t="s">
        <v>33</v>
      </c>
    </row>
    <row r="106" spans="1:13" x14ac:dyDescent="0.35">
      <c r="A106" t="s">
        <v>20</v>
      </c>
      <c r="B106">
        <v>17644</v>
      </c>
      <c r="C106" t="s">
        <v>21</v>
      </c>
      <c r="D106" t="s">
        <v>22</v>
      </c>
      <c r="E106" t="s">
        <v>13849</v>
      </c>
      <c r="F106" t="s">
        <v>13850</v>
      </c>
      <c r="G106" t="s">
        <v>13851</v>
      </c>
      <c r="H106" t="s">
        <v>13852</v>
      </c>
      <c r="I106" t="s">
        <v>27</v>
      </c>
      <c r="M106" t="s">
        <v>33</v>
      </c>
    </row>
    <row r="107" spans="1:13" x14ac:dyDescent="0.35">
      <c r="A107" t="s">
        <v>20</v>
      </c>
      <c r="B107">
        <v>17644</v>
      </c>
      <c r="C107" t="s">
        <v>21</v>
      </c>
      <c r="D107" t="s">
        <v>22</v>
      </c>
      <c r="E107" t="s">
        <v>13853</v>
      </c>
      <c r="F107" t="s">
        <v>13854</v>
      </c>
      <c r="G107" t="s">
        <v>13855</v>
      </c>
      <c r="H107" t="s">
        <v>13856</v>
      </c>
      <c r="I107" t="s">
        <v>27</v>
      </c>
      <c r="M107" t="s">
        <v>33</v>
      </c>
    </row>
    <row r="108" spans="1:13" x14ac:dyDescent="0.35">
      <c r="A108" t="s">
        <v>20</v>
      </c>
      <c r="B108">
        <v>17644</v>
      </c>
      <c r="C108" t="s">
        <v>21</v>
      </c>
      <c r="D108" t="s">
        <v>22</v>
      </c>
      <c r="E108" t="s">
        <v>13857</v>
      </c>
      <c r="F108" t="s">
        <v>13858</v>
      </c>
      <c r="G108" t="s">
        <v>13859</v>
      </c>
      <c r="H108" t="s">
        <v>13860</v>
      </c>
      <c r="I108" t="s">
        <v>27</v>
      </c>
      <c r="M108" t="s">
        <v>33</v>
      </c>
    </row>
    <row r="109" spans="1:13" x14ac:dyDescent="0.35">
      <c r="A109" t="s">
        <v>20</v>
      </c>
      <c r="B109">
        <v>17644</v>
      </c>
      <c r="C109" t="s">
        <v>21</v>
      </c>
      <c r="D109" t="s">
        <v>22</v>
      </c>
      <c r="E109" t="s">
        <v>13861</v>
      </c>
      <c r="F109" t="s">
        <v>13862</v>
      </c>
      <c r="G109" t="s">
        <v>13863</v>
      </c>
      <c r="H109" t="s">
        <v>13864</v>
      </c>
      <c r="I109" t="s">
        <v>27</v>
      </c>
      <c r="M109" t="s">
        <v>33</v>
      </c>
    </row>
    <row r="110" spans="1:13" x14ac:dyDescent="0.35">
      <c r="A110" t="s">
        <v>20</v>
      </c>
      <c r="B110">
        <v>17644</v>
      </c>
      <c r="C110" t="s">
        <v>21</v>
      </c>
      <c r="D110" t="s">
        <v>22</v>
      </c>
      <c r="E110" t="s">
        <v>13865</v>
      </c>
      <c r="F110" t="s">
        <v>13866</v>
      </c>
      <c r="G110" t="s">
        <v>13867</v>
      </c>
      <c r="H110" t="s">
        <v>13868</v>
      </c>
      <c r="I110" t="s">
        <v>27</v>
      </c>
      <c r="M110" t="s">
        <v>33</v>
      </c>
    </row>
    <row r="111" spans="1:13" x14ac:dyDescent="0.35">
      <c r="A111" t="s">
        <v>20</v>
      </c>
      <c r="B111">
        <v>17644</v>
      </c>
      <c r="C111" t="s">
        <v>21</v>
      </c>
      <c r="D111" t="s">
        <v>22</v>
      </c>
      <c r="E111" t="s">
        <v>13869</v>
      </c>
      <c r="F111" t="s">
        <v>13870</v>
      </c>
      <c r="G111" t="s">
        <v>13871</v>
      </c>
      <c r="H111" t="s">
        <v>13872</v>
      </c>
      <c r="I111" t="s">
        <v>27</v>
      </c>
      <c r="M111" t="s">
        <v>33</v>
      </c>
    </row>
    <row r="112" spans="1:13" x14ac:dyDescent="0.35">
      <c r="A112" t="s">
        <v>20</v>
      </c>
      <c r="B112">
        <v>17644</v>
      </c>
      <c r="C112" t="s">
        <v>21</v>
      </c>
      <c r="D112" t="s">
        <v>22</v>
      </c>
      <c r="E112" t="s">
        <v>13873</v>
      </c>
      <c r="F112" t="s">
        <v>13874</v>
      </c>
      <c r="G112" t="s">
        <v>13875</v>
      </c>
      <c r="H112" t="s">
        <v>13876</v>
      </c>
      <c r="I112" t="s">
        <v>27</v>
      </c>
      <c r="M112" t="s">
        <v>33</v>
      </c>
    </row>
    <row r="113" spans="1:13" x14ac:dyDescent="0.35">
      <c r="A113" t="s">
        <v>20</v>
      </c>
      <c r="B113">
        <v>17644</v>
      </c>
      <c r="C113" t="s">
        <v>21</v>
      </c>
      <c r="D113" t="s">
        <v>22</v>
      </c>
      <c r="E113" t="s">
        <v>13877</v>
      </c>
      <c r="F113" t="s">
        <v>13878</v>
      </c>
      <c r="G113" t="s">
        <v>13879</v>
      </c>
      <c r="H113" t="s">
        <v>13880</v>
      </c>
      <c r="I113" t="s">
        <v>27</v>
      </c>
      <c r="M113" t="s">
        <v>33</v>
      </c>
    </row>
    <row r="114" spans="1:13" x14ac:dyDescent="0.35">
      <c r="A114" t="s">
        <v>20</v>
      </c>
      <c r="B114">
        <v>17644</v>
      </c>
      <c r="C114" t="s">
        <v>21</v>
      </c>
      <c r="D114" t="s">
        <v>22</v>
      </c>
      <c r="E114" t="s">
        <v>13881</v>
      </c>
      <c r="F114" t="s">
        <v>13882</v>
      </c>
      <c r="G114" t="s">
        <v>13883</v>
      </c>
      <c r="H114" t="s">
        <v>13884</v>
      </c>
      <c r="I114" t="s">
        <v>27</v>
      </c>
      <c r="M114" t="s">
        <v>33</v>
      </c>
    </row>
    <row r="115" spans="1:13" x14ac:dyDescent="0.35">
      <c r="A115" t="s">
        <v>20</v>
      </c>
      <c r="B115">
        <v>17644</v>
      </c>
      <c r="C115" t="s">
        <v>21</v>
      </c>
      <c r="D115" t="s">
        <v>22</v>
      </c>
      <c r="E115" t="s">
        <v>13885</v>
      </c>
      <c r="F115" t="s">
        <v>13886</v>
      </c>
      <c r="G115" t="s">
        <v>13887</v>
      </c>
      <c r="H115" t="s">
        <v>13888</v>
      </c>
      <c r="I115" t="s">
        <v>27</v>
      </c>
      <c r="M115" t="s">
        <v>33</v>
      </c>
    </row>
    <row r="116" spans="1:13" x14ac:dyDescent="0.35">
      <c r="A116" t="s">
        <v>20</v>
      </c>
      <c r="B116">
        <v>17644</v>
      </c>
      <c r="C116" t="s">
        <v>21</v>
      </c>
      <c r="D116" t="s">
        <v>22</v>
      </c>
      <c r="E116" t="s">
        <v>13889</v>
      </c>
      <c r="F116" t="s">
        <v>13890</v>
      </c>
      <c r="G116" t="s">
        <v>13891</v>
      </c>
      <c r="H116" t="s">
        <v>13892</v>
      </c>
      <c r="I116" t="s">
        <v>27</v>
      </c>
      <c r="M116" t="s">
        <v>33</v>
      </c>
    </row>
    <row r="117" spans="1:13" x14ac:dyDescent="0.35">
      <c r="A117" t="s">
        <v>20</v>
      </c>
      <c r="B117">
        <v>17644</v>
      </c>
      <c r="C117" t="s">
        <v>21</v>
      </c>
      <c r="D117" t="s">
        <v>22</v>
      </c>
      <c r="E117" t="s">
        <v>13893</v>
      </c>
      <c r="F117" t="s">
        <v>11705</v>
      </c>
      <c r="G117" t="s">
        <v>13894</v>
      </c>
      <c r="H117" t="s">
        <v>13895</v>
      </c>
      <c r="I117" t="s">
        <v>27</v>
      </c>
      <c r="M117" t="s">
        <v>33</v>
      </c>
    </row>
    <row r="118" spans="1:13" x14ac:dyDescent="0.35">
      <c r="A118" t="s">
        <v>20</v>
      </c>
      <c r="B118">
        <v>17644</v>
      </c>
      <c r="C118" t="s">
        <v>21</v>
      </c>
      <c r="D118" t="s">
        <v>22</v>
      </c>
      <c r="E118" t="s">
        <v>13896</v>
      </c>
      <c r="F118" t="s">
        <v>13897</v>
      </c>
      <c r="G118" t="s">
        <v>13898</v>
      </c>
      <c r="H118" t="s">
        <v>13899</v>
      </c>
      <c r="I118" t="s">
        <v>27</v>
      </c>
      <c r="M118" t="s">
        <v>33</v>
      </c>
    </row>
    <row r="119" spans="1:13" x14ac:dyDescent="0.35">
      <c r="A119" t="s">
        <v>20</v>
      </c>
      <c r="B119">
        <v>17644</v>
      </c>
      <c r="C119" t="s">
        <v>21</v>
      </c>
      <c r="D119" t="s">
        <v>22</v>
      </c>
      <c r="E119" t="s">
        <v>13900</v>
      </c>
      <c r="F119" t="s">
        <v>13901</v>
      </c>
      <c r="G119" t="s">
        <v>13902</v>
      </c>
      <c r="H119" t="s">
        <v>13903</v>
      </c>
      <c r="I119" t="s">
        <v>27</v>
      </c>
      <c r="M119" t="s">
        <v>33</v>
      </c>
    </row>
    <row r="120" spans="1:13" x14ac:dyDescent="0.35">
      <c r="A120" t="s">
        <v>20</v>
      </c>
      <c r="B120">
        <v>17644</v>
      </c>
      <c r="C120" t="s">
        <v>21</v>
      </c>
      <c r="D120" t="s">
        <v>22</v>
      </c>
      <c r="E120" t="s">
        <v>13904</v>
      </c>
      <c r="F120" t="s">
        <v>13905</v>
      </c>
      <c r="G120" t="s">
        <v>13906</v>
      </c>
      <c r="H120" t="s">
        <v>13907</v>
      </c>
      <c r="I120" t="s">
        <v>27</v>
      </c>
      <c r="M120" t="s">
        <v>33</v>
      </c>
    </row>
    <row r="121" spans="1:13" x14ac:dyDescent="0.35">
      <c r="A121" t="s">
        <v>20</v>
      </c>
      <c r="B121">
        <v>17644</v>
      </c>
      <c r="C121" t="s">
        <v>21</v>
      </c>
      <c r="D121" t="s">
        <v>22</v>
      </c>
      <c r="E121" t="s">
        <v>13908</v>
      </c>
      <c r="F121" t="s">
        <v>13909</v>
      </c>
      <c r="G121" t="s">
        <v>13910</v>
      </c>
      <c r="H121" t="s">
        <v>13911</v>
      </c>
      <c r="I121" t="s">
        <v>27</v>
      </c>
      <c r="M121" t="s">
        <v>33</v>
      </c>
    </row>
    <row r="122" spans="1:13" x14ac:dyDescent="0.35">
      <c r="A122" t="s">
        <v>20</v>
      </c>
      <c r="B122">
        <v>17644</v>
      </c>
      <c r="C122" t="s">
        <v>21</v>
      </c>
      <c r="D122" t="s">
        <v>22</v>
      </c>
      <c r="E122" t="s">
        <v>13912</v>
      </c>
      <c r="F122" t="s">
        <v>13913</v>
      </c>
      <c r="G122" t="s">
        <v>13914</v>
      </c>
      <c r="H122" t="s">
        <v>13915</v>
      </c>
      <c r="I122" t="s">
        <v>27</v>
      </c>
      <c r="M122" t="s">
        <v>33</v>
      </c>
    </row>
    <row r="123" spans="1:13" x14ac:dyDescent="0.35">
      <c r="A123" t="s">
        <v>20</v>
      </c>
      <c r="B123">
        <v>17644</v>
      </c>
      <c r="C123" t="s">
        <v>21</v>
      </c>
      <c r="D123" t="s">
        <v>22</v>
      </c>
      <c r="E123" t="s">
        <v>13916</v>
      </c>
      <c r="F123" t="s">
        <v>13917</v>
      </c>
      <c r="G123" t="s">
        <v>13918</v>
      </c>
      <c r="H123" t="s">
        <v>13919</v>
      </c>
      <c r="I123" t="s">
        <v>27</v>
      </c>
      <c r="M123" t="s">
        <v>33</v>
      </c>
    </row>
    <row r="124" spans="1:13" x14ac:dyDescent="0.35">
      <c r="A124" t="s">
        <v>20</v>
      </c>
      <c r="B124">
        <v>17644</v>
      </c>
      <c r="C124" t="s">
        <v>21</v>
      </c>
      <c r="D124" t="s">
        <v>22</v>
      </c>
      <c r="E124" t="s">
        <v>13920</v>
      </c>
      <c r="F124" t="s">
        <v>13921</v>
      </c>
      <c r="G124" t="s">
        <v>13922</v>
      </c>
      <c r="H124" t="s">
        <v>13923</v>
      </c>
      <c r="I124" t="s">
        <v>27</v>
      </c>
      <c r="M124" t="s">
        <v>33</v>
      </c>
    </row>
    <row r="125" spans="1:13" x14ac:dyDescent="0.35">
      <c r="A125" t="s">
        <v>20</v>
      </c>
      <c r="B125">
        <v>17644</v>
      </c>
      <c r="C125" t="s">
        <v>21</v>
      </c>
      <c r="D125" t="s">
        <v>22</v>
      </c>
      <c r="E125" t="s">
        <v>13924</v>
      </c>
      <c r="F125" t="s">
        <v>13925</v>
      </c>
      <c r="G125" t="s">
        <v>13926</v>
      </c>
      <c r="H125" t="s">
        <v>13927</v>
      </c>
      <c r="I125" t="s">
        <v>27</v>
      </c>
      <c r="M125" t="s">
        <v>33</v>
      </c>
    </row>
    <row r="126" spans="1:13" x14ac:dyDescent="0.35">
      <c r="A126" t="s">
        <v>20</v>
      </c>
      <c r="B126">
        <v>17644</v>
      </c>
      <c r="C126" t="s">
        <v>21</v>
      </c>
      <c r="D126" t="s">
        <v>22</v>
      </c>
      <c r="E126" t="s">
        <v>13928</v>
      </c>
      <c r="F126" t="s">
        <v>13929</v>
      </c>
      <c r="G126" t="s">
        <v>13930</v>
      </c>
      <c r="H126" t="s">
        <v>13931</v>
      </c>
      <c r="I126" t="s">
        <v>27</v>
      </c>
      <c r="M126" t="s">
        <v>33</v>
      </c>
    </row>
    <row r="127" spans="1:13" x14ac:dyDescent="0.35">
      <c r="A127" t="s">
        <v>20</v>
      </c>
      <c r="B127">
        <v>17644</v>
      </c>
      <c r="C127" t="s">
        <v>21</v>
      </c>
      <c r="D127" t="s">
        <v>22</v>
      </c>
      <c r="E127" t="s">
        <v>13932</v>
      </c>
      <c r="F127" t="s">
        <v>13933</v>
      </c>
      <c r="G127" t="s">
        <v>13934</v>
      </c>
      <c r="H127" t="s">
        <v>13935</v>
      </c>
      <c r="I127" t="s">
        <v>27</v>
      </c>
      <c r="M127" t="s">
        <v>33</v>
      </c>
    </row>
    <row r="128" spans="1:13" x14ac:dyDescent="0.35">
      <c r="A128" t="s">
        <v>20</v>
      </c>
      <c r="B128">
        <v>17644</v>
      </c>
      <c r="C128" t="s">
        <v>21</v>
      </c>
      <c r="D128" t="s">
        <v>22</v>
      </c>
      <c r="E128" t="s">
        <v>13936</v>
      </c>
      <c r="F128" t="s">
        <v>13937</v>
      </c>
      <c r="G128" t="s">
        <v>13938</v>
      </c>
      <c r="H128" t="s">
        <v>13939</v>
      </c>
      <c r="I128" t="s">
        <v>27</v>
      </c>
      <c r="M128" t="s">
        <v>33</v>
      </c>
    </row>
    <row r="129" spans="1:13" x14ac:dyDescent="0.35">
      <c r="A129" t="s">
        <v>20</v>
      </c>
      <c r="B129">
        <v>17644</v>
      </c>
      <c r="C129" t="s">
        <v>21</v>
      </c>
      <c r="D129" t="s">
        <v>22</v>
      </c>
      <c r="E129" t="s">
        <v>13940</v>
      </c>
      <c r="F129" t="s">
        <v>13941</v>
      </c>
      <c r="G129" t="s">
        <v>13942</v>
      </c>
      <c r="H129" t="s">
        <v>13943</v>
      </c>
      <c r="I129" t="s">
        <v>27</v>
      </c>
      <c r="M129" t="s">
        <v>33</v>
      </c>
    </row>
    <row r="130" spans="1:13" x14ac:dyDescent="0.35">
      <c r="A130" t="s">
        <v>20</v>
      </c>
      <c r="B130">
        <v>17644</v>
      </c>
      <c r="C130" t="s">
        <v>21</v>
      </c>
      <c r="D130" t="s">
        <v>22</v>
      </c>
      <c r="E130" t="s">
        <v>13944</v>
      </c>
      <c r="F130" t="s">
        <v>13945</v>
      </c>
      <c r="G130" t="s">
        <v>13946</v>
      </c>
      <c r="H130" t="s">
        <v>13947</v>
      </c>
      <c r="I130" t="s">
        <v>27</v>
      </c>
      <c r="M130" t="s">
        <v>33</v>
      </c>
    </row>
    <row r="131" spans="1:13" x14ac:dyDescent="0.35">
      <c r="A131" t="s">
        <v>20</v>
      </c>
      <c r="B131">
        <v>17644</v>
      </c>
      <c r="C131" t="s">
        <v>21</v>
      </c>
      <c r="D131" t="s">
        <v>22</v>
      </c>
      <c r="E131" t="s">
        <v>13948</v>
      </c>
      <c r="F131" t="s">
        <v>13949</v>
      </c>
      <c r="G131" t="s">
        <v>13950</v>
      </c>
      <c r="H131" t="s">
        <v>13951</v>
      </c>
      <c r="I131" t="s">
        <v>238</v>
      </c>
      <c r="M131" t="s">
        <v>33</v>
      </c>
    </row>
    <row r="132" spans="1:13" x14ac:dyDescent="0.35">
      <c r="A132" t="s">
        <v>20</v>
      </c>
      <c r="B132">
        <v>17644</v>
      </c>
      <c r="C132" t="s">
        <v>21</v>
      </c>
      <c r="D132" t="s">
        <v>22</v>
      </c>
      <c r="E132" t="s">
        <v>13952</v>
      </c>
      <c r="F132" t="s">
        <v>13953</v>
      </c>
      <c r="G132" t="s">
        <v>13954</v>
      </c>
      <c r="H132" t="s">
        <v>13955</v>
      </c>
      <c r="I132" t="s">
        <v>238</v>
      </c>
      <c r="M132" t="s">
        <v>33</v>
      </c>
    </row>
    <row r="133" spans="1:13" x14ac:dyDescent="0.35">
      <c r="A133" t="s">
        <v>20</v>
      </c>
      <c r="B133">
        <v>17644</v>
      </c>
      <c r="C133" t="s">
        <v>21</v>
      </c>
      <c r="D133" t="s">
        <v>22</v>
      </c>
      <c r="E133" t="s">
        <v>13956</v>
      </c>
      <c r="F133" t="s">
        <v>13957</v>
      </c>
      <c r="G133" t="s">
        <v>13958</v>
      </c>
      <c r="H133" t="s">
        <v>13959</v>
      </c>
      <c r="I133" t="s">
        <v>238</v>
      </c>
      <c r="M133" t="s">
        <v>33</v>
      </c>
    </row>
    <row r="134" spans="1:13" x14ac:dyDescent="0.35">
      <c r="A134" t="s">
        <v>20</v>
      </c>
      <c r="B134">
        <v>17644</v>
      </c>
      <c r="C134" t="s">
        <v>21</v>
      </c>
      <c r="D134" t="s">
        <v>22</v>
      </c>
      <c r="E134" t="s">
        <v>13960</v>
      </c>
      <c r="F134" t="s">
        <v>13961</v>
      </c>
      <c r="G134" t="s">
        <v>13962</v>
      </c>
      <c r="H134" t="s">
        <v>13963</v>
      </c>
      <c r="I134" t="s">
        <v>238</v>
      </c>
      <c r="M134" t="s">
        <v>33</v>
      </c>
    </row>
    <row r="135" spans="1:13" x14ac:dyDescent="0.35">
      <c r="A135" t="s">
        <v>20</v>
      </c>
      <c r="B135">
        <v>17644</v>
      </c>
      <c r="C135" t="s">
        <v>21</v>
      </c>
      <c r="D135" t="s">
        <v>22</v>
      </c>
      <c r="E135" t="s">
        <v>13964</v>
      </c>
      <c r="F135" t="s">
        <v>13965</v>
      </c>
      <c r="G135" t="s">
        <v>13966</v>
      </c>
      <c r="H135" t="s">
        <v>13967</v>
      </c>
      <c r="I135" t="s">
        <v>238</v>
      </c>
      <c r="M135" t="s">
        <v>33</v>
      </c>
    </row>
    <row r="136" spans="1:13" x14ac:dyDescent="0.35">
      <c r="A136" t="s">
        <v>20</v>
      </c>
      <c r="B136">
        <v>17644</v>
      </c>
      <c r="C136" t="s">
        <v>21</v>
      </c>
      <c r="D136" t="s">
        <v>22</v>
      </c>
      <c r="E136" t="s">
        <v>13968</v>
      </c>
      <c r="F136" t="s">
        <v>1718</v>
      </c>
      <c r="G136" t="s">
        <v>13969</v>
      </c>
      <c r="H136" t="s">
        <v>13970</v>
      </c>
      <c r="I136" t="s">
        <v>238</v>
      </c>
      <c r="M136" t="s">
        <v>33</v>
      </c>
    </row>
    <row r="137" spans="1:13" x14ac:dyDescent="0.35">
      <c r="A137" t="s">
        <v>20</v>
      </c>
      <c r="B137">
        <v>17644</v>
      </c>
      <c r="C137" t="s">
        <v>21</v>
      </c>
      <c r="D137" t="s">
        <v>22</v>
      </c>
      <c r="E137" t="s">
        <v>13971</v>
      </c>
      <c r="F137" t="s">
        <v>13972</v>
      </c>
      <c r="G137" t="s">
        <v>13973</v>
      </c>
      <c r="H137" t="s">
        <v>13974</v>
      </c>
      <c r="I137" t="s">
        <v>238</v>
      </c>
      <c r="M137" t="s">
        <v>33</v>
      </c>
    </row>
    <row r="138" spans="1:13" x14ac:dyDescent="0.35">
      <c r="A138" t="s">
        <v>20</v>
      </c>
      <c r="B138">
        <v>17644</v>
      </c>
      <c r="C138" t="s">
        <v>21</v>
      </c>
      <c r="D138" t="s">
        <v>22</v>
      </c>
      <c r="E138" t="s">
        <v>13975</v>
      </c>
      <c r="F138" t="s">
        <v>13976</v>
      </c>
      <c r="G138" t="s">
        <v>13977</v>
      </c>
      <c r="H138" t="s">
        <v>13978</v>
      </c>
      <c r="I138" t="s">
        <v>238</v>
      </c>
      <c r="M138" t="s">
        <v>33</v>
      </c>
    </row>
    <row r="139" spans="1:13" x14ac:dyDescent="0.35">
      <c r="A139" t="s">
        <v>20</v>
      </c>
      <c r="B139">
        <v>17644</v>
      </c>
      <c r="C139" t="s">
        <v>21</v>
      </c>
      <c r="D139" t="s">
        <v>22</v>
      </c>
      <c r="E139" t="s">
        <v>13979</v>
      </c>
      <c r="F139" t="s">
        <v>13980</v>
      </c>
      <c r="G139" t="s">
        <v>13981</v>
      </c>
      <c r="H139" t="s">
        <v>13982</v>
      </c>
      <c r="I139" t="s">
        <v>238</v>
      </c>
      <c r="M139" t="s">
        <v>33</v>
      </c>
    </row>
    <row r="140" spans="1:13" x14ac:dyDescent="0.35">
      <c r="A140" t="s">
        <v>20</v>
      </c>
      <c r="B140">
        <v>17644</v>
      </c>
      <c r="C140" t="s">
        <v>21</v>
      </c>
      <c r="D140" t="s">
        <v>22</v>
      </c>
      <c r="E140" t="s">
        <v>13983</v>
      </c>
      <c r="F140" t="s">
        <v>13984</v>
      </c>
      <c r="G140" t="s">
        <v>13985</v>
      </c>
      <c r="H140" t="s">
        <v>13986</v>
      </c>
      <c r="I140" t="s">
        <v>238</v>
      </c>
      <c r="M140" t="s">
        <v>33</v>
      </c>
    </row>
    <row r="141" spans="1:13" x14ac:dyDescent="0.35">
      <c r="A141" t="s">
        <v>20</v>
      </c>
      <c r="B141">
        <v>17644</v>
      </c>
      <c r="C141" t="s">
        <v>21</v>
      </c>
      <c r="D141" t="s">
        <v>22</v>
      </c>
      <c r="E141" t="s">
        <v>13987</v>
      </c>
      <c r="F141" t="s">
        <v>13988</v>
      </c>
      <c r="G141" t="s">
        <v>13989</v>
      </c>
      <c r="H141" t="s">
        <v>13990</v>
      </c>
      <c r="I141" t="s">
        <v>238</v>
      </c>
      <c r="M141" t="s">
        <v>33</v>
      </c>
    </row>
    <row r="142" spans="1:13" x14ac:dyDescent="0.35">
      <c r="A142" t="s">
        <v>20</v>
      </c>
      <c r="B142">
        <v>17644</v>
      </c>
      <c r="C142" t="s">
        <v>21</v>
      </c>
      <c r="D142" t="s">
        <v>22</v>
      </c>
      <c r="E142" t="s">
        <v>13991</v>
      </c>
      <c r="F142" t="s">
        <v>13992</v>
      </c>
      <c r="G142" t="s">
        <v>13993</v>
      </c>
      <c r="H142" t="s">
        <v>13994</v>
      </c>
      <c r="I142" t="s">
        <v>238</v>
      </c>
      <c r="M142" t="s">
        <v>33</v>
      </c>
    </row>
    <row r="143" spans="1:13" x14ac:dyDescent="0.35">
      <c r="A143" t="s">
        <v>20</v>
      </c>
      <c r="B143">
        <v>17644</v>
      </c>
      <c r="C143" t="s">
        <v>21</v>
      </c>
      <c r="D143" t="s">
        <v>22</v>
      </c>
      <c r="E143" t="s">
        <v>13995</v>
      </c>
      <c r="F143" t="s">
        <v>13996</v>
      </c>
      <c r="G143" t="s">
        <v>13997</v>
      </c>
      <c r="H143" t="s">
        <v>13998</v>
      </c>
      <c r="I143" t="s">
        <v>238</v>
      </c>
      <c r="M143" t="s">
        <v>33</v>
      </c>
    </row>
    <row r="144" spans="1:13" x14ac:dyDescent="0.35">
      <c r="A144" t="s">
        <v>20</v>
      </c>
      <c r="B144">
        <v>17644</v>
      </c>
      <c r="C144" t="s">
        <v>21</v>
      </c>
      <c r="D144" t="s">
        <v>22</v>
      </c>
      <c r="E144" t="s">
        <v>13999</v>
      </c>
      <c r="F144" t="s">
        <v>14000</v>
      </c>
      <c r="G144" t="s">
        <v>14001</v>
      </c>
      <c r="H144" t="s">
        <v>14002</v>
      </c>
      <c r="I144" t="s">
        <v>238</v>
      </c>
      <c r="M144" t="s">
        <v>33</v>
      </c>
    </row>
    <row r="145" spans="1:13" x14ac:dyDescent="0.35">
      <c r="A145" t="s">
        <v>20</v>
      </c>
      <c r="B145">
        <v>17644</v>
      </c>
      <c r="C145" t="s">
        <v>21</v>
      </c>
      <c r="D145" t="s">
        <v>22</v>
      </c>
      <c r="E145" t="s">
        <v>14003</v>
      </c>
      <c r="F145" t="s">
        <v>14004</v>
      </c>
      <c r="G145" t="s">
        <v>14005</v>
      </c>
      <c r="H145" t="s">
        <v>14006</v>
      </c>
      <c r="I145" t="s">
        <v>238</v>
      </c>
      <c r="M145" t="s">
        <v>33</v>
      </c>
    </row>
    <row r="146" spans="1:13" x14ac:dyDescent="0.35">
      <c r="A146" t="s">
        <v>20</v>
      </c>
      <c r="B146">
        <v>17644</v>
      </c>
      <c r="C146" t="s">
        <v>21</v>
      </c>
      <c r="D146" t="s">
        <v>22</v>
      </c>
      <c r="E146" t="s">
        <v>14007</v>
      </c>
      <c r="F146" t="s">
        <v>14008</v>
      </c>
      <c r="G146" t="s">
        <v>14009</v>
      </c>
      <c r="H146" t="s">
        <v>14010</v>
      </c>
      <c r="I146" t="s">
        <v>238</v>
      </c>
      <c r="M146" t="s">
        <v>33</v>
      </c>
    </row>
    <row r="147" spans="1:13" x14ac:dyDescent="0.35">
      <c r="A147" t="s">
        <v>20</v>
      </c>
      <c r="B147">
        <v>17644</v>
      </c>
      <c r="C147" t="s">
        <v>21</v>
      </c>
      <c r="D147" t="s">
        <v>22</v>
      </c>
      <c r="E147" t="s">
        <v>14011</v>
      </c>
      <c r="F147" t="s">
        <v>9168</v>
      </c>
      <c r="G147" t="s">
        <v>14012</v>
      </c>
      <c r="H147" t="s">
        <v>14013</v>
      </c>
      <c r="I147" t="s">
        <v>238</v>
      </c>
      <c r="M147" t="s">
        <v>33</v>
      </c>
    </row>
    <row r="148" spans="1:13" x14ac:dyDescent="0.35">
      <c r="A148" t="s">
        <v>20</v>
      </c>
      <c r="B148">
        <v>17644</v>
      </c>
      <c r="C148" t="s">
        <v>21</v>
      </c>
      <c r="D148" t="s">
        <v>22</v>
      </c>
      <c r="E148" t="s">
        <v>14014</v>
      </c>
      <c r="F148" t="s">
        <v>14015</v>
      </c>
      <c r="G148" t="s">
        <v>14016</v>
      </c>
      <c r="H148" t="s">
        <v>14017</v>
      </c>
      <c r="I148" t="s">
        <v>238</v>
      </c>
      <c r="M148" t="s">
        <v>33</v>
      </c>
    </row>
    <row r="149" spans="1:13" x14ac:dyDescent="0.35">
      <c r="A149" t="s">
        <v>20</v>
      </c>
      <c r="B149">
        <v>17644</v>
      </c>
      <c r="C149" t="s">
        <v>21</v>
      </c>
      <c r="D149" t="s">
        <v>22</v>
      </c>
      <c r="E149" t="s">
        <v>14018</v>
      </c>
      <c r="F149" t="s">
        <v>14019</v>
      </c>
      <c r="G149" t="s">
        <v>14020</v>
      </c>
      <c r="H149" t="s">
        <v>14021</v>
      </c>
      <c r="I149" t="s">
        <v>238</v>
      </c>
      <c r="M149" t="s">
        <v>33</v>
      </c>
    </row>
    <row r="150" spans="1:13" x14ac:dyDescent="0.35">
      <c r="A150" t="s">
        <v>20</v>
      </c>
      <c r="B150">
        <v>17644</v>
      </c>
      <c r="C150" t="s">
        <v>21</v>
      </c>
      <c r="D150" t="s">
        <v>22</v>
      </c>
      <c r="E150" t="s">
        <v>14022</v>
      </c>
      <c r="F150" t="s">
        <v>14023</v>
      </c>
      <c r="G150" t="s">
        <v>14024</v>
      </c>
      <c r="H150" t="s">
        <v>14025</v>
      </c>
      <c r="I150" t="s">
        <v>238</v>
      </c>
      <c r="M150" t="s">
        <v>33</v>
      </c>
    </row>
    <row r="151" spans="1:13" x14ac:dyDescent="0.35">
      <c r="A151" t="s">
        <v>20</v>
      </c>
      <c r="B151">
        <v>17644</v>
      </c>
      <c r="C151" t="s">
        <v>21</v>
      </c>
      <c r="D151" t="s">
        <v>22</v>
      </c>
      <c r="E151" t="s">
        <v>14026</v>
      </c>
      <c r="F151" t="s">
        <v>14027</v>
      </c>
      <c r="G151" t="s">
        <v>14028</v>
      </c>
      <c r="H151" t="s">
        <v>14029</v>
      </c>
      <c r="I151" t="s">
        <v>238</v>
      </c>
      <c r="M151" t="s">
        <v>33</v>
      </c>
    </row>
    <row r="152" spans="1:13" x14ac:dyDescent="0.35">
      <c r="A152" t="s">
        <v>20</v>
      </c>
      <c r="B152">
        <v>17644</v>
      </c>
      <c r="C152" t="s">
        <v>21</v>
      </c>
      <c r="D152" t="s">
        <v>22</v>
      </c>
      <c r="E152" t="s">
        <v>14030</v>
      </c>
      <c r="F152" t="s">
        <v>14031</v>
      </c>
      <c r="G152" t="s">
        <v>14032</v>
      </c>
      <c r="H152" t="s">
        <v>14033</v>
      </c>
      <c r="I152" t="s">
        <v>238</v>
      </c>
      <c r="M152" t="s">
        <v>33</v>
      </c>
    </row>
    <row r="153" spans="1:13" x14ac:dyDescent="0.35">
      <c r="A153" t="s">
        <v>20</v>
      </c>
      <c r="B153">
        <v>17644</v>
      </c>
      <c r="C153" t="s">
        <v>21</v>
      </c>
      <c r="D153" t="s">
        <v>22</v>
      </c>
      <c r="E153" t="s">
        <v>14034</v>
      </c>
      <c r="F153" t="s">
        <v>14035</v>
      </c>
      <c r="G153" t="s">
        <v>14036</v>
      </c>
      <c r="H153" t="s">
        <v>14037</v>
      </c>
      <c r="I153" t="s">
        <v>238</v>
      </c>
      <c r="M153" t="s">
        <v>33</v>
      </c>
    </row>
    <row r="154" spans="1:13" x14ac:dyDescent="0.35">
      <c r="A154" t="s">
        <v>20</v>
      </c>
      <c r="B154">
        <v>17644</v>
      </c>
      <c r="C154" t="s">
        <v>21</v>
      </c>
      <c r="D154" t="s">
        <v>22</v>
      </c>
      <c r="E154" t="s">
        <v>14038</v>
      </c>
      <c r="F154" t="s">
        <v>11854</v>
      </c>
      <c r="G154" t="s">
        <v>14039</v>
      </c>
      <c r="H154" t="s">
        <v>14040</v>
      </c>
      <c r="I154" t="s">
        <v>238</v>
      </c>
      <c r="M154" t="s">
        <v>33</v>
      </c>
    </row>
    <row r="155" spans="1:13" x14ac:dyDescent="0.35">
      <c r="A155" t="s">
        <v>20</v>
      </c>
      <c r="B155">
        <v>17644</v>
      </c>
      <c r="C155" t="s">
        <v>21</v>
      </c>
      <c r="D155" t="s">
        <v>22</v>
      </c>
      <c r="E155" t="s">
        <v>14041</v>
      </c>
      <c r="F155" t="s">
        <v>14042</v>
      </c>
      <c r="G155" t="s">
        <v>14043</v>
      </c>
      <c r="H155" t="s">
        <v>14044</v>
      </c>
      <c r="I155" t="s">
        <v>238</v>
      </c>
      <c r="M155" t="s">
        <v>33</v>
      </c>
    </row>
    <row r="156" spans="1:13" x14ac:dyDescent="0.35">
      <c r="A156" t="s">
        <v>20</v>
      </c>
      <c r="B156">
        <v>17644</v>
      </c>
      <c r="C156" t="s">
        <v>21</v>
      </c>
      <c r="D156" t="s">
        <v>22</v>
      </c>
      <c r="E156" t="s">
        <v>14045</v>
      </c>
      <c r="F156" t="s">
        <v>14046</v>
      </c>
      <c r="G156" t="s">
        <v>14047</v>
      </c>
      <c r="H156" t="s">
        <v>14048</v>
      </c>
      <c r="I156" t="s">
        <v>238</v>
      </c>
      <c r="M156" t="s">
        <v>33</v>
      </c>
    </row>
    <row r="157" spans="1:13" x14ac:dyDescent="0.35">
      <c r="A157" t="s">
        <v>20</v>
      </c>
      <c r="B157">
        <v>17644</v>
      </c>
      <c r="C157" t="s">
        <v>21</v>
      </c>
      <c r="D157" t="s">
        <v>22</v>
      </c>
      <c r="E157" t="s">
        <v>14049</v>
      </c>
      <c r="F157" t="s">
        <v>14050</v>
      </c>
      <c r="G157" t="s">
        <v>14051</v>
      </c>
      <c r="H157" t="s">
        <v>14052</v>
      </c>
      <c r="I157" t="s">
        <v>238</v>
      </c>
      <c r="M157" t="s">
        <v>33</v>
      </c>
    </row>
    <row r="158" spans="1:13" x14ac:dyDescent="0.35">
      <c r="A158" t="s">
        <v>20</v>
      </c>
      <c r="B158">
        <v>17644</v>
      </c>
      <c r="C158" t="s">
        <v>21</v>
      </c>
      <c r="D158" t="s">
        <v>22</v>
      </c>
      <c r="E158" t="s">
        <v>14053</v>
      </c>
      <c r="F158" t="s">
        <v>14054</v>
      </c>
      <c r="G158" t="s">
        <v>14055</v>
      </c>
      <c r="H158" t="s">
        <v>14056</v>
      </c>
      <c r="I158" t="s">
        <v>238</v>
      </c>
      <c r="M158" t="s">
        <v>33</v>
      </c>
    </row>
    <row r="159" spans="1:13" x14ac:dyDescent="0.35">
      <c r="A159" t="s">
        <v>20</v>
      </c>
      <c r="B159">
        <v>17644</v>
      </c>
      <c r="C159" t="s">
        <v>21</v>
      </c>
      <c r="D159" t="s">
        <v>22</v>
      </c>
      <c r="E159" t="s">
        <v>14057</v>
      </c>
      <c r="F159" t="s">
        <v>14058</v>
      </c>
      <c r="G159" t="s">
        <v>14059</v>
      </c>
      <c r="H159" t="s">
        <v>14060</v>
      </c>
      <c r="I159" t="s">
        <v>238</v>
      </c>
      <c r="M159" t="s">
        <v>33</v>
      </c>
    </row>
    <row r="160" spans="1:13" x14ac:dyDescent="0.35">
      <c r="A160" t="s">
        <v>20</v>
      </c>
      <c r="B160">
        <v>17644</v>
      </c>
      <c r="C160" t="s">
        <v>21</v>
      </c>
      <c r="D160" t="s">
        <v>22</v>
      </c>
      <c r="E160" t="s">
        <v>14061</v>
      </c>
      <c r="F160" t="s">
        <v>14062</v>
      </c>
      <c r="G160" t="s">
        <v>14063</v>
      </c>
      <c r="H160" t="s">
        <v>14064</v>
      </c>
      <c r="I160" t="s">
        <v>238</v>
      </c>
      <c r="M160" t="s">
        <v>33</v>
      </c>
    </row>
    <row r="161" spans="1:13" x14ac:dyDescent="0.35">
      <c r="A161" t="s">
        <v>20</v>
      </c>
      <c r="B161">
        <v>17644</v>
      </c>
      <c r="C161" t="s">
        <v>21</v>
      </c>
      <c r="D161" t="s">
        <v>22</v>
      </c>
      <c r="E161" t="s">
        <v>14065</v>
      </c>
      <c r="F161" t="s">
        <v>14066</v>
      </c>
      <c r="G161" t="s">
        <v>14067</v>
      </c>
      <c r="H161" t="s">
        <v>14068</v>
      </c>
      <c r="I161" t="s">
        <v>238</v>
      </c>
      <c r="M161" t="s">
        <v>33</v>
      </c>
    </row>
    <row r="162" spans="1:13" x14ac:dyDescent="0.35">
      <c r="A162" t="s">
        <v>20</v>
      </c>
      <c r="B162">
        <v>17644</v>
      </c>
      <c r="C162" t="s">
        <v>21</v>
      </c>
      <c r="D162" t="s">
        <v>22</v>
      </c>
      <c r="E162" t="s">
        <v>14069</v>
      </c>
      <c r="F162" t="s">
        <v>14070</v>
      </c>
      <c r="G162" t="s">
        <v>14071</v>
      </c>
      <c r="H162" t="s">
        <v>14072</v>
      </c>
      <c r="I162" t="s">
        <v>238</v>
      </c>
      <c r="M162" t="s">
        <v>33</v>
      </c>
    </row>
    <row r="163" spans="1:13" x14ac:dyDescent="0.35">
      <c r="A163" t="s">
        <v>20</v>
      </c>
      <c r="B163">
        <v>17644</v>
      </c>
      <c r="C163" t="s">
        <v>21</v>
      </c>
      <c r="D163" t="s">
        <v>22</v>
      </c>
      <c r="E163" t="s">
        <v>14073</v>
      </c>
      <c r="F163" t="s">
        <v>14074</v>
      </c>
      <c r="G163" t="s">
        <v>14075</v>
      </c>
      <c r="H163" t="s">
        <v>14076</v>
      </c>
      <c r="I163" t="s">
        <v>238</v>
      </c>
      <c r="M163" t="s">
        <v>33</v>
      </c>
    </row>
    <row r="164" spans="1:13" x14ac:dyDescent="0.35">
      <c r="A164" t="s">
        <v>20</v>
      </c>
      <c r="B164">
        <v>17644</v>
      </c>
      <c r="C164" t="s">
        <v>21</v>
      </c>
      <c r="D164" t="s">
        <v>22</v>
      </c>
      <c r="E164" t="s">
        <v>14077</v>
      </c>
      <c r="F164" t="s">
        <v>14078</v>
      </c>
      <c r="G164" t="s">
        <v>14079</v>
      </c>
      <c r="H164" t="s">
        <v>14080</v>
      </c>
      <c r="I164" t="s">
        <v>238</v>
      </c>
      <c r="M164" t="s">
        <v>33</v>
      </c>
    </row>
    <row r="165" spans="1:13" x14ac:dyDescent="0.35">
      <c r="A165" t="s">
        <v>20</v>
      </c>
      <c r="B165">
        <v>17644</v>
      </c>
      <c r="C165" t="s">
        <v>21</v>
      </c>
      <c r="D165" t="s">
        <v>22</v>
      </c>
      <c r="E165" t="s">
        <v>14081</v>
      </c>
      <c r="F165" t="s">
        <v>14082</v>
      </c>
      <c r="G165" t="s">
        <v>14083</v>
      </c>
      <c r="H165" t="s">
        <v>14084</v>
      </c>
      <c r="I165" t="s">
        <v>238</v>
      </c>
      <c r="M165" t="s">
        <v>33</v>
      </c>
    </row>
    <row r="166" spans="1:13" x14ac:dyDescent="0.35">
      <c r="A166" t="s">
        <v>20</v>
      </c>
      <c r="B166">
        <v>17644</v>
      </c>
      <c r="C166" t="s">
        <v>21</v>
      </c>
      <c r="D166" t="s">
        <v>22</v>
      </c>
      <c r="E166" t="s">
        <v>14085</v>
      </c>
      <c r="F166" t="s">
        <v>14086</v>
      </c>
      <c r="G166" t="s">
        <v>14087</v>
      </c>
      <c r="H166" t="s">
        <v>14088</v>
      </c>
      <c r="I166" t="s">
        <v>238</v>
      </c>
      <c r="M166" t="s">
        <v>33</v>
      </c>
    </row>
    <row r="167" spans="1:13" x14ac:dyDescent="0.35">
      <c r="A167" t="s">
        <v>20</v>
      </c>
      <c r="B167">
        <v>17644</v>
      </c>
      <c r="C167" t="s">
        <v>21</v>
      </c>
      <c r="D167" t="s">
        <v>22</v>
      </c>
      <c r="E167" t="s">
        <v>14089</v>
      </c>
      <c r="F167" t="s">
        <v>14090</v>
      </c>
      <c r="G167" t="s">
        <v>14091</v>
      </c>
      <c r="H167" t="s">
        <v>14092</v>
      </c>
      <c r="I167" t="s">
        <v>238</v>
      </c>
      <c r="M167" t="s">
        <v>33</v>
      </c>
    </row>
    <row r="168" spans="1:13" x14ac:dyDescent="0.35">
      <c r="A168" t="s">
        <v>20</v>
      </c>
      <c r="B168">
        <v>17644</v>
      </c>
      <c r="C168" t="s">
        <v>21</v>
      </c>
      <c r="D168" t="s">
        <v>22</v>
      </c>
      <c r="E168" t="s">
        <v>14093</v>
      </c>
      <c r="F168" t="s">
        <v>14094</v>
      </c>
      <c r="G168" t="s">
        <v>14095</v>
      </c>
      <c r="H168" t="s">
        <v>14096</v>
      </c>
      <c r="I168" t="s">
        <v>238</v>
      </c>
      <c r="M168" t="s">
        <v>33</v>
      </c>
    </row>
    <row r="169" spans="1:13" x14ac:dyDescent="0.35">
      <c r="A169" t="s">
        <v>20</v>
      </c>
      <c r="B169">
        <v>17644</v>
      </c>
      <c r="C169" t="s">
        <v>21</v>
      </c>
      <c r="D169" t="s">
        <v>22</v>
      </c>
      <c r="E169" t="s">
        <v>14097</v>
      </c>
      <c r="F169" t="s">
        <v>14098</v>
      </c>
      <c r="G169" t="s">
        <v>14099</v>
      </c>
      <c r="H169" t="s">
        <v>14100</v>
      </c>
      <c r="I169" t="s">
        <v>238</v>
      </c>
      <c r="M169" t="s">
        <v>33</v>
      </c>
    </row>
    <row r="170" spans="1:13" x14ac:dyDescent="0.35">
      <c r="A170" t="s">
        <v>20</v>
      </c>
      <c r="B170">
        <v>17644</v>
      </c>
      <c r="C170" t="s">
        <v>21</v>
      </c>
      <c r="D170" t="s">
        <v>22</v>
      </c>
      <c r="E170" t="s">
        <v>14101</v>
      </c>
      <c r="F170" t="s">
        <v>14102</v>
      </c>
      <c r="G170" t="s">
        <v>14103</v>
      </c>
      <c r="H170" t="s">
        <v>14104</v>
      </c>
      <c r="I170" t="s">
        <v>238</v>
      </c>
      <c r="M170" t="s">
        <v>33</v>
      </c>
    </row>
    <row r="171" spans="1:13" x14ac:dyDescent="0.35">
      <c r="A171" t="s">
        <v>20</v>
      </c>
      <c r="B171">
        <v>17644</v>
      </c>
      <c r="C171" t="s">
        <v>21</v>
      </c>
      <c r="D171" t="s">
        <v>22</v>
      </c>
      <c r="E171" t="s">
        <v>14105</v>
      </c>
      <c r="F171" t="s">
        <v>14106</v>
      </c>
      <c r="G171" t="s">
        <v>14107</v>
      </c>
      <c r="H171" t="s">
        <v>14108</v>
      </c>
      <c r="I171" t="s">
        <v>238</v>
      </c>
      <c r="M171" t="s">
        <v>33</v>
      </c>
    </row>
    <row r="172" spans="1:13" x14ac:dyDescent="0.35">
      <c r="A172" t="s">
        <v>20</v>
      </c>
      <c r="B172">
        <v>17644</v>
      </c>
      <c r="C172" t="s">
        <v>21</v>
      </c>
      <c r="D172" t="s">
        <v>22</v>
      </c>
      <c r="E172" t="s">
        <v>14109</v>
      </c>
      <c r="F172" t="s">
        <v>14110</v>
      </c>
      <c r="G172" t="s">
        <v>14111</v>
      </c>
      <c r="H172" t="s">
        <v>14112</v>
      </c>
      <c r="I172" t="s">
        <v>238</v>
      </c>
      <c r="M172" t="s">
        <v>33</v>
      </c>
    </row>
    <row r="173" spans="1:13" x14ac:dyDescent="0.35">
      <c r="A173" t="s">
        <v>20</v>
      </c>
      <c r="B173">
        <v>17644</v>
      </c>
      <c r="C173" t="s">
        <v>21</v>
      </c>
      <c r="D173" t="s">
        <v>22</v>
      </c>
      <c r="E173" t="s">
        <v>14113</v>
      </c>
      <c r="F173" t="s">
        <v>14114</v>
      </c>
      <c r="G173" t="s">
        <v>14115</v>
      </c>
      <c r="H173" t="s">
        <v>14116</v>
      </c>
      <c r="I173" t="s">
        <v>238</v>
      </c>
      <c r="M173" t="s">
        <v>33</v>
      </c>
    </row>
    <row r="174" spans="1:13" x14ac:dyDescent="0.35">
      <c r="A174" t="s">
        <v>20</v>
      </c>
      <c r="B174">
        <v>17644</v>
      </c>
      <c r="C174" t="s">
        <v>21</v>
      </c>
      <c r="D174" t="s">
        <v>22</v>
      </c>
      <c r="E174" t="s">
        <v>14117</v>
      </c>
      <c r="F174" t="s">
        <v>14118</v>
      </c>
      <c r="G174" t="s">
        <v>14119</v>
      </c>
      <c r="H174" t="s">
        <v>14120</v>
      </c>
      <c r="I174" t="s">
        <v>238</v>
      </c>
      <c r="M174" t="s">
        <v>33</v>
      </c>
    </row>
    <row r="175" spans="1:13" x14ac:dyDescent="0.35">
      <c r="A175" t="s">
        <v>20</v>
      </c>
      <c r="B175">
        <v>17644</v>
      </c>
      <c r="C175" t="s">
        <v>21</v>
      </c>
      <c r="D175" t="s">
        <v>22</v>
      </c>
      <c r="E175" t="s">
        <v>14121</v>
      </c>
      <c r="F175" t="s">
        <v>14122</v>
      </c>
      <c r="G175" t="s">
        <v>14123</v>
      </c>
      <c r="H175" t="s">
        <v>14124</v>
      </c>
      <c r="I175" t="s">
        <v>238</v>
      </c>
      <c r="M175" t="s">
        <v>33</v>
      </c>
    </row>
    <row r="176" spans="1:13" x14ac:dyDescent="0.35">
      <c r="A176" t="s">
        <v>20</v>
      </c>
      <c r="B176">
        <v>17644</v>
      </c>
      <c r="C176" t="s">
        <v>21</v>
      </c>
      <c r="D176" t="s">
        <v>22</v>
      </c>
      <c r="E176" t="s">
        <v>14125</v>
      </c>
      <c r="F176" t="s">
        <v>14126</v>
      </c>
      <c r="G176" t="s">
        <v>14127</v>
      </c>
      <c r="H176" t="s">
        <v>14128</v>
      </c>
      <c r="I176" t="s">
        <v>238</v>
      </c>
      <c r="M176" t="s">
        <v>33</v>
      </c>
    </row>
    <row r="177" spans="1:13" x14ac:dyDescent="0.35">
      <c r="A177" t="s">
        <v>20</v>
      </c>
      <c r="B177">
        <v>17644</v>
      </c>
      <c r="C177" t="s">
        <v>21</v>
      </c>
      <c r="D177" t="s">
        <v>22</v>
      </c>
      <c r="E177" t="s">
        <v>14129</v>
      </c>
      <c r="F177" t="s">
        <v>9268</v>
      </c>
      <c r="G177" t="s">
        <v>14130</v>
      </c>
      <c r="H177" t="s">
        <v>14131</v>
      </c>
      <c r="I177" t="s">
        <v>238</v>
      </c>
      <c r="M177" t="s">
        <v>33</v>
      </c>
    </row>
    <row r="178" spans="1:13" x14ac:dyDescent="0.35">
      <c r="A178" t="s">
        <v>20</v>
      </c>
      <c r="B178">
        <v>17644</v>
      </c>
      <c r="C178" t="s">
        <v>21</v>
      </c>
      <c r="D178" t="s">
        <v>22</v>
      </c>
      <c r="E178" t="s">
        <v>14132</v>
      </c>
      <c r="F178" t="s">
        <v>14133</v>
      </c>
      <c r="G178" t="s">
        <v>14134</v>
      </c>
      <c r="H178" t="s">
        <v>14135</v>
      </c>
      <c r="I178" t="s">
        <v>238</v>
      </c>
      <c r="M178" t="s">
        <v>33</v>
      </c>
    </row>
    <row r="179" spans="1:13" x14ac:dyDescent="0.35">
      <c r="A179" t="s">
        <v>20</v>
      </c>
      <c r="B179">
        <v>17644</v>
      </c>
      <c r="C179" t="s">
        <v>21</v>
      </c>
      <c r="D179" t="s">
        <v>22</v>
      </c>
      <c r="E179" t="s">
        <v>14136</v>
      </c>
      <c r="F179" t="s">
        <v>14137</v>
      </c>
      <c r="G179" t="s">
        <v>14138</v>
      </c>
      <c r="H179" t="s">
        <v>14139</v>
      </c>
      <c r="I179" t="s">
        <v>238</v>
      </c>
      <c r="M179" t="s">
        <v>33</v>
      </c>
    </row>
    <row r="180" spans="1:13" x14ac:dyDescent="0.35">
      <c r="A180" t="s">
        <v>20</v>
      </c>
      <c r="B180">
        <v>17644</v>
      </c>
      <c r="C180" t="s">
        <v>21</v>
      </c>
      <c r="D180" t="s">
        <v>22</v>
      </c>
      <c r="E180" t="s">
        <v>14140</v>
      </c>
      <c r="F180" t="s">
        <v>14141</v>
      </c>
      <c r="G180" t="s">
        <v>14142</v>
      </c>
      <c r="H180" t="s">
        <v>14143</v>
      </c>
      <c r="I180" t="s">
        <v>238</v>
      </c>
      <c r="M180" t="s">
        <v>33</v>
      </c>
    </row>
    <row r="181" spans="1:13" x14ac:dyDescent="0.35">
      <c r="A181" t="s">
        <v>20</v>
      </c>
      <c r="B181">
        <v>17644</v>
      </c>
      <c r="C181" t="s">
        <v>21</v>
      </c>
      <c r="D181" t="s">
        <v>22</v>
      </c>
      <c r="E181" t="s">
        <v>14144</v>
      </c>
      <c r="F181" t="s">
        <v>14145</v>
      </c>
      <c r="G181" t="s">
        <v>14146</v>
      </c>
      <c r="H181" t="s">
        <v>14147</v>
      </c>
      <c r="I181" t="s">
        <v>238</v>
      </c>
      <c r="M181" t="s">
        <v>33</v>
      </c>
    </row>
    <row r="182" spans="1:13" x14ac:dyDescent="0.35">
      <c r="A182" t="s">
        <v>20</v>
      </c>
      <c r="B182">
        <v>17644</v>
      </c>
      <c r="C182" t="s">
        <v>21</v>
      </c>
      <c r="D182" t="s">
        <v>22</v>
      </c>
      <c r="E182" t="s">
        <v>14148</v>
      </c>
      <c r="F182" t="s">
        <v>14149</v>
      </c>
      <c r="G182" t="s">
        <v>14150</v>
      </c>
      <c r="H182" t="s">
        <v>14151</v>
      </c>
      <c r="I182" t="s">
        <v>238</v>
      </c>
      <c r="M182" t="s">
        <v>33</v>
      </c>
    </row>
    <row r="183" spans="1:13" x14ac:dyDescent="0.35">
      <c r="A183" t="s">
        <v>20</v>
      </c>
      <c r="B183">
        <v>17644</v>
      </c>
      <c r="C183" t="s">
        <v>21</v>
      </c>
      <c r="D183" t="s">
        <v>22</v>
      </c>
      <c r="E183" t="s">
        <v>14152</v>
      </c>
      <c r="F183" t="s">
        <v>14153</v>
      </c>
      <c r="G183" t="s">
        <v>14154</v>
      </c>
      <c r="H183" t="s">
        <v>14155</v>
      </c>
      <c r="I183" t="s">
        <v>238</v>
      </c>
      <c r="M183" t="s">
        <v>33</v>
      </c>
    </row>
    <row r="184" spans="1:13" x14ac:dyDescent="0.35">
      <c r="A184" t="s">
        <v>20</v>
      </c>
      <c r="B184">
        <v>17644</v>
      </c>
      <c r="C184" t="s">
        <v>21</v>
      </c>
      <c r="D184" t="s">
        <v>22</v>
      </c>
      <c r="E184" t="s">
        <v>14156</v>
      </c>
      <c r="F184" t="s">
        <v>14157</v>
      </c>
      <c r="G184" t="s">
        <v>14158</v>
      </c>
      <c r="H184" t="s">
        <v>14159</v>
      </c>
      <c r="I184" t="s">
        <v>238</v>
      </c>
      <c r="M184" t="s">
        <v>33</v>
      </c>
    </row>
    <row r="185" spans="1:13" x14ac:dyDescent="0.35">
      <c r="A185" t="s">
        <v>20</v>
      </c>
      <c r="B185">
        <v>17644</v>
      </c>
      <c r="C185" t="s">
        <v>21</v>
      </c>
      <c r="D185" t="s">
        <v>22</v>
      </c>
      <c r="E185" t="s">
        <v>14160</v>
      </c>
      <c r="F185" t="s">
        <v>14161</v>
      </c>
      <c r="G185" t="s">
        <v>14162</v>
      </c>
      <c r="H185" t="s">
        <v>14163</v>
      </c>
      <c r="I185" t="s">
        <v>238</v>
      </c>
      <c r="M185" t="s">
        <v>33</v>
      </c>
    </row>
    <row r="186" spans="1:13" x14ac:dyDescent="0.35">
      <c r="A186" t="s">
        <v>20</v>
      </c>
      <c r="B186">
        <v>17644</v>
      </c>
      <c r="C186" t="s">
        <v>21</v>
      </c>
      <c r="D186" t="s">
        <v>22</v>
      </c>
      <c r="E186" t="s">
        <v>14164</v>
      </c>
      <c r="F186" t="s">
        <v>14165</v>
      </c>
      <c r="G186" t="s">
        <v>14166</v>
      </c>
      <c r="H186" t="s">
        <v>14167</v>
      </c>
      <c r="I186" t="s">
        <v>238</v>
      </c>
      <c r="M186" t="s">
        <v>33</v>
      </c>
    </row>
    <row r="187" spans="1:13" x14ac:dyDescent="0.35">
      <c r="A187" t="s">
        <v>20</v>
      </c>
      <c r="B187">
        <v>17644</v>
      </c>
      <c r="C187" t="s">
        <v>21</v>
      </c>
      <c r="D187" t="s">
        <v>22</v>
      </c>
      <c r="E187" t="s">
        <v>14168</v>
      </c>
      <c r="F187" t="s">
        <v>9312</v>
      </c>
      <c r="G187" t="s">
        <v>14169</v>
      </c>
      <c r="H187" t="s">
        <v>14170</v>
      </c>
      <c r="I187" t="s">
        <v>238</v>
      </c>
      <c r="M187" t="s">
        <v>33</v>
      </c>
    </row>
    <row r="188" spans="1:13" x14ac:dyDescent="0.35">
      <c r="A188" t="s">
        <v>20</v>
      </c>
      <c r="B188">
        <v>17644</v>
      </c>
      <c r="C188" t="s">
        <v>21</v>
      </c>
      <c r="D188" t="s">
        <v>22</v>
      </c>
      <c r="E188" t="s">
        <v>14171</v>
      </c>
      <c r="F188" t="s">
        <v>9316</v>
      </c>
      <c r="G188" t="s">
        <v>14172</v>
      </c>
      <c r="H188" t="s">
        <v>14173</v>
      </c>
      <c r="I188" t="s">
        <v>238</v>
      </c>
      <c r="M188" t="s">
        <v>33</v>
      </c>
    </row>
    <row r="189" spans="1:13" x14ac:dyDescent="0.35">
      <c r="A189" t="s">
        <v>20</v>
      </c>
      <c r="B189">
        <v>17644</v>
      </c>
      <c r="C189" t="s">
        <v>21</v>
      </c>
      <c r="D189" t="s">
        <v>22</v>
      </c>
      <c r="E189" t="s">
        <v>14174</v>
      </c>
      <c r="F189" t="s">
        <v>14175</v>
      </c>
      <c r="G189" t="s">
        <v>14176</v>
      </c>
      <c r="H189" t="s">
        <v>14177</v>
      </c>
      <c r="I189" t="s">
        <v>238</v>
      </c>
      <c r="M189" t="s">
        <v>33</v>
      </c>
    </row>
    <row r="190" spans="1:13" x14ac:dyDescent="0.35">
      <c r="A190" t="s">
        <v>20</v>
      </c>
      <c r="B190">
        <v>17644</v>
      </c>
      <c r="C190" t="s">
        <v>21</v>
      </c>
      <c r="D190" t="s">
        <v>22</v>
      </c>
      <c r="E190" t="s">
        <v>14178</v>
      </c>
      <c r="F190" t="s">
        <v>14179</v>
      </c>
      <c r="G190" t="s">
        <v>14180</v>
      </c>
      <c r="H190" t="s">
        <v>14181</v>
      </c>
      <c r="I190" t="s">
        <v>238</v>
      </c>
      <c r="M190" t="s">
        <v>33</v>
      </c>
    </row>
    <row r="191" spans="1:13" x14ac:dyDescent="0.35">
      <c r="A191" t="s">
        <v>20</v>
      </c>
      <c r="B191">
        <v>17644</v>
      </c>
      <c r="C191" t="s">
        <v>21</v>
      </c>
      <c r="D191" t="s">
        <v>22</v>
      </c>
      <c r="E191" t="s">
        <v>14182</v>
      </c>
      <c r="F191" t="s">
        <v>14183</v>
      </c>
      <c r="G191" t="s">
        <v>14184</v>
      </c>
      <c r="H191" t="s">
        <v>14185</v>
      </c>
      <c r="I191" t="s">
        <v>238</v>
      </c>
      <c r="M191" t="s">
        <v>33</v>
      </c>
    </row>
    <row r="192" spans="1:13" x14ac:dyDescent="0.35">
      <c r="A192" t="s">
        <v>20</v>
      </c>
      <c r="B192">
        <v>17644</v>
      </c>
      <c r="C192" t="s">
        <v>21</v>
      </c>
      <c r="D192" t="s">
        <v>22</v>
      </c>
      <c r="E192" t="s">
        <v>14186</v>
      </c>
      <c r="F192" t="s">
        <v>14187</v>
      </c>
      <c r="G192" t="s">
        <v>14188</v>
      </c>
      <c r="H192" t="s">
        <v>14189</v>
      </c>
      <c r="I192" t="s">
        <v>238</v>
      </c>
      <c r="M192" t="s">
        <v>33</v>
      </c>
    </row>
    <row r="193" spans="1:13" x14ac:dyDescent="0.35">
      <c r="A193" t="s">
        <v>20</v>
      </c>
      <c r="B193">
        <v>17644</v>
      </c>
      <c r="C193" t="s">
        <v>21</v>
      </c>
      <c r="D193" t="s">
        <v>22</v>
      </c>
      <c r="E193" t="s">
        <v>14190</v>
      </c>
      <c r="F193" t="s">
        <v>14191</v>
      </c>
      <c r="G193" t="s">
        <v>14192</v>
      </c>
      <c r="H193" t="s">
        <v>14193</v>
      </c>
      <c r="I193" t="s">
        <v>238</v>
      </c>
      <c r="M193" t="s">
        <v>33</v>
      </c>
    </row>
    <row r="194" spans="1:13" x14ac:dyDescent="0.35">
      <c r="A194" t="s">
        <v>20</v>
      </c>
      <c r="B194">
        <v>17644</v>
      </c>
      <c r="C194" t="s">
        <v>21</v>
      </c>
      <c r="D194" t="s">
        <v>22</v>
      </c>
      <c r="E194" t="s">
        <v>14194</v>
      </c>
      <c r="F194" t="s">
        <v>14195</v>
      </c>
      <c r="G194" t="s">
        <v>14196</v>
      </c>
      <c r="H194" t="s">
        <v>14197</v>
      </c>
      <c r="I194" t="s">
        <v>238</v>
      </c>
      <c r="M194" t="s">
        <v>33</v>
      </c>
    </row>
    <row r="195" spans="1:13" x14ac:dyDescent="0.35">
      <c r="A195" t="s">
        <v>20</v>
      </c>
      <c r="B195">
        <v>17644</v>
      </c>
      <c r="C195" t="s">
        <v>21</v>
      </c>
      <c r="D195" t="s">
        <v>22</v>
      </c>
      <c r="E195" t="s">
        <v>14198</v>
      </c>
      <c r="F195" t="s">
        <v>14199</v>
      </c>
      <c r="G195" t="s">
        <v>14200</v>
      </c>
      <c r="H195" t="s">
        <v>14201</v>
      </c>
      <c r="I195" t="s">
        <v>238</v>
      </c>
      <c r="M195" t="s">
        <v>33</v>
      </c>
    </row>
    <row r="196" spans="1:13" x14ac:dyDescent="0.35">
      <c r="A196" t="s">
        <v>20</v>
      </c>
      <c r="B196">
        <v>17644</v>
      </c>
      <c r="C196" t="s">
        <v>21</v>
      </c>
      <c r="D196" t="s">
        <v>22</v>
      </c>
      <c r="E196" t="s">
        <v>14202</v>
      </c>
      <c r="F196" t="s">
        <v>14203</v>
      </c>
      <c r="G196" t="s">
        <v>14204</v>
      </c>
      <c r="H196" t="s">
        <v>14205</v>
      </c>
      <c r="I196" t="s">
        <v>238</v>
      </c>
      <c r="M196" t="s">
        <v>33</v>
      </c>
    </row>
    <row r="197" spans="1:13" x14ac:dyDescent="0.35">
      <c r="A197" t="s">
        <v>20</v>
      </c>
      <c r="B197">
        <v>17644</v>
      </c>
      <c r="C197" t="s">
        <v>21</v>
      </c>
      <c r="D197" t="s">
        <v>22</v>
      </c>
      <c r="E197" t="s">
        <v>14206</v>
      </c>
      <c r="F197" t="s">
        <v>14207</v>
      </c>
      <c r="G197" t="s">
        <v>14208</v>
      </c>
      <c r="H197" t="s">
        <v>14209</v>
      </c>
      <c r="I197" t="s">
        <v>238</v>
      </c>
      <c r="M197" t="s">
        <v>33</v>
      </c>
    </row>
    <row r="198" spans="1:13" x14ac:dyDescent="0.35">
      <c r="A198" t="s">
        <v>20</v>
      </c>
      <c r="B198">
        <v>17644</v>
      </c>
      <c r="C198" t="s">
        <v>21</v>
      </c>
      <c r="D198" t="s">
        <v>22</v>
      </c>
      <c r="E198" t="s">
        <v>14210</v>
      </c>
      <c r="F198" t="s">
        <v>14211</v>
      </c>
      <c r="G198" t="s">
        <v>14212</v>
      </c>
      <c r="H198" t="s">
        <v>14213</v>
      </c>
      <c r="I198" t="s">
        <v>238</v>
      </c>
      <c r="M198" t="s">
        <v>33</v>
      </c>
    </row>
    <row r="199" spans="1:13" x14ac:dyDescent="0.35">
      <c r="A199" t="s">
        <v>20</v>
      </c>
      <c r="B199">
        <v>17644</v>
      </c>
      <c r="C199" t="s">
        <v>21</v>
      </c>
      <c r="D199" t="s">
        <v>22</v>
      </c>
      <c r="E199" t="s">
        <v>14214</v>
      </c>
      <c r="F199" t="s">
        <v>14215</v>
      </c>
      <c r="G199" t="s">
        <v>14216</v>
      </c>
      <c r="H199" t="s">
        <v>14217</v>
      </c>
      <c r="I199" t="s">
        <v>238</v>
      </c>
      <c r="M199" t="s">
        <v>33</v>
      </c>
    </row>
    <row r="200" spans="1:13" x14ac:dyDescent="0.35">
      <c r="A200" t="s">
        <v>20</v>
      </c>
      <c r="B200">
        <v>17644</v>
      </c>
      <c r="C200" t="s">
        <v>21</v>
      </c>
      <c r="D200" t="s">
        <v>22</v>
      </c>
      <c r="E200" t="s">
        <v>14218</v>
      </c>
      <c r="F200" t="s">
        <v>14219</v>
      </c>
      <c r="G200" t="s">
        <v>14220</v>
      </c>
      <c r="H200" t="s">
        <v>14221</v>
      </c>
      <c r="I200" t="s">
        <v>238</v>
      </c>
      <c r="M200" t="s">
        <v>33</v>
      </c>
    </row>
    <row r="201" spans="1:13" x14ac:dyDescent="0.35">
      <c r="A201" t="s">
        <v>20</v>
      </c>
      <c r="B201">
        <v>17644</v>
      </c>
      <c r="C201" t="s">
        <v>21</v>
      </c>
      <c r="D201" t="s">
        <v>22</v>
      </c>
      <c r="E201" t="s">
        <v>14222</v>
      </c>
      <c r="F201" t="s">
        <v>9364</v>
      </c>
      <c r="G201" t="s">
        <v>14223</v>
      </c>
      <c r="H201" t="s">
        <v>14224</v>
      </c>
      <c r="I201" t="s">
        <v>238</v>
      </c>
      <c r="M201" t="s">
        <v>33</v>
      </c>
    </row>
    <row r="202" spans="1:13" x14ac:dyDescent="0.35">
      <c r="A202" t="s">
        <v>20</v>
      </c>
      <c r="B202">
        <v>17644</v>
      </c>
      <c r="C202" t="s">
        <v>21</v>
      </c>
      <c r="D202" t="s">
        <v>22</v>
      </c>
      <c r="E202" t="s">
        <v>14225</v>
      </c>
      <c r="F202" t="s">
        <v>14226</v>
      </c>
      <c r="G202" t="s">
        <v>14227</v>
      </c>
      <c r="H202" t="s">
        <v>14228</v>
      </c>
      <c r="I202" t="s">
        <v>238</v>
      </c>
      <c r="M202" t="s">
        <v>33</v>
      </c>
    </row>
    <row r="203" spans="1:13" x14ac:dyDescent="0.35">
      <c r="A203" t="s">
        <v>20</v>
      </c>
      <c r="B203">
        <v>17644</v>
      </c>
      <c r="C203" t="s">
        <v>21</v>
      </c>
      <c r="D203" t="s">
        <v>22</v>
      </c>
      <c r="E203" t="s">
        <v>14229</v>
      </c>
      <c r="F203" t="s">
        <v>14230</v>
      </c>
      <c r="G203" t="s">
        <v>14231</v>
      </c>
      <c r="H203" t="s">
        <v>14232</v>
      </c>
      <c r="I203" t="s">
        <v>238</v>
      </c>
      <c r="M203" t="s">
        <v>33</v>
      </c>
    </row>
    <row r="204" spans="1:13" x14ac:dyDescent="0.35">
      <c r="A204" t="s">
        <v>20</v>
      </c>
      <c r="B204">
        <v>17644</v>
      </c>
      <c r="C204" t="s">
        <v>21</v>
      </c>
      <c r="D204" t="s">
        <v>22</v>
      </c>
      <c r="E204" t="s">
        <v>14233</v>
      </c>
      <c r="F204" t="s">
        <v>14234</v>
      </c>
      <c r="G204" t="s">
        <v>14235</v>
      </c>
      <c r="H204" t="s">
        <v>14236</v>
      </c>
      <c r="I204" t="s">
        <v>238</v>
      </c>
      <c r="M204" t="s">
        <v>33</v>
      </c>
    </row>
    <row r="205" spans="1:13" x14ac:dyDescent="0.35">
      <c r="A205" t="s">
        <v>20</v>
      </c>
      <c r="B205">
        <v>17644</v>
      </c>
      <c r="C205" t="s">
        <v>21</v>
      </c>
      <c r="D205" t="s">
        <v>22</v>
      </c>
      <c r="E205" t="s">
        <v>14237</v>
      </c>
      <c r="F205" t="s">
        <v>14238</v>
      </c>
      <c r="G205" t="s">
        <v>14239</v>
      </c>
      <c r="H205" t="s">
        <v>14240</v>
      </c>
      <c r="I205" t="s">
        <v>238</v>
      </c>
      <c r="M205" t="s">
        <v>33</v>
      </c>
    </row>
    <row r="206" spans="1:13" x14ac:dyDescent="0.35">
      <c r="A206" t="s">
        <v>20</v>
      </c>
      <c r="B206">
        <v>17644</v>
      </c>
      <c r="C206" t="s">
        <v>21</v>
      </c>
      <c r="D206" t="s">
        <v>22</v>
      </c>
      <c r="E206" t="s">
        <v>14241</v>
      </c>
      <c r="F206" t="s">
        <v>14242</v>
      </c>
      <c r="G206" t="s">
        <v>14243</v>
      </c>
      <c r="H206" t="s">
        <v>14244</v>
      </c>
      <c r="I206" t="s">
        <v>238</v>
      </c>
      <c r="M206" t="s">
        <v>33</v>
      </c>
    </row>
    <row r="207" spans="1:13" x14ac:dyDescent="0.35">
      <c r="A207" t="s">
        <v>20</v>
      </c>
      <c r="B207">
        <v>17644</v>
      </c>
      <c r="C207" t="s">
        <v>21</v>
      </c>
      <c r="D207" t="s">
        <v>22</v>
      </c>
      <c r="E207" t="s">
        <v>14245</v>
      </c>
      <c r="F207" t="s">
        <v>14246</v>
      </c>
      <c r="G207" t="s">
        <v>14247</v>
      </c>
      <c r="H207" t="s">
        <v>14248</v>
      </c>
      <c r="I207" t="s">
        <v>238</v>
      </c>
      <c r="M207" t="s">
        <v>33</v>
      </c>
    </row>
    <row r="208" spans="1:13" x14ac:dyDescent="0.35">
      <c r="A208" t="s">
        <v>20</v>
      </c>
      <c r="B208">
        <v>17644</v>
      </c>
      <c r="C208" t="s">
        <v>21</v>
      </c>
      <c r="D208" t="s">
        <v>22</v>
      </c>
      <c r="E208" t="s">
        <v>14249</v>
      </c>
      <c r="F208" t="s">
        <v>14250</v>
      </c>
      <c r="G208" t="s">
        <v>14251</v>
      </c>
      <c r="H208" t="s">
        <v>14252</v>
      </c>
      <c r="I208" t="s">
        <v>238</v>
      </c>
      <c r="M208" t="s">
        <v>33</v>
      </c>
    </row>
    <row r="209" spans="1:13" x14ac:dyDescent="0.35">
      <c r="A209" t="s">
        <v>20</v>
      </c>
      <c r="B209">
        <v>17644</v>
      </c>
      <c r="C209" t="s">
        <v>21</v>
      </c>
      <c r="D209" t="s">
        <v>22</v>
      </c>
      <c r="E209" t="s">
        <v>14253</v>
      </c>
      <c r="F209" t="s">
        <v>14254</v>
      </c>
      <c r="G209" t="s">
        <v>14255</v>
      </c>
      <c r="H209" t="s">
        <v>14256</v>
      </c>
      <c r="I209" t="s">
        <v>238</v>
      </c>
      <c r="M209" t="s">
        <v>33</v>
      </c>
    </row>
    <row r="210" spans="1:13" x14ac:dyDescent="0.35">
      <c r="A210" t="s">
        <v>20</v>
      </c>
      <c r="B210">
        <v>17644</v>
      </c>
      <c r="C210" t="s">
        <v>21</v>
      </c>
      <c r="D210" t="s">
        <v>22</v>
      </c>
      <c r="E210" t="s">
        <v>14257</v>
      </c>
      <c r="F210" t="s">
        <v>14258</v>
      </c>
      <c r="G210" t="s">
        <v>14259</v>
      </c>
      <c r="H210" t="s">
        <v>14260</v>
      </c>
      <c r="I210" t="s">
        <v>238</v>
      </c>
      <c r="M210" t="s">
        <v>33</v>
      </c>
    </row>
    <row r="211" spans="1:13" x14ac:dyDescent="0.35">
      <c r="A211" t="s">
        <v>20</v>
      </c>
      <c r="B211">
        <v>17644</v>
      </c>
      <c r="C211" t="s">
        <v>21</v>
      </c>
      <c r="D211" t="s">
        <v>22</v>
      </c>
      <c r="E211" t="s">
        <v>14261</v>
      </c>
      <c r="F211" t="s">
        <v>14262</v>
      </c>
      <c r="G211" t="s">
        <v>14263</v>
      </c>
      <c r="H211" t="s">
        <v>14264</v>
      </c>
      <c r="I211" t="s">
        <v>238</v>
      </c>
      <c r="M211" t="s">
        <v>33</v>
      </c>
    </row>
    <row r="212" spans="1:13" x14ac:dyDescent="0.35">
      <c r="A212" t="s">
        <v>20</v>
      </c>
      <c r="B212">
        <v>17644</v>
      </c>
      <c r="C212" t="s">
        <v>21</v>
      </c>
      <c r="D212" t="s">
        <v>22</v>
      </c>
      <c r="E212" t="s">
        <v>14265</v>
      </c>
      <c r="F212" t="s">
        <v>14266</v>
      </c>
      <c r="G212" t="s">
        <v>14267</v>
      </c>
      <c r="H212" t="s">
        <v>14268</v>
      </c>
      <c r="I212" t="s">
        <v>238</v>
      </c>
      <c r="M212" t="s">
        <v>33</v>
      </c>
    </row>
    <row r="213" spans="1:13" x14ac:dyDescent="0.35">
      <c r="A213" t="s">
        <v>20</v>
      </c>
      <c r="B213">
        <v>17644</v>
      </c>
      <c r="C213" t="s">
        <v>21</v>
      </c>
      <c r="D213" t="s">
        <v>22</v>
      </c>
      <c r="E213" t="s">
        <v>14269</v>
      </c>
      <c r="F213" t="s">
        <v>14270</v>
      </c>
      <c r="G213" t="s">
        <v>14271</v>
      </c>
      <c r="H213" t="s">
        <v>14272</v>
      </c>
      <c r="I213" t="s">
        <v>238</v>
      </c>
      <c r="M213" t="s">
        <v>33</v>
      </c>
    </row>
    <row r="214" spans="1:13" x14ac:dyDescent="0.35">
      <c r="A214" t="s">
        <v>20</v>
      </c>
      <c r="B214">
        <v>17644</v>
      </c>
      <c r="C214" t="s">
        <v>21</v>
      </c>
      <c r="D214" t="s">
        <v>22</v>
      </c>
      <c r="E214" t="s">
        <v>14273</v>
      </c>
      <c r="F214" t="s">
        <v>14274</v>
      </c>
      <c r="G214" t="s">
        <v>14275</v>
      </c>
      <c r="H214" t="s">
        <v>14276</v>
      </c>
      <c r="I214" t="s">
        <v>238</v>
      </c>
      <c r="M214" t="s">
        <v>33</v>
      </c>
    </row>
    <row r="215" spans="1:13" x14ac:dyDescent="0.35">
      <c r="A215" t="s">
        <v>20</v>
      </c>
      <c r="B215">
        <v>17644</v>
      </c>
      <c r="C215" t="s">
        <v>21</v>
      </c>
      <c r="D215" t="s">
        <v>22</v>
      </c>
      <c r="E215" t="s">
        <v>14277</v>
      </c>
      <c r="F215" t="s">
        <v>14278</v>
      </c>
      <c r="G215" t="s">
        <v>14279</v>
      </c>
      <c r="H215" t="s">
        <v>14280</v>
      </c>
      <c r="I215" t="s">
        <v>238</v>
      </c>
      <c r="M215" t="s">
        <v>33</v>
      </c>
    </row>
    <row r="216" spans="1:13" x14ac:dyDescent="0.35">
      <c r="A216" t="s">
        <v>20</v>
      </c>
      <c r="B216">
        <v>17644</v>
      </c>
      <c r="C216" t="s">
        <v>21</v>
      </c>
      <c r="D216" t="s">
        <v>22</v>
      </c>
      <c r="E216" t="s">
        <v>14281</v>
      </c>
      <c r="F216" t="s">
        <v>14282</v>
      </c>
      <c r="G216" t="s">
        <v>14283</v>
      </c>
      <c r="H216" t="s">
        <v>14284</v>
      </c>
      <c r="I216" t="s">
        <v>238</v>
      </c>
      <c r="M216" t="s">
        <v>33</v>
      </c>
    </row>
    <row r="217" spans="1:13" x14ac:dyDescent="0.35">
      <c r="A217" t="s">
        <v>20</v>
      </c>
      <c r="B217">
        <v>17644</v>
      </c>
      <c r="C217" t="s">
        <v>21</v>
      </c>
      <c r="D217" t="s">
        <v>22</v>
      </c>
      <c r="E217" t="s">
        <v>14285</v>
      </c>
      <c r="F217" t="s">
        <v>14286</v>
      </c>
      <c r="G217" t="s">
        <v>14287</v>
      </c>
      <c r="H217" t="s">
        <v>14288</v>
      </c>
      <c r="I217" t="s">
        <v>238</v>
      </c>
      <c r="M217" t="s">
        <v>33</v>
      </c>
    </row>
    <row r="218" spans="1:13" x14ac:dyDescent="0.35">
      <c r="A218" t="s">
        <v>20</v>
      </c>
      <c r="B218">
        <v>17644</v>
      </c>
      <c r="C218" t="s">
        <v>21</v>
      </c>
      <c r="D218" t="s">
        <v>22</v>
      </c>
      <c r="E218" t="s">
        <v>14289</v>
      </c>
      <c r="F218" t="s">
        <v>14290</v>
      </c>
      <c r="G218" t="s">
        <v>14291</v>
      </c>
      <c r="H218" t="s">
        <v>14292</v>
      </c>
      <c r="I218" t="s">
        <v>238</v>
      </c>
      <c r="M218" t="s">
        <v>33</v>
      </c>
    </row>
    <row r="219" spans="1:13" x14ac:dyDescent="0.35">
      <c r="A219" t="s">
        <v>20</v>
      </c>
      <c r="B219">
        <v>17644</v>
      </c>
      <c r="C219" t="s">
        <v>21</v>
      </c>
      <c r="D219" t="s">
        <v>22</v>
      </c>
      <c r="E219" t="s">
        <v>14293</v>
      </c>
      <c r="F219" t="s">
        <v>14294</v>
      </c>
      <c r="G219" t="s">
        <v>14295</v>
      </c>
      <c r="H219" t="s">
        <v>14296</v>
      </c>
      <c r="I219" t="s">
        <v>238</v>
      </c>
      <c r="M219" t="s">
        <v>33</v>
      </c>
    </row>
    <row r="220" spans="1:13" x14ac:dyDescent="0.35">
      <c r="A220" t="s">
        <v>20</v>
      </c>
      <c r="B220">
        <v>17644</v>
      </c>
      <c r="C220" t="s">
        <v>21</v>
      </c>
      <c r="D220" t="s">
        <v>22</v>
      </c>
      <c r="E220" t="s">
        <v>14297</v>
      </c>
      <c r="F220" t="s">
        <v>14298</v>
      </c>
      <c r="G220" t="s">
        <v>14299</v>
      </c>
      <c r="H220" t="s">
        <v>14300</v>
      </c>
      <c r="I220" t="s">
        <v>238</v>
      </c>
      <c r="M220" t="s">
        <v>33</v>
      </c>
    </row>
    <row r="221" spans="1:13" x14ac:dyDescent="0.35">
      <c r="A221" t="s">
        <v>20</v>
      </c>
      <c r="B221">
        <v>17644</v>
      </c>
      <c r="C221" t="s">
        <v>21</v>
      </c>
      <c r="D221" t="s">
        <v>22</v>
      </c>
      <c r="E221" t="s">
        <v>14301</v>
      </c>
      <c r="F221" t="s">
        <v>14302</v>
      </c>
      <c r="G221" t="s">
        <v>14303</v>
      </c>
      <c r="H221" t="s">
        <v>14304</v>
      </c>
      <c r="I221" t="s">
        <v>238</v>
      </c>
      <c r="M221" t="s">
        <v>33</v>
      </c>
    </row>
    <row r="222" spans="1:13" x14ac:dyDescent="0.35">
      <c r="A222" t="s">
        <v>20</v>
      </c>
      <c r="B222">
        <v>17644</v>
      </c>
      <c r="C222" t="s">
        <v>21</v>
      </c>
      <c r="D222" t="s">
        <v>22</v>
      </c>
      <c r="E222" t="s">
        <v>14305</v>
      </c>
      <c r="F222" t="s">
        <v>14306</v>
      </c>
      <c r="G222" t="s">
        <v>14307</v>
      </c>
      <c r="H222" t="s">
        <v>14308</v>
      </c>
      <c r="I222" t="s">
        <v>238</v>
      </c>
      <c r="M222" t="s">
        <v>33</v>
      </c>
    </row>
    <row r="223" spans="1:13" x14ac:dyDescent="0.35">
      <c r="A223" t="s">
        <v>20</v>
      </c>
      <c r="B223">
        <v>17644</v>
      </c>
      <c r="C223" t="s">
        <v>21</v>
      </c>
      <c r="D223" t="s">
        <v>22</v>
      </c>
      <c r="E223" t="s">
        <v>14309</v>
      </c>
      <c r="F223" t="s">
        <v>14310</v>
      </c>
      <c r="G223" t="s">
        <v>14311</v>
      </c>
      <c r="H223" t="s">
        <v>14312</v>
      </c>
      <c r="I223" t="s">
        <v>238</v>
      </c>
      <c r="M223" t="s">
        <v>33</v>
      </c>
    </row>
    <row r="224" spans="1:13" x14ac:dyDescent="0.35">
      <c r="A224" t="s">
        <v>20</v>
      </c>
      <c r="B224">
        <v>17644</v>
      </c>
      <c r="C224" t="s">
        <v>21</v>
      </c>
      <c r="D224" t="s">
        <v>22</v>
      </c>
      <c r="E224" t="s">
        <v>14313</v>
      </c>
      <c r="F224" t="s">
        <v>9479</v>
      </c>
      <c r="G224" t="s">
        <v>14314</v>
      </c>
      <c r="H224" t="s">
        <v>14315</v>
      </c>
      <c r="I224" t="s">
        <v>238</v>
      </c>
      <c r="M224" t="s">
        <v>33</v>
      </c>
    </row>
    <row r="225" spans="1:13" x14ac:dyDescent="0.35">
      <c r="A225" t="s">
        <v>20</v>
      </c>
      <c r="B225">
        <v>17644</v>
      </c>
      <c r="C225" t="s">
        <v>21</v>
      </c>
      <c r="D225" t="s">
        <v>22</v>
      </c>
      <c r="E225" t="s">
        <v>14316</v>
      </c>
      <c r="F225" t="s">
        <v>14317</v>
      </c>
      <c r="G225" t="s">
        <v>14318</v>
      </c>
      <c r="H225" t="s">
        <v>14319</v>
      </c>
      <c r="I225" t="s">
        <v>238</v>
      </c>
      <c r="M225" t="s">
        <v>33</v>
      </c>
    </row>
    <row r="226" spans="1:13" x14ac:dyDescent="0.35">
      <c r="A226" t="s">
        <v>20</v>
      </c>
      <c r="B226">
        <v>17644</v>
      </c>
      <c r="C226" t="s">
        <v>21</v>
      </c>
      <c r="D226" t="s">
        <v>22</v>
      </c>
      <c r="E226" t="s">
        <v>14320</v>
      </c>
      <c r="F226" t="s">
        <v>14321</v>
      </c>
      <c r="G226" t="s">
        <v>14322</v>
      </c>
      <c r="H226" t="s">
        <v>14323</v>
      </c>
      <c r="I226" t="s">
        <v>238</v>
      </c>
      <c r="M226" t="s">
        <v>33</v>
      </c>
    </row>
    <row r="227" spans="1:13" x14ac:dyDescent="0.35">
      <c r="A227" t="s">
        <v>20</v>
      </c>
      <c r="B227">
        <v>17644</v>
      </c>
      <c r="C227" t="s">
        <v>21</v>
      </c>
      <c r="D227" t="s">
        <v>22</v>
      </c>
      <c r="E227" t="s">
        <v>14324</v>
      </c>
      <c r="F227" t="s">
        <v>14325</v>
      </c>
      <c r="G227" t="s">
        <v>14326</v>
      </c>
      <c r="H227" t="s">
        <v>14327</v>
      </c>
      <c r="I227" t="s">
        <v>238</v>
      </c>
      <c r="M227" t="s">
        <v>33</v>
      </c>
    </row>
    <row r="228" spans="1:13" x14ac:dyDescent="0.35">
      <c r="A228" t="s">
        <v>20</v>
      </c>
      <c r="B228">
        <v>17644</v>
      </c>
      <c r="C228" t="s">
        <v>21</v>
      </c>
      <c r="D228" t="s">
        <v>22</v>
      </c>
      <c r="E228" t="s">
        <v>14328</v>
      </c>
      <c r="F228" t="s">
        <v>14329</v>
      </c>
      <c r="G228" t="s">
        <v>14330</v>
      </c>
      <c r="H228" t="s">
        <v>14331</v>
      </c>
      <c r="I228" t="s">
        <v>238</v>
      </c>
      <c r="M228" t="s">
        <v>33</v>
      </c>
    </row>
    <row r="229" spans="1:13" x14ac:dyDescent="0.35">
      <c r="A229" t="s">
        <v>20</v>
      </c>
      <c r="B229">
        <v>17644</v>
      </c>
      <c r="C229" t="s">
        <v>21</v>
      </c>
      <c r="D229" t="s">
        <v>22</v>
      </c>
      <c r="E229" t="s">
        <v>14332</v>
      </c>
      <c r="F229" t="s">
        <v>14333</v>
      </c>
      <c r="G229" t="s">
        <v>14334</v>
      </c>
      <c r="H229" t="s">
        <v>14335</v>
      </c>
      <c r="I229" t="s">
        <v>238</v>
      </c>
      <c r="M229" t="s">
        <v>33</v>
      </c>
    </row>
    <row r="230" spans="1:13" x14ac:dyDescent="0.35">
      <c r="A230" t="s">
        <v>20</v>
      </c>
      <c r="B230">
        <v>17644</v>
      </c>
      <c r="C230" t="s">
        <v>21</v>
      </c>
      <c r="D230" t="s">
        <v>22</v>
      </c>
      <c r="E230" t="s">
        <v>14336</v>
      </c>
      <c r="F230" t="s">
        <v>14337</v>
      </c>
      <c r="G230" t="s">
        <v>14338</v>
      </c>
      <c r="H230" t="s">
        <v>14339</v>
      </c>
      <c r="I230" t="s">
        <v>238</v>
      </c>
      <c r="M230" t="s">
        <v>33</v>
      </c>
    </row>
    <row r="231" spans="1:13" x14ac:dyDescent="0.35">
      <c r="A231" t="s">
        <v>20</v>
      </c>
      <c r="B231">
        <v>17644</v>
      </c>
      <c r="C231" t="s">
        <v>21</v>
      </c>
      <c r="D231" t="s">
        <v>22</v>
      </c>
      <c r="E231" t="s">
        <v>14340</v>
      </c>
      <c r="F231" t="s">
        <v>14341</v>
      </c>
      <c r="G231" t="s">
        <v>14342</v>
      </c>
      <c r="H231" t="s">
        <v>14343</v>
      </c>
      <c r="I231" t="s">
        <v>238</v>
      </c>
      <c r="M231" t="s">
        <v>33</v>
      </c>
    </row>
    <row r="232" spans="1:13" x14ac:dyDescent="0.35">
      <c r="A232" t="s">
        <v>20</v>
      </c>
      <c r="B232">
        <v>17644</v>
      </c>
      <c r="C232" t="s">
        <v>21</v>
      </c>
      <c r="D232" t="s">
        <v>22</v>
      </c>
      <c r="E232" t="s">
        <v>14344</v>
      </c>
      <c r="F232" t="s">
        <v>14345</v>
      </c>
      <c r="G232" t="s">
        <v>14346</v>
      </c>
      <c r="H232" t="s">
        <v>14347</v>
      </c>
      <c r="I232" t="s">
        <v>238</v>
      </c>
      <c r="M232" t="s">
        <v>33</v>
      </c>
    </row>
    <row r="233" spans="1:13" x14ac:dyDescent="0.35">
      <c r="A233" t="s">
        <v>20</v>
      </c>
      <c r="B233">
        <v>17644</v>
      </c>
      <c r="C233" t="s">
        <v>21</v>
      </c>
      <c r="D233" t="s">
        <v>22</v>
      </c>
      <c r="E233" t="s">
        <v>14348</v>
      </c>
      <c r="F233" t="s">
        <v>14349</v>
      </c>
      <c r="G233" t="s">
        <v>14350</v>
      </c>
      <c r="H233" t="s">
        <v>14351</v>
      </c>
      <c r="I233" t="s">
        <v>238</v>
      </c>
      <c r="M233" t="s">
        <v>33</v>
      </c>
    </row>
    <row r="234" spans="1:13" x14ac:dyDescent="0.35">
      <c r="A234" t="s">
        <v>20</v>
      </c>
      <c r="B234">
        <v>17644</v>
      </c>
      <c r="C234" t="s">
        <v>21</v>
      </c>
      <c r="D234" t="s">
        <v>22</v>
      </c>
      <c r="E234" t="s">
        <v>14352</v>
      </c>
      <c r="F234" t="s">
        <v>14353</v>
      </c>
      <c r="G234" t="s">
        <v>14354</v>
      </c>
      <c r="H234" t="s">
        <v>14355</v>
      </c>
      <c r="I234" t="s">
        <v>238</v>
      </c>
      <c r="M234" t="s">
        <v>33</v>
      </c>
    </row>
    <row r="235" spans="1:13" x14ac:dyDescent="0.35">
      <c r="A235" t="s">
        <v>20</v>
      </c>
      <c r="B235">
        <v>17644</v>
      </c>
      <c r="C235" t="s">
        <v>21</v>
      </c>
      <c r="D235" t="s">
        <v>22</v>
      </c>
      <c r="E235" t="s">
        <v>14356</v>
      </c>
      <c r="F235" t="s">
        <v>14357</v>
      </c>
      <c r="G235" t="s">
        <v>14358</v>
      </c>
      <c r="H235" t="s">
        <v>14359</v>
      </c>
      <c r="I235" t="s">
        <v>238</v>
      </c>
      <c r="M235" t="s">
        <v>33</v>
      </c>
    </row>
    <row r="236" spans="1:13" x14ac:dyDescent="0.35">
      <c r="A236" t="s">
        <v>20</v>
      </c>
      <c r="B236">
        <v>17644</v>
      </c>
      <c r="C236" t="s">
        <v>21</v>
      </c>
      <c r="D236" t="s">
        <v>22</v>
      </c>
      <c r="E236" t="s">
        <v>14360</v>
      </c>
      <c r="F236" t="s">
        <v>14361</v>
      </c>
      <c r="G236" t="s">
        <v>14362</v>
      </c>
      <c r="H236" t="s">
        <v>14363</v>
      </c>
      <c r="I236" t="s">
        <v>238</v>
      </c>
      <c r="M236" t="s">
        <v>33</v>
      </c>
    </row>
    <row r="237" spans="1:13" x14ac:dyDescent="0.35">
      <c r="A237" t="s">
        <v>20</v>
      </c>
      <c r="B237">
        <v>17644</v>
      </c>
      <c r="C237" t="s">
        <v>21</v>
      </c>
      <c r="D237" t="s">
        <v>22</v>
      </c>
      <c r="E237" t="s">
        <v>14364</v>
      </c>
      <c r="F237" t="s">
        <v>14365</v>
      </c>
      <c r="G237" t="s">
        <v>14366</v>
      </c>
      <c r="H237" t="s">
        <v>14367</v>
      </c>
      <c r="I237" t="s">
        <v>238</v>
      </c>
      <c r="M237" t="s">
        <v>33</v>
      </c>
    </row>
    <row r="238" spans="1:13" x14ac:dyDescent="0.35">
      <c r="A238" t="s">
        <v>20</v>
      </c>
      <c r="B238">
        <v>17644</v>
      </c>
      <c r="C238" t="s">
        <v>21</v>
      </c>
      <c r="D238" t="s">
        <v>22</v>
      </c>
      <c r="E238" t="s">
        <v>14368</v>
      </c>
      <c r="F238" t="s">
        <v>14369</v>
      </c>
      <c r="G238" t="s">
        <v>14370</v>
      </c>
      <c r="H238" t="s">
        <v>14371</v>
      </c>
      <c r="I238" t="s">
        <v>238</v>
      </c>
      <c r="M238" t="s">
        <v>33</v>
      </c>
    </row>
    <row r="239" spans="1:13" x14ac:dyDescent="0.35">
      <c r="A239" t="s">
        <v>20</v>
      </c>
      <c r="B239">
        <v>17644</v>
      </c>
      <c r="C239" t="s">
        <v>21</v>
      </c>
      <c r="D239" t="s">
        <v>22</v>
      </c>
      <c r="E239" t="s">
        <v>14372</v>
      </c>
      <c r="F239" t="s">
        <v>14373</v>
      </c>
      <c r="G239" t="s">
        <v>14374</v>
      </c>
      <c r="H239" t="s">
        <v>14375</v>
      </c>
      <c r="I239" t="s">
        <v>238</v>
      </c>
      <c r="M239" t="s">
        <v>33</v>
      </c>
    </row>
    <row r="240" spans="1:13" x14ac:dyDescent="0.35">
      <c r="A240" t="s">
        <v>20</v>
      </c>
      <c r="B240">
        <v>17644</v>
      </c>
      <c r="C240" t="s">
        <v>21</v>
      </c>
      <c r="D240" t="s">
        <v>22</v>
      </c>
      <c r="E240" t="s">
        <v>14376</v>
      </c>
      <c r="F240" t="s">
        <v>14377</v>
      </c>
      <c r="G240" t="s">
        <v>14378</v>
      </c>
      <c r="H240" t="s">
        <v>14379</v>
      </c>
      <c r="I240" t="s">
        <v>238</v>
      </c>
      <c r="M240" t="s">
        <v>33</v>
      </c>
    </row>
    <row r="241" spans="1:14" x14ac:dyDescent="0.35">
      <c r="A241" t="s">
        <v>20</v>
      </c>
      <c r="B241">
        <v>17643</v>
      </c>
      <c r="C241" t="s">
        <v>426</v>
      </c>
      <c r="D241" t="s">
        <v>427</v>
      </c>
      <c r="E241" t="s">
        <v>13439</v>
      </c>
      <c r="F241" t="s">
        <v>14380</v>
      </c>
      <c r="G241" t="s">
        <v>14381</v>
      </c>
      <c r="H241" t="s">
        <v>14382</v>
      </c>
      <c r="I241" t="s">
        <v>557</v>
      </c>
      <c r="M241" t="s">
        <v>33</v>
      </c>
      <c r="N241" t="s">
        <v>432</v>
      </c>
    </row>
    <row r="242" spans="1:14" x14ac:dyDescent="0.35">
      <c r="A242" t="s">
        <v>20</v>
      </c>
      <c r="B242">
        <v>17643</v>
      </c>
      <c r="C242" t="s">
        <v>426</v>
      </c>
      <c r="D242" t="s">
        <v>427</v>
      </c>
      <c r="E242" t="s">
        <v>13443</v>
      </c>
      <c r="F242" t="s">
        <v>14383</v>
      </c>
      <c r="G242" t="s">
        <v>14384</v>
      </c>
      <c r="H242" t="s">
        <v>14385</v>
      </c>
      <c r="I242" t="s">
        <v>557</v>
      </c>
      <c r="M242" t="s">
        <v>33</v>
      </c>
      <c r="N242" t="s">
        <v>432</v>
      </c>
    </row>
    <row r="243" spans="1:14" x14ac:dyDescent="0.35">
      <c r="A243" t="s">
        <v>20</v>
      </c>
      <c r="B243">
        <v>17643</v>
      </c>
      <c r="C243" t="s">
        <v>426</v>
      </c>
      <c r="D243" t="s">
        <v>427</v>
      </c>
      <c r="E243" t="s">
        <v>13447</v>
      </c>
      <c r="F243" t="s">
        <v>14386</v>
      </c>
      <c r="G243" t="s">
        <v>14387</v>
      </c>
      <c r="H243" t="s">
        <v>14388</v>
      </c>
      <c r="I243" t="s">
        <v>557</v>
      </c>
      <c r="M243" t="s">
        <v>33</v>
      </c>
      <c r="N243" t="s">
        <v>432</v>
      </c>
    </row>
    <row r="244" spans="1:14" x14ac:dyDescent="0.35">
      <c r="A244" t="s">
        <v>20</v>
      </c>
      <c r="B244">
        <v>17643</v>
      </c>
      <c r="C244" t="s">
        <v>426</v>
      </c>
      <c r="D244" t="s">
        <v>427</v>
      </c>
      <c r="E244" t="s">
        <v>13451</v>
      </c>
      <c r="F244" t="s">
        <v>14389</v>
      </c>
      <c r="G244" t="s">
        <v>14390</v>
      </c>
      <c r="H244" t="s">
        <v>14391</v>
      </c>
      <c r="I244" t="s">
        <v>557</v>
      </c>
      <c r="M244" t="s">
        <v>33</v>
      </c>
      <c r="N244" t="s">
        <v>432</v>
      </c>
    </row>
    <row r="245" spans="1:14" x14ac:dyDescent="0.35">
      <c r="A245" t="s">
        <v>20</v>
      </c>
      <c r="B245">
        <v>17643</v>
      </c>
      <c r="C245" t="s">
        <v>426</v>
      </c>
      <c r="D245" t="s">
        <v>427</v>
      </c>
      <c r="E245" t="s">
        <v>13455</v>
      </c>
      <c r="F245" t="s">
        <v>14392</v>
      </c>
      <c r="G245" t="s">
        <v>14393</v>
      </c>
      <c r="H245" t="s">
        <v>14394</v>
      </c>
      <c r="I245" t="s">
        <v>557</v>
      </c>
      <c r="M245" t="s">
        <v>33</v>
      </c>
      <c r="N245" t="s">
        <v>432</v>
      </c>
    </row>
    <row r="246" spans="1:14" x14ac:dyDescent="0.35">
      <c r="A246" t="s">
        <v>20</v>
      </c>
      <c r="B246">
        <v>17643</v>
      </c>
      <c r="C246" t="s">
        <v>426</v>
      </c>
      <c r="D246" t="s">
        <v>427</v>
      </c>
      <c r="E246" t="s">
        <v>13459</v>
      </c>
      <c r="F246" t="s">
        <v>14395</v>
      </c>
      <c r="G246" t="s">
        <v>14396</v>
      </c>
      <c r="H246" t="s">
        <v>14397</v>
      </c>
      <c r="I246" t="s">
        <v>557</v>
      </c>
      <c r="M246" t="s">
        <v>33</v>
      </c>
      <c r="N246" t="s">
        <v>432</v>
      </c>
    </row>
    <row r="247" spans="1:14" x14ac:dyDescent="0.35">
      <c r="A247" t="s">
        <v>20</v>
      </c>
      <c r="B247">
        <v>17643</v>
      </c>
      <c r="C247" t="s">
        <v>426</v>
      </c>
      <c r="D247" t="s">
        <v>427</v>
      </c>
      <c r="E247" t="s">
        <v>13463</v>
      </c>
      <c r="F247" t="s">
        <v>14398</v>
      </c>
      <c r="G247" t="s">
        <v>14399</v>
      </c>
      <c r="H247" t="s">
        <v>14400</v>
      </c>
      <c r="I247" t="s">
        <v>557</v>
      </c>
      <c r="M247" t="s">
        <v>33</v>
      </c>
      <c r="N247" t="s">
        <v>432</v>
      </c>
    </row>
    <row r="248" spans="1:14" x14ac:dyDescent="0.35">
      <c r="A248" t="s">
        <v>20</v>
      </c>
      <c r="B248">
        <v>17643</v>
      </c>
      <c r="C248" t="s">
        <v>426</v>
      </c>
      <c r="D248" t="s">
        <v>427</v>
      </c>
      <c r="E248" t="s">
        <v>13467</v>
      </c>
      <c r="F248" t="s">
        <v>14401</v>
      </c>
      <c r="G248" t="s">
        <v>14402</v>
      </c>
      <c r="H248" t="s">
        <v>14403</v>
      </c>
      <c r="I248" t="s">
        <v>557</v>
      </c>
      <c r="M248" t="s">
        <v>33</v>
      </c>
      <c r="N248" t="s">
        <v>432</v>
      </c>
    </row>
    <row r="249" spans="1:14" x14ac:dyDescent="0.35">
      <c r="A249" t="s">
        <v>20</v>
      </c>
      <c r="B249">
        <v>17643</v>
      </c>
      <c r="C249" t="s">
        <v>426</v>
      </c>
      <c r="D249" t="s">
        <v>427</v>
      </c>
      <c r="E249" t="s">
        <v>13471</v>
      </c>
      <c r="F249" t="s">
        <v>14404</v>
      </c>
      <c r="G249" t="s">
        <v>14405</v>
      </c>
      <c r="H249" t="s">
        <v>14406</v>
      </c>
      <c r="I249" t="s">
        <v>557</v>
      </c>
      <c r="M249" t="s">
        <v>33</v>
      </c>
      <c r="N249" t="s">
        <v>432</v>
      </c>
    </row>
    <row r="250" spans="1:14" x14ac:dyDescent="0.35">
      <c r="A250" t="s">
        <v>20</v>
      </c>
      <c r="B250">
        <v>17643</v>
      </c>
      <c r="C250" t="s">
        <v>426</v>
      </c>
      <c r="D250" t="s">
        <v>427</v>
      </c>
      <c r="E250" t="s">
        <v>13475</v>
      </c>
      <c r="F250" t="s">
        <v>14407</v>
      </c>
      <c r="G250" t="s">
        <v>14408</v>
      </c>
      <c r="H250" t="s">
        <v>14409</v>
      </c>
      <c r="I250" t="s">
        <v>557</v>
      </c>
      <c r="M250" t="s">
        <v>33</v>
      </c>
      <c r="N250" t="s">
        <v>432</v>
      </c>
    </row>
    <row r="251" spans="1:14" x14ac:dyDescent="0.35">
      <c r="A251" t="s">
        <v>20</v>
      </c>
      <c r="B251">
        <v>17643</v>
      </c>
      <c r="C251" t="s">
        <v>426</v>
      </c>
      <c r="D251" t="s">
        <v>427</v>
      </c>
      <c r="E251" t="s">
        <v>13479</v>
      </c>
      <c r="F251" t="s">
        <v>14410</v>
      </c>
      <c r="G251" t="s">
        <v>14411</v>
      </c>
      <c r="H251" t="s">
        <v>14412</v>
      </c>
      <c r="I251" t="s">
        <v>557</v>
      </c>
      <c r="M251" t="s">
        <v>33</v>
      </c>
      <c r="N251" t="s">
        <v>432</v>
      </c>
    </row>
    <row r="252" spans="1:14" x14ac:dyDescent="0.35">
      <c r="A252" t="s">
        <v>20</v>
      </c>
      <c r="B252">
        <v>17643</v>
      </c>
      <c r="C252" t="s">
        <v>426</v>
      </c>
      <c r="D252" t="s">
        <v>427</v>
      </c>
      <c r="E252" t="s">
        <v>13482</v>
      </c>
      <c r="F252" t="s">
        <v>14413</v>
      </c>
      <c r="G252" t="s">
        <v>14414</v>
      </c>
      <c r="H252" t="s">
        <v>14415</v>
      </c>
      <c r="I252" t="s">
        <v>557</v>
      </c>
      <c r="M252" t="s">
        <v>33</v>
      </c>
      <c r="N252" t="s">
        <v>432</v>
      </c>
    </row>
    <row r="253" spans="1:14" x14ac:dyDescent="0.35">
      <c r="A253" t="s">
        <v>20</v>
      </c>
      <c r="B253">
        <v>17643</v>
      </c>
      <c r="C253" t="s">
        <v>426</v>
      </c>
      <c r="D253" t="s">
        <v>427</v>
      </c>
      <c r="E253" t="s">
        <v>13486</v>
      </c>
      <c r="F253" t="s">
        <v>14416</v>
      </c>
      <c r="G253" t="s">
        <v>14417</v>
      </c>
      <c r="H253" t="s">
        <v>14418</v>
      </c>
      <c r="I253" t="s">
        <v>557</v>
      </c>
      <c r="M253" t="s">
        <v>33</v>
      </c>
      <c r="N253" t="s">
        <v>432</v>
      </c>
    </row>
    <row r="254" spans="1:14" x14ac:dyDescent="0.35">
      <c r="A254" t="s">
        <v>20</v>
      </c>
      <c r="B254">
        <v>17643</v>
      </c>
      <c r="C254" t="s">
        <v>426</v>
      </c>
      <c r="D254" t="s">
        <v>427</v>
      </c>
      <c r="E254" t="s">
        <v>13490</v>
      </c>
      <c r="F254" t="s">
        <v>14419</v>
      </c>
      <c r="G254" t="s">
        <v>14420</v>
      </c>
      <c r="H254" t="s">
        <v>14421</v>
      </c>
      <c r="I254" t="s">
        <v>557</v>
      </c>
      <c r="M254" t="s">
        <v>33</v>
      </c>
      <c r="N254" t="s">
        <v>432</v>
      </c>
    </row>
    <row r="255" spans="1:14" x14ac:dyDescent="0.35">
      <c r="A255" t="s">
        <v>20</v>
      </c>
      <c r="B255">
        <v>17643</v>
      </c>
      <c r="C255" t="s">
        <v>426</v>
      </c>
      <c r="D255" t="s">
        <v>427</v>
      </c>
      <c r="E255" t="s">
        <v>13494</v>
      </c>
      <c r="F255" t="s">
        <v>14422</v>
      </c>
      <c r="G255" t="s">
        <v>14423</v>
      </c>
      <c r="H255" t="s">
        <v>14424</v>
      </c>
      <c r="I255" t="s">
        <v>557</v>
      </c>
      <c r="M255" t="s">
        <v>33</v>
      </c>
      <c r="N255" t="s">
        <v>432</v>
      </c>
    </row>
    <row r="256" spans="1:14" x14ac:dyDescent="0.35">
      <c r="A256" t="s">
        <v>20</v>
      </c>
      <c r="B256">
        <v>17643</v>
      </c>
      <c r="C256" t="s">
        <v>426</v>
      </c>
      <c r="D256" t="s">
        <v>427</v>
      </c>
      <c r="E256" t="s">
        <v>13498</v>
      </c>
      <c r="F256" t="s">
        <v>14425</v>
      </c>
      <c r="G256" t="s">
        <v>14426</v>
      </c>
      <c r="H256" t="s">
        <v>14427</v>
      </c>
      <c r="I256" t="s">
        <v>557</v>
      </c>
      <c r="M256" t="s">
        <v>33</v>
      </c>
      <c r="N256" t="s">
        <v>432</v>
      </c>
    </row>
    <row r="257" spans="1:14" x14ac:dyDescent="0.35">
      <c r="A257" t="s">
        <v>20</v>
      </c>
      <c r="B257">
        <v>17643</v>
      </c>
      <c r="C257" t="s">
        <v>426</v>
      </c>
      <c r="D257" t="s">
        <v>427</v>
      </c>
      <c r="E257" t="s">
        <v>13502</v>
      </c>
      <c r="F257" t="s">
        <v>12454</v>
      </c>
      <c r="G257" t="s">
        <v>14428</v>
      </c>
      <c r="H257" t="s">
        <v>14429</v>
      </c>
      <c r="I257" t="s">
        <v>557</v>
      </c>
      <c r="M257" t="s">
        <v>33</v>
      </c>
      <c r="N257" t="s">
        <v>432</v>
      </c>
    </row>
    <row r="258" spans="1:14" x14ac:dyDescent="0.35">
      <c r="A258" t="s">
        <v>20</v>
      </c>
      <c r="B258">
        <v>17643</v>
      </c>
      <c r="C258" t="s">
        <v>426</v>
      </c>
      <c r="D258" t="s">
        <v>427</v>
      </c>
      <c r="E258" t="s">
        <v>13506</v>
      </c>
      <c r="F258" t="s">
        <v>14430</v>
      </c>
      <c r="G258" t="s">
        <v>14431</v>
      </c>
      <c r="H258" t="s">
        <v>14432</v>
      </c>
      <c r="I258" t="s">
        <v>557</v>
      </c>
      <c r="M258" t="s">
        <v>33</v>
      </c>
      <c r="N258" t="s">
        <v>432</v>
      </c>
    </row>
    <row r="259" spans="1:14" x14ac:dyDescent="0.35">
      <c r="A259" t="s">
        <v>20</v>
      </c>
      <c r="B259">
        <v>17643</v>
      </c>
      <c r="C259" t="s">
        <v>426</v>
      </c>
      <c r="D259" t="s">
        <v>427</v>
      </c>
      <c r="E259" t="s">
        <v>13510</v>
      </c>
      <c r="F259" t="s">
        <v>14433</v>
      </c>
      <c r="G259" t="s">
        <v>14434</v>
      </c>
      <c r="H259" t="s">
        <v>14435</v>
      </c>
      <c r="I259" t="s">
        <v>557</v>
      </c>
      <c r="M259" t="s">
        <v>33</v>
      </c>
      <c r="N259" t="s">
        <v>432</v>
      </c>
    </row>
    <row r="260" spans="1:14" x14ac:dyDescent="0.35">
      <c r="A260" t="s">
        <v>20</v>
      </c>
      <c r="B260">
        <v>17643</v>
      </c>
      <c r="C260" t="s">
        <v>426</v>
      </c>
      <c r="D260" t="s">
        <v>427</v>
      </c>
      <c r="E260" t="s">
        <v>13514</v>
      </c>
      <c r="F260" t="s">
        <v>14436</v>
      </c>
      <c r="G260" t="s">
        <v>14437</v>
      </c>
      <c r="H260" t="s">
        <v>14438</v>
      </c>
      <c r="I260" t="s">
        <v>557</v>
      </c>
      <c r="M260" t="s">
        <v>33</v>
      </c>
      <c r="N260" t="s">
        <v>432</v>
      </c>
    </row>
    <row r="261" spans="1:14" x14ac:dyDescent="0.35">
      <c r="A261" t="s">
        <v>20</v>
      </c>
      <c r="B261">
        <v>17643</v>
      </c>
      <c r="C261" t="s">
        <v>426</v>
      </c>
      <c r="D261" t="s">
        <v>427</v>
      </c>
      <c r="E261" t="s">
        <v>13517</v>
      </c>
      <c r="F261" t="s">
        <v>14439</v>
      </c>
      <c r="G261" t="s">
        <v>14440</v>
      </c>
      <c r="H261" t="s">
        <v>14441</v>
      </c>
      <c r="I261" t="s">
        <v>557</v>
      </c>
      <c r="M261" t="s">
        <v>33</v>
      </c>
      <c r="N261" t="s">
        <v>432</v>
      </c>
    </row>
    <row r="262" spans="1:14" x14ac:dyDescent="0.35">
      <c r="A262" t="s">
        <v>20</v>
      </c>
      <c r="B262">
        <v>17643</v>
      </c>
      <c r="C262" t="s">
        <v>426</v>
      </c>
      <c r="D262" t="s">
        <v>427</v>
      </c>
      <c r="E262" t="s">
        <v>13521</v>
      </c>
      <c r="F262" t="s">
        <v>14442</v>
      </c>
      <c r="G262" t="s">
        <v>14443</v>
      </c>
      <c r="H262" t="s">
        <v>14444</v>
      </c>
      <c r="I262" t="s">
        <v>557</v>
      </c>
      <c r="M262" t="s">
        <v>33</v>
      </c>
      <c r="N262" t="s">
        <v>432</v>
      </c>
    </row>
    <row r="263" spans="1:14" x14ac:dyDescent="0.35">
      <c r="A263" t="s">
        <v>20</v>
      </c>
      <c r="B263">
        <v>17643</v>
      </c>
      <c r="C263" t="s">
        <v>426</v>
      </c>
      <c r="D263" t="s">
        <v>427</v>
      </c>
      <c r="E263" t="s">
        <v>13525</v>
      </c>
      <c r="F263" t="s">
        <v>14445</v>
      </c>
      <c r="G263" t="s">
        <v>14446</v>
      </c>
      <c r="H263" t="s">
        <v>14447</v>
      </c>
      <c r="I263" t="s">
        <v>557</v>
      </c>
      <c r="M263" t="s">
        <v>33</v>
      </c>
      <c r="N263" t="s">
        <v>432</v>
      </c>
    </row>
    <row r="264" spans="1:14" x14ac:dyDescent="0.35">
      <c r="A264" t="s">
        <v>20</v>
      </c>
      <c r="B264">
        <v>17643</v>
      </c>
      <c r="C264" t="s">
        <v>426</v>
      </c>
      <c r="D264" t="s">
        <v>427</v>
      </c>
      <c r="E264" t="s">
        <v>13528</v>
      </c>
      <c r="F264" t="s">
        <v>14448</v>
      </c>
      <c r="G264" t="s">
        <v>14449</v>
      </c>
      <c r="H264" t="s">
        <v>14450</v>
      </c>
      <c r="I264" t="s">
        <v>557</v>
      </c>
      <c r="M264" t="s">
        <v>33</v>
      </c>
      <c r="N264" t="s">
        <v>432</v>
      </c>
    </row>
    <row r="265" spans="1:14" x14ac:dyDescent="0.35">
      <c r="A265" t="s">
        <v>20</v>
      </c>
      <c r="B265">
        <v>17643</v>
      </c>
      <c r="C265" t="s">
        <v>426</v>
      </c>
      <c r="D265" t="s">
        <v>427</v>
      </c>
      <c r="E265" t="s">
        <v>13531</v>
      </c>
      <c r="F265" t="s">
        <v>14451</v>
      </c>
      <c r="G265" t="s">
        <v>14452</v>
      </c>
      <c r="H265" t="s">
        <v>14453</v>
      </c>
      <c r="I265" t="s">
        <v>557</v>
      </c>
      <c r="M265" t="s">
        <v>33</v>
      </c>
      <c r="N265" t="s">
        <v>432</v>
      </c>
    </row>
    <row r="266" spans="1:14" x14ac:dyDescent="0.35">
      <c r="A266" t="s">
        <v>20</v>
      </c>
      <c r="B266">
        <v>17643</v>
      </c>
      <c r="C266" t="s">
        <v>426</v>
      </c>
      <c r="D266" t="s">
        <v>427</v>
      </c>
      <c r="E266" t="s">
        <v>13535</v>
      </c>
      <c r="F266" t="s">
        <v>14454</v>
      </c>
      <c r="G266" t="s">
        <v>14455</v>
      </c>
      <c r="H266" t="s">
        <v>14456</v>
      </c>
      <c r="I266" t="s">
        <v>557</v>
      </c>
      <c r="M266" t="s">
        <v>33</v>
      </c>
      <c r="N266" t="s">
        <v>432</v>
      </c>
    </row>
    <row r="267" spans="1:14" x14ac:dyDescent="0.35">
      <c r="A267" t="s">
        <v>20</v>
      </c>
      <c r="B267">
        <v>17643</v>
      </c>
      <c r="C267" t="s">
        <v>426</v>
      </c>
      <c r="D267" t="s">
        <v>427</v>
      </c>
      <c r="E267" t="s">
        <v>13539</v>
      </c>
      <c r="F267" t="s">
        <v>14457</v>
      </c>
      <c r="G267" t="s">
        <v>14458</v>
      </c>
      <c r="H267" t="s">
        <v>14459</v>
      </c>
      <c r="I267" t="s">
        <v>557</v>
      </c>
      <c r="M267" t="s">
        <v>33</v>
      </c>
      <c r="N267" t="s">
        <v>432</v>
      </c>
    </row>
    <row r="268" spans="1:14" x14ac:dyDescent="0.35">
      <c r="A268" t="s">
        <v>20</v>
      </c>
      <c r="B268">
        <v>17643</v>
      </c>
      <c r="C268" t="s">
        <v>426</v>
      </c>
      <c r="D268" t="s">
        <v>427</v>
      </c>
      <c r="E268" t="s">
        <v>13543</v>
      </c>
      <c r="F268" t="s">
        <v>14460</v>
      </c>
      <c r="G268" t="s">
        <v>14461</v>
      </c>
      <c r="H268" t="s">
        <v>14462</v>
      </c>
      <c r="I268" t="s">
        <v>557</v>
      </c>
      <c r="M268" t="s">
        <v>33</v>
      </c>
      <c r="N268" t="s">
        <v>432</v>
      </c>
    </row>
    <row r="269" spans="1:14" x14ac:dyDescent="0.35">
      <c r="A269" t="s">
        <v>20</v>
      </c>
      <c r="B269">
        <v>17643</v>
      </c>
      <c r="C269" t="s">
        <v>426</v>
      </c>
      <c r="D269" t="s">
        <v>427</v>
      </c>
      <c r="E269" t="s">
        <v>13547</v>
      </c>
      <c r="F269" t="s">
        <v>14463</v>
      </c>
      <c r="G269" t="s">
        <v>14464</v>
      </c>
      <c r="H269" t="s">
        <v>14465</v>
      </c>
      <c r="I269" t="s">
        <v>557</v>
      </c>
      <c r="M269" t="s">
        <v>33</v>
      </c>
      <c r="N269" t="s">
        <v>432</v>
      </c>
    </row>
    <row r="270" spans="1:14" x14ac:dyDescent="0.35">
      <c r="A270" t="s">
        <v>20</v>
      </c>
      <c r="B270">
        <v>17643</v>
      </c>
      <c r="C270" t="s">
        <v>426</v>
      </c>
      <c r="D270" t="s">
        <v>427</v>
      </c>
      <c r="E270" t="s">
        <v>13551</v>
      </c>
      <c r="F270" t="s">
        <v>14466</v>
      </c>
      <c r="G270" t="s">
        <v>14467</v>
      </c>
      <c r="H270" t="s">
        <v>14468</v>
      </c>
      <c r="I270" t="s">
        <v>557</v>
      </c>
      <c r="M270" t="s">
        <v>33</v>
      </c>
      <c r="N270" t="s">
        <v>432</v>
      </c>
    </row>
    <row r="271" spans="1:14" x14ac:dyDescent="0.35">
      <c r="A271" t="s">
        <v>20</v>
      </c>
      <c r="B271">
        <v>17643</v>
      </c>
      <c r="C271" t="s">
        <v>426</v>
      </c>
      <c r="D271" t="s">
        <v>427</v>
      </c>
      <c r="E271" t="s">
        <v>13555</v>
      </c>
      <c r="F271" t="s">
        <v>14469</v>
      </c>
      <c r="G271" t="s">
        <v>14470</v>
      </c>
      <c r="H271" t="s">
        <v>14471</v>
      </c>
      <c r="I271" t="s">
        <v>557</v>
      </c>
      <c r="M271" t="s">
        <v>33</v>
      </c>
      <c r="N271" t="s">
        <v>432</v>
      </c>
    </row>
    <row r="272" spans="1:14" x14ac:dyDescent="0.35">
      <c r="A272" t="s">
        <v>20</v>
      </c>
      <c r="B272">
        <v>17643</v>
      </c>
      <c r="C272" t="s">
        <v>426</v>
      </c>
      <c r="D272" t="s">
        <v>427</v>
      </c>
      <c r="E272" t="s">
        <v>13559</v>
      </c>
      <c r="F272" t="s">
        <v>14472</v>
      </c>
      <c r="G272" t="s">
        <v>14473</v>
      </c>
      <c r="H272" t="s">
        <v>14474</v>
      </c>
      <c r="I272" t="s">
        <v>557</v>
      </c>
      <c r="M272" t="s">
        <v>33</v>
      </c>
      <c r="N272" t="s">
        <v>432</v>
      </c>
    </row>
    <row r="273" spans="1:14" x14ac:dyDescent="0.35">
      <c r="A273" t="s">
        <v>20</v>
      </c>
      <c r="B273">
        <v>17643</v>
      </c>
      <c r="C273" t="s">
        <v>426</v>
      </c>
      <c r="D273" t="s">
        <v>427</v>
      </c>
      <c r="E273" t="s">
        <v>13563</v>
      </c>
      <c r="F273" t="s">
        <v>14475</v>
      </c>
      <c r="G273" t="s">
        <v>14476</v>
      </c>
      <c r="H273" t="s">
        <v>14477</v>
      </c>
      <c r="I273" t="s">
        <v>557</v>
      </c>
      <c r="M273" t="s">
        <v>33</v>
      </c>
      <c r="N273" t="s">
        <v>432</v>
      </c>
    </row>
    <row r="274" spans="1:14" x14ac:dyDescent="0.35">
      <c r="A274" t="s">
        <v>20</v>
      </c>
      <c r="B274">
        <v>17643</v>
      </c>
      <c r="C274" t="s">
        <v>426</v>
      </c>
      <c r="D274" t="s">
        <v>427</v>
      </c>
      <c r="E274" t="s">
        <v>13567</v>
      </c>
      <c r="F274" t="s">
        <v>14478</v>
      </c>
      <c r="G274" t="s">
        <v>14479</v>
      </c>
      <c r="H274" t="s">
        <v>14480</v>
      </c>
      <c r="I274" t="s">
        <v>557</v>
      </c>
      <c r="M274" t="s">
        <v>33</v>
      </c>
      <c r="N274" t="s">
        <v>432</v>
      </c>
    </row>
    <row r="275" spans="1:14" x14ac:dyDescent="0.35">
      <c r="A275" t="s">
        <v>20</v>
      </c>
      <c r="B275">
        <v>17643</v>
      </c>
      <c r="C275" t="s">
        <v>426</v>
      </c>
      <c r="D275" t="s">
        <v>427</v>
      </c>
      <c r="E275" t="s">
        <v>13571</v>
      </c>
      <c r="F275" t="s">
        <v>14481</v>
      </c>
      <c r="G275" t="s">
        <v>14482</v>
      </c>
      <c r="H275" t="s">
        <v>14483</v>
      </c>
      <c r="I275" t="s">
        <v>557</v>
      </c>
      <c r="M275" t="s">
        <v>33</v>
      </c>
      <c r="N275" t="s">
        <v>432</v>
      </c>
    </row>
    <row r="276" spans="1:14" x14ac:dyDescent="0.35">
      <c r="A276" t="s">
        <v>20</v>
      </c>
      <c r="B276">
        <v>17643</v>
      </c>
      <c r="C276" t="s">
        <v>426</v>
      </c>
      <c r="D276" t="s">
        <v>427</v>
      </c>
      <c r="E276" t="s">
        <v>13575</v>
      </c>
      <c r="F276" t="s">
        <v>14484</v>
      </c>
      <c r="G276" t="s">
        <v>14485</v>
      </c>
      <c r="H276" t="s">
        <v>14486</v>
      </c>
      <c r="I276" t="s">
        <v>557</v>
      </c>
      <c r="M276" t="s">
        <v>33</v>
      </c>
      <c r="N276" t="s">
        <v>432</v>
      </c>
    </row>
    <row r="277" spans="1:14" x14ac:dyDescent="0.35">
      <c r="A277" t="s">
        <v>20</v>
      </c>
      <c r="B277">
        <v>17643</v>
      </c>
      <c r="C277" t="s">
        <v>426</v>
      </c>
      <c r="D277" t="s">
        <v>427</v>
      </c>
      <c r="E277" t="s">
        <v>13579</v>
      </c>
      <c r="F277" t="s">
        <v>14487</v>
      </c>
      <c r="G277" t="s">
        <v>14488</v>
      </c>
      <c r="H277" t="s">
        <v>14489</v>
      </c>
      <c r="I277" t="s">
        <v>557</v>
      </c>
      <c r="M277" t="s">
        <v>33</v>
      </c>
      <c r="N277" t="s">
        <v>432</v>
      </c>
    </row>
    <row r="278" spans="1:14" x14ac:dyDescent="0.35">
      <c r="A278" t="s">
        <v>20</v>
      </c>
      <c r="B278">
        <v>17643</v>
      </c>
      <c r="C278" t="s">
        <v>426</v>
      </c>
      <c r="D278" t="s">
        <v>427</v>
      </c>
      <c r="E278" t="s">
        <v>13583</v>
      </c>
      <c r="F278" t="s">
        <v>14490</v>
      </c>
      <c r="G278" t="s">
        <v>14491</v>
      </c>
      <c r="H278" t="s">
        <v>14492</v>
      </c>
      <c r="I278" t="s">
        <v>557</v>
      </c>
      <c r="M278" t="s">
        <v>33</v>
      </c>
      <c r="N278" t="s">
        <v>432</v>
      </c>
    </row>
    <row r="279" spans="1:14" x14ac:dyDescent="0.35">
      <c r="A279" t="s">
        <v>20</v>
      </c>
      <c r="B279">
        <v>17643</v>
      </c>
      <c r="C279" t="s">
        <v>426</v>
      </c>
      <c r="D279" t="s">
        <v>427</v>
      </c>
      <c r="E279" t="s">
        <v>13587</v>
      </c>
      <c r="F279" t="s">
        <v>14493</v>
      </c>
      <c r="G279" t="s">
        <v>14494</v>
      </c>
      <c r="H279" t="s">
        <v>14495</v>
      </c>
      <c r="I279" t="s">
        <v>557</v>
      </c>
      <c r="M279" t="s">
        <v>33</v>
      </c>
      <c r="N279" t="s">
        <v>432</v>
      </c>
    </row>
    <row r="280" spans="1:14" x14ac:dyDescent="0.35">
      <c r="A280" t="s">
        <v>20</v>
      </c>
      <c r="B280">
        <v>17643</v>
      </c>
      <c r="C280" t="s">
        <v>426</v>
      </c>
      <c r="D280" t="s">
        <v>427</v>
      </c>
      <c r="E280" t="s">
        <v>13591</v>
      </c>
      <c r="F280" t="s">
        <v>14496</v>
      </c>
      <c r="G280" t="s">
        <v>14497</v>
      </c>
      <c r="H280" t="s">
        <v>14498</v>
      </c>
      <c r="I280" t="s">
        <v>557</v>
      </c>
      <c r="M280" t="s">
        <v>33</v>
      </c>
      <c r="N280" t="s">
        <v>432</v>
      </c>
    </row>
    <row r="281" spans="1:14" x14ac:dyDescent="0.35">
      <c r="A281" t="s">
        <v>20</v>
      </c>
      <c r="B281">
        <v>17643</v>
      </c>
      <c r="C281" t="s">
        <v>426</v>
      </c>
      <c r="D281" t="s">
        <v>427</v>
      </c>
      <c r="E281" t="s">
        <v>13595</v>
      </c>
      <c r="F281" t="s">
        <v>14499</v>
      </c>
      <c r="G281" t="s">
        <v>14500</v>
      </c>
      <c r="H281" t="s">
        <v>14501</v>
      </c>
      <c r="I281" t="s">
        <v>557</v>
      </c>
      <c r="M281" t="s">
        <v>33</v>
      </c>
      <c r="N281" t="s">
        <v>432</v>
      </c>
    </row>
    <row r="282" spans="1:14" x14ac:dyDescent="0.35">
      <c r="A282" t="s">
        <v>20</v>
      </c>
      <c r="B282">
        <v>17643</v>
      </c>
      <c r="C282" t="s">
        <v>426</v>
      </c>
      <c r="D282" t="s">
        <v>427</v>
      </c>
      <c r="E282" t="s">
        <v>13599</v>
      </c>
      <c r="F282" t="s">
        <v>14502</v>
      </c>
      <c r="G282" t="s">
        <v>14503</v>
      </c>
      <c r="H282" t="s">
        <v>14504</v>
      </c>
      <c r="I282" t="s">
        <v>557</v>
      </c>
      <c r="M282" t="s">
        <v>33</v>
      </c>
      <c r="N282" t="s">
        <v>432</v>
      </c>
    </row>
    <row r="283" spans="1:14" x14ac:dyDescent="0.35">
      <c r="A283" t="s">
        <v>20</v>
      </c>
      <c r="B283">
        <v>17643</v>
      </c>
      <c r="C283" t="s">
        <v>426</v>
      </c>
      <c r="D283" t="s">
        <v>427</v>
      </c>
      <c r="E283" t="s">
        <v>13603</v>
      </c>
      <c r="F283" t="s">
        <v>14505</v>
      </c>
      <c r="G283" t="s">
        <v>14506</v>
      </c>
      <c r="H283" t="s">
        <v>14507</v>
      </c>
      <c r="I283" t="s">
        <v>557</v>
      </c>
      <c r="M283" t="s">
        <v>33</v>
      </c>
      <c r="N283" t="s">
        <v>432</v>
      </c>
    </row>
    <row r="284" spans="1:14" x14ac:dyDescent="0.35">
      <c r="A284" t="s">
        <v>20</v>
      </c>
      <c r="B284">
        <v>17643</v>
      </c>
      <c r="C284" t="s">
        <v>426</v>
      </c>
      <c r="D284" t="s">
        <v>427</v>
      </c>
      <c r="E284" t="s">
        <v>13607</v>
      </c>
      <c r="F284" t="s">
        <v>14508</v>
      </c>
      <c r="G284" t="s">
        <v>14509</v>
      </c>
      <c r="H284" t="s">
        <v>14510</v>
      </c>
      <c r="I284" t="s">
        <v>557</v>
      </c>
      <c r="M284" t="s">
        <v>33</v>
      </c>
      <c r="N284" t="s">
        <v>432</v>
      </c>
    </row>
    <row r="285" spans="1:14" x14ac:dyDescent="0.35">
      <c r="A285" t="s">
        <v>20</v>
      </c>
      <c r="B285">
        <v>17643</v>
      </c>
      <c r="C285" t="s">
        <v>426</v>
      </c>
      <c r="D285" t="s">
        <v>427</v>
      </c>
      <c r="E285" t="s">
        <v>13611</v>
      </c>
      <c r="F285" t="s">
        <v>14511</v>
      </c>
      <c r="G285" t="s">
        <v>14512</v>
      </c>
      <c r="H285" t="s">
        <v>14513</v>
      </c>
      <c r="I285" t="s">
        <v>557</v>
      </c>
      <c r="M285" t="s">
        <v>33</v>
      </c>
      <c r="N285" t="s">
        <v>432</v>
      </c>
    </row>
    <row r="286" spans="1:14" x14ac:dyDescent="0.35">
      <c r="A286" t="s">
        <v>20</v>
      </c>
      <c r="B286">
        <v>17643</v>
      </c>
      <c r="C286" t="s">
        <v>426</v>
      </c>
      <c r="D286" t="s">
        <v>427</v>
      </c>
      <c r="E286" t="s">
        <v>13615</v>
      </c>
      <c r="F286" t="s">
        <v>14514</v>
      </c>
      <c r="G286" t="s">
        <v>14515</v>
      </c>
      <c r="H286" t="s">
        <v>14516</v>
      </c>
      <c r="I286" t="s">
        <v>557</v>
      </c>
      <c r="M286" t="s">
        <v>33</v>
      </c>
      <c r="N286" t="s">
        <v>432</v>
      </c>
    </row>
    <row r="287" spans="1:14" x14ac:dyDescent="0.35">
      <c r="A287" t="s">
        <v>20</v>
      </c>
      <c r="B287">
        <v>17643</v>
      </c>
      <c r="C287" t="s">
        <v>426</v>
      </c>
      <c r="D287" t="s">
        <v>427</v>
      </c>
      <c r="E287" t="s">
        <v>13618</v>
      </c>
      <c r="F287" t="s">
        <v>14517</v>
      </c>
      <c r="G287" t="s">
        <v>14518</v>
      </c>
      <c r="H287" t="s">
        <v>14519</v>
      </c>
      <c r="I287" t="s">
        <v>557</v>
      </c>
      <c r="M287" t="s">
        <v>33</v>
      </c>
      <c r="N287" t="s">
        <v>432</v>
      </c>
    </row>
    <row r="288" spans="1:14" x14ac:dyDescent="0.35">
      <c r="A288" t="s">
        <v>20</v>
      </c>
      <c r="B288">
        <v>17643</v>
      </c>
      <c r="C288" t="s">
        <v>426</v>
      </c>
      <c r="D288" t="s">
        <v>427</v>
      </c>
      <c r="E288" t="s">
        <v>13622</v>
      </c>
      <c r="F288" t="s">
        <v>14520</v>
      </c>
      <c r="G288" t="s">
        <v>14521</v>
      </c>
      <c r="H288" t="s">
        <v>14522</v>
      </c>
      <c r="I288" t="s">
        <v>557</v>
      </c>
      <c r="M288" t="s">
        <v>33</v>
      </c>
      <c r="N288" t="s">
        <v>432</v>
      </c>
    </row>
    <row r="289" spans="1:14" x14ac:dyDescent="0.35">
      <c r="A289" t="s">
        <v>20</v>
      </c>
      <c r="B289">
        <v>17643</v>
      </c>
      <c r="C289" t="s">
        <v>426</v>
      </c>
      <c r="D289" t="s">
        <v>427</v>
      </c>
      <c r="E289" t="s">
        <v>13626</v>
      </c>
      <c r="F289" t="s">
        <v>10213</v>
      </c>
      <c r="G289" t="s">
        <v>14523</v>
      </c>
      <c r="H289" t="s">
        <v>14524</v>
      </c>
      <c r="I289" t="s">
        <v>557</v>
      </c>
      <c r="M289" t="s">
        <v>33</v>
      </c>
      <c r="N289" t="s">
        <v>432</v>
      </c>
    </row>
    <row r="290" spans="1:14" x14ac:dyDescent="0.35">
      <c r="A290" t="s">
        <v>20</v>
      </c>
      <c r="B290">
        <v>17643</v>
      </c>
      <c r="C290" t="s">
        <v>426</v>
      </c>
      <c r="D290" t="s">
        <v>427</v>
      </c>
      <c r="E290" t="s">
        <v>13630</v>
      </c>
      <c r="F290" t="s">
        <v>14525</v>
      </c>
      <c r="G290" t="s">
        <v>14526</v>
      </c>
      <c r="H290" t="s">
        <v>14527</v>
      </c>
      <c r="I290" t="s">
        <v>557</v>
      </c>
      <c r="M290" t="s">
        <v>33</v>
      </c>
      <c r="N290" t="s">
        <v>432</v>
      </c>
    </row>
    <row r="291" spans="1:14" x14ac:dyDescent="0.35">
      <c r="A291" t="s">
        <v>20</v>
      </c>
      <c r="B291">
        <v>17643</v>
      </c>
      <c r="C291" t="s">
        <v>426</v>
      </c>
      <c r="D291" t="s">
        <v>427</v>
      </c>
      <c r="E291" t="s">
        <v>13634</v>
      </c>
      <c r="F291" t="s">
        <v>14528</v>
      </c>
      <c r="G291" t="s">
        <v>14529</v>
      </c>
      <c r="H291" t="s">
        <v>14530</v>
      </c>
      <c r="I291" t="s">
        <v>557</v>
      </c>
      <c r="M291" t="s">
        <v>33</v>
      </c>
      <c r="N291" t="s">
        <v>432</v>
      </c>
    </row>
    <row r="292" spans="1:14" x14ac:dyDescent="0.35">
      <c r="A292" t="s">
        <v>20</v>
      </c>
      <c r="B292">
        <v>17643</v>
      </c>
      <c r="C292" t="s">
        <v>426</v>
      </c>
      <c r="D292" t="s">
        <v>427</v>
      </c>
      <c r="E292" t="s">
        <v>13638</v>
      </c>
      <c r="F292" t="s">
        <v>14531</v>
      </c>
      <c r="G292" t="s">
        <v>14532</v>
      </c>
      <c r="H292" t="s">
        <v>14533</v>
      </c>
      <c r="I292" t="s">
        <v>557</v>
      </c>
      <c r="M292" t="s">
        <v>33</v>
      </c>
      <c r="N292" t="s">
        <v>432</v>
      </c>
    </row>
    <row r="293" spans="1:14" x14ac:dyDescent="0.35">
      <c r="A293" t="s">
        <v>20</v>
      </c>
      <c r="B293">
        <v>17643</v>
      </c>
      <c r="C293" t="s">
        <v>426</v>
      </c>
      <c r="D293" t="s">
        <v>427</v>
      </c>
      <c r="E293" t="s">
        <v>13642</v>
      </c>
      <c r="F293" t="s">
        <v>14534</v>
      </c>
      <c r="G293" t="s">
        <v>14535</v>
      </c>
      <c r="H293" t="s">
        <v>14536</v>
      </c>
      <c r="I293" t="s">
        <v>557</v>
      </c>
      <c r="M293" t="s">
        <v>33</v>
      </c>
      <c r="N293" t="s">
        <v>432</v>
      </c>
    </row>
    <row r="294" spans="1:14" x14ac:dyDescent="0.35">
      <c r="A294" t="s">
        <v>20</v>
      </c>
      <c r="B294">
        <v>17643</v>
      </c>
      <c r="C294" t="s">
        <v>426</v>
      </c>
      <c r="D294" t="s">
        <v>427</v>
      </c>
      <c r="E294" t="s">
        <v>13646</v>
      </c>
      <c r="F294" t="s">
        <v>14537</v>
      </c>
      <c r="G294" t="s">
        <v>14538</v>
      </c>
      <c r="H294" t="s">
        <v>14539</v>
      </c>
      <c r="I294" t="s">
        <v>557</v>
      </c>
      <c r="M294" t="s">
        <v>33</v>
      </c>
      <c r="N294" t="s">
        <v>432</v>
      </c>
    </row>
    <row r="295" spans="1:14" x14ac:dyDescent="0.35">
      <c r="A295" t="s">
        <v>20</v>
      </c>
      <c r="B295">
        <v>17643</v>
      </c>
      <c r="C295" t="s">
        <v>426</v>
      </c>
      <c r="D295" t="s">
        <v>427</v>
      </c>
      <c r="E295" t="s">
        <v>13650</v>
      </c>
      <c r="F295" t="s">
        <v>14540</v>
      </c>
      <c r="G295" t="s">
        <v>14541</v>
      </c>
      <c r="H295" t="s">
        <v>14542</v>
      </c>
      <c r="I295" t="s">
        <v>557</v>
      </c>
      <c r="M295" t="s">
        <v>33</v>
      </c>
      <c r="N295" t="s">
        <v>432</v>
      </c>
    </row>
    <row r="296" spans="1:14" x14ac:dyDescent="0.35">
      <c r="A296" t="s">
        <v>20</v>
      </c>
      <c r="B296">
        <v>17643</v>
      </c>
      <c r="C296" t="s">
        <v>426</v>
      </c>
      <c r="D296" t="s">
        <v>427</v>
      </c>
      <c r="E296" t="s">
        <v>13654</v>
      </c>
      <c r="F296" t="s">
        <v>14543</v>
      </c>
      <c r="G296" t="s">
        <v>14544</v>
      </c>
      <c r="H296" t="s">
        <v>14545</v>
      </c>
      <c r="I296" t="s">
        <v>557</v>
      </c>
      <c r="M296" t="s">
        <v>33</v>
      </c>
      <c r="N296" t="s">
        <v>432</v>
      </c>
    </row>
    <row r="297" spans="1:14" x14ac:dyDescent="0.35">
      <c r="A297" t="s">
        <v>20</v>
      </c>
      <c r="B297">
        <v>17643</v>
      </c>
      <c r="C297" t="s">
        <v>426</v>
      </c>
      <c r="D297" t="s">
        <v>427</v>
      </c>
      <c r="E297" t="s">
        <v>13658</v>
      </c>
      <c r="F297" t="s">
        <v>14546</v>
      </c>
      <c r="G297" t="s">
        <v>14547</v>
      </c>
      <c r="H297" t="s">
        <v>14548</v>
      </c>
      <c r="I297" t="s">
        <v>557</v>
      </c>
      <c r="M297" t="s">
        <v>33</v>
      </c>
      <c r="N297" t="s">
        <v>432</v>
      </c>
    </row>
    <row r="298" spans="1:14" x14ac:dyDescent="0.35">
      <c r="A298" t="s">
        <v>20</v>
      </c>
      <c r="B298">
        <v>17643</v>
      </c>
      <c r="C298" t="s">
        <v>426</v>
      </c>
      <c r="D298" t="s">
        <v>427</v>
      </c>
      <c r="E298" t="s">
        <v>13662</v>
      </c>
      <c r="F298" t="s">
        <v>14549</v>
      </c>
      <c r="G298" t="s">
        <v>14550</v>
      </c>
      <c r="H298" t="s">
        <v>14551</v>
      </c>
      <c r="I298" t="s">
        <v>557</v>
      </c>
      <c r="M298" t="s">
        <v>33</v>
      </c>
      <c r="N298" t="s">
        <v>432</v>
      </c>
    </row>
    <row r="299" spans="1:14" x14ac:dyDescent="0.35">
      <c r="A299" t="s">
        <v>20</v>
      </c>
      <c r="B299">
        <v>17643</v>
      </c>
      <c r="C299" t="s">
        <v>426</v>
      </c>
      <c r="D299" t="s">
        <v>427</v>
      </c>
      <c r="E299" t="s">
        <v>13666</v>
      </c>
      <c r="F299" t="s">
        <v>14552</v>
      </c>
      <c r="G299" t="s">
        <v>14553</v>
      </c>
      <c r="H299" t="s">
        <v>14554</v>
      </c>
      <c r="I299" t="s">
        <v>557</v>
      </c>
      <c r="M299" t="s">
        <v>33</v>
      </c>
      <c r="N299" t="s">
        <v>432</v>
      </c>
    </row>
    <row r="300" spans="1:14" x14ac:dyDescent="0.35">
      <c r="A300" t="s">
        <v>20</v>
      </c>
      <c r="B300">
        <v>17643</v>
      </c>
      <c r="C300" t="s">
        <v>426</v>
      </c>
      <c r="D300" t="s">
        <v>427</v>
      </c>
      <c r="E300" t="s">
        <v>13670</v>
      </c>
      <c r="F300" t="s">
        <v>14555</v>
      </c>
      <c r="G300" t="s">
        <v>14556</v>
      </c>
      <c r="H300" t="s">
        <v>14557</v>
      </c>
      <c r="I300" t="s">
        <v>557</v>
      </c>
      <c r="M300" t="s">
        <v>33</v>
      </c>
      <c r="N300" t="s">
        <v>432</v>
      </c>
    </row>
    <row r="301" spans="1:14" x14ac:dyDescent="0.35">
      <c r="A301" t="s">
        <v>20</v>
      </c>
      <c r="B301">
        <v>17643</v>
      </c>
      <c r="C301" t="s">
        <v>426</v>
      </c>
      <c r="D301" t="s">
        <v>427</v>
      </c>
      <c r="E301" t="s">
        <v>13674</v>
      </c>
      <c r="F301" t="s">
        <v>14558</v>
      </c>
      <c r="G301" t="s">
        <v>14559</v>
      </c>
      <c r="H301" t="s">
        <v>14560</v>
      </c>
      <c r="I301" t="s">
        <v>557</v>
      </c>
      <c r="M301" t="s">
        <v>33</v>
      </c>
      <c r="N301" t="s">
        <v>432</v>
      </c>
    </row>
    <row r="302" spans="1:14" x14ac:dyDescent="0.35">
      <c r="A302" t="s">
        <v>20</v>
      </c>
      <c r="B302">
        <v>17643</v>
      </c>
      <c r="C302" t="s">
        <v>426</v>
      </c>
      <c r="D302" t="s">
        <v>427</v>
      </c>
      <c r="E302" t="s">
        <v>13678</v>
      </c>
      <c r="F302" t="s">
        <v>14561</v>
      </c>
      <c r="G302" t="s">
        <v>14562</v>
      </c>
      <c r="H302" t="s">
        <v>14563</v>
      </c>
      <c r="I302" t="s">
        <v>557</v>
      </c>
      <c r="M302" t="s">
        <v>33</v>
      </c>
      <c r="N302" t="s">
        <v>432</v>
      </c>
    </row>
    <row r="303" spans="1:14" x14ac:dyDescent="0.35">
      <c r="A303" t="s">
        <v>20</v>
      </c>
      <c r="B303">
        <v>17643</v>
      </c>
      <c r="C303" t="s">
        <v>426</v>
      </c>
      <c r="D303" t="s">
        <v>427</v>
      </c>
      <c r="E303" t="s">
        <v>13948</v>
      </c>
      <c r="F303" t="s">
        <v>14564</v>
      </c>
      <c r="G303" t="s">
        <v>14565</v>
      </c>
      <c r="H303" t="s">
        <v>14566</v>
      </c>
      <c r="I303" t="s">
        <v>431</v>
      </c>
      <c r="M303" t="s">
        <v>33</v>
      </c>
      <c r="N303" t="s">
        <v>432</v>
      </c>
    </row>
    <row r="304" spans="1:14" x14ac:dyDescent="0.35">
      <c r="A304" t="s">
        <v>20</v>
      </c>
      <c r="B304">
        <v>17643</v>
      </c>
      <c r="C304" t="s">
        <v>426</v>
      </c>
      <c r="D304" t="s">
        <v>427</v>
      </c>
      <c r="E304" t="s">
        <v>13952</v>
      </c>
      <c r="F304" t="s">
        <v>14567</v>
      </c>
      <c r="G304" t="s">
        <v>14568</v>
      </c>
      <c r="H304" t="s">
        <v>14569</v>
      </c>
      <c r="I304" t="s">
        <v>431</v>
      </c>
      <c r="M304" t="s">
        <v>33</v>
      </c>
      <c r="N304" t="s">
        <v>432</v>
      </c>
    </row>
    <row r="305" spans="1:14" x14ac:dyDescent="0.35">
      <c r="A305" t="s">
        <v>20</v>
      </c>
      <c r="B305">
        <v>17643</v>
      </c>
      <c r="C305" t="s">
        <v>426</v>
      </c>
      <c r="D305" t="s">
        <v>427</v>
      </c>
      <c r="E305" t="s">
        <v>13956</v>
      </c>
      <c r="F305" t="s">
        <v>14570</v>
      </c>
      <c r="G305" t="s">
        <v>14571</v>
      </c>
      <c r="H305" t="s">
        <v>14572</v>
      </c>
      <c r="I305" t="s">
        <v>431</v>
      </c>
      <c r="M305" t="s">
        <v>33</v>
      </c>
      <c r="N305" t="s">
        <v>432</v>
      </c>
    </row>
    <row r="306" spans="1:14" x14ac:dyDescent="0.35">
      <c r="A306" t="s">
        <v>20</v>
      </c>
      <c r="B306">
        <v>17643</v>
      </c>
      <c r="C306" t="s">
        <v>426</v>
      </c>
      <c r="D306" t="s">
        <v>427</v>
      </c>
      <c r="E306" t="s">
        <v>13960</v>
      </c>
      <c r="F306" t="s">
        <v>14573</v>
      </c>
      <c r="G306" t="s">
        <v>14574</v>
      </c>
      <c r="H306" t="s">
        <v>14575</v>
      </c>
      <c r="I306" t="s">
        <v>431</v>
      </c>
      <c r="M306" t="s">
        <v>33</v>
      </c>
      <c r="N306" t="s">
        <v>432</v>
      </c>
    </row>
    <row r="307" spans="1:14" x14ac:dyDescent="0.35">
      <c r="A307" t="s">
        <v>20</v>
      </c>
      <c r="B307">
        <v>17643</v>
      </c>
      <c r="C307" t="s">
        <v>426</v>
      </c>
      <c r="D307" t="s">
        <v>427</v>
      </c>
      <c r="E307" t="s">
        <v>13964</v>
      </c>
      <c r="F307" t="s">
        <v>14576</v>
      </c>
      <c r="G307" t="s">
        <v>14577</v>
      </c>
      <c r="H307" t="s">
        <v>14578</v>
      </c>
      <c r="I307" t="s">
        <v>431</v>
      </c>
      <c r="M307" t="s">
        <v>33</v>
      </c>
      <c r="N307" t="s">
        <v>432</v>
      </c>
    </row>
    <row r="308" spans="1:14" x14ac:dyDescent="0.35">
      <c r="A308" t="s">
        <v>20</v>
      </c>
      <c r="B308">
        <v>17643</v>
      </c>
      <c r="C308" t="s">
        <v>426</v>
      </c>
      <c r="D308" t="s">
        <v>427</v>
      </c>
      <c r="E308" t="s">
        <v>13968</v>
      </c>
      <c r="F308" t="s">
        <v>14579</v>
      </c>
      <c r="G308" t="s">
        <v>14580</v>
      </c>
      <c r="H308" t="s">
        <v>14581</v>
      </c>
      <c r="I308" t="s">
        <v>431</v>
      </c>
      <c r="M308" t="s">
        <v>33</v>
      </c>
      <c r="N308" t="s">
        <v>432</v>
      </c>
    </row>
    <row r="309" spans="1:14" x14ac:dyDescent="0.35">
      <c r="A309" t="s">
        <v>20</v>
      </c>
      <c r="B309">
        <v>17643</v>
      </c>
      <c r="C309" t="s">
        <v>426</v>
      </c>
      <c r="D309" t="s">
        <v>427</v>
      </c>
      <c r="E309" t="s">
        <v>13971</v>
      </c>
      <c r="F309" t="s">
        <v>14582</v>
      </c>
      <c r="G309" t="s">
        <v>14583</v>
      </c>
      <c r="H309" t="s">
        <v>14584</v>
      </c>
      <c r="I309" t="s">
        <v>431</v>
      </c>
      <c r="M309" t="s">
        <v>33</v>
      </c>
      <c r="N309" t="s">
        <v>432</v>
      </c>
    </row>
    <row r="310" spans="1:14" x14ac:dyDescent="0.35">
      <c r="A310" t="s">
        <v>20</v>
      </c>
      <c r="B310">
        <v>17643</v>
      </c>
      <c r="C310" t="s">
        <v>426</v>
      </c>
      <c r="D310" t="s">
        <v>427</v>
      </c>
      <c r="E310" t="s">
        <v>13975</v>
      </c>
      <c r="F310" t="s">
        <v>14585</v>
      </c>
      <c r="G310" t="s">
        <v>14586</v>
      </c>
      <c r="H310" t="s">
        <v>14587</v>
      </c>
      <c r="I310" t="s">
        <v>431</v>
      </c>
      <c r="M310" t="s">
        <v>33</v>
      </c>
      <c r="N310" t="s">
        <v>432</v>
      </c>
    </row>
    <row r="311" spans="1:14" x14ac:dyDescent="0.35">
      <c r="A311" t="s">
        <v>20</v>
      </c>
      <c r="B311">
        <v>17643</v>
      </c>
      <c r="C311" t="s">
        <v>426</v>
      </c>
      <c r="D311" t="s">
        <v>427</v>
      </c>
      <c r="E311" t="s">
        <v>13979</v>
      </c>
      <c r="F311" t="s">
        <v>14588</v>
      </c>
      <c r="G311" t="s">
        <v>14589</v>
      </c>
      <c r="H311" t="s">
        <v>14590</v>
      </c>
      <c r="I311" t="s">
        <v>431</v>
      </c>
      <c r="M311" t="s">
        <v>33</v>
      </c>
      <c r="N311" t="s">
        <v>432</v>
      </c>
    </row>
    <row r="312" spans="1:14" x14ac:dyDescent="0.35">
      <c r="A312" t="s">
        <v>20</v>
      </c>
      <c r="B312">
        <v>17643</v>
      </c>
      <c r="C312" t="s">
        <v>426</v>
      </c>
      <c r="D312" t="s">
        <v>427</v>
      </c>
      <c r="E312" t="s">
        <v>13983</v>
      </c>
      <c r="F312" t="s">
        <v>14591</v>
      </c>
      <c r="G312" t="s">
        <v>14592</v>
      </c>
      <c r="H312" t="s">
        <v>14593</v>
      </c>
      <c r="I312" t="s">
        <v>431</v>
      </c>
      <c r="M312" t="s">
        <v>33</v>
      </c>
      <c r="N312" t="s">
        <v>432</v>
      </c>
    </row>
    <row r="313" spans="1:14" x14ac:dyDescent="0.35">
      <c r="A313" t="s">
        <v>20</v>
      </c>
      <c r="B313">
        <v>17643</v>
      </c>
      <c r="C313" t="s">
        <v>426</v>
      </c>
      <c r="D313" t="s">
        <v>427</v>
      </c>
      <c r="E313" t="s">
        <v>13987</v>
      </c>
      <c r="F313" t="s">
        <v>14594</v>
      </c>
      <c r="G313" t="s">
        <v>14595</v>
      </c>
      <c r="H313" t="s">
        <v>14596</v>
      </c>
      <c r="I313" t="s">
        <v>431</v>
      </c>
      <c r="M313" t="s">
        <v>33</v>
      </c>
      <c r="N313" t="s">
        <v>432</v>
      </c>
    </row>
    <row r="314" spans="1:14" x14ac:dyDescent="0.35">
      <c r="A314" t="s">
        <v>20</v>
      </c>
      <c r="B314">
        <v>17643</v>
      </c>
      <c r="C314" t="s">
        <v>426</v>
      </c>
      <c r="D314" t="s">
        <v>427</v>
      </c>
      <c r="E314" t="s">
        <v>13991</v>
      </c>
      <c r="F314" t="s">
        <v>10072</v>
      </c>
      <c r="G314" t="s">
        <v>14597</v>
      </c>
      <c r="H314" t="s">
        <v>14598</v>
      </c>
      <c r="I314" t="s">
        <v>431</v>
      </c>
      <c r="M314" t="s">
        <v>33</v>
      </c>
      <c r="N314" t="s">
        <v>432</v>
      </c>
    </row>
    <row r="315" spans="1:14" x14ac:dyDescent="0.35">
      <c r="A315" t="s">
        <v>20</v>
      </c>
      <c r="B315">
        <v>17643</v>
      </c>
      <c r="C315" t="s">
        <v>426</v>
      </c>
      <c r="D315" t="s">
        <v>427</v>
      </c>
      <c r="E315" t="s">
        <v>13995</v>
      </c>
      <c r="F315" t="s">
        <v>12690</v>
      </c>
      <c r="G315" t="s">
        <v>14599</v>
      </c>
      <c r="H315" t="s">
        <v>14600</v>
      </c>
      <c r="I315" t="s">
        <v>431</v>
      </c>
      <c r="M315" t="s">
        <v>33</v>
      </c>
      <c r="N315" t="s">
        <v>432</v>
      </c>
    </row>
    <row r="316" spans="1:14" x14ac:dyDescent="0.35">
      <c r="A316" t="s">
        <v>20</v>
      </c>
      <c r="B316">
        <v>17643</v>
      </c>
      <c r="C316" t="s">
        <v>426</v>
      </c>
      <c r="D316" t="s">
        <v>427</v>
      </c>
      <c r="E316" t="s">
        <v>13999</v>
      </c>
      <c r="F316" t="s">
        <v>14601</v>
      </c>
      <c r="G316" t="s">
        <v>14602</v>
      </c>
      <c r="H316" t="s">
        <v>14603</v>
      </c>
      <c r="I316" t="s">
        <v>431</v>
      </c>
      <c r="M316" t="s">
        <v>33</v>
      </c>
      <c r="N316" t="s">
        <v>432</v>
      </c>
    </row>
    <row r="317" spans="1:14" x14ac:dyDescent="0.35">
      <c r="A317" t="s">
        <v>20</v>
      </c>
      <c r="B317">
        <v>17643</v>
      </c>
      <c r="C317" t="s">
        <v>426</v>
      </c>
      <c r="D317" t="s">
        <v>427</v>
      </c>
      <c r="E317" t="s">
        <v>14003</v>
      </c>
      <c r="F317" t="s">
        <v>14604</v>
      </c>
      <c r="G317" t="s">
        <v>14605</v>
      </c>
      <c r="H317" t="s">
        <v>14606</v>
      </c>
      <c r="I317" t="s">
        <v>431</v>
      </c>
      <c r="M317" t="s">
        <v>33</v>
      </c>
      <c r="N317" t="s">
        <v>432</v>
      </c>
    </row>
    <row r="318" spans="1:14" x14ac:dyDescent="0.35">
      <c r="A318" t="s">
        <v>20</v>
      </c>
      <c r="B318">
        <v>17643</v>
      </c>
      <c r="C318" t="s">
        <v>426</v>
      </c>
      <c r="D318" t="s">
        <v>427</v>
      </c>
      <c r="E318" t="s">
        <v>14007</v>
      </c>
      <c r="F318" t="s">
        <v>14607</v>
      </c>
      <c r="G318" t="s">
        <v>14608</v>
      </c>
      <c r="H318" t="s">
        <v>14609</v>
      </c>
      <c r="I318" t="s">
        <v>431</v>
      </c>
      <c r="L318" t="s">
        <v>1681</v>
      </c>
      <c r="M318" t="s">
        <v>33</v>
      </c>
      <c r="N318" t="s">
        <v>432</v>
      </c>
    </row>
    <row r="319" spans="1:14" x14ac:dyDescent="0.35">
      <c r="A319" t="s">
        <v>20</v>
      </c>
      <c r="B319">
        <v>17643</v>
      </c>
      <c r="C319" t="s">
        <v>426</v>
      </c>
      <c r="D319" t="s">
        <v>427</v>
      </c>
      <c r="E319" t="s">
        <v>14011</v>
      </c>
      <c r="F319" t="s">
        <v>14610</v>
      </c>
      <c r="G319" t="s">
        <v>14611</v>
      </c>
      <c r="H319" t="s">
        <v>14612</v>
      </c>
      <c r="I319" t="s">
        <v>431</v>
      </c>
      <c r="M319" t="s">
        <v>33</v>
      </c>
      <c r="N319" t="s">
        <v>432</v>
      </c>
    </row>
    <row r="320" spans="1:14" x14ac:dyDescent="0.35">
      <c r="A320" t="s">
        <v>20</v>
      </c>
      <c r="B320">
        <v>17643</v>
      </c>
      <c r="C320" t="s">
        <v>426</v>
      </c>
      <c r="D320" t="s">
        <v>427</v>
      </c>
      <c r="E320" t="s">
        <v>14014</v>
      </c>
      <c r="F320" t="s">
        <v>14613</v>
      </c>
      <c r="G320" t="s">
        <v>14614</v>
      </c>
      <c r="H320" t="s">
        <v>14615</v>
      </c>
      <c r="I320" t="s">
        <v>431</v>
      </c>
      <c r="M320" t="s">
        <v>33</v>
      </c>
      <c r="N320" t="s">
        <v>432</v>
      </c>
    </row>
    <row r="321" spans="1:14" x14ac:dyDescent="0.35">
      <c r="A321" t="s">
        <v>20</v>
      </c>
      <c r="B321">
        <v>17643</v>
      </c>
      <c r="C321" t="s">
        <v>426</v>
      </c>
      <c r="D321" t="s">
        <v>427</v>
      </c>
      <c r="E321" t="s">
        <v>14018</v>
      </c>
      <c r="F321" t="s">
        <v>14616</v>
      </c>
      <c r="G321" t="s">
        <v>14617</v>
      </c>
      <c r="H321" t="s">
        <v>3121</v>
      </c>
      <c r="I321" t="s">
        <v>431</v>
      </c>
      <c r="M321" t="s">
        <v>33</v>
      </c>
      <c r="N321" t="s">
        <v>432</v>
      </c>
    </row>
    <row r="322" spans="1:14" x14ac:dyDescent="0.35">
      <c r="A322" t="s">
        <v>20</v>
      </c>
      <c r="B322">
        <v>17643</v>
      </c>
      <c r="C322" t="s">
        <v>426</v>
      </c>
      <c r="D322" t="s">
        <v>427</v>
      </c>
      <c r="E322" t="s">
        <v>14022</v>
      </c>
      <c r="F322" t="s">
        <v>14618</v>
      </c>
      <c r="G322" t="s">
        <v>14619</v>
      </c>
      <c r="H322" t="s">
        <v>14620</v>
      </c>
      <c r="I322" t="s">
        <v>431</v>
      </c>
      <c r="M322" t="s">
        <v>33</v>
      </c>
      <c r="N322" t="s">
        <v>432</v>
      </c>
    </row>
    <row r="323" spans="1:14" x14ac:dyDescent="0.35">
      <c r="A323" t="s">
        <v>20</v>
      </c>
      <c r="B323">
        <v>17643</v>
      </c>
      <c r="C323" t="s">
        <v>426</v>
      </c>
      <c r="D323" t="s">
        <v>427</v>
      </c>
      <c r="E323" t="s">
        <v>14026</v>
      </c>
      <c r="F323" t="s">
        <v>14621</v>
      </c>
      <c r="G323" t="s">
        <v>14622</v>
      </c>
      <c r="H323" t="s">
        <v>14623</v>
      </c>
      <c r="I323" t="s">
        <v>431</v>
      </c>
      <c r="M323" t="s">
        <v>33</v>
      </c>
      <c r="N323" t="s">
        <v>432</v>
      </c>
    </row>
    <row r="324" spans="1:14" x14ac:dyDescent="0.35">
      <c r="A324" t="s">
        <v>20</v>
      </c>
      <c r="B324">
        <v>17643</v>
      </c>
      <c r="C324" t="s">
        <v>426</v>
      </c>
      <c r="D324" t="s">
        <v>427</v>
      </c>
      <c r="E324" t="s">
        <v>14030</v>
      </c>
      <c r="F324" t="s">
        <v>14624</v>
      </c>
      <c r="G324" t="s">
        <v>14625</v>
      </c>
      <c r="H324" t="s">
        <v>14626</v>
      </c>
      <c r="I324" t="s">
        <v>431</v>
      </c>
      <c r="M324" t="s">
        <v>33</v>
      </c>
      <c r="N324" t="s">
        <v>432</v>
      </c>
    </row>
    <row r="325" spans="1:14" x14ac:dyDescent="0.35">
      <c r="A325" t="s">
        <v>20</v>
      </c>
      <c r="B325">
        <v>17643</v>
      </c>
      <c r="C325" t="s">
        <v>426</v>
      </c>
      <c r="D325" t="s">
        <v>427</v>
      </c>
      <c r="E325" t="s">
        <v>14034</v>
      </c>
      <c r="F325" t="s">
        <v>14627</v>
      </c>
      <c r="G325" t="s">
        <v>14628</v>
      </c>
      <c r="H325" t="s">
        <v>14629</v>
      </c>
      <c r="I325" t="s">
        <v>431</v>
      </c>
      <c r="M325" t="s">
        <v>33</v>
      </c>
      <c r="N325" t="s">
        <v>432</v>
      </c>
    </row>
    <row r="326" spans="1:14" x14ac:dyDescent="0.35">
      <c r="A326" t="s">
        <v>20</v>
      </c>
      <c r="B326">
        <v>17643</v>
      </c>
      <c r="C326" t="s">
        <v>426</v>
      </c>
      <c r="D326" t="s">
        <v>427</v>
      </c>
      <c r="E326" t="s">
        <v>14038</v>
      </c>
      <c r="F326" t="s">
        <v>14630</v>
      </c>
      <c r="G326" t="s">
        <v>14631</v>
      </c>
      <c r="H326" t="s">
        <v>14632</v>
      </c>
      <c r="I326" t="s">
        <v>431</v>
      </c>
      <c r="M326" t="s">
        <v>33</v>
      </c>
      <c r="N326" t="s">
        <v>432</v>
      </c>
    </row>
    <row r="327" spans="1:14" x14ac:dyDescent="0.35">
      <c r="A327" t="s">
        <v>20</v>
      </c>
      <c r="B327">
        <v>17643</v>
      </c>
      <c r="C327" t="s">
        <v>426</v>
      </c>
      <c r="D327" t="s">
        <v>427</v>
      </c>
      <c r="E327" t="s">
        <v>14041</v>
      </c>
      <c r="F327" t="s">
        <v>14633</v>
      </c>
      <c r="G327" t="s">
        <v>14634</v>
      </c>
      <c r="H327" t="s">
        <v>14635</v>
      </c>
      <c r="I327" t="s">
        <v>431</v>
      </c>
      <c r="M327" t="s">
        <v>33</v>
      </c>
      <c r="N327" t="s">
        <v>432</v>
      </c>
    </row>
    <row r="328" spans="1:14" x14ac:dyDescent="0.35">
      <c r="A328" t="s">
        <v>20</v>
      </c>
      <c r="B328">
        <v>17643</v>
      </c>
      <c r="C328" t="s">
        <v>426</v>
      </c>
      <c r="D328" t="s">
        <v>427</v>
      </c>
      <c r="E328" t="s">
        <v>14045</v>
      </c>
      <c r="F328" t="s">
        <v>14636</v>
      </c>
      <c r="G328" t="s">
        <v>14637</v>
      </c>
      <c r="H328" t="s">
        <v>14638</v>
      </c>
      <c r="I328" t="s">
        <v>431</v>
      </c>
      <c r="M328" t="s">
        <v>33</v>
      </c>
      <c r="N328" t="s">
        <v>432</v>
      </c>
    </row>
    <row r="329" spans="1:14" x14ac:dyDescent="0.35">
      <c r="A329" t="s">
        <v>20</v>
      </c>
      <c r="B329">
        <v>17643</v>
      </c>
      <c r="C329" t="s">
        <v>426</v>
      </c>
      <c r="D329" t="s">
        <v>427</v>
      </c>
      <c r="E329" t="s">
        <v>14049</v>
      </c>
      <c r="F329" t="s">
        <v>14639</v>
      </c>
      <c r="G329" t="s">
        <v>14640</v>
      </c>
      <c r="H329" t="s">
        <v>14641</v>
      </c>
      <c r="I329" t="s">
        <v>431</v>
      </c>
      <c r="M329" t="s">
        <v>33</v>
      </c>
      <c r="N329" t="s">
        <v>432</v>
      </c>
    </row>
    <row r="330" spans="1:14" x14ac:dyDescent="0.35">
      <c r="A330" t="s">
        <v>20</v>
      </c>
      <c r="B330">
        <v>17643</v>
      </c>
      <c r="C330" t="s">
        <v>426</v>
      </c>
      <c r="D330" t="s">
        <v>427</v>
      </c>
      <c r="E330" t="s">
        <v>14053</v>
      </c>
      <c r="F330" t="s">
        <v>14642</v>
      </c>
      <c r="G330" t="s">
        <v>14643</v>
      </c>
      <c r="H330" t="s">
        <v>14644</v>
      </c>
      <c r="I330" t="s">
        <v>431</v>
      </c>
      <c r="M330" t="s">
        <v>33</v>
      </c>
      <c r="N330" t="s">
        <v>432</v>
      </c>
    </row>
    <row r="331" spans="1:14" x14ac:dyDescent="0.35">
      <c r="A331" t="s">
        <v>20</v>
      </c>
      <c r="B331">
        <v>17643</v>
      </c>
      <c r="C331" t="s">
        <v>426</v>
      </c>
      <c r="D331" t="s">
        <v>427</v>
      </c>
      <c r="E331" t="s">
        <v>14057</v>
      </c>
      <c r="F331" t="s">
        <v>14645</v>
      </c>
      <c r="G331" t="s">
        <v>14646</v>
      </c>
      <c r="H331" t="s">
        <v>14647</v>
      </c>
      <c r="I331" t="s">
        <v>431</v>
      </c>
      <c r="M331" t="s">
        <v>33</v>
      </c>
      <c r="N331" t="s">
        <v>432</v>
      </c>
    </row>
    <row r="332" spans="1:14" x14ac:dyDescent="0.35">
      <c r="A332" t="s">
        <v>20</v>
      </c>
      <c r="B332">
        <v>17643</v>
      </c>
      <c r="C332" t="s">
        <v>426</v>
      </c>
      <c r="D332" t="s">
        <v>427</v>
      </c>
      <c r="E332" t="s">
        <v>14061</v>
      </c>
      <c r="F332" t="s">
        <v>14648</v>
      </c>
      <c r="G332" t="s">
        <v>14649</v>
      </c>
      <c r="H332" t="s">
        <v>14650</v>
      </c>
      <c r="I332" t="s">
        <v>431</v>
      </c>
      <c r="M332" t="s">
        <v>33</v>
      </c>
      <c r="N332" t="s">
        <v>432</v>
      </c>
    </row>
    <row r="333" spans="1:14" x14ac:dyDescent="0.35">
      <c r="A333" t="s">
        <v>20</v>
      </c>
      <c r="B333">
        <v>17643</v>
      </c>
      <c r="C333" t="s">
        <v>426</v>
      </c>
      <c r="D333" t="s">
        <v>427</v>
      </c>
      <c r="E333" t="s">
        <v>14065</v>
      </c>
      <c r="F333" t="s">
        <v>14651</v>
      </c>
      <c r="G333" t="s">
        <v>14652</v>
      </c>
      <c r="H333" t="s">
        <v>14653</v>
      </c>
      <c r="I333" t="s">
        <v>431</v>
      </c>
      <c r="M333" t="s">
        <v>33</v>
      </c>
      <c r="N333" t="s">
        <v>432</v>
      </c>
    </row>
    <row r="334" spans="1:14" x14ac:dyDescent="0.35">
      <c r="A334" t="s">
        <v>20</v>
      </c>
      <c r="B334">
        <v>17643</v>
      </c>
      <c r="C334" t="s">
        <v>426</v>
      </c>
      <c r="D334" t="s">
        <v>427</v>
      </c>
      <c r="E334" t="s">
        <v>14069</v>
      </c>
      <c r="F334" t="s">
        <v>14654</v>
      </c>
      <c r="G334" t="s">
        <v>14655</v>
      </c>
      <c r="H334" t="s">
        <v>14656</v>
      </c>
      <c r="I334" t="s">
        <v>431</v>
      </c>
      <c r="M334" t="s">
        <v>33</v>
      </c>
      <c r="N334" t="s">
        <v>432</v>
      </c>
    </row>
    <row r="335" spans="1:14" x14ac:dyDescent="0.35">
      <c r="A335" t="s">
        <v>20</v>
      </c>
      <c r="B335">
        <v>17643</v>
      </c>
      <c r="C335" t="s">
        <v>426</v>
      </c>
      <c r="D335" t="s">
        <v>427</v>
      </c>
      <c r="E335" t="s">
        <v>14073</v>
      </c>
      <c r="F335" t="s">
        <v>14657</v>
      </c>
      <c r="G335" t="s">
        <v>14658</v>
      </c>
      <c r="H335" t="s">
        <v>14659</v>
      </c>
      <c r="I335" t="s">
        <v>431</v>
      </c>
      <c r="M335" t="s">
        <v>33</v>
      </c>
      <c r="N335" t="s">
        <v>432</v>
      </c>
    </row>
    <row r="336" spans="1:14" x14ac:dyDescent="0.35">
      <c r="A336" t="s">
        <v>20</v>
      </c>
      <c r="B336">
        <v>17643</v>
      </c>
      <c r="C336" t="s">
        <v>426</v>
      </c>
      <c r="D336" t="s">
        <v>427</v>
      </c>
      <c r="E336" t="s">
        <v>14077</v>
      </c>
      <c r="F336" t="s">
        <v>14660</v>
      </c>
      <c r="G336" t="s">
        <v>14661</v>
      </c>
      <c r="H336" t="s">
        <v>14662</v>
      </c>
      <c r="I336" t="s">
        <v>431</v>
      </c>
      <c r="M336" t="s">
        <v>33</v>
      </c>
      <c r="N336" t="s">
        <v>432</v>
      </c>
    </row>
    <row r="337" spans="1:14" x14ac:dyDescent="0.35">
      <c r="A337" t="s">
        <v>20</v>
      </c>
      <c r="B337">
        <v>17643</v>
      </c>
      <c r="C337" t="s">
        <v>426</v>
      </c>
      <c r="D337" t="s">
        <v>427</v>
      </c>
      <c r="E337" t="s">
        <v>14081</v>
      </c>
      <c r="F337" t="s">
        <v>14663</v>
      </c>
      <c r="G337" t="s">
        <v>14664</v>
      </c>
      <c r="H337" t="s">
        <v>14665</v>
      </c>
      <c r="I337" t="s">
        <v>431</v>
      </c>
      <c r="M337" t="s">
        <v>33</v>
      </c>
      <c r="N337" t="s">
        <v>432</v>
      </c>
    </row>
    <row r="338" spans="1:14" x14ac:dyDescent="0.35">
      <c r="A338" t="s">
        <v>20</v>
      </c>
      <c r="B338">
        <v>17643</v>
      </c>
      <c r="C338" t="s">
        <v>426</v>
      </c>
      <c r="D338" t="s">
        <v>427</v>
      </c>
      <c r="E338" t="s">
        <v>14085</v>
      </c>
      <c r="F338" t="s">
        <v>14666</v>
      </c>
      <c r="G338" t="s">
        <v>14667</v>
      </c>
      <c r="H338" t="s">
        <v>14668</v>
      </c>
      <c r="I338" t="s">
        <v>431</v>
      </c>
      <c r="M338" t="s">
        <v>33</v>
      </c>
      <c r="N338" t="s">
        <v>432</v>
      </c>
    </row>
    <row r="339" spans="1:14" x14ac:dyDescent="0.35">
      <c r="A339" t="s">
        <v>20</v>
      </c>
      <c r="B339">
        <v>17643</v>
      </c>
      <c r="C339" t="s">
        <v>426</v>
      </c>
      <c r="D339" t="s">
        <v>427</v>
      </c>
      <c r="E339" t="s">
        <v>14089</v>
      </c>
      <c r="F339" t="s">
        <v>14669</v>
      </c>
      <c r="G339" t="s">
        <v>14670</v>
      </c>
      <c r="H339" t="s">
        <v>14671</v>
      </c>
      <c r="I339" t="s">
        <v>431</v>
      </c>
      <c r="M339" t="s">
        <v>33</v>
      </c>
      <c r="N339" t="s">
        <v>432</v>
      </c>
    </row>
    <row r="340" spans="1:14" x14ac:dyDescent="0.35">
      <c r="A340" t="s">
        <v>20</v>
      </c>
      <c r="B340">
        <v>17643</v>
      </c>
      <c r="C340" t="s">
        <v>426</v>
      </c>
      <c r="D340" t="s">
        <v>427</v>
      </c>
      <c r="E340" t="s">
        <v>14093</v>
      </c>
      <c r="F340" t="s">
        <v>14672</v>
      </c>
      <c r="G340" t="s">
        <v>14673</v>
      </c>
      <c r="H340" t="s">
        <v>14674</v>
      </c>
      <c r="I340" t="s">
        <v>431</v>
      </c>
      <c r="M340" t="s">
        <v>33</v>
      </c>
      <c r="N340" t="s">
        <v>432</v>
      </c>
    </row>
    <row r="341" spans="1:14" x14ac:dyDescent="0.35">
      <c r="A341" t="s">
        <v>20</v>
      </c>
      <c r="B341">
        <v>17643</v>
      </c>
      <c r="C341" t="s">
        <v>426</v>
      </c>
      <c r="D341" t="s">
        <v>427</v>
      </c>
      <c r="E341" t="s">
        <v>14097</v>
      </c>
      <c r="F341" t="s">
        <v>14675</v>
      </c>
      <c r="G341" t="s">
        <v>14676</v>
      </c>
      <c r="H341" t="s">
        <v>14677</v>
      </c>
      <c r="I341" t="s">
        <v>431</v>
      </c>
      <c r="M341" t="s">
        <v>33</v>
      </c>
      <c r="N341" t="s">
        <v>432</v>
      </c>
    </row>
    <row r="342" spans="1:14" x14ac:dyDescent="0.35">
      <c r="A342" t="s">
        <v>20</v>
      </c>
      <c r="B342">
        <v>17643</v>
      </c>
      <c r="C342" t="s">
        <v>426</v>
      </c>
      <c r="D342" t="s">
        <v>427</v>
      </c>
      <c r="E342" t="s">
        <v>14101</v>
      </c>
      <c r="F342" t="s">
        <v>14678</v>
      </c>
      <c r="G342" t="s">
        <v>14679</v>
      </c>
      <c r="H342" t="s">
        <v>14680</v>
      </c>
      <c r="I342" t="s">
        <v>431</v>
      </c>
      <c r="M342" t="s">
        <v>33</v>
      </c>
      <c r="N342" t="s">
        <v>432</v>
      </c>
    </row>
    <row r="343" spans="1:14" x14ac:dyDescent="0.35">
      <c r="A343" t="s">
        <v>20</v>
      </c>
      <c r="B343">
        <v>17643</v>
      </c>
      <c r="C343" t="s">
        <v>426</v>
      </c>
      <c r="D343" t="s">
        <v>427</v>
      </c>
      <c r="E343" t="s">
        <v>14105</v>
      </c>
      <c r="F343" t="s">
        <v>14681</v>
      </c>
      <c r="G343" t="s">
        <v>14682</v>
      </c>
      <c r="H343" t="s">
        <v>14683</v>
      </c>
      <c r="I343" t="s">
        <v>431</v>
      </c>
      <c r="M343" t="s">
        <v>33</v>
      </c>
      <c r="N343" t="s">
        <v>432</v>
      </c>
    </row>
    <row r="344" spans="1:14" x14ac:dyDescent="0.35">
      <c r="A344" t="s">
        <v>20</v>
      </c>
      <c r="B344">
        <v>17643</v>
      </c>
      <c r="C344" t="s">
        <v>426</v>
      </c>
      <c r="D344" t="s">
        <v>427</v>
      </c>
      <c r="E344" t="s">
        <v>14109</v>
      </c>
      <c r="F344" t="s">
        <v>14684</v>
      </c>
      <c r="G344" t="s">
        <v>14685</v>
      </c>
      <c r="H344" t="s">
        <v>14686</v>
      </c>
      <c r="I344" t="s">
        <v>431</v>
      </c>
      <c r="M344" t="s">
        <v>33</v>
      </c>
      <c r="N344" t="s">
        <v>432</v>
      </c>
    </row>
    <row r="345" spans="1:14" x14ac:dyDescent="0.35">
      <c r="A345" t="s">
        <v>20</v>
      </c>
      <c r="B345">
        <v>17643</v>
      </c>
      <c r="C345" t="s">
        <v>426</v>
      </c>
      <c r="D345" t="s">
        <v>427</v>
      </c>
      <c r="E345" t="s">
        <v>14113</v>
      </c>
      <c r="F345" t="s">
        <v>14687</v>
      </c>
      <c r="G345" t="s">
        <v>14688</v>
      </c>
      <c r="H345" t="s">
        <v>14689</v>
      </c>
      <c r="I345" t="s">
        <v>431</v>
      </c>
      <c r="M345" t="s">
        <v>33</v>
      </c>
      <c r="N345" t="s">
        <v>432</v>
      </c>
    </row>
    <row r="346" spans="1:14" x14ac:dyDescent="0.35">
      <c r="A346" t="s">
        <v>20</v>
      </c>
      <c r="B346">
        <v>17643</v>
      </c>
      <c r="C346" t="s">
        <v>426</v>
      </c>
      <c r="D346" t="s">
        <v>427</v>
      </c>
      <c r="E346" t="s">
        <v>14117</v>
      </c>
      <c r="F346" t="s">
        <v>14690</v>
      </c>
      <c r="G346" t="s">
        <v>14691</v>
      </c>
      <c r="H346" t="s">
        <v>14692</v>
      </c>
      <c r="I346" t="s">
        <v>431</v>
      </c>
      <c r="M346" t="s">
        <v>33</v>
      </c>
      <c r="N346" t="s">
        <v>432</v>
      </c>
    </row>
    <row r="347" spans="1:14" x14ac:dyDescent="0.35">
      <c r="A347" t="s">
        <v>20</v>
      </c>
      <c r="B347">
        <v>17643</v>
      </c>
      <c r="C347" t="s">
        <v>426</v>
      </c>
      <c r="D347" t="s">
        <v>427</v>
      </c>
      <c r="E347" t="s">
        <v>14121</v>
      </c>
      <c r="F347" t="s">
        <v>14693</v>
      </c>
      <c r="G347" t="s">
        <v>14694</v>
      </c>
      <c r="H347" t="s">
        <v>14695</v>
      </c>
      <c r="I347" t="s">
        <v>431</v>
      </c>
      <c r="M347" t="s">
        <v>33</v>
      </c>
      <c r="N347" t="s">
        <v>432</v>
      </c>
    </row>
    <row r="348" spans="1:14" x14ac:dyDescent="0.35">
      <c r="A348" t="s">
        <v>20</v>
      </c>
      <c r="B348">
        <v>17643</v>
      </c>
      <c r="C348" t="s">
        <v>426</v>
      </c>
      <c r="D348" t="s">
        <v>427</v>
      </c>
      <c r="E348" t="s">
        <v>14125</v>
      </c>
      <c r="F348" t="s">
        <v>14696</v>
      </c>
      <c r="G348" t="s">
        <v>14697</v>
      </c>
      <c r="H348" t="s">
        <v>14698</v>
      </c>
      <c r="I348" t="s">
        <v>431</v>
      </c>
      <c r="M348" t="s">
        <v>33</v>
      </c>
      <c r="N348" t="s">
        <v>432</v>
      </c>
    </row>
    <row r="349" spans="1:14" x14ac:dyDescent="0.35">
      <c r="A349" t="s">
        <v>20</v>
      </c>
      <c r="B349">
        <v>17643</v>
      </c>
      <c r="C349" t="s">
        <v>426</v>
      </c>
      <c r="D349" t="s">
        <v>427</v>
      </c>
      <c r="E349" t="s">
        <v>14129</v>
      </c>
      <c r="F349" t="s">
        <v>14699</v>
      </c>
      <c r="G349" t="s">
        <v>14700</v>
      </c>
      <c r="H349" t="s">
        <v>14701</v>
      </c>
      <c r="I349" t="s">
        <v>431</v>
      </c>
      <c r="M349" t="s">
        <v>33</v>
      </c>
      <c r="N349" t="s">
        <v>432</v>
      </c>
    </row>
    <row r="350" spans="1:14" x14ac:dyDescent="0.35">
      <c r="A350" t="s">
        <v>20</v>
      </c>
      <c r="B350">
        <v>17643</v>
      </c>
      <c r="C350" t="s">
        <v>426</v>
      </c>
      <c r="D350" t="s">
        <v>427</v>
      </c>
      <c r="E350" t="s">
        <v>14132</v>
      </c>
      <c r="F350" t="s">
        <v>14702</v>
      </c>
      <c r="G350" t="s">
        <v>14703</v>
      </c>
      <c r="H350" t="s">
        <v>14704</v>
      </c>
      <c r="I350" t="s">
        <v>431</v>
      </c>
      <c r="M350" t="s">
        <v>33</v>
      </c>
      <c r="N350" t="s">
        <v>432</v>
      </c>
    </row>
    <row r="351" spans="1:14" x14ac:dyDescent="0.35">
      <c r="A351" t="s">
        <v>20</v>
      </c>
      <c r="B351">
        <v>17643</v>
      </c>
      <c r="C351" t="s">
        <v>426</v>
      </c>
      <c r="D351" t="s">
        <v>427</v>
      </c>
      <c r="E351" t="s">
        <v>14136</v>
      </c>
      <c r="F351" t="s">
        <v>14705</v>
      </c>
      <c r="G351" t="s">
        <v>14706</v>
      </c>
      <c r="H351" t="s">
        <v>14707</v>
      </c>
      <c r="I351" t="s">
        <v>431</v>
      </c>
      <c r="M351" t="s">
        <v>33</v>
      </c>
      <c r="N351" t="s">
        <v>432</v>
      </c>
    </row>
    <row r="352" spans="1:14" x14ac:dyDescent="0.35">
      <c r="A352" t="s">
        <v>20</v>
      </c>
      <c r="B352">
        <v>17643</v>
      </c>
      <c r="C352" t="s">
        <v>426</v>
      </c>
      <c r="D352" t="s">
        <v>427</v>
      </c>
      <c r="E352" t="s">
        <v>14140</v>
      </c>
      <c r="F352" t="s">
        <v>14708</v>
      </c>
      <c r="G352" t="s">
        <v>14709</v>
      </c>
      <c r="H352" t="s">
        <v>14710</v>
      </c>
      <c r="I352" t="s">
        <v>431</v>
      </c>
      <c r="M352" t="s">
        <v>33</v>
      </c>
      <c r="N352" t="s">
        <v>432</v>
      </c>
    </row>
    <row r="353" spans="1:14" x14ac:dyDescent="0.35">
      <c r="A353" t="s">
        <v>20</v>
      </c>
      <c r="B353">
        <v>17643</v>
      </c>
      <c r="C353" t="s">
        <v>426</v>
      </c>
      <c r="D353" t="s">
        <v>427</v>
      </c>
      <c r="E353" t="s">
        <v>14144</v>
      </c>
      <c r="F353" t="s">
        <v>14711</v>
      </c>
      <c r="G353" t="s">
        <v>14712</v>
      </c>
      <c r="H353" t="s">
        <v>14713</v>
      </c>
      <c r="I353" t="s">
        <v>431</v>
      </c>
      <c r="M353" t="s">
        <v>33</v>
      </c>
      <c r="N353" t="s">
        <v>432</v>
      </c>
    </row>
    <row r="354" spans="1:14" x14ac:dyDescent="0.35">
      <c r="A354" t="s">
        <v>20</v>
      </c>
      <c r="B354">
        <v>17643</v>
      </c>
      <c r="C354" t="s">
        <v>426</v>
      </c>
      <c r="D354" t="s">
        <v>427</v>
      </c>
      <c r="E354" t="s">
        <v>14148</v>
      </c>
      <c r="F354" t="s">
        <v>14714</v>
      </c>
      <c r="G354" t="s">
        <v>14715</v>
      </c>
      <c r="H354" t="s">
        <v>14716</v>
      </c>
      <c r="I354" t="s">
        <v>431</v>
      </c>
      <c r="M354" t="s">
        <v>33</v>
      </c>
      <c r="N354" t="s">
        <v>432</v>
      </c>
    </row>
    <row r="355" spans="1:14" x14ac:dyDescent="0.35">
      <c r="A355" t="s">
        <v>20</v>
      </c>
      <c r="B355">
        <v>17643</v>
      </c>
      <c r="C355" t="s">
        <v>426</v>
      </c>
      <c r="D355" t="s">
        <v>427</v>
      </c>
      <c r="E355" t="s">
        <v>14152</v>
      </c>
      <c r="F355" t="s">
        <v>14717</v>
      </c>
      <c r="G355" t="s">
        <v>14718</v>
      </c>
      <c r="H355" t="s">
        <v>14719</v>
      </c>
      <c r="I355" t="s">
        <v>431</v>
      </c>
      <c r="M355" t="s">
        <v>33</v>
      </c>
      <c r="N355" t="s">
        <v>432</v>
      </c>
    </row>
    <row r="356" spans="1:14" x14ac:dyDescent="0.35">
      <c r="A356" t="s">
        <v>20</v>
      </c>
      <c r="B356">
        <v>17643</v>
      </c>
      <c r="C356" t="s">
        <v>426</v>
      </c>
      <c r="D356" t="s">
        <v>427</v>
      </c>
      <c r="E356" t="s">
        <v>14156</v>
      </c>
      <c r="F356" t="s">
        <v>14720</v>
      </c>
      <c r="G356" t="s">
        <v>14721</v>
      </c>
      <c r="H356" t="s">
        <v>14722</v>
      </c>
      <c r="I356" t="s">
        <v>431</v>
      </c>
      <c r="M356" t="s">
        <v>33</v>
      </c>
      <c r="N356" t="s">
        <v>432</v>
      </c>
    </row>
    <row r="357" spans="1:14" x14ac:dyDescent="0.35">
      <c r="A357" t="s">
        <v>20</v>
      </c>
      <c r="B357">
        <v>17643</v>
      </c>
      <c r="C357" t="s">
        <v>426</v>
      </c>
      <c r="D357" t="s">
        <v>427</v>
      </c>
      <c r="E357" t="s">
        <v>14160</v>
      </c>
      <c r="F357" t="s">
        <v>14723</v>
      </c>
      <c r="G357" t="s">
        <v>14724</v>
      </c>
      <c r="H357" t="s">
        <v>14725</v>
      </c>
      <c r="I357" t="s">
        <v>431</v>
      </c>
      <c r="M357" t="s">
        <v>33</v>
      </c>
      <c r="N357" t="s">
        <v>432</v>
      </c>
    </row>
    <row r="358" spans="1:14" x14ac:dyDescent="0.35">
      <c r="A358" t="s">
        <v>20</v>
      </c>
      <c r="B358">
        <v>17643</v>
      </c>
      <c r="C358" t="s">
        <v>426</v>
      </c>
      <c r="D358" t="s">
        <v>427</v>
      </c>
      <c r="E358" t="s">
        <v>14164</v>
      </c>
      <c r="F358" t="s">
        <v>14726</v>
      </c>
      <c r="G358" t="s">
        <v>14727</v>
      </c>
      <c r="H358" t="s">
        <v>14728</v>
      </c>
      <c r="I358" t="s">
        <v>431</v>
      </c>
      <c r="M358" t="s">
        <v>33</v>
      </c>
      <c r="N358" t="s">
        <v>432</v>
      </c>
    </row>
    <row r="359" spans="1:14" x14ac:dyDescent="0.35">
      <c r="A359" t="s">
        <v>20</v>
      </c>
      <c r="B359">
        <v>17643</v>
      </c>
      <c r="C359" t="s">
        <v>426</v>
      </c>
      <c r="D359" t="s">
        <v>427</v>
      </c>
      <c r="E359" t="s">
        <v>14168</v>
      </c>
      <c r="F359" t="s">
        <v>14729</v>
      </c>
      <c r="G359" t="s">
        <v>14730</v>
      </c>
      <c r="H359" t="s">
        <v>14731</v>
      </c>
      <c r="I359" t="s">
        <v>431</v>
      </c>
      <c r="M359" t="s">
        <v>33</v>
      </c>
      <c r="N359" t="s">
        <v>432</v>
      </c>
    </row>
    <row r="360" spans="1:14" x14ac:dyDescent="0.35">
      <c r="A360" t="s">
        <v>20</v>
      </c>
      <c r="B360">
        <v>17643</v>
      </c>
      <c r="C360" t="s">
        <v>426</v>
      </c>
      <c r="D360" t="s">
        <v>427</v>
      </c>
      <c r="E360" t="s">
        <v>14171</v>
      </c>
      <c r="F360" t="s">
        <v>14732</v>
      </c>
      <c r="G360" t="s">
        <v>14733</v>
      </c>
      <c r="H360" t="s">
        <v>14734</v>
      </c>
      <c r="I360" t="s">
        <v>431</v>
      </c>
      <c r="M360" t="s">
        <v>33</v>
      </c>
      <c r="N360" t="s">
        <v>432</v>
      </c>
    </row>
    <row r="361" spans="1:14" x14ac:dyDescent="0.35">
      <c r="A361" t="s">
        <v>20</v>
      </c>
      <c r="B361">
        <v>17643</v>
      </c>
      <c r="C361" t="s">
        <v>426</v>
      </c>
      <c r="D361" t="s">
        <v>427</v>
      </c>
      <c r="E361" t="s">
        <v>14174</v>
      </c>
      <c r="F361" t="s">
        <v>14735</v>
      </c>
      <c r="G361" t="s">
        <v>14736</v>
      </c>
      <c r="H361" t="s">
        <v>14737</v>
      </c>
      <c r="I361" t="s">
        <v>431</v>
      </c>
      <c r="M361" t="s">
        <v>33</v>
      </c>
      <c r="N361" t="s">
        <v>432</v>
      </c>
    </row>
    <row r="362" spans="1:14" x14ac:dyDescent="0.35">
      <c r="A362" t="s">
        <v>20</v>
      </c>
      <c r="B362">
        <v>17643</v>
      </c>
      <c r="C362" t="s">
        <v>426</v>
      </c>
      <c r="D362" t="s">
        <v>427</v>
      </c>
      <c r="E362" t="s">
        <v>14178</v>
      </c>
      <c r="F362" t="s">
        <v>14738</v>
      </c>
      <c r="G362" t="s">
        <v>14739</v>
      </c>
      <c r="H362" t="s">
        <v>14740</v>
      </c>
      <c r="I362" t="s">
        <v>431</v>
      </c>
      <c r="M362" t="s">
        <v>33</v>
      </c>
      <c r="N362" t="s">
        <v>432</v>
      </c>
    </row>
    <row r="363" spans="1:14" x14ac:dyDescent="0.35">
      <c r="A363" t="s">
        <v>20</v>
      </c>
      <c r="B363">
        <v>17643</v>
      </c>
      <c r="C363" t="s">
        <v>426</v>
      </c>
      <c r="D363" t="s">
        <v>427</v>
      </c>
      <c r="E363" t="s">
        <v>14182</v>
      </c>
      <c r="F363" t="s">
        <v>14741</v>
      </c>
      <c r="G363" t="s">
        <v>14742</v>
      </c>
      <c r="H363" t="s">
        <v>14743</v>
      </c>
      <c r="I363" t="s">
        <v>431</v>
      </c>
      <c r="M363" t="s">
        <v>33</v>
      </c>
      <c r="N363" t="s">
        <v>432</v>
      </c>
    </row>
    <row r="364" spans="1:14" x14ac:dyDescent="0.35">
      <c r="A364" t="s">
        <v>20</v>
      </c>
      <c r="B364">
        <v>17643</v>
      </c>
      <c r="C364" t="s">
        <v>426</v>
      </c>
      <c r="D364" t="s">
        <v>427</v>
      </c>
      <c r="E364" t="s">
        <v>14186</v>
      </c>
      <c r="F364" t="s">
        <v>14744</v>
      </c>
      <c r="G364" t="s">
        <v>14745</v>
      </c>
      <c r="H364" t="s">
        <v>14746</v>
      </c>
      <c r="I364" t="s">
        <v>431</v>
      </c>
      <c r="M364" t="s">
        <v>33</v>
      </c>
      <c r="N364" t="s">
        <v>432</v>
      </c>
    </row>
    <row r="365" spans="1:14" x14ac:dyDescent="0.35">
      <c r="A365" t="s">
        <v>20</v>
      </c>
      <c r="B365">
        <v>17643</v>
      </c>
      <c r="C365" t="s">
        <v>426</v>
      </c>
      <c r="D365" t="s">
        <v>427</v>
      </c>
      <c r="E365" t="s">
        <v>14190</v>
      </c>
      <c r="F365" t="s">
        <v>14747</v>
      </c>
      <c r="G365" t="s">
        <v>14748</v>
      </c>
      <c r="H365" t="s">
        <v>14749</v>
      </c>
      <c r="I365" t="s">
        <v>431</v>
      </c>
      <c r="M365" t="s">
        <v>33</v>
      </c>
      <c r="N365" t="s">
        <v>432</v>
      </c>
    </row>
    <row r="366" spans="1:14" x14ac:dyDescent="0.35">
      <c r="A366" t="s">
        <v>20</v>
      </c>
      <c r="B366">
        <v>17643</v>
      </c>
      <c r="C366" t="s">
        <v>426</v>
      </c>
      <c r="D366" t="s">
        <v>427</v>
      </c>
      <c r="E366" t="s">
        <v>14194</v>
      </c>
      <c r="F366" t="s">
        <v>12938</v>
      </c>
      <c r="G366" t="s">
        <v>14750</v>
      </c>
      <c r="H366" t="s">
        <v>14751</v>
      </c>
      <c r="I366" t="s">
        <v>431</v>
      </c>
      <c r="M366" t="s">
        <v>33</v>
      </c>
      <c r="N366" t="s">
        <v>432</v>
      </c>
    </row>
    <row r="367" spans="1:14" x14ac:dyDescent="0.35">
      <c r="A367" t="s">
        <v>20</v>
      </c>
      <c r="B367">
        <v>17643</v>
      </c>
      <c r="C367" t="s">
        <v>426</v>
      </c>
      <c r="D367" t="s">
        <v>427</v>
      </c>
      <c r="E367" t="s">
        <v>14198</v>
      </c>
      <c r="F367" t="s">
        <v>14752</v>
      </c>
      <c r="G367" t="s">
        <v>14753</v>
      </c>
      <c r="H367" t="s">
        <v>14754</v>
      </c>
      <c r="I367" t="s">
        <v>431</v>
      </c>
      <c r="M367" t="s">
        <v>33</v>
      </c>
      <c r="N367" t="s">
        <v>432</v>
      </c>
    </row>
    <row r="368" spans="1:14" x14ac:dyDescent="0.35">
      <c r="A368" t="s">
        <v>20</v>
      </c>
      <c r="B368">
        <v>17643</v>
      </c>
      <c r="C368" t="s">
        <v>426</v>
      </c>
      <c r="D368" t="s">
        <v>427</v>
      </c>
      <c r="E368" t="s">
        <v>14202</v>
      </c>
      <c r="F368" t="s">
        <v>14755</v>
      </c>
      <c r="G368" t="s">
        <v>14756</v>
      </c>
      <c r="H368" t="s">
        <v>14757</v>
      </c>
      <c r="I368" t="s">
        <v>431</v>
      </c>
      <c r="M368" t="s">
        <v>33</v>
      </c>
      <c r="N368" t="s">
        <v>432</v>
      </c>
    </row>
    <row r="369" spans="1:14" x14ac:dyDescent="0.35">
      <c r="A369" t="s">
        <v>20</v>
      </c>
      <c r="B369">
        <v>17643</v>
      </c>
      <c r="C369" t="s">
        <v>426</v>
      </c>
      <c r="D369" t="s">
        <v>427</v>
      </c>
      <c r="E369" t="s">
        <v>14206</v>
      </c>
      <c r="F369" t="s">
        <v>14758</v>
      </c>
      <c r="G369" t="s">
        <v>14759</v>
      </c>
      <c r="H369" t="s">
        <v>14760</v>
      </c>
      <c r="I369" t="s">
        <v>431</v>
      </c>
      <c r="M369" t="s">
        <v>33</v>
      </c>
      <c r="N369" t="s">
        <v>432</v>
      </c>
    </row>
    <row r="370" spans="1:14" x14ac:dyDescent="0.35">
      <c r="A370" t="s">
        <v>20</v>
      </c>
      <c r="B370">
        <v>17643</v>
      </c>
      <c r="C370" t="s">
        <v>426</v>
      </c>
      <c r="D370" t="s">
        <v>427</v>
      </c>
      <c r="E370" t="s">
        <v>14210</v>
      </c>
      <c r="F370" t="s">
        <v>14761</v>
      </c>
      <c r="G370" t="s">
        <v>14762</v>
      </c>
      <c r="H370" t="s">
        <v>14763</v>
      </c>
      <c r="I370" t="s">
        <v>431</v>
      </c>
      <c r="M370" t="s">
        <v>33</v>
      </c>
      <c r="N370" t="s">
        <v>432</v>
      </c>
    </row>
    <row r="371" spans="1:14" x14ac:dyDescent="0.35">
      <c r="A371" t="s">
        <v>20</v>
      </c>
      <c r="B371">
        <v>17643</v>
      </c>
      <c r="C371" t="s">
        <v>426</v>
      </c>
      <c r="D371" t="s">
        <v>427</v>
      </c>
      <c r="E371" t="s">
        <v>14214</v>
      </c>
      <c r="F371" t="s">
        <v>14764</v>
      </c>
      <c r="G371" t="s">
        <v>14765</v>
      </c>
      <c r="H371" t="s">
        <v>14766</v>
      </c>
      <c r="I371" t="s">
        <v>431</v>
      </c>
      <c r="M371" t="s">
        <v>33</v>
      </c>
      <c r="N371" t="s">
        <v>432</v>
      </c>
    </row>
    <row r="372" spans="1:14" x14ac:dyDescent="0.35">
      <c r="A372" t="s">
        <v>20</v>
      </c>
      <c r="B372">
        <v>17643</v>
      </c>
      <c r="C372" t="s">
        <v>426</v>
      </c>
      <c r="D372" t="s">
        <v>427</v>
      </c>
      <c r="E372" t="s">
        <v>14218</v>
      </c>
      <c r="F372" t="s">
        <v>14767</v>
      </c>
      <c r="G372" t="s">
        <v>14768</v>
      </c>
      <c r="H372" t="s">
        <v>14769</v>
      </c>
      <c r="I372" t="s">
        <v>431</v>
      </c>
      <c r="M372" t="s">
        <v>33</v>
      </c>
      <c r="N372" t="s">
        <v>432</v>
      </c>
    </row>
    <row r="373" spans="1:14" x14ac:dyDescent="0.35">
      <c r="A373" t="s">
        <v>20</v>
      </c>
      <c r="B373">
        <v>17643</v>
      </c>
      <c r="C373" t="s">
        <v>426</v>
      </c>
      <c r="D373" t="s">
        <v>427</v>
      </c>
      <c r="E373" t="s">
        <v>14222</v>
      </c>
      <c r="F373" t="s">
        <v>14770</v>
      </c>
      <c r="G373" t="s">
        <v>14771</v>
      </c>
      <c r="H373" t="s">
        <v>14772</v>
      </c>
      <c r="I373" t="s">
        <v>431</v>
      </c>
      <c r="M373" t="s">
        <v>33</v>
      </c>
      <c r="N373" t="s">
        <v>432</v>
      </c>
    </row>
    <row r="374" spans="1:14" x14ac:dyDescent="0.35">
      <c r="A374" t="s">
        <v>20</v>
      </c>
      <c r="B374">
        <v>17643</v>
      </c>
      <c r="C374" t="s">
        <v>426</v>
      </c>
      <c r="D374" t="s">
        <v>427</v>
      </c>
      <c r="E374" t="s">
        <v>14225</v>
      </c>
      <c r="F374" t="s">
        <v>14773</v>
      </c>
      <c r="G374" t="s">
        <v>14774</v>
      </c>
      <c r="H374" t="s">
        <v>14775</v>
      </c>
      <c r="I374" t="s">
        <v>431</v>
      </c>
      <c r="M374" t="s">
        <v>33</v>
      </c>
      <c r="N374" t="s">
        <v>432</v>
      </c>
    </row>
    <row r="375" spans="1:14" x14ac:dyDescent="0.35">
      <c r="A375" t="s">
        <v>20</v>
      </c>
      <c r="B375">
        <v>17643</v>
      </c>
      <c r="C375" t="s">
        <v>426</v>
      </c>
      <c r="D375" t="s">
        <v>427</v>
      </c>
      <c r="E375" t="s">
        <v>14229</v>
      </c>
      <c r="F375" t="s">
        <v>14776</v>
      </c>
      <c r="G375" t="s">
        <v>14777</v>
      </c>
      <c r="H375" t="s">
        <v>14778</v>
      </c>
      <c r="I375" t="s">
        <v>431</v>
      </c>
      <c r="M375" t="s">
        <v>33</v>
      </c>
      <c r="N375" t="s">
        <v>432</v>
      </c>
    </row>
    <row r="376" spans="1:14" x14ac:dyDescent="0.35">
      <c r="A376" t="s">
        <v>20</v>
      </c>
      <c r="B376">
        <v>17643</v>
      </c>
      <c r="C376" t="s">
        <v>426</v>
      </c>
      <c r="D376" t="s">
        <v>427</v>
      </c>
      <c r="E376" t="s">
        <v>14233</v>
      </c>
      <c r="F376" t="s">
        <v>14779</v>
      </c>
      <c r="G376" t="s">
        <v>14780</v>
      </c>
      <c r="H376" t="s">
        <v>14781</v>
      </c>
      <c r="I376" t="s">
        <v>431</v>
      </c>
      <c r="M376" t="s">
        <v>33</v>
      </c>
      <c r="N376" t="s">
        <v>432</v>
      </c>
    </row>
    <row r="377" spans="1:14" x14ac:dyDescent="0.35">
      <c r="A377" t="s">
        <v>20</v>
      </c>
      <c r="B377">
        <v>17643</v>
      </c>
      <c r="C377" t="s">
        <v>426</v>
      </c>
      <c r="D377" t="s">
        <v>427</v>
      </c>
      <c r="E377" t="s">
        <v>14237</v>
      </c>
      <c r="F377" t="s">
        <v>14782</v>
      </c>
      <c r="G377" t="s">
        <v>14783</v>
      </c>
      <c r="H377" t="s">
        <v>14784</v>
      </c>
      <c r="I377" t="s">
        <v>431</v>
      </c>
      <c r="M377" t="s">
        <v>33</v>
      </c>
      <c r="N377" t="s">
        <v>432</v>
      </c>
    </row>
    <row r="378" spans="1:14" x14ac:dyDescent="0.35">
      <c r="A378" t="s">
        <v>20</v>
      </c>
      <c r="B378">
        <v>17643</v>
      </c>
      <c r="C378" t="s">
        <v>426</v>
      </c>
      <c r="D378" t="s">
        <v>427</v>
      </c>
      <c r="E378" t="s">
        <v>14241</v>
      </c>
      <c r="F378" t="s">
        <v>14785</v>
      </c>
      <c r="G378" t="s">
        <v>14786</v>
      </c>
      <c r="H378" t="s">
        <v>14787</v>
      </c>
      <c r="I378" t="s">
        <v>431</v>
      </c>
      <c r="M378" t="s">
        <v>33</v>
      </c>
      <c r="N378" t="s">
        <v>432</v>
      </c>
    </row>
    <row r="379" spans="1:14" x14ac:dyDescent="0.35">
      <c r="A379" t="s">
        <v>20</v>
      </c>
      <c r="B379">
        <v>17643</v>
      </c>
      <c r="C379" t="s">
        <v>426</v>
      </c>
      <c r="D379" t="s">
        <v>427</v>
      </c>
      <c r="E379" t="s">
        <v>14245</v>
      </c>
      <c r="F379" t="s">
        <v>14788</v>
      </c>
      <c r="G379" t="s">
        <v>14789</v>
      </c>
      <c r="H379" t="s">
        <v>14790</v>
      </c>
      <c r="I379" t="s">
        <v>431</v>
      </c>
      <c r="M379" t="s">
        <v>33</v>
      </c>
      <c r="N379" t="s">
        <v>432</v>
      </c>
    </row>
    <row r="380" spans="1:14" x14ac:dyDescent="0.35">
      <c r="A380" t="s">
        <v>20</v>
      </c>
      <c r="B380">
        <v>17643</v>
      </c>
      <c r="C380" t="s">
        <v>426</v>
      </c>
      <c r="D380" t="s">
        <v>427</v>
      </c>
      <c r="E380" t="s">
        <v>14249</v>
      </c>
      <c r="F380" t="s">
        <v>14791</v>
      </c>
      <c r="G380" t="s">
        <v>14792</v>
      </c>
      <c r="H380" t="s">
        <v>14793</v>
      </c>
      <c r="I380" t="s">
        <v>431</v>
      </c>
      <c r="M380" t="s">
        <v>33</v>
      </c>
      <c r="N380" t="s">
        <v>432</v>
      </c>
    </row>
    <row r="381" spans="1:14" x14ac:dyDescent="0.35">
      <c r="A381" t="s">
        <v>20</v>
      </c>
      <c r="B381">
        <v>17643</v>
      </c>
      <c r="C381" t="s">
        <v>426</v>
      </c>
      <c r="D381" t="s">
        <v>427</v>
      </c>
      <c r="E381" t="s">
        <v>14253</v>
      </c>
      <c r="F381" t="s">
        <v>14794</v>
      </c>
      <c r="G381" t="s">
        <v>14795</v>
      </c>
      <c r="H381" t="s">
        <v>14796</v>
      </c>
      <c r="I381" t="s">
        <v>431</v>
      </c>
      <c r="M381" t="s">
        <v>33</v>
      </c>
      <c r="N381" t="s">
        <v>432</v>
      </c>
    </row>
    <row r="382" spans="1:14" x14ac:dyDescent="0.35">
      <c r="A382" t="s">
        <v>20</v>
      </c>
      <c r="B382">
        <v>17643</v>
      </c>
      <c r="C382" t="s">
        <v>426</v>
      </c>
      <c r="D382" t="s">
        <v>427</v>
      </c>
      <c r="E382" t="s">
        <v>14257</v>
      </c>
      <c r="F382" t="s">
        <v>14797</v>
      </c>
      <c r="G382" t="s">
        <v>14798</v>
      </c>
      <c r="H382" t="s">
        <v>14799</v>
      </c>
      <c r="I382" t="s">
        <v>431</v>
      </c>
      <c r="M382" t="s">
        <v>33</v>
      </c>
      <c r="N382" t="s">
        <v>432</v>
      </c>
    </row>
    <row r="383" spans="1:14" x14ac:dyDescent="0.35">
      <c r="A383" t="s">
        <v>20</v>
      </c>
      <c r="B383">
        <v>17643</v>
      </c>
      <c r="C383" t="s">
        <v>426</v>
      </c>
      <c r="D383" t="s">
        <v>427</v>
      </c>
      <c r="E383" t="s">
        <v>14261</v>
      </c>
      <c r="F383" t="s">
        <v>14800</v>
      </c>
      <c r="G383" t="s">
        <v>14801</v>
      </c>
      <c r="H383" t="s">
        <v>14802</v>
      </c>
      <c r="I383" t="s">
        <v>431</v>
      </c>
      <c r="M383" t="s">
        <v>33</v>
      </c>
      <c r="N383" t="s">
        <v>432</v>
      </c>
    </row>
    <row r="384" spans="1:14" x14ac:dyDescent="0.35">
      <c r="A384" t="s">
        <v>20</v>
      </c>
      <c r="B384">
        <v>17643</v>
      </c>
      <c r="C384" t="s">
        <v>426</v>
      </c>
      <c r="D384" t="s">
        <v>427</v>
      </c>
      <c r="E384" t="s">
        <v>14265</v>
      </c>
      <c r="F384" t="s">
        <v>14803</v>
      </c>
      <c r="G384" t="s">
        <v>14804</v>
      </c>
      <c r="H384" t="s">
        <v>14805</v>
      </c>
      <c r="I384" t="s">
        <v>431</v>
      </c>
      <c r="M384" t="s">
        <v>33</v>
      </c>
      <c r="N384" t="s">
        <v>432</v>
      </c>
    </row>
    <row r="385" spans="1:14" x14ac:dyDescent="0.35">
      <c r="A385" t="s">
        <v>20</v>
      </c>
      <c r="B385">
        <v>17643</v>
      </c>
      <c r="C385" t="s">
        <v>426</v>
      </c>
      <c r="D385" t="s">
        <v>427</v>
      </c>
      <c r="E385" t="s">
        <v>14269</v>
      </c>
      <c r="F385" t="s">
        <v>14806</v>
      </c>
      <c r="G385" t="s">
        <v>14807</v>
      </c>
      <c r="H385" t="s">
        <v>14808</v>
      </c>
      <c r="I385" t="s">
        <v>431</v>
      </c>
      <c r="M385" t="s">
        <v>33</v>
      </c>
      <c r="N385" t="s">
        <v>432</v>
      </c>
    </row>
    <row r="386" spans="1:14" x14ac:dyDescent="0.35">
      <c r="A386" t="s">
        <v>20</v>
      </c>
      <c r="B386">
        <v>17643</v>
      </c>
      <c r="C386" t="s">
        <v>426</v>
      </c>
      <c r="D386" t="s">
        <v>427</v>
      </c>
      <c r="E386" t="s">
        <v>14273</v>
      </c>
      <c r="F386" t="s">
        <v>14809</v>
      </c>
      <c r="G386" t="s">
        <v>14810</v>
      </c>
      <c r="H386" t="s">
        <v>14811</v>
      </c>
      <c r="I386" t="s">
        <v>431</v>
      </c>
      <c r="M386" t="s">
        <v>33</v>
      </c>
      <c r="N386" t="s">
        <v>432</v>
      </c>
    </row>
    <row r="387" spans="1:14" x14ac:dyDescent="0.35">
      <c r="A387" t="s">
        <v>20</v>
      </c>
      <c r="B387">
        <v>17643</v>
      </c>
      <c r="C387" t="s">
        <v>426</v>
      </c>
      <c r="D387" t="s">
        <v>427</v>
      </c>
      <c r="E387" t="s">
        <v>14277</v>
      </c>
      <c r="F387" t="s">
        <v>14812</v>
      </c>
      <c r="G387" t="s">
        <v>14813</v>
      </c>
      <c r="H387" t="s">
        <v>14814</v>
      </c>
      <c r="I387" t="s">
        <v>431</v>
      </c>
      <c r="M387" t="s">
        <v>33</v>
      </c>
      <c r="N387" t="s">
        <v>432</v>
      </c>
    </row>
    <row r="388" spans="1:14" x14ac:dyDescent="0.35">
      <c r="A388" t="s">
        <v>20</v>
      </c>
      <c r="B388">
        <v>17643</v>
      </c>
      <c r="C388" t="s">
        <v>426</v>
      </c>
      <c r="D388" t="s">
        <v>427</v>
      </c>
      <c r="E388" t="s">
        <v>14281</v>
      </c>
      <c r="F388" t="s">
        <v>14815</v>
      </c>
      <c r="G388" t="s">
        <v>14816</v>
      </c>
      <c r="H388" t="s">
        <v>14817</v>
      </c>
      <c r="I388" t="s">
        <v>431</v>
      </c>
      <c r="M388" t="s">
        <v>33</v>
      </c>
      <c r="N388" t="s">
        <v>432</v>
      </c>
    </row>
    <row r="389" spans="1:14" x14ac:dyDescent="0.35">
      <c r="A389" t="s">
        <v>20</v>
      </c>
      <c r="B389">
        <v>17643</v>
      </c>
      <c r="C389" t="s">
        <v>426</v>
      </c>
      <c r="D389" t="s">
        <v>427</v>
      </c>
      <c r="E389" t="s">
        <v>14285</v>
      </c>
      <c r="F389" t="s">
        <v>14818</v>
      </c>
      <c r="G389" t="s">
        <v>14819</v>
      </c>
      <c r="H389" t="s">
        <v>14820</v>
      </c>
      <c r="I389" t="s">
        <v>431</v>
      </c>
      <c r="M389" t="s">
        <v>33</v>
      </c>
      <c r="N389" t="s">
        <v>432</v>
      </c>
    </row>
    <row r="390" spans="1:14" x14ac:dyDescent="0.35">
      <c r="A390" t="s">
        <v>20</v>
      </c>
      <c r="B390">
        <v>17645</v>
      </c>
      <c r="C390" t="s">
        <v>949</v>
      </c>
      <c r="D390" t="s">
        <v>950</v>
      </c>
      <c r="E390" t="s">
        <v>13439</v>
      </c>
      <c r="F390" t="s">
        <v>14821</v>
      </c>
      <c r="G390" t="s">
        <v>14822</v>
      </c>
      <c r="H390" t="s">
        <v>14823</v>
      </c>
      <c r="I390" t="s">
        <v>954</v>
      </c>
      <c r="M390" t="s">
        <v>33</v>
      </c>
    </row>
    <row r="391" spans="1:14" x14ac:dyDescent="0.35">
      <c r="A391" t="s">
        <v>20</v>
      </c>
      <c r="B391">
        <v>17645</v>
      </c>
      <c r="C391" t="s">
        <v>949</v>
      </c>
      <c r="D391" t="s">
        <v>950</v>
      </c>
      <c r="E391" t="s">
        <v>13443</v>
      </c>
      <c r="F391" t="s">
        <v>14824</v>
      </c>
      <c r="G391" t="s">
        <v>14825</v>
      </c>
      <c r="H391" t="s">
        <v>14826</v>
      </c>
      <c r="I391" t="s">
        <v>954</v>
      </c>
      <c r="M391" t="s">
        <v>33</v>
      </c>
    </row>
    <row r="392" spans="1:14" x14ac:dyDescent="0.35">
      <c r="A392" t="s">
        <v>20</v>
      </c>
      <c r="B392">
        <v>17645</v>
      </c>
      <c r="C392" t="s">
        <v>949</v>
      </c>
      <c r="D392" t="s">
        <v>950</v>
      </c>
      <c r="E392" t="s">
        <v>13447</v>
      </c>
      <c r="F392" t="s">
        <v>14827</v>
      </c>
      <c r="G392" t="s">
        <v>14828</v>
      </c>
      <c r="H392" t="s">
        <v>14829</v>
      </c>
      <c r="I392" t="s">
        <v>954</v>
      </c>
      <c r="M392" t="s">
        <v>33</v>
      </c>
    </row>
    <row r="393" spans="1:14" x14ac:dyDescent="0.35">
      <c r="A393" t="s">
        <v>20</v>
      </c>
      <c r="B393">
        <v>17645</v>
      </c>
      <c r="C393" t="s">
        <v>949</v>
      </c>
      <c r="D393" t="s">
        <v>950</v>
      </c>
      <c r="E393" t="s">
        <v>13451</v>
      </c>
      <c r="F393" t="s">
        <v>14830</v>
      </c>
      <c r="G393" t="s">
        <v>14831</v>
      </c>
      <c r="H393" t="s">
        <v>14832</v>
      </c>
      <c r="I393" t="s">
        <v>954</v>
      </c>
      <c r="M393" t="s">
        <v>33</v>
      </c>
    </row>
    <row r="394" spans="1:14" x14ac:dyDescent="0.35">
      <c r="A394" t="s">
        <v>20</v>
      </c>
      <c r="B394">
        <v>17645</v>
      </c>
      <c r="C394" t="s">
        <v>949</v>
      </c>
      <c r="D394" t="s">
        <v>950</v>
      </c>
      <c r="E394" t="s">
        <v>13455</v>
      </c>
      <c r="F394" t="s">
        <v>14833</v>
      </c>
      <c r="G394" t="s">
        <v>14834</v>
      </c>
      <c r="H394" t="s">
        <v>14835</v>
      </c>
      <c r="I394" t="s">
        <v>954</v>
      </c>
      <c r="M394" t="s">
        <v>33</v>
      </c>
    </row>
    <row r="395" spans="1:14" x14ac:dyDescent="0.35">
      <c r="A395" t="s">
        <v>20</v>
      </c>
      <c r="B395">
        <v>17645</v>
      </c>
      <c r="C395" t="s">
        <v>949</v>
      </c>
      <c r="D395" t="s">
        <v>950</v>
      </c>
      <c r="E395" t="s">
        <v>13459</v>
      </c>
      <c r="F395" t="s">
        <v>14836</v>
      </c>
      <c r="G395" t="s">
        <v>14837</v>
      </c>
      <c r="H395" t="s">
        <v>14838</v>
      </c>
      <c r="I395" t="s">
        <v>954</v>
      </c>
      <c r="M395" t="s">
        <v>33</v>
      </c>
    </row>
    <row r="396" spans="1:14" x14ac:dyDescent="0.35">
      <c r="A396" t="s">
        <v>20</v>
      </c>
      <c r="B396">
        <v>17645</v>
      </c>
      <c r="C396" t="s">
        <v>949</v>
      </c>
      <c r="D396" t="s">
        <v>950</v>
      </c>
      <c r="E396" t="s">
        <v>13463</v>
      </c>
      <c r="F396" t="s">
        <v>14839</v>
      </c>
      <c r="G396" t="s">
        <v>14840</v>
      </c>
      <c r="H396" t="s">
        <v>14841</v>
      </c>
      <c r="I396" t="s">
        <v>954</v>
      </c>
      <c r="M396" t="s">
        <v>33</v>
      </c>
    </row>
    <row r="397" spans="1:14" x14ac:dyDescent="0.35">
      <c r="A397" t="s">
        <v>20</v>
      </c>
      <c r="B397">
        <v>17645</v>
      </c>
      <c r="C397" t="s">
        <v>949</v>
      </c>
      <c r="D397" t="s">
        <v>950</v>
      </c>
      <c r="E397" t="s">
        <v>13467</v>
      </c>
      <c r="F397" t="s">
        <v>14842</v>
      </c>
      <c r="G397" t="s">
        <v>14843</v>
      </c>
      <c r="H397" t="s">
        <v>14844</v>
      </c>
      <c r="I397" t="s">
        <v>954</v>
      </c>
      <c r="M397" t="s">
        <v>33</v>
      </c>
    </row>
    <row r="398" spans="1:14" x14ac:dyDescent="0.35">
      <c r="A398" t="s">
        <v>20</v>
      </c>
      <c r="B398">
        <v>17645</v>
      </c>
      <c r="C398" t="s">
        <v>949</v>
      </c>
      <c r="D398" t="s">
        <v>950</v>
      </c>
      <c r="E398" t="s">
        <v>13471</v>
      </c>
      <c r="F398" t="s">
        <v>14845</v>
      </c>
      <c r="G398" t="s">
        <v>14846</v>
      </c>
      <c r="H398" t="s">
        <v>14847</v>
      </c>
      <c r="I398" t="s">
        <v>954</v>
      </c>
      <c r="M398" t="s">
        <v>33</v>
      </c>
    </row>
    <row r="399" spans="1:14" x14ac:dyDescent="0.35">
      <c r="A399" t="s">
        <v>20</v>
      </c>
      <c r="B399">
        <v>17645</v>
      </c>
      <c r="C399" t="s">
        <v>949</v>
      </c>
      <c r="D399" t="s">
        <v>950</v>
      </c>
      <c r="E399" t="s">
        <v>13475</v>
      </c>
      <c r="F399" t="s">
        <v>14848</v>
      </c>
      <c r="G399" t="s">
        <v>14849</v>
      </c>
      <c r="H399" t="s">
        <v>14850</v>
      </c>
      <c r="I399" t="s">
        <v>954</v>
      </c>
      <c r="M399" t="s">
        <v>33</v>
      </c>
    </row>
    <row r="400" spans="1:14" x14ac:dyDescent="0.35">
      <c r="A400" t="s">
        <v>20</v>
      </c>
      <c r="B400">
        <v>17645</v>
      </c>
      <c r="C400" t="s">
        <v>949</v>
      </c>
      <c r="D400" t="s">
        <v>950</v>
      </c>
      <c r="E400" t="s">
        <v>13479</v>
      </c>
      <c r="F400" t="s">
        <v>14851</v>
      </c>
      <c r="G400" t="s">
        <v>14852</v>
      </c>
      <c r="H400" t="s">
        <v>14853</v>
      </c>
      <c r="I400" t="s">
        <v>954</v>
      </c>
      <c r="M400" t="s">
        <v>33</v>
      </c>
    </row>
    <row r="401" spans="1:13" x14ac:dyDescent="0.35">
      <c r="A401" t="s">
        <v>20</v>
      </c>
      <c r="B401">
        <v>17645</v>
      </c>
      <c r="C401" t="s">
        <v>949</v>
      </c>
      <c r="D401" t="s">
        <v>950</v>
      </c>
      <c r="E401" t="s">
        <v>13482</v>
      </c>
      <c r="F401" t="s">
        <v>14854</v>
      </c>
      <c r="G401" t="s">
        <v>14855</v>
      </c>
      <c r="H401" t="s">
        <v>14856</v>
      </c>
      <c r="I401" t="s">
        <v>954</v>
      </c>
      <c r="M401" t="s">
        <v>33</v>
      </c>
    </row>
    <row r="402" spans="1:13" x14ac:dyDescent="0.35">
      <c r="A402" t="s">
        <v>20</v>
      </c>
      <c r="B402">
        <v>17645</v>
      </c>
      <c r="C402" t="s">
        <v>949</v>
      </c>
      <c r="D402" t="s">
        <v>950</v>
      </c>
      <c r="E402" t="s">
        <v>13486</v>
      </c>
      <c r="F402" t="s">
        <v>14857</v>
      </c>
      <c r="G402" t="s">
        <v>14858</v>
      </c>
      <c r="H402" t="s">
        <v>14859</v>
      </c>
      <c r="I402" t="s">
        <v>954</v>
      </c>
      <c r="M402" t="s">
        <v>33</v>
      </c>
    </row>
    <row r="403" spans="1:13" x14ac:dyDescent="0.35">
      <c r="A403" t="s">
        <v>20</v>
      </c>
      <c r="B403">
        <v>17645</v>
      </c>
      <c r="C403" t="s">
        <v>949</v>
      </c>
      <c r="D403" t="s">
        <v>950</v>
      </c>
      <c r="E403" t="s">
        <v>13490</v>
      </c>
      <c r="F403" t="s">
        <v>14860</v>
      </c>
      <c r="G403" t="s">
        <v>14861</v>
      </c>
      <c r="H403" t="s">
        <v>14862</v>
      </c>
      <c r="I403" t="s">
        <v>954</v>
      </c>
      <c r="M403" t="s">
        <v>33</v>
      </c>
    </row>
    <row r="404" spans="1:13" x14ac:dyDescent="0.35">
      <c r="A404" t="s">
        <v>20</v>
      </c>
      <c r="B404">
        <v>17645</v>
      </c>
      <c r="C404" t="s">
        <v>949</v>
      </c>
      <c r="D404" t="s">
        <v>950</v>
      </c>
      <c r="E404" t="s">
        <v>13494</v>
      </c>
      <c r="F404" t="s">
        <v>14863</v>
      </c>
      <c r="G404" t="s">
        <v>14864</v>
      </c>
      <c r="H404" t="s">
        <v>14865</v>
      </c>
      <c r="I404" t="s">
        <v>954</v>
      </c>
      <c r="M404" t="s">
        <v>33</v>
      </c>
    </row>
    <row r="405" spans="1:13" x14ac:dyDescent="0.35">
      <c r="A405" t="s">
        <v>20</v>
      </c>
      <c r="B405">
        <v>17645</v>
      </c>
      <c r="C405" t="s">
        <v>949</v>
      </c>
      <c r="D405" t="s">
        <v>950</v>
      </c>
      <c r="E405" t="s">
        <v>13498</v>
      </c>
      <c r="F405" t="s">
        <v>14866</v>
      </c>
      <c r="G405" t="s">
        <v>14867</v>
      </c>
      <c r="H405" t="s">
        <v>14868</v>
      </c>
      <c r="I405" t="s">
        <v>954</v>
      </c>
      <c r="M405" t="s">
        <v>33</v>
      </c>
    </row>
    <row r="406" spans="1:13" x14ac:dyDescent="0.35">
      <c r="A406" t="s">
        <v>20</v>
      </c>
      <c r="B406">
        <v>17645</v>
      </c>
      <c r="C406" t="s">
        <v>949</v>
      </c>
      <c r="D406" t="s">
        <v>950</v>
      </c>
      <c r="E406" t="s">
        <v>13502</v>
      </c>
      <c r="F406" t="s">
        <v>14869</v>
      </c>
      <c r="G406" t="s">
        <v>14870</v>
      </c>
      <c r="H406" t="s">
        <v>14871</v>
      </c>
      <c r="I406" t="s">
        <v>954</v>
      </c>
      <c r="M406" t="s">
        <v>33</v>
      </c>
    </row>
    <row r="407" spans="1:13" x14ac:dyDescent="0.35">
      <c r="A407" t="s">
        <v>20</v>
      </c>
      <c r="B407">
        <v>17645</v>
      </c>
      <c r="C407" t="s">
        <v>949</v>
      </c>
      <c r="D407" t="s">
        <v>950</v>
      </c>
      <c r="E407" t="s">
        <v>13506</v>
      </c>
      <c r="F407" t="s">
        <v>14872</v>
      </c>
      <c r="G407" t="s">
        <v>14873</v>
      </c>
      <c r="H407" t="s">
        <v>14874</v>
      </c>
      <c r="I407" t="s">
        <v>954</v>
      </c>
      <c r="M407" t="s">
        <v>33</v>
      </c>
    </row>
    <row r="408" spans="1:13" x14ac:dyDescent="0.35">
      <c r="A408" t="s">
        <v>20</v>
      </c>
      <c r="B408">
        <v>17645</v>
      </c>
      <c r="C408" t="s">
        <v>949</v>
      </c>
      <c r="D408" t="s">
        <v>950</v>
      </c>
      <c r="E408" t="s">
        <v>13510</v>
      </c>
      <c r="F408" t="s">
        <v>14875</v>
      </c>
      <c r="G408" t="s">
        <v>14876</v>
      </c>
      <c r="H408" t="s">
        <v>14877</v>
      </c>
      <c r="I408" t="s">
        <v>954</v>
      </c>
      <c r="M408" t="s">
        <v>33</v>
      </c>
    </row>
    <row r="409" spans="1:13" x14ac:dyDescent="0.35">
      <c r="A409" t="s">
        <v>20</v>
      </c>
      <c r="B409">
        <v>17645</v>
      </c>
      <c r="C409" t="s">
        <v>949</v>
      </c>
      <c r="D409" t="s">
        <v>950</v>
      </c>
      <c r="E409" t="s">
        <v>13514</v>
      </c>
      <c r="F409" t="s">
        <v>14878</v>
      </c>
      <c r="G409" t="s">
        <v>14879</v>
      </c>
      <c r="H409" t="s">
        <v>14880</v>
      </c>
      <c r="I409" t="s">
        <v>954</v>
      </c>
      <c r="M409" t="s">
        <v>33</v>
      </c>
    </row>
    <row r="410" spans="1:13" x14ac:dyDescent="0.35">
      <c r="A410" t="s">
        <v>20</v>
      </c>
      <c r="B410">
        <v>17645</v>
      </c>
      <c r="C410" t="s">
        <v>949</v>
      </c>
      <c r="D410" t="s">
        <v>950</v>
      </c>
      <c r="E410" t="s">
        <v>13517</v>
      </c>
      <c r="F410" t="s">
        <v>14881</v>
      </c>
      <c r="G410" t="s">
        <v>14882</v>
      </c>
      <c r="H410" t="s">
        <v>14883</v>
      </c>
      <c r="I410" t="s">
        <v>954</v>
      </c>
      <c r="M410" t="s">
        <v>33</v>
      </c>
    </row>
    <row r="411" spans="1:13" x14ac:dyDescent="0.35">
      <c r="A411" t="s">
        <v>20</v>
      </c>
      <c r="B411">
        <v>17645</v>
      </c>
      <c r="C411" t="s">
        <v>949</v>
      </c>
      <c r="D411" t="s">
        <v>950</v>
      </c>
      <c r="E411" t="s">
        <v>13521</v>
      </c>
      <c r="F411" t="s">
        <v>14884</v>
      </c>
      <c r="G411" t="s">
        <v>14885</v>
      </c>
      <c r="H411" t="s">
        <v>14886</v>
      </c>
      <c r="I411" t="s">
        <v>954</v>
      </c>
      <c r="M411" t="s">
        <v>33</v>
      </c>
    </row>
    <row r="412" spans="1:13" x14ac:dyDescent="0.35">
      <c r="A412" t="s">
        <v>20</v>
      </c>
      <c r="B412">
        <v>17645</v>
      </c>
      <c r="C412" t="s">
        <v>949</v>
      </c>
      <c r="D412" t="s">
        <v>950</v>
      </c>
      <c r="E412" t="s">
        <v>13525</v>
      </c>
      <c r="F412" t="s">
        <v>14887</v>
      </c>
      <c r="G412" t="s">
        <v>14888</v>
      </c>
      <c r="H412" t="s">
        <v>14889</v>
      </c>
      <c r="I412" t="s">
        <v>954</v>
      </c>
      <c r="M412" t="s">
        <v>33</v>
      </c>
    </row>
    <row r="413" spans="1:13" x14ac:dyDescent="0.35">
      <c r="A413" t="s">
        <v>20</v>
      </c>
      <c r="B413">
        <v>17645</v>
      </c>
      <c r="C413" t="s">
        <v>949</v>
      </c>
      <c r="D413" t="s">
        <v>950</v>
      </c>
      <c r="E413" t="s">
        <v>13528</v>
      </c>
      <c r="F413" t="s">
        <v>14890</v>
      </c>
      <c r="G413" t="s">
        <v>14891</v>
      </c>
      <c r="H413" t="s">
        <v>14892</v>
      </c>
      <c r="I413" t="s">
        <v>954</v>
      </c>
      <c r="M413" t="s">
        <v>33</v>
      </c>
    </row>
    <row r="414" spans="1:13" x14ac:dyDescent="0.35">
      <c r="A414" t="s">
        <v>20</v>
      </c>
      <c r="B414">
        <v>17645</v>
      </c>
      <c r="C414" t="s">
        <v>949</v>
      </c>
      <c r="D414" t="s">
        <v>950</v>
      </c>
      <c r="E414" t="s">
        <v>13531</v>
      </c>
      <c r="F414" t="s">
        <v>14893</v>
      </c>
      <c r="G414" t="s">
        <v>14894</v>
      </c>
      <c r="H414" t="s">
        <v>14895</v>
      </c>
      <c r="I414" t="s">
        <v>954</v>
      </c>
      <c r="M414" t="s">
        <v>33</v>
      </c>
    </row>
    <row r="415" spans="1:13" x14ac:dyDescent="0.35">
      <c r="A415" t="s">
        <v>20</v>
      </c>
      <c r="B415">
        <v>17645</v>
      </c>
      <c r="C415" t="s">
        <v>949</v>
      </c>
      <c r="D415" t="s">
        <v>950</v>
      </c>
      <c r="E415" t="s">
        <v>13535</v>
      </c>
      <c r="F415" t="s">
        <v>14896</v>
      </c>
      <c r="G415" t="s">
        <v>14897</v>
      </c>
      <c r="H415" t="s">
        <v>14898</v>
      </c>
      <c r="I415" t="s">
        <v>954</v>
      </c>
      <c r="M415" t="s">
        <v>33</v>
      </c>
    </row>
    <row r="416" spans="1:13" x14ac:dyDescent="0.35">
      <c r="A416" t="s">
        <v>20</v>
      </c>
      <c r="B416">
        <v>17645</v>
      </c>
      <c r="C416" t="s">
        <v>949</v>
      </c>
      <c r="D416" t="s">
        <v>950</v>
      </c>
      <c r="E416" t="s">
        <v>13539</v>
      </c>
      <c r="F416" t="s">
        <v>14899</v>
      </c>
      <c r="G416" t="s">
        <v>14900</v>
      </c>
      <c r="H416" t="s">
        <v>14901</v>
      </c>
      <c r="I416" t="s">
        <v>954</v>
      </c>
      <c r="M416" t="s">
        <v>33</v>
      </c>
    </row>
    <row r="417" spans="1:13" x14ac:dyDescent="0.35">
      <c r="A417" t="s">
        <v>20</v>
      </c>
      <c r="B417">
        <v>17645</v>
      </c>
      <c r="C417" t="s">
        <v>949</v>
      </c>
      <c r="D417" t="s">
        <v>950</v>
      </c>
      <c r="E417" t="s">
        <v>13543</v>
      </c>
      <c r="F417" t="s">
        <v>14902</v>
      </c>
      <c r="G417" t="s">
        <v>14903</v>
      </c>
      <c r="H417" t="s">
        <v>14904</v>
      </c>
      <c r="I417" t="s">
        <v>954</v>
      </c>
      <c r="M417" t="s">
        <v>33</v>
      </c>
    </row>
    <row r="418" spans="1:13" x14ac:dyDescent="0.35">
      <c r="A418" t="s">
        <v>20</v>
      </c>
      <c r="B418">
        <v>17645</v>
      </c>
      <c r="C418" t="s">
        <v>949</v>
      </c>
      <c r="D418" t="s">
        <v>950</v>
      </c>
      <c r="E418" t="s">
        <v>13547</v>
      </c>
      <c r="F418" t="s">
        <v>14905</v>
      </c>
      <c r="G418" t="s">
        <v>14906</v>
      </c>
      <c r="H418" t="s">
        <v>14907</v>
      </c>
      <c r="I418" t="s">
        <v>954</v>
      </c>
      <c r="M418" t="s">
        <v>33</v>
      </c>
    </row>
    <row r="419" spans="1:13" x14ac:dyDescent="0.35">
      <c r="A419" t="s">
        <v>20</v>
      </c>
      <c r="B419">
        <v>17645</v>
      </c>
      <c r="C419" t="s">
        <v>949</v>
      </c>
      <c r="D419" t="s">
        <v>950</v>
      </c>
      <c r="E419" t="s">
        <v>13551</v>
      </c>
      <c r="F419" t="s">
        <v>14908</v>
      </c>
      <c r="G419" t="s">
        <v>14909</v>
      </c>
      <c r="H419" t="s">
        <v>14910</v>
      </c>
      <c r="I419" t="s">
        <v>954</v>
      </c>
      <c r="M419" t="s">
        <v>33</v>
      </c>
    </row>
    <row r="420" spans="1:13" x14ac:dyDescent="0.35">
      <c r="A420" t="s">
        <v>20</v>
      </c>
      <c r="B420">
        <v>17645</v>
      </c>
      <c r="C420" t="s">
        <v>949</v>
      </c>
      <c r="D420" t="s">
        <v>950</v>
      </c>
      <c r="E420" t="s">
        <v>13555</v>
      </c>
      <c r="F420" t="s">
        <v>14911</v>
      </c>
      <c r="G420" t="s">
        <v>14912</v>
      </c>
      <c r="H420" t="s">
        <v>14913</v>
      </c>
      <c r="I420" t="s">
        <v>954</v>
      </c>
      <c r="M420" t="s">
        <v>33</v>
      </c>
    </row>
    <row r="421" spans="1:13" x14ac:dyDescent="0.35">
      <c r="A421" t="s">
        <v>20</v>
      </c>
      <c r="B421">
        <v>17645</v>
      </c>
      <c r="C421" t="s">
        <v>949</v>
      </c>
      <c r="D421" t="s">
        <v>950</v>
      </c>
      <c r="E421" t="s">
        <v>13559</v>
      </c>
      <c r="F421" t="s">
        <v>14914</v>
      </c>
      <c r="G421" t="s">
        <v>14915</v>
      </c>
      <c r="H421" t="s">
        <v>14916</v>
      </c>
      <c r="I421" t="s">
        <v>954</v>
      </c>
      <c r="M421" t="s">
        <v>33</v>
      </c>
    </row>
    <row r="422" spans="1:13" x14ac:dyDescent="0.35">
      <c r="A422" t="s">
        <v>20</v>
      </c>
      <c r="B422">
        <v>17645</v>
      </c>
      <c r="C422" t="s">
        <v>949</v>
      </c>
      <c r="D422" t="s">
        <v>950</v>
      </c>
      <c r="E422" t="s">
        <v>13563</v>
      </c>
      <c r="F422" t="s">
        <v>13115</v>
      </c>
      <c r="G422" t="s">
        <v>14917</v>
      </c>
      <c r="H422" t="s">
        <v>14918</v>
      </c>
      <c r="I422" t="s">
        <v>954</v>
      </c>
      <c r="M422" t="s">
        <v>33</v>
      </c>
    </row>
    <row r="423" spans="1:13" x14ac:dyDescent="0.35">
      <c r="A423" t="s">
        <v>20</v>
      </c>
      <c r="B423">
        <v>17645</v>
      </c>
      <c r="C423" t="s">
        <v>949</v>
      </c>
      <c r="D423" t="s">
        <v>950</v>
      </c>
      <c r="E423" t="s">
        <v>13567</v>
      </c>
      <c r="F423" t="s">
        <v>14919</v>
      </c>
      <c r="G423" t="s">
        <v>14920</v>
      </c>
      <c r="H423" t="s">
        <v>14921</v>
      </c>
      <c r="I423" t="s">
        <v>954</v>
      </c>
      <c r="M423" t="s">
        <v>33</v>
      </c>
    </row>
    <row r="424" spans="1:13" x14ac:dyDescent="0.35">
      <c r="A424" t="s">
        <v>20</v>
      </c>
      <c r="B424">
        <v>17645</v>
      </c>
      <c r="C424" t="s">
        <v>949</v>
      </c>
      <c r="D424" t="s">
        <v>950</v>
      </c>
      <c r="E424" t="s">
        <v>13571</v>
      </c>
      <c r="F424" t="s">
        <v>14922</v>
      </c>
      <c r="G424" t="s">
        <v>14923</v>
      </c>
      <c r="H424" t="s">
        <v>14924</v>
      </c>
      <c r="I424" t="s">
        <v>954</v>
      </c>
      <c r="M424" t="s">
        <v>33</v>
      </c>
    </row>
    <row r="425" spans="1:13" x14ac:dyDescent="0.35">
      <c r="A425" t="s">
        <v>20</v>
      </c>
      <c r="B425">
        <v>17645</v>
      </c>
      <c r="C425" t="s">
        <v>949</v>
      </c>
      <c r="D425" t="s">
        <v>950</v>
      </c>
      <c r="E425" t="s">
        <v>13575</v>
      </c>
      <c r="F425" t="s">
        <v>14925</v>
      </c>
      <c r="G425" t="s">
        <v>14926</v>
      </c>
      <c r="H425" t="s">
        <v>14927</v>
      </c>
      <c r="I425" t="s">
        <v>954</v>
      </c>
      <c r="M425" t="s">
        <v>33</v>
      </c>
    </row>
    <row r="426" spans="1:13" x14ac:dyDescent="0.35">
      <c r="A426" t="s">
        <v>20</v>
      </c>
      <c r="B426">
        <v>17645</v>
      </c>
      <c r="C426" t="s">
        <v>949</v>
      </c>
      <c r="D426" t="s">
        <v>950</v>
      </c>
      <c r="E426" t="s">
        <v>13579</v>
      </c>
      <c r="F426" t="s">
        <v>14928</v>
      </c>
      <c r="G426" t="s">
        <v>14929</v>
      </c>
      <c r="H426" t="s">
        <v>14930</v>
      </c>
      <c r="I426" t="s">
        <v>954</v>
      </c>
      <c r="M426" t="s">
        <v>33</v>
      </c>
    </row>
    <row r="427" spans="1:13" x14ac:dyDescent="0.35">
      <c r="A427" t="s">
        <v>20</v>
      </c>
      <c r="B427">
        <v>17645</v>
      </c>
      <c r="C427" t="s">
        <v>949</v>
      </c>
      <c r="D427" t="s">
        <v>950</v>
      </c>
      <c r="E427" t="s">
        <v>13583</v>
      </c>
      <c r="F427" t="s">
        <v>14931</v>
      </c>
      <c r="G427" t="s">
        <v>14932</v>
      </c>
      <c r="H427" t="s">
        <v>14933</v>
      </c>
      <c r="I427" t="s">
        <v>954</v>
      </c>
      <c r="M427" t="s">
        <v>33</v>
      </c>
    </row>
    <row r="428" spans="1:13" x14ac:dyDescent="0.35">
      <c r="A428" t="s">
        <v>20</v>
      </c>
      <c r="B428">
        <v>17645</v>
      </c>
      <c r="C428" t="s">
        <v>949</v>
      </c>
      <c r="D428" t="s">
        <v>950</v>
      </c>
      <c r="E428" t="s">
        <v>13587</v>
      </c>
      <c r="F428" t="s">
        <v>14934</v>
      </c>
      <c r="G428" t="s">
        <v>14935</v>
      </c>
      <c r="H428" t="s">
        <v>14936</v>
      </c>
      <c r="I428" t="s">
        <v>954</v>
      </c>
      <c r="M428" t="s">
        <v>33</v>
      </c>
    </row>
    <row r="429" spans="1:13" x14ac:dyDescent="0.35">
      <c r="A429" t="s">
        <v>20</v>
      </c>
      <c r="B429">
        <v>17645</v>
      </c>
      <c r="C429" t="s">
        <v>949</v>
      </c>
      <c r="D429" t="s">
        <v>950</v>
      </c>
      <c r="E429" t="s">
        <v>13591</v>
      </c>
      <c r="F429" t="s">
        <v>14937</v>
      </c>
      <c r="G429" t="s">
        <v>14938</v>
      </c>
      <c r="H429" t="s">
        <v>14939</v>
      </c>
      <c r="I429" t="s">
        <v>954</v>
      </c>
      <c r="M429" t="s">
        <v>33</v>
      </c>
    </row>
    <row r="430" spans="1:13" x14ac:dyDescent="0.35">
      <c r="A430" t="s">
        <v>20</v>
      </c>
      <c r="B430">
        <v>17645</v>
      </c>
      <c r="C430" t="s">
        <v>949</v>
      </c>
      <c r="D430" t="s">
        <v>950</v>
      </c>
      <c r="E430" t="s">
        <v>13595</v>
      </c>
      <c r="F430" t="s">
        <v>14940</v>
      </c>
      <c r="G430" t="s">
        <v>14941</v>
      </c>
      <c r="H430" t="s">
        <v>14942</v>
      </c>
      <c r="I430" t="s">
        <v>954</v>
      </c>
      <c r="M430" t="s">
        <v>33</v>
      </c>
    </row>
    <row r="431" spans="1:13" x14ac:dyDescent="0.35">
      <c r="A431" t="s">
        <v>20</v>
      </c>
      <c r="B431">
        <v>17645</v>
      </c>
      <c r="C431" t="s">
        <v>949</v>
      </c>
      <c r="D431" t="s">
        <v>950</v>
      </c>
      <c r="E431" t="s">
        <v>13599</v>
      </c>
      <c r="F431" t="s">
        <v>14943</v>
      </c>
      <c r="G431" t="s">
        <v>14944</v>
      </c>
      <c r="H431" t="s">
        <v>14945</v>
      </c>
      <c r="I431" t="s">
        <v>954</v>
      </c>
      <c r="M431" t="s">
        <v>33</v>
      </c>
    </row>
    <row r="432" spans="1:13" x14ac:dyDescent="0.35">
      <c r="A432" t="s">
        <v>20</v>
      </c>
      <c r="B432">
        <v>17645</v>
      </c>
      <c r="C432" t="s">
        <v>949</v>
      </c>
      <c r="D432" t="s">
        <v>950</v>
      </c>
      <c r="E432" t="s">
        <v>13603</v>
      </c>
      <c r="F432" t="s">
        <v>14946</v>
      </c>
      <c r="G432" t="s">
        <v>14947</v>
      </c>
      <c r="H432" t="s">
        <v>14948</v>
      </c>
      <c r="I432" t="s">
        <v>954</v>
      </c>
      <c r="M432" t="s">
        <v>33</v>
      </c>
    </row>
    <row r="433" spans="1:13" x14ac:dyDescent="0.35">
      <c r="A433" t="s">
        <v>20</v>
      </c>
      <c r="B433">
        <v>17645</v>
      </c>
      <c r="C433" t="s">
        <v>949</v>
      </c>
      <c r="D433" t="s">
        <v>950</v>
      </c>
      <c r="E433" t="s">
        <v>13607</v>
      </c>
      <c r="F433" t="s">
        <v>14949</v>
      </c>
      <c r="G433" t="s">
        <v>14950</v>
      </c>
      <c r="H433" t="s">
        <v>14951</v>
      </c>
      <c r="I433" t="s">
        <v>954</v>
      </c>
      <c r="M433" t="s">
        <v>33</v>
      </c>
    </row>
    <row r="434" spans="1:13" x14ac:dyDescent="0.35">
      <c r="A434" t="s">
        <v>20</v>
      </c>
      <c r="B434">
        <v>17645</v>
      </c>
      <c r="C434" t="s">
        <v>949</v>
      </c>
      <c r="D434" t="s">
        <v>950</v>
      </c>
      <c r="E434" t="s">
        <v>13611</v>
      </c>
      <c r="F434" t="s">
        <v>14952</v>
      </c>
      <c r="G434" t="s">
        <v>14953</v>
      </c>
      <c r="H434" t="s">
        <v>14954</v>
      </c>
      <c r="I434" t="s">
        <v>954</v>
      </c>
      <c r="M434" t="s">
        <v>33</v>
      </c>
    </row>
    <row r="435" spans="1:13" x14ac:dyDescent="0.35">
      <c r="A435" t="s">
        <v>20</v>
      </c>
      <c r="B435">
        <v>17645</v>
      </c>
      <c r="C435" t="s">
        <v>949</v>
      </c>
      <c r="D435" t="s">
        <v>950</v>
      </c>
      <c r="E435" t="s">
        <v>13615</v>
      </c>
      <c r="F435" t="s">
        <v>14955</v>
      </c>
      <c r="G435" t="s">
        <v>14956</v>
      </c>
      <c r="H435" t="s">
        <v>14957</v>
      </c>
      <c r="I435" t="s">
        <v>954</v>
      </c>
      <c r="M435" t="s">
        <v>33</v>
      </c>
    </row>
    <row r="436" spans="1:13" x14ac:dyDescent="0.35">
      <c r="A436" t="s">
        <v>20</v>
      </c>
      <c r="B436">
        <v>17645</v>
      </c>
      <c r="C436" t="s">
        <v>949</v>
      </c>
      <c r="D436" t="s">
        <v>950</v>
      </c>
      <c r="E436" t="s">
        <v>13618</v>
      </c>
      <c r="F436" t="s">
        <v>14958</v>
      </c>
      <c r="G436" t="s">
        <v>14959</v>
      </c>
      <c r="H436" t="s">
        <v>14960</v>
      </c>
      <c r="I436" t="s">
        <v>954</v>
      </c>
      <c r="M436" t="s">
        <v>33</v>
      </c>
    </row>
    <row r="437" spans="1:13" x14ac:dyDescent="0.35">
      <c r="A437" t="s">
        <v>20</v>
      </c>
      <c r="B437">
        <v>17645</v>
      </c>
      <c r="C437" t="s">
        <v>949</v>
      </c>
      <c r="D437" t="s">
        <v>950</v>
      </c>
      <c r="E437" t="s">
        <v>13622</v>
      </c>
      <c r="F437" t="s">
        <v>14961</v>
      </c>
      <c r="G437" t="s">
        <v>14962</v>
      </c>
      <c r="H437" t="s">
        <v>14963</v>
      </c>
      <c r="I437" t="s">
        <v>954</v>
      </c>
      <c r="M437" t="s">
        <v>33</v>
      </c>
    </row>
    <row r="438" spans="1:13" x14ac:dyDescent="0.35">
      <c r="A438" t="s">
        <v>20</v>
      </c>
      <c r="B438">
        <v>17645</v>
      </c>
      <c r="C438" t="s">
        <v>949</v>
      </c>
      <c r="D438" t="s">
        <v>950</v>
      </c>
      <c r="E438" t="s">
        <v>13626</v>
      </c>
      <c r="F438" t="s">
        <v>14964</v>
      </c>
      <c r="G438" t="s">
        <v>14965</v>
      </c>
      <c r="H438" t="s">
        <v>14966</v>
      </c>
      <c r="I438" t="s">
        <v>954</v>
      </c>
      <c r="M438" t="s">
        <v>33</v>
      </c>
    </row>
    <row r="439" spans="1:13" x14ac:dyDescent="0.35">
      <c r="A439" t="s">
        <v>20</v>
      </c>
      <c r="B439">
        <v>17645</v>
      </c>
      <c r="C439" t="s">
        <v>949</v>
      </c>
      <c r="D439" t="s">
        <v>950</v>
      </c>
      <c r="E439" t="s">
        <v>13948</v>
      </c>
      <c r="F439" t="s">
        <v>14967</v>
      </c>
      <c r="G439" t="s">
        <v>14968</v>
      </c>
      <c r="H439" t="s">
        <v>14969</v>
      </c>
      <c r="I439" t="s">
        <v>1090</v>
      </c>
      <c r="M439" t="s">
        <v>33</v>
      </c>
    </row>
    <row r="440" spans="1:13" x14ac:dyDescent="0.35">
      <c r="A440" t="s">
        <v>20</v>
      </c>
      <c r="B440">
        <v>17645</v>
      </c>
      <c r="C440" t="s">
        <v>949</v>
      </c>
      <c r="D440" t="s">
        <v>950</v>
      </c>
      <c r="E440" t="s">
        <v>13952</v>
      </c>
      <c r="F440" t="s">
        <v>14970</v>
      </c>
      <c r="G440" t="s">
        <v>14971</v>
      </c>
      <c r="H440" t="s">
        <v>14972</v>
      </c>
      <c r="I440" t="s">
        <v>1090</v>
      </c>
      <c r="M440" t="s">
        <v>33</v>
      </c>
    </row>
    <row r="441" spans="1:13" x14ac:dyDescent="0.35">
      <c r="A441" t="s">
        <v>20</v>
      </c>
      <c r="B441">
        <v>17645</v>
      </c>
      <c r="C441" t="s">
        <v>949</v>
      </c>
      <c r="D441" t="s">
        <v>950</v>
      </c>
      <c r="E441" t="s">
        <v>13956</v>
      </c>
      <c r="F441" t="s">
        <v>14973</v>
      </c>
      <c r="G441" t="s">
        <v>14974</v>
      </c>
      <c r="H441" t="s">
        <v>14975</v>
      </c>
      <c r="I441" t="s">
        <v>1090</v>
      </c>
      <c r="M441" t="s">
        <v>33</v>
      </c>
    </row>
    <row r="442" spans="1:13" x14ac:dyDescent="0.35">
      <c r="A442" t="s">
        <v>20</v>
      </c>
      <c r="B442">
        <v>17645</v>
      </c>
      <c r="C442" t="s">
        <v>949</v>
      </c>
      <c r="D442" t="s">
        <v>950</v>
      </c>
      <c r="E442" t="s">
        <v>13960</v>
      </c>
      <c r="F442" t="s">
        <v>14976</v>
      </c>
      <c r="G442" t="s">
        <v>14977</v>
      </c>
      <c r="H442" t="s">
        <v>14978</v>
      </c>
      <c r="I442" t="s">
        <v>1090</v>
      </c>
      <c r="M442" t="s">
        <v>33</v>
      </c>
    </row>
    <row r="443" spans="1:13" x14ac:dyDescent="0.35">
      <c r="A443" t="s">
        <v>20</v>
      </c>
      <c r="B443">
        <v>17645</v>
      </c>
      <c r="C443" t="s">
        <v>949</v>
      </c>
      <c r="D443" t="s">
        <v>950</v>
      </c>
      <c r="E443" t="s">
        <v>13964</v>
      </c>
      <c r="F443" t="s">
        <v>14979</v>
      </c>
      <c r="G443" t="s">
        <v>14980</v>
      </c>
      <c r="H443" t="s">
        <v>14981</v>
      </c>
      <c r="I443" t="s">
        <v>1090</v>
      </c>
      <c r="M443" t="s">
        <v>33</v>
      </c>
    </row>
    <row r="444" spans="1:13" x14ac:dyDescent="0.35">
      <c r="A444" t="s">
        <v>20</v>
      </c>
      <c r="B444">
        <v>17645</v>
      </c>
      <c r="C444" t="s">
        <v>949</v>
      </c>
      <c r="D444" t="s">
        <v>950</v>
      </c>
      <c r="E444" t="s">
        <v>13968</v>
      </c>
      <c r="F444" t="s">
        <v>14982</v>
      </c>
      <c r="G444" t="s">
        <v>14983</v>
      </c>
      <c r="H444" t="s">
        <v>14984</v>
      </c>
      <c r="I444" t="s">
        <v>1090</v>
      </c>
      <c r="M444" t="s">
        <v>33</v>
      </c>
    </row>
    <row r="445" spans="1:13" x14ac:dyDescent="0.35">
      <c r="A445" t="s">
        <v>20</v>
      </c>
      <c r="B445">
        <v>17645</v>
      </c>
      <c r="C445" t="s">
        <v>949</v>
      </c>
      <c r="D445" t="s">
        <v>950</v>
      </c>
      <c r="E445" t="s">
        <v>13971</v>
      </c>
      <c r="F445" t="s">
        <v>14985</v>
      </c>
      <c r="G445" t="s">
        <v>14986</v>
      </c>
      <c r="H445" t="s">
        <v>14987</v>
      </c>
      <c r="I445" t="s">
        <v>1090</v>
      </c>
      <c r="M445" t="s">
        <v>33</v>
      </c>
    </row>
    <row r="446" spans="1:13" x14ac:dyDescent="0.35">
      <c r="A446" t="s">
        <v>20</v>
      </c>
      <c r="B446">
        <v>17645</v>
      </c>
      <c r="C446" t="s">
        <v>949</v>
      </c>
      <c r="D446" t="s">
        <v>950</v>
      </c>
      <c r="E446" t="s">
        <v>13975</v>
      </c>
      <c r="F446" t="s">
        <v>14988</v>
      </c>
      <c r="G446" t="s">
        <v>14989</v>
      </c>
      <c r="H446" t="s">
        <v>14990</v>
      </c>
      <c r="I446" t="s">
        <v>1090</v>
      </c>
      <c r="M446" t="s">
        <v>33</v>
      </c>
    </row>
    <row r="447" spans="1:13" x14ac:dyDescent="0.35">
      <c r="A447" t="s">
        <v>20</v>
      </c>
      <c r="B447">
        <v>17645</v>
      </c>
      <c r="C447" t="s">
        <v>949</v>
      </c>
      <c r="D447" t="s">
        <v>950</v>
      </c>
      <c r="E447" t="s">
        <v>13979</v>
      </c>
      <c r="F447" t="s">
        <v>14991</v>
      </c>
      <c r="G447" t="s">
        <v>14992</v>
      </c>
      <c r="H447" t="s">
        <v>14993</v>
      </c>
      <c r="I447" t="s">
        <v>1090</v>
      </c>
      <c r="M447" t="s">
        <v>33</v>
      </c>
    </row>
    <row r="448" spans="1:13" x14ac:dyDescent="0.35">
      <c r="A448" t="s">
        <v>20</v>
      </c>
      <c r="B448">
        <v>17645</v>
      </c>
      <c r="C448" t="s">
        <v>949</v>
      </c>
      <c r="D448" t="s">
        <v>950</v>
      </c>
      <c r="E448" t="s">
        <v>13983</v>
      </c>
      <c r="F448" t="s">
        <v>14994</v>
      </c>
      <c r="G448" t="s">
        <v>14995</v>
      </c>
      <c r="H448" t="s">
        <v>14996</v>
      </c>
      <c r="I448" t="s">
        <v>1090</v>
      </c>
      <c r="M448" t="s">
        <v>33</v>
      </c>
    </row>
    <row r="449" spans="1:13" x14ac:dyDescent="0.35">
      <c r="A449" t="s">
        <v>20</v>
      </c>
      <c r="B449">
        <v>17645</v>
      </c>
      <c r="C449" t="s">
        <v>949</v>
      </c>
      <c r="D449" t="s">
        <v>950</v>
      </c>
      <c r="E449" t="s">
        <v>13987</v>
      </c>
      <c r="F449" t="s">
        <v>14997</v>
      </c>
      <c r="G449" t="s">
        <v>14998</v>
      </c>
      <c r="H449" t="s">
        <v>14999</v>
      </c>
      <c r="I449" t="s">
        <v>1090</v>
      </c>
      <c r="M449" t="s">
        <v>33</v>
      </c>
    </row>
    <row r="450" spans="1:13" x14ac:dyDescent="0.35">
      <c r="A450" t="s">
        <v>20</v>
      </c>
      <c r="B450">
        <v>17645</v>
      </c>
      <c r="C450" t="s">
        <v>949</v>
      </c>
      <c r="D450" t="s">
        <v>950</v>
      </c>
      <c r="E450" t="s">
        <v>13991</v>
      </c>
      <c r="F450" t="s">
        <v>15000</v>
      </c>
      <c r="G450" t="s">
        <v>15001</v>
      </c>
      <c r="H450" t="s">
        <v>15002</v>
      </c>
      <c r="I450" t="s">
        <v>1090</v>
      </c>
      <c r="M450" t="s">
        <v>33</v>
      </c>
    </row>
    <row r="451" spans="1:13" x14ac:dyDescent="0.35">
      <c r="A451" t="s">
        <v>20</v>
      </c>
      <c r="B451">
        <v>17645</v>
      </c>
      <c r="C451" t="s">
        <v>949</v>
      </c>
      <c r="D451" t="s">
        <v>950</v>
      </c>
      <c r="E451" t="s">
        <v>13995</v>
      </c>
      <c r="F451" t="s">
        <v>15003</v>
      </c>
      <c r="G451" t="s">
        <v>15004</v>
      </c>
      <c r="H451" t="s">
        <v>15005</v>
      </c>
      <c r="I451" t="s">
        <v>1090</v>
      </c>
      <c r="M451" t="s">
        <v>33</v>
      </c>
    </row>
    <row r="452" spans="1:13" x14ac:dyDescent="0.35">
      <c r="A452" t="s">
        <v>20</v>
      </c>
      <c r="B452">
        <v>17645</v>
      </c>
      <c r="C452" t="s">
        <v>949</v>
      </c>
      <c r="D452" t="s">
        <v>950</v>
      </c>
      <c r="E452" t="s">
        <v>13999</v>
      </c>
      <c r="F452" t="s">
        <v>15006</v>
      </c>
      <c r="G452" t="s">
        <v>15007</v>
      </c>
      <c r="H452" t="s">
        <v>15008</v>
      </c>
      <c r="I452" t="s">
        <v>1090</v>
      </c>
      <c r="M452" t="s">
        <v>33</v>
      </c>
    </row>
    <row r="453" spans="1:13" x14ac:dyDescent="0.35">
      <c r="A453" t="s">
        <v>20</v>
      </c>
      <c r="B453">
        <v>17645</v>
      </c>
      <c r="C453" t="s">
        <v>949</v>
      </c>
      <c r="D453" t="s">
        <v>950</v>
      </c>
      <c r="E453" t="s">
        <v>14003</v>
      </c>
      <c r="F453" t="s">
        <v>15009</v>
      </c>
      <c r="G453" t="s">
        <v>15010</v>
      </c>
      <c r="H453" t="s">
        <v>15011</v>
      </c>
      <c r="I453" t="s">
        <v>1090</v>
      </c>
      <c r="M453" t="s">
        <v>33</v>
      </c>
    </row>
    <row r="454" spans="1:13" x14ac:dyDescent="0.35">
      <c r="A454" t="s">
        <v>20</v>
      </c>
      <c r="B454">
        <v>17645</v>
      </c>
      <c r="C454" t="s">
        <v>949</v>
      </c>
      <c r="D454" t="s">
        <v>950</v>
      </c>
      <c r="E454" t="s">
        <v>14007</v>
      </c>
      <c r="F454" t="s">
        <v>15012</v>
      </c>
      <c r="G454" t="s">
        <v>15013</v>
      </c>
      <c r="H454" t="s">
        <v>15014</v>
      </c>
      <c r="I454" t="s">
        <v>1090</v>
      </c>
      <c r="M454" t="s">
        <v>33</v>
      </c>
    </row>
    <row r="455" spans="1:13" x14ac:dyDescent="0.35">
      <c r="A455" t="s">
        <v>20</v>
      </c>
      <c r="B455">
        <v>17645</v>
      </c>
      <c r="C455" t="s">
        <v>949</v>
      </c>
      <c r="D455" t="s">
        <v>950</v>
      </c>
      <c r="E455" t="s">
        <v>14011</v>
      </c>
      <c r="F455" t="s">
        <v>15015</v>
      </c>
      <c r="G455" t="s">
        <v>15016</v>
      </c>
      <c r="H455" t="s">
        <v>15017</v>
      </c>
      <c r="I455" t="s">
        <v>1090</v>
      </c>
      <c r="M455" t="s">
        <v>33</v>
      </c>
    </row>
    <row r="456" spans="1:13" x14ac:dyDescent="0.35">
      <c r="A456" t="s">
        <v>20</v>
      </c>
      <c r="B456">
        <v>17645</v>
      </c>
      <c r="C456" t="s">
        <v>949</v>
      </c>
      <c r="D456" t="s">
        <v>950</v>
      </c>
      <c r="E456" t="s">
        <v>14014</v>
      </c>
      <c r="F456" t="s">
        <v>15018</v>
      </c>
      <c r="G456" t="s">
        <v>15019</v>
      </c>
      <c r="H456" t="s">
        <v>15020</v>
      </c>
      <c r="I456" t="s">
        <v>1090</v>
      </c>
      <c r="M456" t="s">
        <v>33</v>
      </c>
    </row>
    <row r="457" spans="1:13" x14ac:dyDescent="0.35">
      <c r="A457" t="s">
        <v>20</v>
      </c>
      <c r="B457">
        <v>17645</v>
      </c>
      <c r="C457" t="s">
        <v>949</v>
      </c>
      <c r="D457" t="s">
        <v>950</v>
      </c>
      <c r="E457" t="s">
        <v>14018</v>
      </c>
      <c r="F457" t="s">
        <v>15021</v>
      </c>
      <c r="G457" t="s">
        <v>15022</v>
      </c>
      <c r="H457" t="s">
        <v>15023</v>
      </c>
      <c r="I457" t="s">
        <v>1090</v>
      </c>
      <c r="M457" t="s">
        <v>33</v>
      </c>
    </row>
    <row r="458" spans="1:13" x14ac:dyDescent="0.35">
      <c r="A458" t="s">
        <v>20</v>
      </c>
      <c r="B458">
        <v>17645</v>
      </c>
      <c r="C458" t="s">
        <v>949</v>
      </c>
      <c r="D458" t="s">
        <v>950</v>
      </c>
      <c r="E458" t="s">
        <v>14022</v>
      </c>
      <c r="F458" t="s">
        <v>15024</v>
      </c>
      <c r="G458" t="s">
        <v>15025</v>
      </c>
      <c r="H458" t="s">
        <v>15026</v>
      </c>
      <c r="I458" t="s">
        <v>1090</v>
      </c>
      <c r="M458" t="s">
        <v>33</v>
      </c>
    </row>
    <row r="459" spans="1:13" x14ac:dyDescent="0.35">
      <c r="A459" t="s">
        <v>20</v>
      </c>
      <c r="B459">
        <v>17645</v>
      </c>
      <c r="C459" t="s">
        <v>949</v>
      </c>
      <c r="D459" t="s">
        <v>950</v>
      </c>
      <c r="E459" t="s">
        <v>14026</v>
      </c>
      <c r="F459" t="s">
        <v>15027</v>
      </c>
      <c r="G459" t="s">
        <v>15028</v>
      </c>
      <c r="H459" t="s">
        <v>15029</v>
      </c>
      <c r="I459" t="s">
        <v>1090</v>
      </c>
      <c r="M459" t="s">
        <v>33</v>
      </c>
    </row>
    <row r="460" spans="1:13" x14ac:dyDescent="0.35">
      <c r="A460" t="s">
        <v>20</v>
      </c>
      <c r="B460">
        <v>17645</v>
      </c>
      <c r="C460" t="s">
        <v>949</v>
      </c>
      <c r="D460" t="s">
        <v>950</v>
      </c>
      <c r="E460" t="s">
        <v>14030</v>
      </c>
      <c r="F460" t="s">
        <v>15030</v>
      </c>
      <c r="G460" t="s">
        <v>15031</v>
      </c>
      <c r="H460" t="s">
        <v>15032</v>
      </c>
      <c r="I460" t="s">
        <v>1090</v>
      </c>
      <c r="M460" t="s">
        <v>33</v>
      </c>
    </row>
    <row r="461" spans="1:13" x14ac:dyDescent="0.35">
      <c r="A461" t="s">
        <v>20</v>
      </c>
      <c r="B461">
        <v>17645</v>
      </c>
      <c r="C461" t="s">
        <v>949</v>
      </c>
      <c r="D461" t="s">
        <v>950</v>
      </c>
      <c r="E461" t="s">
        <v>14034</v>
      </c>
      <c r="F461" t="s">
        <v>15033</v>
      </c>
      <c r="G461" t="s">
        <v>15034</v>
      </c>
      <c r="H461" t="s">
        <v>15035</v>
      </c>
      <c r="I461" t="s">
        <v>1090</v>
      </c>
      <c r="M461" t="s">
        <v>33</v>
      </c>
    </row>
    <row r="462" spans="1:13" x14ac:dyDescent="0.35">
      <c r="A462" t="s">
        <v>20</v>
      </c>
      <c r="B462">
        <v>17645</v>
      </c>
      <c r="C462" t="s">
        <v>949</v>
      </c>
      <c r="D462" t="s">
        <v>950</v>
      </c>
      <c r="E462" t="s">
        <v>14038</v>
      </c>
      <c r="F462" t="s">
        <v>15036</v>
      </c>
      <c r="G462" t="s">
        <v>15037</v>
      </c>
      <c r="H462" t="s">
        <v>15038</v>
      </c>
      <c r="I462" t="s">
        <v>1090</v>
      </c>
      <c r="M462" t="s">
        <v>33</v>
      </c>
    </row>
    <row r="463" spans="1:13" x14ac:dyDescent="0.35">
      <c r="A463" t="s">
        <v>20</v>
      </c>
      <c r="B463">
        <v>17645</v>
      </c>
      <c r="C463" t="s">
        <v>949</v>
      </c>
      <c r="D463" t="s">
        <v>950</v>
      </c>
      <c r="E463" t="s">
        <v>14041</v>
      </c>
      <c r="F463" t="s">
        <v>13280</v>
      </c>
      <c r="G463" t="s">
        <v>15039</v>
      </c>
      <c r="H463" t="s">
        <v>15040</v>
      </c>
      <c r="I463" t="s">
        <v>1090</v>
      </c>
      <c r="M463" t="s">
        <v>33</v>
      </c>
    </row>
    <row r="464" spans="1:13" x14ac:dyDescent="0.35">
      <c r="A464" t="s">
        <v>20</v>
      </c>
      <c r="B464">
        <v>17645</v>
      </c>
      <c r="C464" t="s">
        <v>949</v>
      </c>
      <c r="D464" t="s">
        <v>950</v>
      </c>
      <c r="E464" t="s">
        <v>14045</v>
      </c>
      <c r="F464" t="s">
        <v>15041</v>
      </c>
      <c r="G464" t="s">
        <v>15042</v>
      </c>
      <c r="H464" t="s">
        <v>15043</v>
      </c>
      <c r="I464" t="s">
        <v>1090</v>
      </c>
      <c r="M464" t="s">
        <v>33</v>
      </c>
    </row>
    <row r="465" spans="1:13" x14ac:dyDescent="0.35">
      <c r="A465" t="s">
        <v>20</v>
      </c>
      <c r="B465">
        <v>17645</v>
      </c>
      <c r="C465" t="s">
        <v>949</v>
      </c>
      <c r="D465" t="s">
        <v>950</v>
      </c>
      <c r="E465" t="s">
        <v>14049</v>
      </c>
      <c r="F465" t="s">
        <v>15044</v>
      </c>
      <c r="G465" t="s">
        <v>15045</v>
      </c>
      <c r="H465" t="s">
        <v>15046</v>
      </c>
      <c r="I465" t="s">
        <v>1090</v>
      </c>
      <c r="M465" t="s">
        <v>33</v>
      </c>
    </row>
    <row r="466" spans="1:13" x14ac:dyDescent="0.35">
      <c r="A466" t="s">
        <v>20</v>
      </c>
      <c r="B466">
        <v>17645</v>
      </c>
      <c r="C466" t="s">
        <v>949</v>
      </c>
      <c r="D466" t="s">
        <v>950</v>
      </c>
      <c r="E466" t="s">
        <v>14053</v>
      </c>
      <c r="F466" t="s">
        <v>15047</v>
      </c>
      <c r="G466" t="s">
        <v>15048</v>
      </c>
      <c r="H466" t="s">
        <v>15049</v>
      </c>
      <c r="I466" t="s">
        <v>1090</v>
      </c>
      <c r="M466" t="s">
        <v>33</v>
      </c>
    </row>
    <row r="467" spans="1:13" x14ac:dyDescent="0.35">
      <c r="A467" t="s">
        <v>20</v>
      </c>
      <c r="B467">
        <v>17645</v>
      </c>
      <c r="C467" t="s">
        <v>949</v>
      </c>
      <c r="D467" t="s">
        <v>950</v>
      </c>
      <c r="E467" t="s">
        <v>14057</v>
      </c>
      <c r="F467" t="s">
        <v>15050</v>
      </c>
      <c r="G467" t="s">
        <v>15051</v>
      </c>
      <c r="H467" t="s">
        <v>15052</v>
      </c>
      <c r="I467" t="s">
        <v>1090</v>
      </c>
      <c r="M467" t="s">
        <v>33</v>
      </c>
    </row>
    <row r="468" spans="1:13" x14ac:dyDescent="0.35">
      <c r="A468" t="s">
        <v>20</v>
      </c>
      <c r="B468">
        <v>17645</v>
      </c>
      <c r="C468" t="s">
        <v>949</v>
      </c>
      <c r="D468" t="s">
        <v>950</v>
      </c>
      <c r="E468" t="s">
        <v>14061</v>
      </c>
      <c r="F468" t="s">
        <v>15053</v>
      </c>
      <c r="G468" t="s">
        <v>15054</v>
      </c>
      <c r="H468" t="s">
        <v>15055</v>
      </c>
      <c r="I468" t="s">
        <v>1090</v>
      </c>
      <c r="M468" t="s">
        <v>33</v>
      </c>
    </row>
    <row r="469" spans="1:13" x14ac:dyDescent="0.35">
      <c r="A469" t="s">
        <v>20</v>
      </c>
      <c r="B469">
        <v>17645</v>
      </c>
      <c r="C469" t="s">
        <v>949</v>
      </c>
      <c r="D469" t="s">
        <v>950</v>
      </c>
      <c r="E469" t="s">
        <v>14065</v>
      </c>
      <c r="F469" t="s">
        <v>15056</v>
      </c>
      <c r="G469" t="s">
        <v>15057</v>
      </c>
      <c r="H469" t="s">
        <v>15058</v>
      </c>
      <c r="I469" t="s">
        <v>1090</v>
      </c>
      <c r="M469" t="s">
        <v>33</v>
      </c>
    </row>
    <row r="470" spans="1:13" x14ac:dyDescent="0.35">
      <c r="A470" t="s">
        <v>20</v>
      </c>
      <c r="B470">
        <v>17645</v>
      </c>
      <c r="C470" t="s">
        <v>949</v>
      </c>
      <c r="D470" t="s">
        <v>950</v>
      </c>
      <c r="E470" t="s">
        <v>14069</v>
      </c>
      <c r="F470" t="s">
        <v>15059</v>
      </c>
      <c r="G470" t="s">
        <v>15060</v>
      </c>
      <c r="H470" t="s">
        <v>15061</v>
      </c>
      <c r="I470" t="s">
        <v>1090</v>
      </c>
      <c r="M470" t="s">
        <v>33</v>
      </c>
    </row>
    <row r="471" spans="1:13" x14ac:dyDescent="0.35">
      <c r="A471" t="s">
        <v>20</v>
      </c>
      <c r="B471">
        <v>17645</v>
      </c>
      <c r="C471" t="s">
        <v>949</v>
      </c>
      <c r="D471" t="s">
        <v>950</v>
      </c>
      <c r="E471" t="s">
        <v>14073</v>
      </c>
      <c r="F471" t="s">
        <v>15062</v>
      </c>
      <c r="G471" t="s">
        <v>15063</v>
      </c>
      <c r="H471" t="s">
        <v>15064</v>
      </c>
      <c r="I471" t="s">
        <v>1090</v>
      </c>
      <c r="M471" t="s">
        <v>33</v>
      </c>
    </row>
    <row r="472" spans="1:13" x14ac:dyDescent="0.35">
      <c r="A472" t="s">
        <v>20</v>
      </c>
      <c r="B472">
        <v>17645</v>
      </c>
      <c r="C472" t="s">
        <v>949</v>
      </c>
      <c r="D472" t="s">
        <v>950</v>
      </c>
      <c r="E472" t="s">
        <v>14077</v>
      </c>
      <c r="F472" t="s">
        <v>15065</v>
      </c>
      <c r="G472" t="s">
        <v>15066</v>
      </c>
      <c r="H472" t="s">
        <v>15067</v>
      </c>
      <c r="I472" t="s">
        <v>1090</v>
      </c>
      <c r="M472" t="s">
        <v>33</v>
      </c>
    </row>
    <row r="473" spans="1:13" x14ac:dyDescent="0.35">
      <c r="A473" t="s">
        <v>20</v>
      </c>
      <c r="B473">
        <v>17645</v>
      </c>
      <c r="C473" t="s">
        <v>949</v>
      </c>
      <c r="D473" t="s">
        <v>950</v>
      </c>
      <c r="E473" t="s">
        <v>14081</v>
      </c>
      <c r="F473" t="s">
        <v>15068</v>
      </c>
      <c r="G473" t="s">
        <v>15069</v>
      </c>
      <c r="H473" t="s">
        <v>15070</v>
      </c>
      <c r="I473" t="s">
        <v>1090</v>
      </c>
      <c r="M473" t="s">
        <v>33</v>
      </c>
    </row>
    <row r="474" spans="1:13" x14ac:dyDescent="0.35">
      <c r="A474" t="s">
        <v>20</v>
      </c>
      <c r="B474">
        <v>17645</v>
      </c>
      <c r="C474" t="s">
        <v>949</v>
      </c>
      <c r="D474" t="s">
        <v>950</v>
      </c>
      <c r="E474" t="s">
        <v>14085</v>
      </c>
      <c r="F474" t="s">
        <v>15071</v>
      </c>
      <c r="G474" t="s">
        <v>15072</v>
      </c>
      <c r="H474" t="s">
        <v>15073</v>
      </c>
      <c r="I474" t="s">
        <v>1090</v>
      </c>
      <c r="M474" t="s">
        <v>33</v>
      </c>
    </row>
    <row r="475" spans="1:13" x14ac:dyDescent="0.35">
      <c r="A475" t="s">
        <v>20</v>
      </c>
      <c r="B475">
        <v>17645</v>
      </c>
      <c r="C475" t="s">
        <v>949</v>
      </c>
      <c r="D475" t="s">
        <v>950</v>
      </c>
      <c r="E475" t="s">
        <v>14089</v>
      </c>
      <c r="F475" t="s">
        <v>15074</v>
      </c>
      <c r="G475" t="s">
        <v>15075</v>
      </c>
      <c r="H475" t="s">
        <v>15076</v>
      </c>
      <c r="I475" t="s">
        <v>1090</v>
      </c>
      <c r="M475" t="s">
        <v>33</v>
      </c>
    </row>
    <row r="476" spans="1:13" x14ac:dyDescent="0.35">
      <c r="A476" t="s">
        <v>20</v>
      </c>
      <c r="B476">
        <v>17645</v>
      </c>
      <c r="C476" t="s">
        <v>949</v>
      </c>
      <c r="D476" t="s">
        <v>950</v>
      </c>
      <c r="E476" t="s">
        <v>14093</v>
      </c>
      <c r="F476" t="s">
        <v>15077</v>
      </c>
      <c r="G476" t="s">
        <v>15078</v>
      </c>
      <c r="H476" t="s">
        <v>15079</v>
      </c>
      <c r="I476" t="s">
        <v>1090</v>
      </c>
      <c r="M476" t="s">
        <v>33</v>
      </c>
    </row>
    <row r="477" spans="1:13" x14ac:dyDescent="0.35">
      <c r="A477" t="s">
        <v>20</v>
      </c>
      <c r="B477">
        <v>17645</v>
      </c>
      <c r="C477" t="s">
        <v>949</v>
      </c>
      <c r="D477" t="s">
        <v>950</v>
      </c>
      <c r="E477" t="s">
        <v>14097</v>
      </c>
      <c r="F477" t="s">
        <v>15080</v>
      </c>
      <c r="G477" t="s">
        <v>15081</v>
      </c>
      <c r="H477" t="s">
        <v>15082</v>
      </c>
      <c r="I477" t="s">
        <v>1090</v>
      </c>
      <c r="M477" t="s">
        <v>33</v>
      </c>
    </row>
    <row r="478" spans="1:13" x14ac:dyDescent="0.35">
      <c r="A478" t="s">
        <v>20</v>
      </c>
      <c r="B478">
        <v>17645</v>
      </c>
      <c r="C478" t="s">
        <v>949</v>
      </c>
      <c r="D478" t="s">
        <v>950</v>
      </c>
      <c r="E478" t="s">
        <v>14101</v>
      </c>
      <c r="F478" t="s">
        <v>15083</v>
      </c>
      <c r="G478" t="s">
        <v>15084</v>
      </c>
      <c r="H478" t="s">
        <v>15085</v>
      </c>
      <c r="I478" t="s">
        <v>1090</v>
      </c>
      <c r="M478" t="s">
        <v>33</v>
      </c>
    </row>
    <row r="479" spans="1:13" x14ac:dyDescent="0.35">
      <c r="A479" t="s">
        <v>20</v>
      </c>
      <c r="B479">
        <v>17645</v>
      </c>
      <c r="C479" t="s">
        <v>949</v>
      </c>
      <c r="D479" t="s">
        <v>950</v>
      </c>
      <c r="E479" t="s">
        <v>14105</v>
      </c>
      <c r="F479" t="s">
        <v>15086</v>
      </c>
      <c r="G479" t="s">
        <v>15087</v>
      </c>
      <c r="H479" t="s">
        <v>15088</v>
      </c>
      <c r="I479" t="s">
        <v>1090</v>
      </c>
      <c r="M479" t="s">
        <v>33</v>
      </c>
    </row>
    <row r="480" spans="1:13" x14ac:dyDescent="0.35">
      <c r="A480" t="s">
        <v>20</v>
      </c>
      <c r="B480">
        <v>17645</v>
      </c>
      <c r="C480" t="s">
        <v>949</v>
      </c>
      <c r="D480" t="s">
        <v>950</v>
      </c>
      <c r="E480" t="s">
        <v>14109</v>
      </c>
      <c r="F480" t="s">
        <v>15089</v>
      </c>
      <c r="G480" t="s">
        <v>15090</v>
      </c>
      <c r="H480" t="s">
        <v>15091</v>
      </c>
      <c r="I480" t="s">
        <v>1090</v>
      </c>
      <c r="M480" t="s">
        <v>33</v>
      </c>
    </row>
    <row r="481" spans="1:13" x14ac:dyDescent="0.35">
      <c r="A481" t="s">
        <v>20</v>
      </c>
      <c r="B481">
        <v>17645</v>
      </c>
      <c r="C481" t="s">
        <v>949</v>
      </c>
      <c r="D481" t="s">
        <v>950</v>
      </c>
      <c r="E481" t="s">
        <v>14113</v>
      </c>
      <c r="F481" t="s">
        <v>15092</v>
      </c>
      <c r="G481" t="s">
        <v>15093</v>
      </c>
      <c r="H481" t="s">
        <v>15094</v>
      </c>
      <c r="I481" t="s">
        <v>1090</v>
      </c>
      <c r="M481" t="s">
        <v>33</v>
      </c>
    </row>
    <row r="482" spans="1:13" x14ac:dyDescent="0.35">
      <c r="A482" t="s">
        <v>20</v>
      </c>
      <c r="B482">
        <v>17645</v>
      </c>
      <c r="C482" t="s">
        <v>949</v>
      </c>
      <c r="D482" t="s">
        <v>950</v>
      </c>
      <c r="E482" t="s">
        <v>14117</v>
      </c>
      <c r="F482" t="s">
        <v>15095</v>
      </c>
      <c r="G482" t="s">
        <v>15096</v>
      </c>
      <c r="H482" t="s">
        <v>15097</v>
      </c>
      <c r="I482" t="s">
        <v>1090</v>
      </c>
      <c r="M482" t="s">
        <v>33</v>
      </c>
    </row>
    <row r="483" spans="1:13" x14ac:dyDescent="0.35">
      <c r="A483" t="s">
        <v>20</v>
      </c>
      <c r="B483">
        <v>17645</v>
      </c>
      <c r="C483" t="s">
        <v>949</v>
      </c>
      <c r="D483" t="s">
        <v>950</v>
      </c>
      <c r="E483" t="s">
        <v>14121</v>
      </c>
      <c r="F483" t="s">
        <v>15098</v>
      </c>
      <c r="G483" t="s">
        <v>15099</v>
      </c>
      <c r="H483" t="s">
        <v>15100</v>
      </c>
      <c r="I483" t="s">
        <v>1090</v>
      </c>
      <c r="M483" t="s">
        <v>33</v>
      </c>
    </row>
    <row r="484" spans="1:13" x14ac:dyDescent="0.35">
      <c r="A484" t="s">
        <v>20</v>
      </c>
      <c r="B484">
        <v>17645</v>
      </c>
      <c r="C484" t="s">
        <v>949</v>
      </c>
      <c r="D484" t="s">
        <v>950</v>
      </c>
      <c r="E484" t="s">
        <v>14125</v>
      </c>
      <c r="F484" t="s">
        <v>15101</v>
      </c>
      <c r="G484" t="s">
        <v>15102</v>
      </c>
      <c r="H484" t="s">
        <v>15103</v>
      </c>
      <c r="I484" t="s">
        <v>1090</v>
      </c>
      <c r="M484" t="s">
        <v>33</v>
      </c>
    </row>
    <row r="485" spans="1:13" x14ac:dyDescent="0.35">
      <c r="A485" t="s">
        <v>20</v>
      </c>
      <c r="B485">
        <v>17645</v>
      </c>
      <c r="C485" t="s">
        <v>949</v>
      </c>
      <c r="D485" t="s">
        <v>950</v>
      </c>
      <c r="E485" t="s">
        <v>14129</v>
      </c>
      <c r="F485" t="s">
        <v>15104</v>
      </c>
      <c r="G485" t="s">
        <v>15105</v>
      </c>
      <c r="H485" t="s">
        <v>15106</v>
      </c>
      <c r="I485" t="s">
        <v>1090</v>
      </c>
      <c r="M485" t="s">
        <v>33</v>
      </c>
    </row>
    <row r="486" spans="1:13" x14ac:dyDescent="0.35">
      <c r="A486" t="s">
        <v>20</v>
      </c>
      <c r="B486">
        <v>17645</v>
      </c>
      <c r="C486" t="s">
        <v>949</v>
      </c>
      <c r="D486" t="s">
        <v>950</v>
      </c>
      <c r="E486" t="s">
        <v>14132</v>
      </c>
      <c r="F486" t="s">
        <v>15107</v>
      </c>
      <c r="G486" t="s">
        <v>15108</v>
      </c>
      <c r="H486" t="s">
        <v>15109</v>
      </c>
      <c r="I486" t="s">
        <v>1090</v>
      </c>
      <c r="M486" t="s">
        <v>33</v>
      </c>
    </row>
    <row r="487" spans="1:13" x14ac:dyDescent="0.35">
      <c r="A487" t="s">
        <v>20</v>
      </c>
      <c r="B487">
        <v>17645</v>
      </c>
      <c r="C487" t="s">
        <v>949</v>
      </c>
      <c r="D487" t="s">
        <v>950</v>
      </c>
      <c r="E487" t="s">
        <v>14136</v>
      </c>
      <c r="F487" t="s">
        <v>15110</v>
      </c>
      <c r="G487" t="s">
        <v>15111</v>
      </c>
      <c r="H487" t="s">
        <v>15112</v>
      </c>
      <c r="I487" t="s">
        <v>1090</v>
      </c>
      <c r="M487" t="s">
        <v>33</v>
      </c>
    </row>
    <row r="488" spans="1:13" x14ac:dyDescent="0.35">
      <c r="A488" t="s">
        <v>20</v>
      </c>
      <c r="B488">
        <v>17645</v>
      </c>
      <c r="C488" t="s">
        <v>949</v>
      </c>
      <c r="D488" t="s">
        <v>950</v>
      </c>
      <c r="E488" t="s">
        <v>14140</v>
      </c>
      <c r="F488" t="s">
        <v>15113</v>
      </c>
      <c r="G488" t="s">
        <v>15114</v>
      </c>
      <c r="H488" t="s">
        <v>15115</v>
      </c>
      <c r="I488" t="s">
        <v>1090</v>
      </c>
      <c r="M488" t="s">
        <v>33</v>
      </c>
    </row>
    <row r="489" spans="1:13" x14ac:dyDescent="0.35">
      <c r="A489" t="s">
        <v>20</v>
      </c>
      <c r="B489">
        <v>17645</v>
      </c>
      <c r="C489" t="s">
        <v>949</v>
      </c>
      <c r="D489" t="s">
        <v>950</v>
      </c>
      <c r="E489" t="s">
        <v>14144</v>
      </c>
      <c r="F489" t="s">
        <v>15116</v>
      </c>
      <c r="G489" t="s">
        <v>15117</v>
      </c>
      <c r="H489" t="s">
        <v>15118</v>
      </c>
      <c r="I489" t="s">
        <v>1090</v>
      </c>
      <c r="M489" t="s">
        <v>33</v>
      </c>
    </row>
    <row r="490" spans="1:13" x14ac:dyDescent="0.35">
      <c r="A490" t="s">
        <v>20</v>
      </c>
      <c r="B490">
        <v>17645</v>
      </c>
      <c r="C490" t="s">
        <v>949</v>
      </c>
      <c r="D490" t="s">
        <v>950</v>
      </c>
      <c r="E490" t="s">
        <v>14148</v>
      </c>
      <c r="F490" t="s">
        <v>15119</v>
      </c>
      <c r="G490" t="s">
        <v>15120</v>
      </c>
      <c r="H490" t="s">
        <v>15121</v>
      </c>
      <c r="I490" t="s">
        <v>1090</v>
      </c>
      <c r="M490" t="s">
        <v>33</v>
      </c>
    </row>
    <row r="491" spans="1:13" x14ac:dyDescent="0.35">
      <c r="A491" t="s">
        <v>20</v>
      </c>
      <c r="B491">
        <v>17645</v>
      </c>
      <c r="C491" t="s">
        <v>949</v>
      </c>
      <c r="D491" t="s">
        <v>950</v>
      </c>
      <c r="E491" t="s">
        <v>14152</v>
      </c>
      <c r="F491" t="s">
        <v>15122</v>
      </c>
      <c r="G491" t="s">
        <v>15123</v>
      </c>
      <c r="H491" t="s">
        <v>15124</v>
      </c>
      <c r="I491" t="s">
        <v>1090</v>
      </c>
      <c r="M491" t="s">
        <v>33</v>
      </c>
    </row>
    <row r="492" spans="1:13" x14ac:dyDescent="0.35">
      <c r="A492" t="s">
        <v>20</v>
      </c>
      <c r="B492">
        <v>17645</v>
      </c>
      <c r="C492" t="s">
        <v>949</v>
      </c>
      <c r="D492" t="s">
        <v>950</v>
      </c>
      <c r="E492" t="s">
        <v>14156</v>
      </c>
      <c r="F492" t="s">
        <v>15125</v>
      </c>
      <c r="G492" t="s">
        <v>15126</v>
      </c>
      <c r="H492" t="s">
        <v>15127</v>
      </c>
      <c r="I492" t="s">
        <v>1090</v>
      </c>
      <c r="M492" t="s">
        <v>33</v>
      </c>
    </row>
    <row r="493" spans="1:13" x14ac:dyDescent="0.35">
      <c r="A493" t="s">
        <v>20</v>
      </c>
      <c r="B493">
        <v>17645</v>
      </c>
      <c r="C493" t="s">
        <v>949</v>
      </c>
      <c r="D493" t="s">
        <v>950</v>
      </c>
      <c r="E493" t="s">
        <v>14160</v>
      </c>
      <c r="F493" t="s">
        <v>15128</v>
      </c>
      <c r="G493" t="s">
        <v>15129</v>
      </c>
      <c r="H493" t="s">
        <v>15130</v>
      </c>
      <c r="I493" t="s">
        <v>1090</v>
      </c>
      <c r="M493" t="s">
        <v>33</v>
      </c>
    </row>
    <row r="494" spans="1:13" x14ac:dyDescent="0.35">
      <c r="A494" t="s">
        <v>20</v>
      </c>
      <c r="B494">
        <v>17645</v>
      </c>
      <c r="C494" t="s">
        <v>949</v>
      </c>
      <c r="D494" t="s">
        <v>950</v>
      </c>
      <c r="E494" t="s">
        <v>14164</v>
      </c>
      <c r="F494" t="s">
        <v>15131</v>
      </c>
      <c r="G494" t="s">
        <v>15132</v>
      </c>
      <c r="H494" t="s">
        <v>15133</v>
      </c>
      <c r="I494" t="s">
        <v>1090</v>
      </c>
      <c r="M494" t="s">
        <v>33</v>
      </c>
    </row>
    <row r="495" spans="1:13" x14ac:dyDescent="0.35">
      <c r="A495" t="s">
        <v>20</v>
      </c>
      <c r="B495">
        <v>17645</v>
      </c>
      <c r="C495" t="s">
        <v>949</v>
      </c>
      <c r="D495" t="s">
        <v>950</v>
      </c>
      <c r="E495" t="s">
        <v>14168</v>
      </c>
      <c r="F495" t="s">
        <v>15134</v>
      </c>
      <c r="G495" t="s">
        <v>15135</v>
      </c>
      <c r="H495" t="s">
        <v>15136</v>
      </c>
      <c r="I495" t="s">
        <v>1090</v>
      </c>
      <c r="M495" t="s">
        <v>33</v>
      </c>
    </row>
    <row r="496" spans="1:13" x14ac:dyDescent="0.35">
      <c r="A496" t="s">
        <v>20</v>
      </c>
      <c r="B496">
        <v>17645</v>
      </c>
      <c r="C496" t="s">
        <v>949</v>
      </c>
      <c r="D496" t="s">
        <v>950</v>
      </c>
      <c r="E496" t="s">
        <v>14171</v>
      </c>
      <c r="F496" t="s">
        <v>15137</v>
      </c>
      <c r="G496" t="s">
        <v>15138</v>
      </c>
      <c r="H496" t="s">
        <v>15139</v>
      </c>
      <c r="I496" t="s">
        <v>1090</v>
      </c>
      <c r="M496" t="s">
        <v>33</v>
      </c>
    </row>
    <row r="497" spans="1:13" x14ac:dyDescent="0.35">
      <c r="A497" t="s">
        <v>20</v>
      </c>
      <c r="B497">
        <v>17645</v>
      </c>
      <c r="C497" t="s">
        <v>949</v>
      </c>
      <c r="D497" t="s">
        <v>950</v>
      </c>
      <c r="E497" t="s">
        <v>14174</v>
      </c>
      <c r="F497" t="s">
        <v>15140</v>
      </c>
      <c r="G497" t="s">
        <v>15141</v>
      </c>
      <c r="H497" t="s">
        <v>15142</v>
      </c>
      <c r="I497" t="s">
        <v>1090</v>
      </c>
      <c r="M497" t="s">
        <v>33</v>
      </c>
    </row>
    <row r="498" spans="1:13" x14ac:dyDescent="0.35">
      <c r="A498" t="s">
        <v>20</v>
      </c>
      <c r="B498">
        <v>17645</v>
      </c>
      <c r="C498" t="s">
        <v>949</v>
      </c>
      <c r="D498" t="s">
        <v>950</v>
      </c>
      <c r="E498" t="s">
        <v>14178</v>
      </c>
      <c r="F498" t="s">
        <v>15143</v>
      </c>
      <c r="G498" t="s">
        <v>15144</v>
      </c>
      <c r="H498" t="s">
        <v>15145</v>
      </c>
      <c r="I498" t="s">
        <v>1090</v>
      </c>
      <c r="M498" t="s">
        <v>33</v>
      </c>
    </row>
    <row r="499" spans="1:13" x14ac:dyDescent="0.35">
      <c r="A499" t="s">
        <v>20</v>
      </c>
      <c r="B499">
        <v>17645</v>
      </c>
      <c r="C499" t="s">
        <v>949</v>
      </c>
      <c r="D499" t="s">
        <v>950</v>
      </c>
      <c r="E499" t="s">
        <v>14182</v>
      </c>
      <c r="F499" t="s">
        <v>15146</v>
      </c>
      <c r="G499" t="s">
        <v>15147</v>
      </c>
      <c r="H499" t="s">
        <v>15148</v>
      </c>
      <c r="I499" t="s">
        <v>1090</v>
      </c>
      <c r="M499" t="s">
        <v>33</v>
      </c>
    </row>
    <row r="500" spans="1:13" x14ac:dyDescent="0.35">
      <c r="A500" t="s">
        <v>20</v>
      </c>
      <c r="B500">
        <v>17645</v>
      </c>
      <c r="C500" t="s">
        <v>949</v>
      </c>
      <c r="D500" t="s">
        <v>950</v>
      </c>
      <c r="E500" t="s">
        <v>14186</v>
      </c>
      <c r="F500" t="s">
        <v>15149</v>
      </c>
      <c r="G500" t="s">
        <v>15150</v>
      </c>
      <c r="H500" t="s">
        <v>15151</v>
      </c>
      <c r="I500" t="s">
        <v>1090</v>
      </c>
      <c r="M500" t="s">
        <v>33</v>
      </c>
    </row>
    <row r="501" spans="1:13" x14ac:dyDescent="0.35">
      <c r="A501" t="s">
        <v>20</v>
      </c>
      <c r="B501">
        <v>17645</v>
      </c>
      <c r="C501" t="s">
        <v>949</v>
      </c>
      <c r="D501" t="s">
        <v>950</v>
      </c>
      <c r="E501" t="s">
        <v>14190</v>
      </c>
      <c r="F501" t="s">
        <v>15152</v>
      </c>
      <c r="G501" t="s">
        <v>15153</v>
      </c>
      <c r="H501" t="s">
        <v>15154</v>
      </c>
      <c r="I501" t="s">
        <v>1090</v>
      </c>
      <c r="M501" t="s">
        <v>33</v>
      </c>
    </row>
    <row r="502" spans="1:13" x14ac:dyDescent="0.35">
      <c r="A502" t="s">
        <v>20</v>
      </c>
      <c r="B502">
        <v>17645</v>
      </c>
      <c r="C502" t="s">
        <v>949</v>
      </c>
      <c r="D502" t="s">
        <v>950</v>
      </c>
      <c r="E502" t="s">
        <v>14194</v>
      </c>
      <c r="F502" t="s">
        <v>15155</v>
      </c>
      <c r="G502" t="s">
        <v>15156</v>
      </c>
      <c r="H502" t="s">
        <v>15157</v>
      </c>
      <c r="I502" t="s">
        <v>1090</v>
      </c>
      <c r="M502" t="s">
        <v>33</v>
      </c>
    </row>
    <row r="503" spans="1:13" x14ac:dyDescent="0.35">
      <c r="A503" t="s">
        <v>20</v>
      </c>
      <c r="B503">
        <v>17645</v>
      </c>
      <c r="C503" t="s">
        <v>949</v>
      </c>
      <c r="D503" t="s">
        <v>950</v>
      </c>
      <c r="E503" t="s">
        <v>14198</v>
      </c>
      <c r="F503" t="s">
        <v>15158</v>
      </c>
      <c r="G503" t="s">
        <v>15159</v>
      </c>
      <c r="H503" t="s">
        <v>15160</v>
      </c>
      <c r="I503" t="s">
        <v>1090</v>
      </c>
      <c r="M503" t="s">
        <v>33</v>
      </c>
    </row>
    <row r="504" spans="1:13" x14ac:dyDescent="0.35">
      <c r="A504" t="s">
        <v>20</v>
      </c>
      <c r="B504">
        <v>17645</v>
      </c>
      <c r="C504" t="s">
        <v>949</v>
      </c>
      <c r="D504" t="s">
        <v>950</v>
      </c>
      <c r="E504" t="s">
        <v>14202</v>
      </c>
      <c r="F504" t="s">
        <v>15161</v>
      </c>
      <c r="G504" t="s">
        <v>15162</v>
      </c>
      <c r="H504" t="s">
        <v>15163</v>
      </c>
      <c r="I504" t="s">
        <v>1090</v>
      </c>
      <c r="M504" t="s">
        <v>33</v>
      </c>
    </row>
    <row r="505" spans="1:13" x14ac:dyDescent="0.35">
      <c r="A505" t="s">
        <v>20</v>
      </c>
      <c r="B505">
        <v>17645</v>
      </c>
      <c r="C505" t="s">
        <v>949</v>
      </c>
      <c r="D505" t="s">
        <v>950</v>
      </c>
      <c r="E505" t="s">
        <v>14206</v>
      </c>
      <c r="F505" t="s">
        <v>15164</v>
      </c>
      <c r="G505" t="s">
        <v>15165</v>
      </c>
      <c r="H505" t="s">
        <v>15166</v>
      </c>
      <c r="I505" t="s">
        <v>1090</v>
      </c>
      <c r="M505" t="s">
        <v>33</v>
      </c>
    </row>
    <row r="506" spans="1:13" x14ac:dyDescent="0.35">
      <c r="A506" t="s">
        <v>20</v>
      </c>
      <c r="B506">
        <v>17645</v>
      </c>
      <c r="C506" t="s">
        <v>949</v>
      </c>
      <c r="D506" t="s">
        <v>950</v>
      </c>
      <c r="E506" t="s">
        <v>14210</v>
      </c>
      <c r="F506" t="s">
        <v>15167</v>
      </c>
      <c r="G506" t="s">
        <v>15168</v>
      </c>
      <c r="H506" t="s">
        <v>15169</v>
      </c>
      <c r="I506" t="s">
        <v>1090</v>
      </c>
      <c r="M506" t="s">
        <v>33</v>
      </c>
    </row>
    <row r="507" spans="1:13" x14ac:dyDescent="0.35">
      <c r="A507" t="s">
        <v>20</v>
      </c>
      <c r="B507">
        <v>17645</v>
      </c>
      <c r="C507" t="s">
        <v>949</v>
      </c>
      <c r="D507" t="s">
        <v>950</v>
      </c>
      <c r="E507" t="s">
        <v>14214</v>
      </c>
      <c r="F507" t="s">
        <v>15170</v>
      </c>
      <c r="G507" t="s">
        <v>15171</v>
      </c>
      <c r="H507" t="s">
        <v>15172</v>
      </c>
      <c r="I507" t="s">
        <v>1090</v>
      </c>
      <c r="M507" t="s">
        <v>33</v>
      </c>
    </row>
    <row r="508" spans="1:13" x14ac:dyDescent="0.35">
      <c r="A508" t="s">
        <v>20</v>
      </c>
      <c r="B508">
        <v>17645</v>
      </c>
      <c r="C508" t="s">
        <v>949</v>
      </c>
      <c r="D508" t="s">
        <v>950</v>
      </c>
      <c r="E508" t="s">
        <v>14218</v>
      </c>
      <c r="F508" t="s">
        <v>15173</v>
      </c>
      <c r="G508" t="s">
        <v>15174</v>
      </c>
      <c r="H508" t="s">
        <v>15175</v>
      </c>
      <c r="I508" t="s">
        <v>1090</v>
      </c>
      <c r="M508" t="s">
        <v>33</v>
      </c>
    </row>
    <row r="509" spans="1:13" x14ac:dyDescent="0.35">
      <c r="A509" t="s">
        <v>20</v>
      </c>
      <c r="B509">
        <v>17645</v>
      </c>
      <c r="C509" t="s">
        <v>949</v>
      </c>
      <c r="D509" t="s">
        <v>950</v>
      </c>
      <c r="E509" t="s">
        <v>14222</v>
      </c>
      <c r="F509" t="s">
        <v>15176</v>
      </c>
      <c r="G509" t="s">
        <v>15177</v>
      </c>
      <c r="H509" t="s">
        <v>15178</v>
      </c>
      <c r="I509" t="s">
        <v>1090</v>
      </c>
      <c r="M509" t="s">
        <v>33</v>
      </c>
    </row>
    <row r="510" spans="1:13" x14ac:dyDescent="0.35">
      <c r="A510" t="s">
        <v>20</v>
      </c>
      <c r="B510">
        <v>17645</v>
      </c>
      <c r="C510" t="s">
        <v>949</v>
      </c>
      <c r="D510" t="s">
        <v>950</v>
      </c>
      <c r="E510" t="s">
        <v>14225</v>
      </c>
      <c r="F510" t="s">
        <v>15179</v>
      </c>
      <c r="G510" t="s">
        <v>15180</v>
      </c>
      <c r="H510" t="s">
        <v>15181</v>
      </c>
      <c r="I510" t="s">
        <v>1090</v>
      </c>
      <c r="M510" t="s">
        <v>33</v>
      </c>
    </row>
    <row r="511" spans="1:13" x14ac:dyDescent="0.35">
      <c r="A511" t="s">
        <v>20</v>
      </c>
      <c r="B511">
        <v>17645</v>
      </c>
      <c r="C511" t="s">
        <v>949</v>
      </c>
      <c r="D511" t="s">
        <v>950</v>
      </c>
      <c r="E511" t="s">
        <v>14229</v>
      </c>
      <c r="F511" t="s">
        <v>15182</v>
      </c>
      <c r="G511" t="s">
        <v>15183</v>
      </c>
      <c r="H511" t="s">
        <v>15184</v>
      </c>
      <c r="I511" t="s">
        <v>1090</v>
      </c>
      <c r="M511" t="s">
        <v>33</v>
      </c>
    </row>
    <row r="512" spans="1:13" x14ac:dyDescent="0.35">
      <c r="A512" t="s">
        <v>20</v>
      </c>
      <c r="B512">
        <v>17645</v>
      </c>
      <c r="C512" t="s">
        <v>949</v>
      </c>
      <c r="D512" t="s">
        <v>950</v>
      </c>
      <c r="E512" t="s">
        <v>14233</v>
      </c>
      <c r="F512" t="s">
        <v>15185</v>
      </c>
      <c r="G512" t="s">
        <v>15186</v>
      </c>
      <c r="H512" t="s">
        <v>1251</v>
      </c>
      <c r="I512" t="s">
        <v>1090</v>
      </c>
      <c r="M512" t="s">
        <v>33</v>
      </c>
    </row>
    <row r="513" spans="1:13" x14ac:dyDescent="0.35">
      <c r="A513" t="s">
        <v>20</v>
      </c>
      <c r="B513">
        <v>17645</v>
      </c>
      <c r="C513" t="s">
        <v>949</v>
      </c>
      <c r="D513" t="s">
        <v>950</v>
      </c>
      <c r="E513" t="s">
        <v>14237</v>
      </c>
      <c r="F513" t="s">
        <v>15187</v>
      </c>
      <c r="G513" t="s">
        <v>15188</v>
      </c>
      <c r="H513" t="s">
        <v>15189</v>
      </c>
      <c r="I513" t="s">
        <v>1090</v>
      </c>
      <c r="M513" t="s">
        <v>33</v>
      </c>
    </row>
    <row r="514" spans="1:13" x14ac:dyDescent="0.35">
      <c r="A514" t="s">
        <v>20</v>
      </c>
      <c r="B514">
        <v>17643</v>
      </c>
      <c r="C514" t="s">
        <v>426</v>
      </c>
      <c r="D514" t="s">
        <v>427</v>
      </c>
      <c r="E514" t="s">
        <v>13439</v>
      </c>
      <c r="F514" t="s">
        <v>14380</v>
      </c>
      <c r="G514" t="s">
        <v>14381</v>
      </c>
      <c r="H514" t="s">
        <v>14382</v>
      </c>
      <c r="I514" t="s">
        <v>557</v>
      </c>
      <c r="M514" t="s">
        <v>33</v>
      </c>
    </row>
    <row r="515" spans="1:13" x14ac:dyDescent="0.35">
      <c r="A515" t="s">
        <v>20</v>
      </c>
      <c r="B515">
        <v>17643</v>
      </c>
      <c r="C515" t="s">
        <v>426</v>
      </c>
      <c r="D515" t="s">
        <v>427</v>
      </c>
      <c r="E515" t="s">
        <v>13443</v>
      </c>
      <c r="F515" t="s">
        <v>14383</v>
      </c>
      <c r="G515" t="s">
        <v>14384</v>
      </c>
      <c r="H515" t="s">
        <v>14385</v>
      </c>
      <c r="I515" t="s">
        <v>557</v>
      </c>
      <c r="M515" t="s">
        <v>33</v>
      </c>
    </row>
    <row r="516" spans="1:13" x14ac:dyDescent="0.35">
      <c r="A516" t="s">
        <v>20</v>
      </c>
      <c r="B516">
        <v>17643</v>
      </c>
      <c r="C516" t="s">
        <v>426</v>
      </c>
      <c r="D516" t="s">
        <v>427</v>
      </c>
      <c r="E516" t="s">
        <v>13447</v>
      </c>
      <c r="F516" t="s">
        <v>14386</v>
      </c>
      <c r="G516" t="s">
        <v>14387</v>
      </c>
      <c r="H516" t="s">
        <v>14388</v>
      </c>
      <c r="I516" t="s">
        <v>557</v>
      </c>
      <c r="M516" t="s">
        <v>33</v>
      </c>
    </row>
    <row r="517" spans="1:13" x14ac:dyDescent="0.35">
      <c r="A517" t="s">
        <v>20</v>
      </c>
      <c r="B517">
        <v>17643</v>
      </c>
      <c r="C517" t="s">
        <v>426</v>
      </c>
      <c r="D517" t="s">
        <v>427</v>
      </c>
      <c r="E517" t="s">
        <v>13451</v>
      </c>
      <c r="F517" t="s">
        <v>14389</v>
      </c>
      <c r="G517" t="s">
        <v>14390</v>
      </c>
      <c r="H517" t="s">
        <v>14391</v>
      </c>
      <c r="I517" t="s">
        <v>557</v>
      </c>
      <c r="M517" t="s">
        <v>33</v>
      </c>
    </row>
    <row r="518" spans="1:13" x14ac:dyDescent="0.35">
      <c r="A518" t="s">
        <v>20</v>
      </c>
      <c r="B518">
        <v>17643</v>
      </c>
      <c r="C518" t="s">
        <v>426</v>
      </c>
      <c r="D518" t="s">
        <v>427</v>
      </c>
      <c r="E518" t="s">
        <v>13455</v>
      </c>
      <c r="F518" t="s">
        <v>14392</v>
      </c>
      <c r="G518" t="s">
        <v>14393</v>
      </c>
      <c r="H518" t="s">
        <v>14394</v>
      </c>
      <c r="I518" t="s">
        <v>557</v>
      </c>
      <c r="M518" t="s">
        <v>33</v>
      </c>
    </row>
    <row r="519" spans="1:13" x14ac:dyDescent="0.35">
      <c r="A519" t="s">
        <v>20</v>
      </c>
      <c r="B519">
        <v>17643</v>
      </c>
      <c r="C519" t="s">
        <v>426</v>
      </c>
      <c r="D519" t="s">
        <v>427</v>
      </c>
      <c r="E519" t="s">
        <v>13459</v>
      </c>
      <c r="F519" t="s">
        <v>14395</v>
      </c>
      <c r="G519" t="s">
        <v>14396</v>
      </c>
      <c r="H519" t="s">
        <v>14397</v>
      </c>
      <c r="I519" t="s">
        <v>557</v>
      </c>
      <c r="M519" t="s">
        <v>33</v>
      </c>
    </row>
    <row r="520" spans="1:13" x14ac:dyDescent="0.35">
      <c r="A520" t="s">
        <v>20</v>
      </c>
      <c r="B520">
        <v>17643</v>
      </c>
      <c r="C520" t="s">
        <v>426</v>
      </c>
      <c r="D520" t="s">
        <v>427</v>
      </c>
      <c r="E520" t="s">
        <v>13463</v>
      </c>
      <c r="F520" t="s">
        <v>14398</v>
      </c>
      <c r="G520" t="s">
        <v>14399</v>
      </c>
      <c r="H520" t="s">
        <v>14400</v>
      </c>
      <c r="I520" t="s">
        <v>557</v>
      </c>
      <c r="M520" t="s">
        <v>33</v>
      </c>
    </row>
    <row r="521" spans="1:13" x14ac:dyDescent="0.35">
      <c r="A521" t="s">
        <v>20</v>
      </c>
      <c r="B521">
        <v>17643</v>
      </c>
      <c r="C521" t="s">
        <v>426</v>
      </c>
      <c r="D521" t="s">
        <v>427</v>
      </c>
      <c r="E521" t="s">
        <v>13467</v>
      </c>
      <c r="F521" t="s">
        <v>14401</v>
      </c>
      <c r="G521" t="s">
        <v>14402</v>
      </c>
      <c r="H521" t="s">
        <v>14403</v>
      </c>
      <c r="I521" t="s">
        <v>557</v>
      </c>
      <c r="M521" t="s">
        <v>33</v>
      </c>
    </row>
    <row r="522" spans="1:13" x14ac:dyDescent="0.35">
      <c r="A522" t="s">
        <v>20</v>
      </c>
      <c r="B522">
        <v>17643</v>
      </c>
      <c r="C522" t="s">
        <v>426</v>
      </c>
      <c r="D522" t="s">
        <v>427</v>
      </c>
      <c r="E522" t="s">
        <v>13471</v>
      </c>
      <c r="F522" t="s">
        <v>14404</v>
      </c>
      <c r="G522" t="s">
        <v>14405</v>
      </c>
      <c r="H522" t="s">
        <v>14406</v>
      </c>
      <c r="I522" t="s">
        <v>557</v>
      </c>
      <c r="M522" t="s">
        <v>33</v>
      </c>
    </row>
    <row r="523" spans="1:13" x14ac:dyDescent="0.35">
      <c r="A523" t="s">
        <v>20</v>
      </c>
      <c r="B523">
        <v>17643</v>
      </c>
      <c r="C523" t="s">
        <v>426</v>
      </c>
      <c r="D523" t="s">
        <v>427</v>
      </c>
      <c r="E523" t="s">
        <v>13475</v>
      </c>
      <c r="F523" t="s">
        <v>14407</v>
      </c>
      <c r="G523" t="s">
        <v>14408</v>
      </c>
      <c r="H523" t="s">
        <v>14409</v>
      </c>
      <c r="I523" t="s">
        <v>557</v>
      </c>
      <c r="M523" t="s">
        <v>33</v>
      </c>
    </row>
    <row r="524" spans="1:13" x14ac:dyDescent="0.35">
      <c r="A524" t="s">
        <v>20</v>
      </c>
      <c r="B524">
        <v>17643</v>
      </c>
      <c r="C524" t="s">
        <v>426</v>
      </c>
      <c r="D524" t="s">
        <v>427</v>
      </c>
      <c r="E524" t="s">
        <v>13479</v>
      </c>
      <c r="F524" t="s">
        <v>14410</v>
      </c>
      <c r="G524" t="s">
        <v>14411</v>
      </c>
      <c r="H524" t="s">
        <v>14412</v>
      </c>
      <c r="I524" t="s">
        <v>557</v>
      </c>
      <c r="M524" t="s">
        <v>33</v>
      </c>
    </row>
    <row r="525" spans="1:13" x14ac:dyDescent="0.35">
      <c r="A525" t="s">
        <v>20</v>
      </c>
      <c r="B525">
        <v>17643</v>
      </c>
      <c r="C525" t="s">
        <v>426</v>
      </c>
      <c r="D525" t="s">
        <v>427</v>
      </c>
      <c r="E525" t="s">
        <v>13482</v>
      </c>
      <c r="F525" t="s">
        <v>14413</v>
      </c>
      <c r="G525" t="s">
        <v>14414</v>
      </c>
      <c r="H525" t="s">
        <v>14415</v>
      </c>
      <c r="I525" t="s">
        <v>557</v>
      </c>
      <c r="M525" t="s">
        <v>33</v>
      </c>
    </row>
    <row r="526" spans="1:13" x14ac:dyDescent="0.35">
      <c r="A526" t="s">
        <v>20</v>
      </c>
      <c r="B526">
        <v>17643</v>
      </c>
      <c r="C526" t="s">
        <v>426</v>
      </c>
      <c r="D526" t="s">
        <v>427</v>
      </c>
      <c r="E526" t="s">
        <v>13486</v>
      </c>
      <c r="F526" t="s">
        <v>14416</v>
      </c>
      <c r="G526" t="s">
        <v>14417</v>
      </c>
      <c r="H526" t="s">
        <v>14418</v>
      </c>
      <c r="I526" t="s">
        <v>557</v>
      </c>
      <c r="M526" t="s">
        <v>33</v>
      </c>
    </row>
    <row r="527" spans="1:13" x14ac:dyDescent="0.35">
      <c r="A527" t="s">
        <v>20</v>
      </c>
      <c r="B527">
        <v>17643</v>
      </c>
      <c r="C527" t="s">
        <v>426</v>
      </c>
      <c r="D527" t="s">
        <v>427</v>
      </c>
      <c r="E527" t="s">
        <v>13490</v>
      </c>
      <c r="F527" t="s">
        <v>14419</v>
      </c>
      <c r="G527" t="s">
        <v>14420</v>
      </c>
      <c r="H527" t="s">
        <v>14421</v>
      </c>
      <c r="I527" t="s">
        <v>557</v>
      </c>
      <c r="M527" t="s">
        <v>33</v>
      </c>
    </row>
    <row r="528" spans="1:13" x14ac:dyDescent="0.35">
      <c r="A528" t="s">
        <v>20</v>
      </c>
      <c r="B528">
        <v>17643</v>
      </c>
      <c r="C528" t="s">
        <v>426</v>
      </c>
      <c r="D528" t="s">
        <v>427</v>
      </c>
      <c r="E528" t="s">
        <v>13494</v>
      </c>
      <c r="F528" t="s">
        <v>14422</v>
      </c>
      <c r="G528" t="s">
        <v>14423</v>
      </c>
      <c r="H528" t="s">
        <v>14424</v>
      </c>
      <c r="I528" t="s">
        <v>557</v>
      </c>
      <c r="M528" t="s">
        <v>33</v>
      </c>
    </row>
    <row r="529" spans="1:13" x14ac:dyDescent="0.35">
      <c r="A529" t="s">
        <v>20</v>
      </c>
      <c r="B529">
        <v>17643</v>
      </c>
      <c r="C529" t="s">
        <v>426</v>
      </c>
      <c r="D529" t="s">
        <v>427</v>
      </c>
      <c r="E529" t="s">
        <v>13498</v>
      </c>
      <c r="F529" t="s">
        <v>14425</v>
      </c>
      <c r="G529" t="s">
        <v>14426</v>
      </c>
      <c r="H529" t="s">
        <v>14427</v>
      </c>
      <c r="I529" t="s">
        <v>557</v>
      </c>
      <c r="M529" t="s">
        <v>33</v>
      </c>
    </row>
    <row r="530" spans="1:13" x14ac:dyDescent="0.35">
      <c r="A530" t="s">
        <v>20</v>
      </c>
      <c r="B530">
        <v>17643</v>
      </c>
      <c r="C530" t="s">
        <v>426</v>
      </c>
      <c r="D530" t="s">
        <v>427</v>
      </c>
      <c r="E530" t="s">
        <v>13502</v>
      </c>
      <c r="F530" t="s">
        <v>12454</v>
      </c>
      <c r="G530" t="s">
        <v>14428</v>
      </c>
      <c r="H530" t="s">
        <v>14429</v>
      </c>
      <c r="I530" t="s">
        <v>557</v>
      </c>
      <c r="M530" t="s">
        <v>33</v>
      </c>
    </row>
    <row r="531" spans="1:13" x14ac:dyDescent="0.35">
      <c r="A531" t="s">
        <v>20</v>
      </c>
      <c r="B531">
        <v>17643</v>
      </c>
      <c r="C531" t="s">
        <v>426</v>
      </c>
      <c r="D531" t="s">
        <v>427</v>
      </c>
      <c r="E531" t="s">
        <v>13506</v>
      </c>
      <c r="F531" t="s">
        <v>14430</v>
      </c>
      <c r="G531" t="s">
        <v>14431</v>
      </c>
      <c r="H531" t="s">
        <v>14432</v>
      </c>
      <c r="I531" t="s">
        <v>557</v>
      </c>
      <c r="M531" t="s">
        <v>33</v>
      </c>
    </row>
    <row r="532" spans="1:13" x14ac:dyDescent="0.35">
      <c r="A532" t="s">
        <v>20</v>
      </c>
      <c r="B532">
        <v>17643</v>
      </c>
      <c r="C532" t="s">
        <v>426</v>
      </c>
      <c r="D532" t="s">
        <v>427</v>
      </c>
      <c r="E532" t="s">
        <v>13510</v>
      </c>
      <c r="F532" t="s">
        <v>14433</v>
      </c>
      <c r="G532" t="s">
        <v>14434</v>
      </c>
      <c r="H532" t="s">
        <v>14435</v>
      </c>
      <c r="I532" t="s">
        <v>557</v>
      </c>
      <c r="M532" t="s">
        <v>33</v>
      </c>
    </row>
    <row r="533" spans="1:13" x14ac:dyDescent="0.35">
      <c r="A533" t="s">
        <v>20</v>
      </c>
      <c r="B533">
        <v>17643</v>
      </c>
      <c r="C533" t="s">
        <v>426</v>
      </c>
      <c r="D533" t="s">
        <v>427</v>
      </c>
      <c r="E533" t="s">
        <v>13514</v>
      </c>
      <c r="F533" t="s">
        <v>14436</v>
      </c>
      <c r="G533" t="s">
        <v>14437</v>
      </c>
      <c r="H533" t="s">
        <v>14438</v>
      </c>
      <c r="I533" t="s">
        <v>557</v>
      </c>
      <c r="M533" t="s">
        <v>33</v>
      </c>
    </row>
    <row r="534" spans="1:13" x14ac:dyDescent="0.35">
      <c r="A534" t="s">
        <v>20</v>
      </c>
      <c r="B534">
        <v>17643</v>
      </c>
      <c r="C534" t="s">
        <v>426</v>
      </c>
      <c r="D534" t="s">
        <v>427</v>
      </c>
      <c r="E534" t="s">
        <v>13517</v>
      </c>
      <c r="F534" t="s">
        <v>14439</v>
      </c>
      <c r="G534" t="s">
        <v>14440</v>
      </c>
      <c r="H534" t="s">
        <v>14441</v>
      </c>
      <c r="I534" t="s">
        <v>557</v>
      </c>
      <c r="M534" t="s">
        <v>33</v>
      </c>
    </row>
    <row r="535" spans="1:13" x14ac:dyDescent="0.35">
      <c r="A535" t="s">
        <v>20</v>
      </c>
      <c r="B535">
        <v>17643</v>
      </c>
      <c r="C535" t="s">
        <v>426</v>
      </c>
      <c r="D535" t="s">
        <v>427</v>
      </c>
      <c r="E535" t="s">
        <v>13521</v>
      </c>
      <c r="F535" t="s">
        <v>14442</v>
      </c>
      <c r="G535" t="s">
        <v>14443</v>
      </c>
      <c r="H535" t="s">
        <v>14444</v>
      </c>
      <c r="I535" t="s">
        <v>557</v>
      </c>
      <c r="M535" t="s">
        <v>33</v>
      </c>
    </row>
    <row r="536" spans="1:13" x14ac:dyDescent="0.35">
      <c r="A536" t="s">
        <v>20</v>
      </c>
      <c r="B536">
        <v>17643</v>
      </c>
      <c r="C536" t="s">
        <v>426</v>
      </c>
      <c r="D536" t="s">
        <v>427</v>
      </c>
      <c r="E536" t="s">
        <v>13525</v>
      </c>
      <c r="F536" t="s">
        <v>14445</v>
      </c>
      <c r="G536" t="s">
        <v>14446</v>
      </c>
      <c r="H536" t="s">
        <v>14447</v>
      </c>
      <c r="I536" t="s">
        <v>557</v>
      </c>
      <c r="M536" t="s">
        <v>33</v>
      </c>
    </row>
    <row r="537" spans="1:13" x14ac:dyDescent="0.35">
      <c r="A537" t="s">
        <v>20</v>
      </c>
      <c r="B537">
        <v>17643</v>
      </c>
      <c r="C537" t="s">
        <v>426</v>
      </c>
      <c r="D537" t="s">
        <v>427</v>
      </c>
      <c r="E537" t="s">
        <v>13528</v>
      </c>
      <c r="F537" t="s">
        <v>14448</v>
      </c>
      <c r="G537" t="s">
        <v>14449</v>
      </c>
      <c r="H537" t="s">
        <v>14450</v>
      </c>
      <c r="I537" t="s">
        <v>557</v>
      </c>
      <c r="M537" t="s">
        <v>33</v>
      </c>
    </row>
    <row r="538" spans="1:13" x14ac:dyDescent="0.35">
      <c r="A538" t="s">
        <v>20</v>
      </c>
      <c r="B538">
        <v>17643</v>
      </c>
      <c r="C538" t="s">
        <v>426</v>
      </c>
      <c r="D538" t="s">
        <v>427</v>
      </c>
      <c r="E538" t="s">
        <v>13531</v>
      </c>
      <c r="F538" t="s">
        <v>14451</v>
      </c>
      <c r="G538" t="s">
        <v>14452</v>
      </c>
      <c r="H538" t="s">
        <v>14453</v>
      </c>
      <c r="I538" t="s">
        <v>557</v>
      </c>
      <c r="M538" t="s">
        <v>33</v>
      </c>
    </row>
    <row r="539" spans="1:13" x14ac:dyDescent="0.35">
      <c r="A539" t="s">
        <v>20</v>
      </c>
      <c r="B539">
        <v>17643</v>
      </c>
      <c r="C539" t="s">
        <v>426</v>
      </c>
      <c r="D539" t="s">
        <v>427</v>
      </c>
      <c r="E539" t="s">
        <v>13535</v>
      </c>
      <c r="F539" t="s">
        <v>14454</v>
      </c>
      <c r="G539" t="s">
        <v>14455</v>
      </c>
      <c r="H539" t="s">
        <v>14456</v>
      </c>
      <c r="I539" t="s">
        <v>557</v>
      </c>
      <c r="M539" t="s">
        <v>33</v>
      </c>
    </row>
    <row r="540" spans="1:13" x14ac:dyDescent="0.35">
      <c r="A540" t="s">
        <v>20</v>
      </c>
      <c r="B540">
        <v>17643</v>
      </c>
      <c r="C540" t="s">
        <v>426</v>
      </c>
      <c r="D540" t="s">
        <v>427</v>
      </c>
      <c r="E540" t="s">
        <v>13539</v>
      </c>
      <c r="F540" t="s">
        <v>14457</v>
      </c>
      <c r="G540" t="s">
        <v>14458</v>
      </c>
      <c r="H540" t="s">
        <v>14459</v>
      </c>
      <c r="I540" t="s">
        <v>557</v>
      </c>
      <c r="M540" t="s">
        <v>33</v>
      </c>
    </row>
    <row r="541" spans="1:13" x14ac:dyDescent="0.35">
      <c r="A541" t="s">
        <v>20</v>
      </c>
      <c r="B541">
        <v>17643</v>
      </c>
      <c r="C541" t="s">
        <v>426</v>
      </c>
      <c r="D541" t="s">
        <v>427</v>
      </c>
      <c r="E541" t="s">
        <v>13543</v>
      </c>
      <c r="F541" t="s">
        <v>14460</v>
      </c>
      <c r="G541" t="s">
        <v>14461</v>
      </c>
      <c r="H541" t="s">
        <v>14462</v>
      </c>
      <c r="I541" t="s">
        <v>557</v>
      </c>
      <c r="M541" t="s">
        <v>33</v>
      </c>
    </row>
    <row r="542" spans="1:13" x14ac:dyDescent="0.35">
      <c r="A542" t="s">
        <v>20</v>
      </c>
      <c r="B542">
        <v>17643</v>
      </c>
      <c r="C542" t="s">
        <v>426</v>
      </c>
      <c r="D542" t="s">
        <v>427</v>
      </c>
      <c r="E542" t="s">
        <v>13547</v>
      </c>
      <c r="F542" t="s">
        <v>14463</v>
      </c>
      <c r="G542" t="s">
        <v>14464</v>
      </c>
      <c r="H542" t="s">
        <v>14465</v>
      </c>
      <c r="I542" t="s">
        <v>557</v>
      </c>
      <c r="M542" t="s">
        <v>33</v>
      </c>
    </row>
    <row r="543" spans="1:13" x14ac:dyDescent="0.35">
      <c r="A543" t="s">
        <v>20</v>
      </c>
      <c r="B543">
        <v>17643</v>
      </c>
      <c r="C543" t="s">
        <v>426</v>
      </c>
      <c r="D543" t="s">
        <v>427</v>
      </c>
      <c r="E543" t="s">
        <v>13551</v>
      </c>
      <c r="F543" t="s">
        <v>14466</v>
      </c>
      <c r="G543" t="s">
        <v>14467</v>
      </c>
      <c r="H543" t="s">
        <v>14468</v>
      </c>
      <c r="I543" t="s">
        <v>557</v>
      </c>
      <c r="M543" t="s">
        <v>33</v>
      </c>
    </row>
    <row r="544" spans="1:13" x14ac:dyDescent="0.35">
      <c r="A544" t="s">
        <v>20</v>
      </c>
      <c r="B544">
        <v>17643</v>
      </c>
      <c r="C544" t="s">
        <v>426</v>
      </c>
      <c r="D544" t="s">
        <v>427</v>
      </c>
      <c r="E544" t="s">
        <v>13555</v>
      </c>
      <c r="F544" t="s">
        <v>14469</v>
      </c>
      <c r="G544" t="s">
        <v>14470</v>
      </c>
      <c r="H544" t="s">
        <v>14471</v>
      </c>
      <c r="I544" t="s">
        <v>557</v>
      </c>
      <c r="M544" t="s">
        <v>33</v>
      </c>
    </row>
    <row r="545" spans="1:13" x14ac:dyDescent="0.35">
      <c r="A545" t="s">
        <v>20</v>
      </c>
      <c r="B545">
        <v>17643</v>
      </c>
      <c r="C545" t="s">
        <v>426</v>
      </c>
      <c r="D545" t="s">
        <v>427</v>
      </c>
      <c r="E545" t="s">
        <v>13559</v>
      </c>
      <c r="F545" t="s">
        <v>14472</v>
      </c>
      <c r="G545" t="s">
        <v>14473</v>
      </c>
      <c r="H545" t="s">
        <v>14474</v>
      </c>
      <c r="I545" t="s">
        <v>557</v>
      </c>
      <c r="M545" t="s">
        <v>33</v>
      </c>
    </row>
    <row r="546" spans="1:13" x14ac:dyDescent="0.35">
      <c r="A546" t="s">
        <v>20</v>
      </c>
      <c r="B546">
        <v>17643</v>
      </c>
      <c r="C546" t="s">
        <v>426</v>
      </c>
      <c r="D546" t="s">
        <v>427</v>
      </c>
      <c r="E546" t="s">
        <v>13563</v>
      </c>
      <c r="F546" t="s">
        <v>14475</v>
      </c>
      <c r="G546" t="s">
        <v>14476</v>
      </c>
      <c r="H546" t="s">
        <v>14477</v>
      </c>
      <c r="I546" t="s">
        <v>557</v>
      </c>
      <c r="M546" t="s">
        <v>33</v>
      </c>
    </row>
    <row r="547" spans="1:13" x14ac:dyDescent="0.35">
      <c r="A547" t="s">
        <v>20</v>
      </c>
      <c r="B547">
        <v>17643</v>
      </c>
      <c r="C547" t="s">
        <v>426</v>
      </c>
      <c r="D547" t="s">
        <v>427</v>
      </c>
      <c r="E547" t="s">
        <v>13567</v>
      </c>
      <c r="F547" t="s">
        <v>14478</v>
      </c>
      <c r="G547" t="s">
        <v>14479</v>
      </c>
      <c r="H547" t="s">
        <v>14480</v>
      </c>
      <c r="I547" t="s">
        <v>557</v>
      </c>
      <c r="M547" t="s">
        <v>33</v>
      </c>
    </row>
    <row r="548" spans="1:13" x14ac:dyDescent="0.35">
      <c r="A548" t="s">
        <v>20</v>
      </c>
      <c r="B548">
        <v>17643</v>
      </c>
      <c r="C548" t="s">
        <v>426</v>
      </c>
      <c r="D548" t="s">
        <v>427</v>
      </c>
      <c r="E548" t="s">
        <v>13571</v>
      </c>
      <c r="F548" t="s">
        <v>14481</v>
      </c>
      <c r="G548" t="s">
        <v>14482</v>
      </c>
      <c r="H548" t="s">
        <v>14483</v>
      </c>
      <c r="I548" t="s">
        <v>557</v>
      </c>
      <c r="M548" t="s">
        <v>33</v>
      </c>
    </row>
    <row r="549" spans="1:13" x14ac:dyDescent="0.35">
      <c r="A549" t="s">
        <v>20</v>
      </c>
      <c r="B549">
        <v>17643</v>
      </c>
      <c r="C549" t="s">
        <v>426</v>
      </c>
      <c r="D549" t="s">
        <v>427</v>
      </c>
      <c r="E549" t="s">
        <v>13575</v>
      </c>
      <c r="F549" t="s">
        <v>14484</v>
      </c>
      <c r="G549" t="s">
        <v>14485</v>
      </c>
      <c r="H549" t="s">
        <v>14486</v>
      </c>
      <c r="I549" t="s">
        <v>557</v>
      </c>
      <c r="M549" t="s">
        <v>33</v>
      </c>
    </row>
    <row r="550" spans="1:13" x14ac:dyDescent="0.35">
      <c r="A550" t="s">
        <v>20</v>
      </c>
      <c r="B550">
        <v>17643</v>
      </c>
      <c r="C550" t="s">
        <v>426</v>
      </c>
      <c r="D550" t="s">
        <v>427</v>
      </c>
      <c r="E550" t="s">
        <v>13579</v>
      </c>
      <c r="F550" t="s">
        <v>14487</v>
      </c>
      <c r="G550" t="s">
        <v>14488</v>
      </c>
      <c r="H550" t="s">
        <v>14489</v>
      </c>
      <c r="I550" t="s">
        <v>557</v>
      </c>
      <c r="M550" t="s">
        <v>33</v>
      </c>
    </row>
    <row r="551" spans="1:13" x14ac:dyDescent="0.35">
      <c r="A551" t="s">
        <v>20</v>
      </c>
      <c r="B551">
        <v>17643</v>
      </c>
      <c r="C551" t="s">
        <v>426</v>
      </c>
      <c r="D551" t="s">
        <v>427</v>
      </c>
      <c r="E551" t="s">
        <v>13583</v>
      </c>
      <c r="F551" t="s">
        <v>14490</v>
      </c>
      <c r="G551" t="s">
        <v>14491</v>
      </c>
      <c r="H551" t="s">
        <v>14492</v>
      </c>
      <c r="I551" t="s">
        <v>557</v>
      </c>
      <c r="M551" t="s">
        <v>33</v>
      </c>
    </row>
    <row r="552" spans="1:13" x14ac:dyDescent="0.35">
      <c r="A552" t="s">
        <v>20</v>
      </c>
      <c r="B552">
        <v>17643</v>
      </c>
      <c r="C552" t="s">
        <v>426</v>
      </c>
      <c r="D552" t="s">
        <v>427</v>
      </c>
      <c r="E552" t="s">
        <v>13587</v>
      </c>
      <c r="F552" t="s">
        <v>14493</v>
      </c>
      <c r="G552" t="s">
        <v>14494</v>
      </c>
      <c r="H552" t="s">
        <v>14495</v>
      </c>
      <c r="I552" t="s">
        <v>557</v>
      </c>
      <c r="M552" t="s">
        <v>33</v>
      </c>
    </row>
    <row r="553" spans="1:13" x14ac:dyDescent="0.35">
      <c r="A553" t="s">
        <v>20</v>
      </c>
      <c r="B553">
        <v>17643</v>
      </c>
      <c r="C553" t="s">
        <v>426</v>
      </c>
      <c r="D553" t="s">
        <v>427</v>
      </c>
      <c r="E553" t="s">
        <v>13591</v>
      </c>
      <c r="F553" t="s">
        <v>14496</v>
      </c>
      <c r="G553" t="s">
        <v>14497</v>
      </c>
      <c r="H553" t="s">
        <v>14498</v>
      </c>
      <c r="I553" t="s">
        <v>557</v>
      </c>
      <c r="M553" t="s">
        <v>33</v>
      </c>
    </row>
    <row r="554" spans="1:13" x14ac:dyDescent="0.35">
      <c r="A554" t="s">
        <v>20</v>
      </c>
      <c r="B554">
        <v>17643</v>
      </c>
      <c r="C554" t="s">
        <v>426</v>
      </c>
      <c r="D554" t="s">
        <v>427</v>
      </c>
      <c r="E554" t="s">
        <v>13595</v>
      </c>
      <c r="F554" t="s">
        <v>14499</v>
      </c>
      <c r="G554" t="s">
        <v>14500</v>
      </c>
      <c r="H554" t="s">
        <v>14501</v>
      </c>
      <c r="I554" t="s">
        <v>557</v>
      </c>
      <c r="M554" t="s">
        <v>33</v>
      </c>
    </row>
    <row r="555" spans="1:13" x14ac:dyDescent="0.35">
      <c r="A555" t="s">
        <v>20</v>
      </c>
      <c r="B555">
        <v>17643</v>
      </c>
      <c r="C555" t="s">
        <v>426</v>
      </c>
      <c r="D555" t="s">
        <v>427</v>
      </c>
      <c r="E555" t="s">
        <v>13599</v>
      </c>
      <c r="F555" t="s">
        <v>14502</v>
      </c>
      <c r="G555" t="s">
        <v>14503</v>
      </c>
      <c r="H555" t="s">
        <v>14504</v>
      </c>
      <c r="I555" t="s">
        <v>557</v>
      </c>
      <c r="M555" t="s">
        <v>33</v>
      </c>
    </row>
    <row r="556" spans="1:13" x14ac:dyDescent="0.35">
      <c r="A556" t="s">
        <v>20</v>
      </c>
      <c r="B556">
        <v>17643</v>
      </c>
      <c r="C556" t="s">
        <v>426</v>
      </c>
      <c r="D556" t="s">
        <v>427</v>
      </c>
      <c r="E556" t="s">
        <v>13603</v>
      </c>
      <c r="F556" t="s">
        <v>14505</v>
      </c>
      <c r="G556" t="s">
        <v>14506</v>
      </c>
      <c r="H556" t="s">
        <v>14507</v>
      </c>
      <c r="I556" t="s">
        <v>557</v>
      </c>
      <c r="M556" t="s">
        <v>33</v>
      </c>
    </row>
    <row r="557" spans="1:13" x14ac:dyDescent="0.35">
      <c r="A557" t="s">
        <v>20</v>
      </c>
      <c r="B557">
        <v>17643</v>
      </c>
      <c r="C557" t="s">
        <v>426</v>
      </c>
      <c r="D557" t="s">
        <v>427</v>
      </c>
      <c r="E557" t="s">
        <v>13607</v>
      </c>
      <c r="F557" t="s">
        <v>14508</v>
      </c>
      <c r="G557" t="s">
        <v>14509</v>
      </c>
      <c r="H557" t="s">
        <v>14510</v>
      </c>
      <c r="I557" t="s">
        <v>557</v>
      </c>
      <c r="M557" t="s">
        <v>33</v>
      </c>
    </row>
    <row r="558" spans="1:13" x14ac:dyDescent="0.35">
      <c r="A558" t="s">
        <v>20</v>
      </c>
      <c r="B558">
        <v>17643</v>
      </c>
      <c r="C558" t="s">
        <v>426</v>
      </c>
      <c r="D558" t="s">
        <v>427</v>
      </c>
      <c r="E558" t="s">
        <v>13611</v>
      </c>
      <c r="F558" t="s">
        <v>14511</v>
      </c>
      <c r="G558" t="s">
        <v>14512</v>
      </c>
      <c r="H558" t="s">
        <v>14513</v>
      </c>
      <c r="I558" t="s">
        <v>557</v>
      </c>
      <c r="M558" t="s">
        <v>33</v>
      </c>
    </row>
    <row r="559" spans="1:13" x14ac:dyDescent="0.35">
      <c r="A559" t="s">
        <v>20</v>
      </c>
      <c r="B559">
        <v>17643</v>
      </c>
      <c r="C559" t="s">
        <v>426</v>
      </c>
      <c r="D559" t="s">
        <v>427</v>
      </c>
      <c r="E559" t="s">
        <v>13615</v>
      </c>
      <c r="F559" t="s">
        <v>14514</v>
      </c>
      <c r="G559" t="s">
        <v>14515</v>
      </c>
      <c r="H559" t="s">
        <v>14516</v>
      </c>
      <c r="I559" t="s">
        <v>557</v>
      </c>
      <c r="M559" t="s">
        <v>33</v>
      </c>
    </row>
    <row r="560" spans="1:13" x14ac:dyDescent="0.35">
      <c r="A560" t="s">
        <v>20</v>
      </c>
      <c r="B560">
        <v>17643</v>
      </c>
      <c r="C560" t="s">
        <v>426</v>
      </c>
      <c r="D560" t="s">
        <v>427</v>
      </c>
      <c r="E560" t="s">
        <v>13618</v>
      </c>
      <c r="F560" t="s">
        <v>14517</v>
      </c>
      <c r="G560" t="s">
        <v>14518</v>
      </c>
      <c r="H560" t="s">
        <v>14519</v>
      </c>
      <c r="I560" t="s">
        <v>557</v>
      </c>
      <c r="M560" t="s">
        <v>33</v>
      </c>
    </row>
    <row r="561" spans="1:13" x14ac:dyDescent="0.35">
      <c r="A561" t="s">
        <v>20</v>
      </c>
      <c r="B561">
        <v>17643</v>
      </c>
      <c r="C561" t="s">
        <v>426</v>
      </c>
      <c r="D561" t="s">
        <v>427</v>
      </c>
      <c r="E561" t="s">
        <v>13622</v>
      </c>
      <c r="F561" t="s">
        <v>14520</v>
      </c>
      <c r="G561" t="s">
        <v>14521</v>
      </c>
      <c r="H561" t="s">
        <v>14522</v>
      </c>
      <c r="I561" t="s">
        <v>557</v>
      </c>
      <c r="M561" t="s">
        <v>33</v>
      </c>
    </row>
    <row r="562" spans="1:13" x14ac:dyDescent="0.35">
      <c r="A562" t="s">
        <v>20</v>
      </c>
      <c r="B562">
        <v>17643</v>
      </c>
      <c r="C562" t="s">
        <v>426</v>
      </c>
      <c r="D562" t="s">
        <v>427</v>
      </c>
      <c r="E562" t="s">
        <v>13626</v>
      </c>
      <c r="F562" t="s">
        <v>10213</v>
      </c>
      <c r="G562" t="s">
        <v>14523</v>
      </c>
      <c r="H562" t="s">
        <v>14524</v>
      </c>
      <c r="I562" t="s">
        <v>557</v>
      </c>
      <c r="M562" t="s">
        <v>33</v>
      </c>
    </row>
    <row r="563" spans="1:13" x14ac:dyDescent="0.35">
      <c r="A563" t="s">
        <v>20</v>
      </c>
      <c r="B563">
        <v>17643</v>
      </c>
      <c r="C563" t="s">
        <v>426</v>
      </c>
      <c r="D563" t="s">
        <v>427</v>
      </c>
      <c r="E563" t="s">
        <v>13630</v>
      </c>
      <c r="F563" t="s">
        <v>14525</v>
      </c>
      <c r="G563" t="s">
        <v>14526</v>
      </c>
      <c r="H563" t="s">
        <v>14527</v>
      </c>
      <c r="I563" t="s">
        <v>557</v>
      </c>
      <c r="M563" t="s">
        <v>33</v>
      </c>
    </row>
    <row r="564" spans="1:13" x14ac:dyDescent="0.35">
      <c r="A564" t="s">
        <v>20</v>
      </c>
      <c r="B564">
        <v>17643</v>
      </c>
      <c r="C564" t="s">
        <v>426</v>
      </c>
      <c r="D564" t="s">
        <v>427</v>
      </c>
      <c r="E564" t="s">
        <v>13634</v>
      </c>
      <c r="F564" t="s">
        <v>14528</v>
      </c>
      <c r="G564" t="s">
        <v>14529</v>
      </c>
      <c r="H564" t="s">
        <v>14530</v>
      </c>
      <c r="I564" t="s">
        <v>557</v>
      </c>
      <c r="M564" t="s">
        <v>33</v>
      </c>
    </row>
    <row r="565" spans="1:13" x14ac:dyDescent="0.35">
      <c r="A565" t="s">
        <v>20</v>
      </c>
      <c r="B565">
        <v>17643</v>
      </c>
      <c r="C565" t="s">
        <v>426</v>
      </c>
      <c r="D565" t="s">
        <v>427</v>
      </c>
      <c r="E565" t="s">
        <v>13638</v>
      </c>
      <c r="F565" t="s">
        <v>14531</v>
      </c>
      <c r="G565" t="s">
        <v>14532</v>
      </c>
      <c r="H565" t="s">
        <v>14533</v>
      </c>
      <c r="I565" t="s">
        <v>557</v>
      </c>
      <c r="M565" t="s">
        <v>33</v>
      </c>
    </row>
    <row r="566" spans="1:13" x14ac:dyDescent="0.35">
      <c r="A566" t="s">
        <v>20</v>
      </c>
      <c r="B566">
        <v>17643</v>
      </c>
      <c r="C566" t="s">
        <v>426</v>
      </c>
      <c r="D566" t="s">
        <v>427</v>
      </c>
      <c r="E566" t="s">
        <v>13642</v>
      </c>
      <c r="F566" t="s">
        <v>14534</v>
      </c>
      <c r="G566" t="s">
        <v>14535</v>
      </c>
      <c r="H566" t="s">
        <v>14536</v>
      </c>
      <c r="I566" t="s">
        <v>557</v>
      </c>
      <c r="M566" t="s">
        <v>33</v>
      </c>
    </row>
    <row r="567" spans="1:13" x14ac:dyDescent="0.35">
      <c r="A567" t="s">
        <v>20</v>
      </c>
      <c r="B567">
        <v>17643</v>
      </c>
      <c r="C567" t="s">
        <v>426</v>
      </c>
      <c r="D567" t="s">
        <v>427</v>
      </c>
      <c r="E567" t="s">
        <v>13646</v>
      </c>
      <c r="F567" t="s">
        <v>14537</v>
      </c>
      <c r="G567" t="s">
        <v>14538</v>
      </c>
      <c r="H567" t="s">
        <v>14539</v>
      </c>
      <c r="I567" t="s">
        <v>557</v>
      </c>
      <c r="M567" t="s">
        <v>33</v>
      </c>
    </row>
    <row r="568" spans="1:13" x14ac:dyDescent="0.35">
      <c r="A568" t="s">
        <v>20</v>
      </c>
      <c r="B568">
        <v>17643</v>
      </c>
      <c r="C568" t="s">
        <v>426</v>
      </c>
      <c r="D568" t="s">
        <v>427</v>
      </c>
      <c r="E568" t="s">
        <v>13650</v>
      </c>
      <c r="F568" t="s">
        <v>14540</v>
      </c>
      <c r="G568" t="s">
        <v>14541</v>
      </c>
      <c r="H568" t="s">
        <v>14542</v>
      </c>
      <c r="I568" t="s">
        <v>557</v>
      </c>
      <c r="M568" t="s">
        <v>33</v>
      </c>
    </row>
    <row r="569" spans="1:13" x14ac:dyDescent="0.35">
      <c r="A569" t="s">
        <v>20</v>
      </c>
      <c r="B569">
        <v>17643</v>
      </c>
      <c r="C569" t="s">
        <v>426</v>
      </c>
      <c r="D569" t="s">
        <v>427</v>
      </c>
      <c r="E569" t="s">
        <v>13654</v>
      </c>
      <c r="F569" t="s">
        <v>14543</v>
      </c>
      <c r="G569" t="s">
        <v>14544</v>
      </c>
      <c r="H569" t="s">
        <v>14545</v>
      </c>
      <c r="I569" t="s">
        <v>557</v>
      </c>
      <c r="M569" t="s">
        <v>33</v>
      </c>
    </row>
    <row r="570" spans="1:13" x14ac:dyDescent="0.35">
      <c r="A570" t="s">
        <v>20</v>
      </c>
      <c r="B570">
        <v>17643</v>
      </c>
      <c r="C570" t="s">
        <v>426</v>
      </c>
      <c r="D570" t="s">
        <v>427</v>
      </c>
      <c r="E570" t="s">
        <v>13658</v>
      </c>
      <c r="F570" t="s">
        <v>14546</v>
      </c>
      <c r="G570" t="s">
        <v>14547</v>
      </c>
      <c r="H570" t="s">
        <v>14548</v>
      </c>
      <c r="I570" t="s">
        <v>557</v>
      </c>
      <c r="M570" t="s">
        <v>33</v>
      </c>
    </row>
    <row r="571" spans="1:13" x14ac:dyDescent="0.35">
      <c r="A571" t="s">
        <v>20</v>
      </c>
      <c r="B571">
        <v>17643</v>
      </c>
      <c r="C571" t="s">
        <v>426</v>
      </c>
      <c r="D571" t="s">
        <v>427</v>
      </c>
      <c r="E571" t="s">
        <v>13662</v>
      </c>
      <c r="F571" t="s">
        <v>14549</v>
      </c>
      <c r="G571" t="s">
        <v>14550</v>
      </c>
      <c r="H571" t="s">
        <v>14551</v>
      </c>
      <c r="I571" t="s">
        <v>557</v>
      </c>
      <c r="M571" t="s">
        <v>33</v>
      </c>
    </row>
    <row r="572" spans="1:13" x14ac:dyDescent="0.35">
      <c r="A572" t="s">
        <v>20</v>
      </c>
      <c r="B572">
        <v>17643</v>
      </c>
      <c r="C572" t="s">
        <v>426</v>
      </c>
      <c r="D572" t="s">
        <v>427</v>
      </c>
      <c r="E572" t="s">
        <v>13666</v>
      </c>
      <c r="F572" t="s">
        <v>14552</v>
      </c>
      <c r="G572" t="s">
        <v>14553</v>
      </c>
      <c r="H572" t="s">
        <v>14554</v>
      </c>
      <c r="I572" t="s">
        <v>557</v>
      </c>
      <c r="M572" t="s">
        <v>33</v>
      </c>
    </row>
    <row r="573" spans="1:13" x14ac:dyDescent="0.35">
      <c r="A573" t="s">
        <v>20</v>
      </c>
      <c r="B573">
        <v>17643</v>
      </c>
      <c r="C573" t="s">
        <v>426</v>
      </c>
      <c r="D573" t="s">
        <v>427</v>
      </c>
      <c r="E573" t="s">
        <v>13670</v>
      </c>
      <c r="F573" t="s">
        <v>14555</v>
      </c>
      <c r="G573" t="s">
        <v>14556</v>
      </c>
      <c r="H573" t="s">
        <v>14557</v>
      </c>
      <c r="I573" t="s">
        <v>557</v>
      </c>
      <c r="M573" t="s">
        <v>33</v>
      </c>
    </row>
    <row r="574" spans="1:13" x14ac:dyDescent="0.35">
      <c r="A574" t="s">
        <v>20</v>
      </c>
      <c r="B574">
        <v>17643</v>
      </c>
      <c r="C574" t="s">
        <v>426</v>
      </c>
      <c r="D574" t="s">
        <v>427</v>
      </c>
      <c r="E574" t="s">
        <v>13674</v>
      </c>
      <c r="F574" t="s">
        <v>14558</v>
      </c>
      <c r="G574" t="s">
        <v>14559</v>
      </c>
      <c r="H574" t="s">
        <v>14560</v>
      </c>
      <c r="I574" t="s">
        <v>557</v>
      </c>
      <c r="M574" t="s">
        <v>33</v>
      </c>
    </row>
    <row r="575" spans="1:13" x14ac:dyDescent="0.35">
      <c r="A575" t="s">
        <v>20</v>
      </c>
      <c r="B575">
        <v>17643</v>
      </c>
      <c r="C575" t="s">
        <v>426</v>
      </c>
      <c r="D575" t="s">
        <v>427</v>
      </c>
      <c r="E575" t="s">
        <v>13678</v>
      </c>
      <c r="F575" t="s">
        <v>14561</v>
      </c>
      <c r="G575" t="s">
        <v>14562</v>
      </c>
      <c r="H575" t="s">
        <v>14563</v>
      </c>
      <c r="I575" t="s">
        <v>557</v>
      </c>
      <c r="M575" t="s">
        <v>33</v>
      </c>
    </row>
    <row r="576" spans="1:13" x14ac:dyDescent="0.35">
      <c r="A576" t="s">
        <v>20</v>
      </c>
      <c r="B576">
        <v>17643</v>
      </c>
      <c r="C576" t="s">
        <v>426</v>
      </c>
      <c r="D576" t="s">
        <v>427</v>
      </c>
      <c r="E576" t="s">
        <v>13948</v>
      </c>
      <c r="F576" t="s">
        <v>14564</v>
      </c>
      <c r="G576" t="s">
        <v>14565</v>
      </c>
      <c r="H576" t="s">
        <v>14566</v>
      </c>
      <c r="I576" t="s">
        <v>431</v>
      </c>
      <c r="M576" t="s">
        <v>33</v>
      </c>
    </row>
    <row r="577" spans="1:13" x14ac:dyDescent="0.35">
      <c r="A577" t="s">
        <v>20</v>
      </c>
      <c r="B577">
        <v>17643</v>
      </c>
      <c r="C577" t="s">
        <v>426</v>
      </c>
      <c r="D577" t="s">
        <v>427</v>
      </c>
      <c r="E577" t="s">
        <v>13952</v>
      </c>
      <c r="F577" t="s">
        <v>14567</v>
      </c>
      <c r="G577" t="s">
        <v>14568</v>
      </c>
      <c r="H577" t="s">
        <v>14569</v>
      </c>
      <c r="I577" t="s">
        <v>431</v>
      </c>
      <c r="M577" t="s">
        <v>33</v>
      </c>
    </row>
    <row r="578" spans="1:13" x14ac:dyDescent="0.35">
      <c r="A578" t="s">
        <v>20</v>
      </c>
      <c r="B578">
        <v>17643</v>
      </c>
      <c r="C578" t="s">
        <v>426</v>
      </c>
      <c r="D578" t="s">
        <v>427</v>
      </c>
      <c r="E578" t="s">
        <v>13956</v>
      </c>
      <c r="F578" t="s">
        <v>14570</v>
      </c>
      <c r="G578" t="s">
        <v>14571</v>
      </c>
      <c r="H578" t="s">
        <v>14572</v>
      </c>
      <c r="I578" t="s">
        <v>431</v>
      </c>
      <c r="M578" t="s">
        <v>33</v>
      </c>
    </row>
    <row r="579" spans="1:13" x14ac:dyDescent="0.35">
      <c r="A579" t="s">
        <v>20</v>
      </c>
      <c r="B579">
        <v>17643</v>
      </c>
      <c r="C579" t="s">
        <v>426</v>
      </c>
      <c r="D579" t="s">
        <v>427</v>
      </c>
      <c r="E579" t="s">
        <v>13960</v>
      </c>
      <c r="F579" t="s">
        <v>14573</v>
      </c>
      <c r="G579" t="s">
        <v>14574</v>
      </c>
      <c r="H579" t="s">
        <v>14575</v>
      </c>
      <c r="I579" t="s">
        <v>431</v>
      </c>
      <c r="M579" t="s">
        <v>33</v>
      </c>
    </row>
    <row r="580" spans="1:13" x14ac:dyDescent="0.35">
      <c r="A580" t="s">
        <v>20</v>
      </c>
      <c r="B580">
        <v>17643</v>
      </c>
      <c r="C580" t="s">
        <v>426</v>
      </c>
      <c r="D580" t="s">
        <v>427</v>
      </c>
      <c r="E580" t="s">
        <v>13964</v>
      </c>
      <c r="F580" t="s">
        <v>14576</v>
      </c>
      <c r="G580" t="s">
        <v>14577</v>
      </c>
      <c r="H580" t="s">
        <v>14578</v>
      </c>
      <c r="I580" t="s">
        <v>431</v>
      </c>
      <c r="M580" t="s">
        <v>33</v>
      </c>
    </row>
    <row r="581" spans="1:13" x14ac:dyDescent="0.35">
      <c r="A581" t="s">
        <v>20</v>
      </c>
      <c r="B581">
        <v>17643</v>
      </c>
      <c r="C581" t="s">
        <v>426</v>
      </c>
      <c r="D581" t="s">
        <v>427</v>
      </c>
      <c r="E581" t="s">
        <v>13968</v>
      </c>
      <c r="F581" t="s">
        <v>14579</v>
      </c>
      <c r="G581" t="s">
        <v>14580</v>
      </c>
      <c r="H581" t="s">
        <v>14581</v>
      </c>
      <c r="I581" t="s">
        <v>431</v>
      </c>
      <c r="M581" t="s">
        <v>33</v>
      </c>
    </row>
    <row r="582" spans="1:13" x14ac:dyDescent="0.35">
      <c r="A582" t="s">
        <v>20</v>
      </c>
      <c r="B582">
        <v>17643</v>
      </c>
      <c r="C582" t="s">
        <v>426</v>
      </c>
      <c r="D582" t="s">
        <v>427</v>
      </c>
      <c r="E582" t="s">
        <v>13971</v>
      </c>
      <c r="F582" t="s">
        <v>14582</v>
      </c>
      <c r="G582" t="s">
        <v>14583</v>
      </c>
      <c r="H582" t="s">
        <v>14584</v>
      </c>
      <c r="I582" t="s">
        <v>431</v>
      </c>
      <c r="M582" t="s">
        <v>33</v>
      </c>
    </row>
    <row r="583" spans="1:13" x14ac:dyDescent="0.35">
      <c r="A583" t="s">
        <v>20</v>
      </c>
      <c r="B583">
        <v>17643</v>
      </c>
      <c r="C583" t="s">
        <v>426</v>
      </c>
      <c r="D583" t="s">
        <v>427</v>
      </c>
      <c r="E583" t="s">
        <v>13975</v>
      </c>
      <c r="F583" t="s">
        <v>14585</v>
      </c>
      <c r="G583" t="s">
        <v>14586</v>
      </c>
      <c r="H583" t="s">
        <v>14587</v>
      </c>
      <c r="I583" t="s">
        <v>431</v>
      </c>
      <c r="M583" t="s">
        <v>33</v>
      </c>
    </row>
    <row r="584" spans="1:13" x14ac:dyDescent="0.35">
      <c r="A584" t="s">
        <v>20</v>
      </c>
      <c r="B584">
        <v>17643</v>
      </c>
      <c r="C584" t="s">
        <v>426</v>
      </c>
      <c r="D584" t="s">
        <v>427</v>
      </c>
      <c r="E584" t="s">
        <v>13979</v>
      </c>
      <c r="F584" t="s">
        <v>14588</v>
      </c>
      <c r="G584" t="s">
        <v>14589</v>
      </c>
      <c r="H584" t="s">
        <v>14590</v>
      </c>
      <c r="I584" t="s">
        <v>431</v>
      </c>
      <c r="M584" t="s">
        <v>33</v>
      </c>
    </row>
    <row r="585" spans="1:13" x14ac:dyDescent="0.35">
      <c r="A585" t="s">
        <v>20</v>
      </c>
      <c r="B585">
        <v>17643</v>
      </c>
      <c r="C585" t="s">
        <v>426</v>
      </c>
      <c r="D585" t="s">
        <v>427</v>
      </c>
      <c r="E585" t="s">
        <v>13983</v>
      </c>
      <c r="F585" t="s">
        <v>14591</v>
      </c>
      <c r="G585" t="s">
        <v>14592</v>
      </c>
      <c r="H585" t="s">
        <v>14593</v>
      </c>
      <c r="I585" t="s">
        <v>431</v>
      </c>
      <c r="M585" t="s">
        <v>33</v>
      </c>
    </row>
    <row r="586" spans="1:13" x14ac:dyDescent="0.35">
      <c r="A586" t="s">
        <v>20</v>
      </c>
      <c r="B586">
        <v>17643</v>
      </c>
      <c r="C586" t="s">
        <v>426</v>
      </c>
      <c r="D586" t="s">
        <v>427</v>
      </c>
      <c r="E586" t="s">
        <v>13987</v>
      </c>
      <c r="F586" t="s">
        <v>14594</v>
      </c>
      <c r="G586" t="s">
        <v>14595</v>
      </c>
      <c r="H586" t="s">
        <v>14596</v>
      </c>
      <c r="I586" t="s">
        <v>431</v>
      </c>
      <c r="M586" t="s">
        <v>33</v>
      </c>
    </row>
    <row r="587" spans="1:13" x14ac:dyDescent="0.35">
      <c r="A587" t="s">
        <v>20</v>
      </c>
      <c r="B587">
        <v>17643</v>
      </c>
      <c r="C587" t="s">
        <v>426</v>
      </c>
      <c r="D587" t="s">
        <v>427</v>
      </c>
      <c r="E587" t="s">
        <v>13991</v>
      </c>
      <c r="F587" t="s">
        <v>10072</v>
      </c>
      <c r="G587" t="s">
        <v>14597</v>
      </c>
      <c r="H587" t="s">
        <v>14598</v>
      </c>
      <c r="I587" t="s">
        <v>431</v>
      </c>
      <c r="M587" t="s">
        <v>33</v>
      </c>
    </row>
    <row r="588" spans="1:13" x14ac:dyDescent="0.35">
      <c r="A588" t="s">
        <v>20</v>
      </c>
      <c r="B588">
        <v>17643</v>
      </c>
      <c r="C588" t="s">
        <v>426</v>
      </c>
      <c r="D588" t="s">
        <v>427</v>
      </c>
      <c r="E588" t="s">
        <v>13995</v>
      </c>
      <c r="F588" t="s">
        <v>12690</v>
      </c>
      <c r="G588" t="s">
        <v>14599</v>
      </c>
      <c r="H588" t="s">
        <v>14600</v>
      </c>
      <c r="I588" t="s">
        <v>431</v>
      </c>
      <c r="M588" t="s">
        <v>33</v>
      </c>
    </row>
    <row r="589" spans="1:13" x14ac:dyDescent="0.35">
      <c r="A589" t="s">
        <v>20</v>
      </c>
      <c r="B589">
        <v>17643</v>
      </c>
      <c r="C589" t="s">
        <v>426</v>
      </c>
      <c r="D589" t="s">
        <v>427</v>
      </c>
      <c r="E589" t="s">
        <v>13999</v>
      </c>
      <c r="F589" t="s">
        <v>14601</v>
      </c>
      <c r="G589" t="s">
        <v>14602</v>
      </c>
      <c r="H589" t="s">
        <v>14603</v>
      </c>
      <c r="I589" t="s">
        <v>431</v>
      </c>
      <c r="M589" t="s">
        <v>33</v>
      </c>
    </row>
    <row r="590" spans="1:13" x14ac:dyDescent="0.35">
      <c r="A590" t="s">
        <v>20</v>
      </c>
      <c r="B590">
        <v>17643</v>
      </c>
      <c r="C590" t="s">
        <v>426</v>
      </c>
      <c r="D590" t="s">
        <v>427</v>
      </c>
      <c r="E590" t="s">
        <v>14003</v>
      </c>
      <c r="F590" t="s">
        <v>14604</v>
      </c>
      <c r="G590" t="s">
        <v>14605</v>
      </c>
      <c r="H590" t="s">
        <v>14606</v>
      </c>
      <c r="I590" t="s">
        <v>431</v>
      </c>
      <c r="M590" t="s">
        <v>33</v>
      </c>
    </row>
    <row r="591" spans="1:13" x14ac:dyDescent="0.35">
      <c r="A591" t="s">
        <v>20</v>
      </c>
      <c r="B591">
        <v>17643</v>
      </c>
      <c r="C591" t="s">
        <v>426</v>
      </c>
      <c r="D591" t="s">
        <v>427</v>
      </c>
      <c r="E591" t="s">
        <v>14007</v>
      </c>
      <c r="F591" t="s">
        <v>14607</v>
      </c>
      <c r="G591" t="s">
        <v>14608</v>
      </c>
      <c r="H591" t="s">
        <v>14609</v>
      </c>
      <c r="I591" t="s">
        <v>431</v>
      </c>
      <c r="L591" t="s">
        <v>1681</v>
      </c>
      <c r="M591" t="s">
        <v>33</v>
      </c>
    </row>
    <row r="592" spans="1:13" x14ac:dyDescent="0.35">
      <c r="A592" t="s">
        <v>20</v>
      </c>
      <c r="B592">
        <v>17643</v>
      </c>
      <c r="C592" t="s">
        <v>426</v>
      </c>
      <c r="D592" t="s">
        <v>427</v>
      </c>
      <c r="E592" t="s">
        <v>14011</v>
      </c>
      <c r="F592" t="s">
        <v>14610</v>
      </c>
      <c r="G592" t="s">
        <v>14611</v>
      </c>
      <c r="H592" t="s">
        <v>14612</v>
      </c>
      <c r="I592" t="s">
        <v>431</v>
      </c>
      <c r="M592" t="s">
        <v>33</v>
      </c>
    </row>
    <row r="593" spans="1:13" x14ac:dyDescent="0.35">
      <c r="A593" t="s">
        <v>20</v>
      </c>
      <c r="B593">
        <v>17643</v>
      </c>
      <c r="C593" t="s">
        <v>426</v>
      </c>
      <c r="D593" t="s">
        <v>427</v>
      </c>
      <c r="E593" t="s">
        <v>14014</v>
      </c>
      <c r="F593" t="s">
        <v>14613</v>
      </c>
      <c r="G593" t="s">
        <v>14614</v>
      </c>
      <c r="H593" t="s">
        <v>14615</v>
      </c>
      <c r="I593" t="s">
        <v>431</v>
      </c>
      <c r="M593" t="s">
        <v>33</v>
      </c>
    </row>
    <row r="594" spans="1:13" x14ac:dyDescent="0.35">
      <c r="A594" t="s">
        <v>20</v>
      </c>
      <c r="B594">
        <v>17643</v>
      </c>
      <c r="C594" t="s">
        <v>426</v>
      </c>
      <c r="D594" t="s">
        <v>427</v>
      </c>
      <c r="E594" t="s">
        <v>14018</v>
      </c>
      <c r="F594" t="s">
        <v>14616</v>
      </c>
      <c r="G594" t="s">
        <v>14617</v>
      </c>
      <c r="H594" t="s">
        <v>3121</v>
      </c>
      <c r="I594" t="s">
        <v>431</v>
      </c>
      <c r="M594" t="s">
        <v>33</v>
      </c>
    </row>
    <row r="595" spans="1:13" x14ac:dyDescent="0.35">
      <c r="A595" t="s">
        <v>20</v>
      </c>
      <c r="B595">
        <v>17643</v>
      </c>
      <c r="C595" t="s">
        <v>426</v>
      </c>
      <c r="D595" t="s">
        <v>427</v>
      </c>
      <c r="E595" t="s">
        <v>14022</v>
      </c>
      <c r="F595" t="s">
        <v>14618</v>
      </c>
      <c r="G595" t="s">
        <v>14619</v>
      </c>
      <c r="H595" t="s">
        <v>14620</v>
      </c>
      <c r="I595" t="s">
        <v>431</v>
      </c>
      <c r="M595" t="s">
        <v>33</v>
      </c>
    </row>
    <row r="596" spans="1:13" x14ac:dyDescent="0.35">
      <c r="A596" t="s">
        <v>20</v>
      </c>
      <c r="B596">
        <v>17643</v>
      </c>
      <c r="C596" t="s">
        <v>426</v>
      </c>
      <c r="D596" t="s">
        <v>427</v>
      </c>
      <c r="E596" t="s">
        <v>14026</v>
      </c>
      <c r="F596" t="s">
        <v>14621</v>
      </c>
      <c r="G596" t="s">
        <v>14622</v>
      </c>
      <c r="H596" t="s">
        <v>14623</v>
      </c>
      <c r="I596" t="s">
        <v>431</v>
      </c>
      <c r="M596" t="s">
        <v>33</v>
      </c>
    </row>
    <row r="597" spans="1:13" x14ac:dyDescent="0.35">
      <c r="A597" t="s">
        <v>20</v>
      </c>
      <c r="B597">
        <v>17643</v>
      </c>
      <c r="C597" t="s">
        <v>426</v>
      </c>
      <c r="D597" t="s">
        <v>427</v>
      </c>
      <c r="E597" t="s">
        <v>14030</v>
      </c>
      <c r="F597" t="s">
        <v>14624</v>
      </c>
      <c r="G597" t="s">
        <v>14625</v>
      </c>
      <c r="H597" t="s">
        <v>14626</v>
      </c>
      <c r="I597" t="s">
        <v>431</v>
      </c>
      <c r="M597" t="s">
        <v>33</v>
      </c>
    </row>
    <row r="598" spans="1:13" x14ac:dyDescent="0.35">
      <c r="A598" t="s">
        <v>20</v>
      </c>
      <c r="B598">
        <v>17643</v>
      </c>
      <c r="C598" t="s">
        <v>426</v>
      </c>
      <c r="D598" t="s">
        <v>427</v>
      </c>
      <c r="E598" t="s">
        <v>14034</v>
      </c>
      <c r="F598" t="s">
        <v>14627</v>
      </c>
      <c r="G598" t="s">
        <v>14628</v>
      </c>
      <c r="H598" t="s">
        <v>14629</v>
      </c>
      <c r="I598" t="s">
        <v>431</v>
      </c>
      <c r="M598" t="s">
        <v>33</v>
      </c>
    </row>
    <row r="599" spans="1:13" x14ac:dyDescent="0.35">
      <c r="A599" t="s">
        <v>20</v>
      </c>
      <c r="B599">
        <v>17643</v>
      </c>
      <c r="C599" t="s">
        <v>426</v>
      </c>
      <c r="D599" t="s">
        <v>427</v>
      </c>
      <c r="E599" t="s">
        <v>14038</v>
      </c>
      <c r="F599" t="s">
        <v>14630</v>
      </c>
      <c r="G599" t="s">
        <v>14631</v>
      </c>
      <c r="H599" t="s">
        <v>14632</v>
      </c>
      <c r="I599" t="s">
        <v>431</v>
      </c>
      <c r="M599" t="s">
        <v>33</v>
      </c>
    </row>
    <row r="600" spans="1:13" x14ac:dyDescent="0.35">
      <c r="A600" t="s">
        <v>20</v>
      </c>
      <c r="B600">
        <v>17643</v>
      </c>
      <c r="C600" t="s">
        <v>426</v>
      </c>
      <c r="D600" t="s">
        <v>427</v>
      </c>
      <c r="E600" t="s">
        <v>14041</v>
      </c>
      <c r="F600" t="s">
        <v>14633</v>
      </c>
      <c r="G600" t="s">
        <v>14634</v>
      </c>
      <c r="H600" t="s">
        <v>14635</v>
      </c>
      <c r="I600" t="s">
        <v>431</v>
      </c>
      <c r="M600" t="s">
        <v>33</v>
      </c>
    </row>
    <row r="601" spans="1:13" x14ac:dyDescent="0.35">
      <c r="A601" t="s">
        <v>20</v>
      </c>
      <c r="B601">
        <v>17643</v>
      </c>
      <c r="C601" t="s">
        <v>426</v>
      </c>
      <c r="D601" t="s">
        <v>427</v>
      </c>
      <c r="E601" t="s">
        <v>14045</v>
      </c>
      <c r="F601" t="s">
        <v>14636</v>
      </c>
      <c r="G601" t="s">
        <v>14637</v>
      </c>
      <c r="H601" t="s">
        <v>14638</v>
      </c>
      <c r="I601" t="s">
        <v>431</v>
      </c>
      <c r="M601" t="s">
        <v>33</v>
      </c>
    </row>
    <row r="602" spans="1:13" x14ac:dyDescent="0.35">
      <c r="A602" t="s">
        <v>20</v>
      </c>
      <c r="B602">
        <v>17643</v>
      </c>
      <c r="C602" t="s">
        <v>426</v>
      </c>
      <c r="D602" t="s">
        <v>427</v>
      </c>
      <c r="E602" t="s">
        <v>14049</v>
      </c>
      <c r="F602" t="s">
        <v>14639</v>
      </c>
      <c r="G602" t="s">
        <v>14640</v>
      </c>
      <c r="H602" t="s">
        <v>14641</v>
      </c>
      <c r="I602" t="s">
        <v>431</v>
      </c>
      <c r="M602" t="s">
        <v>33</v>
      </c>
    </row>
    <row r="603" spans="1:13" x14ac:dyDescent="0.35">
      <c r="A603" t="s">
        <v>20</v>
      </c>
      <c r="B603">
        <v>17643</v>
      </c>
      <c r="C603" t="s">
        <v>426</v>
      </c>
      <c r="D603" t="s">
        <v>427</v>
      </c>
      <c r="E603" t="s">
        <v>14053</v>
      </c>
      <c r="F603" t="s">
        <v>14642</v>
      </c>
      <c r="G603" t="s">
        <v>14643</v>
      </c>
      <c r="H603" t="s">
        <v>14644</v>
      </c>
      <c r="I603" t="s">
        <v>431</v>
      </c>
      <c r="M603" t="s">
        <v>33</v>
      </c>
    </row>
    <row r="604" spans="1:13" x14ac:dyDescent="0.35">
      <c r="A604" t="s">
        <v>20</v>
      </c>
      <c r="B604">
        <v>17643</v>
      </c>
      <c r="C604" t="s">
        <v>426</v>
      </c>
      <c r="D604" t="s">
        <v>427</v>
      </c>
      <c r="E604" t="s">
        <v>14057</v>
      </c>
      <c r="F604" t="s">
        <v>14645</v>
      </c>
      <c r="G604" t="s">
        <v>14646</v>
      </c>
      <c r="H604" t="s">
        <v>14647</v>
      </c>
      <c r="I604" t="s">
        <v>431</v>
      </c>
      <c r="M604" t="s">
        <v>33</v>
      </c>
    </row>
    <row r="605" spans="1:13" x14ac:dyDescent="0.35">
      <c r="A605" t="s">
        <v>20</v>
      </c>
      <c r="B605">
        <v>17643</v>
      </c>
      <c r="C605" t="s">
        <v>426</v>
      </c>
      <c r="D605" t="s">
        <v>427</v>
      </c>
      <c r="E605" t="s">
        <v>14061</v>
      </c>
      <c r="F605" t="s">
        <v>14648</v>
      </c>
      <c r="G605" t="s">
        <v>14649</v>
      </c>
      <c r="H605" t="s">
        <v>14650</v>
      </c>
      <c r="I605" t="s">
        <v>431</v>
      </c>
      <c r="M605" t="s">
        <v>33</v>
      </c>
    </row>
    <row r="606" spans="1:13" x14ac:dyDescent="0.35">
      <c r="A606" t="s">
        <v>20</v>
      </c>
      <c r="B606">
        <v>17643</v>
      </c>
      <c r="C606" t="s">
        <v>426</v>
      </c>
      <c r="D606" t="s">
        <v>427</v>
      </c>
      <c r="E606" t="s">
        <v>14065</v>
      </c>
      <c r="F606" t="s">
        <v>14651</v>
      </c>
      <c r="G606" t="s">
        <v>14652</v>
      </c>
      <c r="H606" t="s">
        <v>14653</v>
      </c>
      <c r="I606" t="s">
        <v>431</v>
      </c>
      <c r="M606" t="s">
        <v>33</v>
      </c>
    </row>
    <row r="607" spans="1:13" x14ac:dyDescent="0.35">
      <c r="A607" t="s">
        <v>20</v>
      </c>
      <c r="B607">
        <v>17643</v>
      </c>
      <c r="C607" t="s">
        <v>426</v>
      </c>
      <c r="D607" t="s">
        <v>427</v>
      </c>
      <c r="E607" t="s">
        <v>14069</v>
      </c>
      <c r="F607" t="s">
        <v>14654</v>
      </c>
      <c r="G607" t="s">
        <v>14655</v>
      </c>
      <c r="H607" t="s">
        <v>14656</v>
      </c>
      <c r="I607" t="s">
        <v>431</v>
      </c>
      <c r="M607" t="s">
        <v>33</v>
      </c>
    </row>
    <row r="608" spans="1:13" x14ac:dyDescent="0.35">
      <c r="A608" t="s">
        <v>20</v>
      </c>
      <c r="B608">
        <v>17643</v>
      </c>
      <c r="C608" t="s">
        <v>426</v>
      </c>
      <c r="D608" t="s">
        <v>427</v>
      </c>
      <c r="E608" t="s">
        <v>14073</v>
      </c>
      <c r="F608" t="s">
        <v>14657</v>
      </c>
      <c r="G608" t="s">
        <v>14658</v>
      </c>
      <c r="H608" t="s">
        <v>14659</v>
      </c>
      <c r="I608" t="s">
        <v>431</v>
      </c>
      <c r="M608" t="s">
        <v>33</v>
      </c>
    </row>
    <row r="609" spans="1:13" x14ac:dyDescent="0.35">
      <c r="A609" t="s">
        <v>20</v>
      </c>
      <c r="B609">
        <v>17643</v>
      </c>
      <c r="C609" t="s">
        <v>426</v>
      </c>
      <c r="D609" t="s">
        <v>427</v>
      </c>
      <c r="E609" t="s">
        <v>14077</v>
      </c>
      <c r="F609" t="s">
        <v>14660</v>
      </c>
      <c r="G609" t="s">
        <v>14661</v>
      </c>
      <c r="H609" t="s">
        <v>14662</v>
      </c>
      <c r="I609" t="s">
        <v>431</v>
      </c>
      <c r="M609" t="s">
        <v>33</v>
      </c>
    </row>
    <row r="610" spans="1:13" x14ac:dyDescent="0.35">
      <c r="A610" t="s">
        <v>20</v>
      </c>
      <c r="B610">
        <v>17643</v>
      </c>
      <c r="C610" t="s">
        <v>426</v>
      </c>
      <c r="D610" t="s">
        <v>427</v>
      </c>
      <c r="E610" t="s">
        <v>14081</v>
      </c>
      <c r="F610" t="s">
        <v>14663</v>
      </c>
      <c r="G610" t="s">
        <v>14664</v>
      </c>
      <c r="H610" t="s">
        <v>14665</v>
      </c>
      <c r="I610" t="s">
        <v>431</v>
      </c>
      <c r="M610" t="s">
        <v>33</v>
      </c>
    </row>
    <row r="611" spans="1:13" x14ac:dyDescent="0.35">
      <c r="A611" t="s">
        <v>20</v>
      </c>
      <c r="B611">
        <v>17643</v>
      </c>
      <c r="C611" t="s">
        <v>426</v>
      </c>
      <c r="D611" t="s">
        <v>427</v>
      </c>
      <c r="E611" t="s">
        <v>14085</v>
      </c>
      <c r="F611" t="s">
        <v>14666</v>
      </c>
      <c r="G611" t="s">
        <v>14667</v>
      </c>
      <c r="H611" t="s">
        <v>14668</v>
      </c>
      <c r="I611" t="s">
        <v>431</v>
      </c>
      <c r="M611" t="s">
        <v>33</v>
      </c>
    </row>
    <row r="612" spans="1:13" x14ac:dyDescent="0.35">
      <c r="A612" t="s">
        <v>20</v>
      </c>
      <c r="B612">
        <v>17643</v>
      </c>
      <c r="C612" t="s">
        <v>426</v>
      </c>
      <c r="D612" t="s">
        <v>427</v>
      </c>
      <c r="E612" t="s">
        <v>14089</v>
      </c>
      <c r="F612" t="s">
        <v>14669</v>
      </c>
      <c r="G612" t="s">
        <v>14670</v>
      </c>
      <c r="H612" t="s">
        <v>14671</v>
      </c>
      <c r="I612" t="s">
        <v>431</v>
      </c>
      <c r="M612" t="s">
        <v>33</v>
      </c>
    </row>
    <row r="613" spans="1:13" x14ac:dyDescent="0.35">
      <c r="A613" t="s">
        <v>20</v>
      </c>
      <c r="B613">
        <v>17643</v>
      </c>
      <c r="C613" t="s">
        <v>426</v>
      </c>
      <c r="D613" t="s">
        <v>427</v>
      </c>
      <c r="E613" t="s">
        <v>14093</v>
      </c>
      <c r="F613" t="s">
        <v>14672</v>
      </c>
      <c r="G613" t="s">
        <v>14673</v>
      </c>
      <c r="H613" t="s">
        <v>14674</v>
      </c>
      <c r="I613" t="s">
        <v>431</v>
      </c>
      <c r="M613" t="s">
        <v>33</v>
      </c>
    </row>
    <row r="614" spans="1:13" x14ac:dyDescent="0.35">
      <c r="A614" t="s">
        <v>20</v>
      </c>
      <c r="B614">
        <v>17643</v>
      </c>
      <c r="C614" t="s">
        <v>426</v>
      </c>
      <c r="D614" t="s">
        <v>427</v>
      </c>
      <c r="E614" t="s">
        <v>14097</v>
      </c>
      <c r="F614" t="s">
        <v>14675</v>
      </c>
      <c r="G614" t="s">
        <v>14676</v>
      </c>
      <c r="H614" t="s">
        <v>14677</v>
      </c>
      <c r="I614" t="s">
        <v>431</v>
      </c>
      <c r="M614" t="s">
        <v>33</v>
      </c>
    </row>
    <row r="615" spans="1:13" x14ac:dyDescent="0.35">
      <c r="A615" t="s">
        <v>20</v>
      </c>
      <c r="B615">
        <v>17643</v>
      </c>
      <c r="C615" t="s">
        <v>426</v>
      </c>
      <c r="D615" t="s">
        <v>427</v>
      </c>
      <c r="E615" t="s">
        <v>14101</v>
      </c>
      <c r="F615" t="s">
        <v>14678</v>
      </c>
      <c r="G615" t="s">
        <v>14679</v>
      </c>
      <c r="H615" t="s">
        <v>14680</v>
      </c>
      <c r="I615" t="s">
        <v>431</v>
      </c>
      <c r="M615" t="s">
        <v>33</v>
      </c>
    </row>
    <row r="616" spans="1:13" x14ac:dyDescent="0.35">
      <c r="A616" t="s">
        <v>20</v>
      </c>
      <c r="B616">
        <v>17643</v>
      </c>
      <c r="C616" t="s">
        <v>426</v>
      </c>
      <c r="D616" t="s">
        <v>427</v>
      </c>
      <c r="E616" t="s">
        <v>14105</v>
      </c>
      <c r="F616" t="s">
        <v>14681</v>
      </c>
      <c r="G616" t="s">
        <v>14682</v>
      </c>
      <c r="H616" t="s">
        <v>14683</v>
      </c>
      <c r="I616" t="s">
        <v>431</v>
      </c>
      <c r="M616" t="s">
        <v>33</v>
      </c>
    </row>
    <row r="617" spans="1:13" x14ac:dyDescent="0.35">
      <c r="A617" t="s">
        <v>20</v>
      </c>
      <c r="B617">
        <v>17643</v>
      </c>
      <c r="C617" t="s">
        <v>426</v>
      </c>
      <c r="D617" t="s">
        <v>427</v>
      </c>
      <c r="E617" t="s">
        <v>14109</v>
      </c>
      <c r="F617" t="s">
        <v>14684</v>
      </c>
      <c r="G617" t="s">
        <v>14685</v>
      </c>
      <c r="H617" t="s">
        <v>14686</v>
      </c>
      <c r="I617" t="s">
        <v>431</v>
      </c>
      <c r="M617" t="s">
        <v>33</v>
      </c>
    </row>
    <row r="618" spans="1:13" x14ac:dyDescent="0.35">
      <c r="A618" t="s">
        <v>20</v>
      </c>
      <c r="B618">
        <v>17643</v>
      </c>
      <c r="C618" t="s">
        <v>426</v>
      </c>
      <c r="D618" t="s">
        <v>427</v>
      </c>
      <c r="E618" t="s">
        <v>14113</v>
      </c>
      <c r="F618" t="s">
        <v>14687</v>
      </c>
      <c r="G618" t="s">
        <v>14688</v>
      </c>
      <c r="H618" t="s">
        <v>14689</v>
      </c>
      <c r="I618" t="s">
        <v>431</v>
      </c>
      <c r="M618" t="s">
        <v>33</v>
      </c>
    </row>
    <row r="619" spans="1:13" x14ac:dyDescent="0.35">
      <c r="A619" t="s">
        <v>20</v>
      </c>
      <c r="B619">
        <v>17643</v>
      </c>
      <c r="C619" t="s">
        <v>426</v>
      </c>
      <c r="D619" t="s">
        <v>427</v>
      </c>
      <c r="E619" t="s">
        <v>14117</v>
      </c>
      <c r="F619" t="s">
        <v>14690</v>
      </c>
      <c r="G619" t="s">
        <v>14691</v>
      </c>
      <c r="H619" t="s">
        <v>14692</v>
      </c>
      <c r="I619" t="s">
        <v>431</v>
      </c>
      <c r="M619" t="s">
        <v>33</v>
      </c>
    </row>
    <row r="620" spans="1:13" x14ac:dyDescent="0.35">
      <c r="A620" t="s">
        <v>20</v>
      </c>
      <c r="B620">
        <v>17643</v>
      </c>
      <c r="C620" t="s">
        <v>426</v>
      </c>
      <c r="D620" t="s">
        <v>427</v>
      </c>
      <c r="E620" t="s">
        <v>14121</v>
      </c>
      <c r="F620" t="s">
        <v>14693</v>
      </c>
      <c r="G620" t="s">
        <v>14694</v>
      </c>
      <c r="H620" t="s">
        <v>14695</v>
      </c>
      <c r="I620" t="s">
        <v>431</v>
      </c>
      <c r="M620" t="s">
        <v>33</v>
      </c>
    </row>
    <row r="621" spans="1:13" x14ac:dyDescent="0.35">
      <c r="A621" t="s">
        <v>20</v>
      </c>
      <c r="B621">
        <v>17643</v>
      </c>
      <c r="C621" t="s">
        <v>426</v>
      </c>
      <c r="D621" t="s">
        <v>427</v>
      </c>
      <c r="E621" t="s">
        <v>14125</v>
      </c>
      <c r="F621" t="s">
        <v>14696</v>
      </c>
      <c r="G621" t="s">
        <v>14697</v>
      </c>
      <c r="H621" t="s">
        <v>14698</v>
      </c>
      <c r="I621" t="s">
        <v>431</v>
      </c>
      <c r="M621" t="s">
        <v>33</v>
      </c>
    </row>
    <row r="622" spans="1:13" x14ac:dyDescent="0.35">
      <c r="A622" t="s">
        <v>20</v>
      </c>
      <c r="B622">
        <v>17643</v>
      </c>
      <c r="C622" t="s">
        <v>426</v>
      </c>
      <c r="D622" t="s">
        <v>427</v>
      </c>
      <c r="E622" t="s">
        <v>14129</v>
      </c>
      <c r="F622" t="s">
        <v>14699</v>
      </c>
      <c r="G622" t="s">
        <v>14700</v>
      </c>
      <c r="H622" t="s">
        <v>14701</v>
      </c>
      <c r="I622" t="s">
        <v>431</v>
      </c>
      <c r="M622" t="s">
        <v>33</v>
      </c>
    </row>
    <row r="623" spans="1:13" x14ac:dyDescent="0.35">
      <c r="A623" t="s">
        <v>20</v>
      </c>
      <c r="B623">
        <v>17643</v>
      </c>
      <c r="C623" t="s">
        <v>426</v>
      </c>
      <c r="D623" t="s">
        <v>427</v>
      </c>
      <c r="E623" t="s">
        <v>14132</v>
      </c>
      <c r="F623" t="s">
        <v>14702</v>
      </c>
      <c r="G623" t="s">
        <v>14703</v>
      </c>
      <c r="H623" t="s">
        <v>14704</v>
      </c>
      <c r="I623" t="s">
        <v>431</v>
      </c>
      <c r="M623" t="s">
        <v>33</v>
      </c>
    </row>
    <row r="624" spans="1:13" x14ac:dyDescent="0.35">
      <c r="A624" t="s">
        <v>20</v>
      </c>
      <c r="B624">
        <v>17643</v>
      </c>
      <c r="C624" t="s">
        <v>426</v>
      </c>
      <c r="D624" t="s">
        <v>427</v>
      </c>
      <c r="E624" t="s">
        <v>14136</v>
      </c>
      <c r="F624" t="s">
        <v>14705</v>
      </c>
      <c r="G624" t="s">
        <v>14706</v>
      </c>
      <c r="H624" t="s">
        <v>14707</v>
      </c>
      <c r="I624" t="s">
        <v>431</v>
      </c>
      <c r="M624" t="s">
        <v>33</v>
      </c>
    </row>
    <row r="625" spans="1:13" x14ac:dyDescent="0.35">
      <c r="A625" t="s">
        <v>20</v>
      </c>
      <c r="B625">
        <v>17643</v>
      </c>
      <c r="C625" t="s">
        <v>426</v>
      </c>
      <c r="D625" t="s">
        <v>427</v>
      </c>
      <c r="E625" t="s">
        <v>14140</v>
      </c>
      <c r="F625" t="s">
        <v>14708</v>
      </c>
      <c r="G625" t="s">
        <v>14709</v>
      </c>
      <c r="H625" t="s">
        <v>14710</v>
      </c>
      <c r="I625" t="s">
        <v>431</v>
      </c>
      <c r="M625" t="s">
        <v>33</v>
      </c>
    </row>
    <row r="626" spans="1:13" x14ac:dyDescent="0.35">
      <c r="A626" t="s">
        <v>20</v>
      </c>
      <c r="B626">
        <v>17643</v>
      </c>
      <c r="C626" t="s">
        <v>426</v>
      </c>
      <c r="D626" t="s">
        <v>427</v>
      </c>
      <c r="E626" t="s">
        <v>14144</v>
      </c>
      <c r="F626" t="s">
        <v>14711</v>
      </c>
      <c r="G626" t="s">
        <v>14712</v>
      </c>
      <c r="H626" t="s">
        <v>14713</v>
      </c>
      <c r="I626" t="s">
        <v>431</v>
      </c>
      <c r="M626" t="s">
        <v>33</v>
      </c>
    </row>
    <row r="627" spans="1:13" x14ac:dyDescent="0.35">
      <c r="A627" t="s">
        <v>20</v>
      </c>
      <c r="B627">
        <v>17643</v>
      </c>
      <c r="C627" t="s">
        <v>426</v>
      </c>
      <c r="D627" t="s">
        <v>427</v>
      </c>
      <c r="E627" t="s">
        <v>14148</v>
      </c>
      <c r="F627" t="s">
        <v>14714</v>
      </c>
      <c r="G627" t="s">
        <v>14715</v>
      </c>
      <c r="H627" t="s">
        <v>14716</v>
      </c>
      <c r="I627" t="s">
        <v>431</v>
      </c>
      <c r="M627" t="s">
        <v>33</v>
      </c>
    </row>
    <row r="628" spans="1:13" x14ac:dyDescent="0.35">
      <c r="A628" t="s">
        <v>20</v>
      </c>
      <c r="B628">
        <v>17643</v>
      </c>
      <c r="C628" t="s">
        <v>426</v>
      </c>
      <c r="D628" t="s">
        <v>427</v>
      </c>
      <c r="E628" t="s">
        <v>14152</v>
      </c>
      <c r="F628" t="s">
        <v>14717</v>
      </c>
      <c r="G628" t="s">
        <v>14718</v>
      </c>
      <c r="H628" t="s">
        <v>14719</v>
      </c>
      <c r="I628" t="s">
        <v>431</v>
      </c>
      <c r="M628" t="s">
        <v>33</v>
      </c>
    </row>
    <row r="629" spans="1:13" x14ac:dyDescent="0.35">
      <c r="A629" t="s">
        <v>20</v>
      </c>
      <c r="B629">
        <v>17643</v>
      </c>
      <c r="C629" t="s">
        <v>426</v>
      </c>
      <c r="D629" t="s">
        <v>427</v>
      </c>
      <c r="E629" t="s">
        <v>14156</v>
      </c>
      <c r="F629" t="s">
        <v>14720</v>
      </c>
      <c r="G629" t="s">
        <v>14721</v>
      </c>
      <c r="H629" t="s">
        <v>14722</v>
      </c>
      <c r="I629" t="s">
        <v>431</v>
      </c>
      <c r="M629" t="s">
        <v>33</v>
      </c>
    </row>
    <row r="630" spans="1:13" x14ac:dyDescent="0.35">
      <c r="A630" t="s">
        <v>20</v>
      </c>
      <c r="B630">
        <v>17643</v>
      </c>
      <c r="C630" t="s">
        <v>426</v>
      </c>
      <c r="D630" t="s">
        <v>427</v>
      </c>
      <c r="E630" t="s">
        <v>14160</v>
      </c>
      <c r="F630" t="s">
        <v>14723</v>
      </c>
      <c r="G630" t="s">
        <v>14724</v>
      </c>
      <c r="H630" t="s">
        <v>14725</v>
      </c>
      <c r="I630" t="s">
        <v>431</v>
      </c>
      <c r="M630" t="s">
        <v>33</v>
      </c>
    </row>
    <row r="631" spans="1:13" x14ac:dyDescent="0.35">
      <c r="A631" t="s">
        <v>20</v>
      </c>
      <c r="B631">
        <v>17643</v>
      </c>
      <c r="C631" t="s">
        <v>426</v>
      </c>
      <c r="D631" t="s">
        <v>427</v>
      </c>
      <c r="E631" t="s">
        <v>14164</v>
      </c>
      <c r="F631" t="s">
        <v>14726</v>
      </c>
      <c r="G631" t="s">
        <v>14727</v>
      </c>
      <c r="H631" t="s">
        <v>14728</v>
      </c>
      <c r="I631" t="s">
        <v>431</v>
      </c>
      <c r="M631" t="s">
        <v>33</v>
      </c>
    </row>
    <row r="632" spans="1:13" x14ac:dyDescent="0.35">
      <c r="A632" t="s">
        <v>20</v>
      </c>
      <c r="B632">
        <v>17643</v>
      </c>
      <c r="C632" t="s">
        <v>426</v>
      </c>
      <c r="D632" t="s">
        <v>427</v>
      </c>
      <c r="E632" t="s">
        <v>14168</v>
      </c>
      <c r="F632" t="s">
        <v>14729</v>
      </c>
      <c r="G632" t="s">
        <v>14730</v>
      </c>
      <c r="H632" t="s">
        <v>14731</v>
      </c>
      <c r="I632" t="s">
        <v>431</v>
      </c>
      <c r="M632" t="s">
        <v>33</v>
      </c>
    </row>
    <row r="633" spans="1:13" x14ac:dyDescent="0.35">
      <c r="A633" t="s">
        <v>20</v>
      </c>
      <c r="B633">
        <v>17643</v>
      </c>
      <c r="C633" t="s">
        <v>426</v>
      </c>
      <c r="D633" t="s">
        <v>427</v>
      </c>
      <c r="E633" t="s">
        <v>14171</v>
      </c>
      <c r="F633" t="s">
        <v>14732</v>
      </c>
      <c r="G633" t="s">
        <v>14733</v>
      </c>
      <c r="H633" t="s">
        <v>14734</v>
      </c>
      <c r="I633" t="s">
        <v>431</v>
      </c>
      <c r="M633" t="s">
        <v>33</v>
      </c>
    </row>
    <row r="634" spans="1:13" x14ac:dyDescent="0.35">
      <c r="A634" t="s">
        <v>20</v>
      </c>
      <c r="B634">
        <v>17643</v>
      </c>
      <c r="C634" t="s">
        <v>426</v>
      </c>
      <c r="D634" t="s">
        <v>427</v>
      </c>
      <c r="E634" t="s">
        <v>14174</v>
      </c>
      <c r="F634" t="s">
        <v>14735</v>
      </c>
      <c r="G634" t="s">
        <v>14736</v>
      </c>
      <c r="H634" t="s">
        <v>14737</v>
      </c>
      <c r="I634" t="s">
        <v>431</v>
      </c>
      <c r="M634" t="s">
        <v>33</v>
      </c>
    </row>
    <row r="635" spans="1:13" x14ac:dyDescent="0.35">
      <c r="A635" t="s">
        <v>20</v>
      </c>
      <c r="B635">
        <v>17643</v>
      </c>
      <c r="C635" t="s">
        <v>426</v>
      </c>
      <c r="D635" t="s">
        <v>427</v>
      </c>
      <c r="E635" t="s">
        <v>14178</v>
      </c>
      <c r="F635" t="s">
        <v>14738</v>
      </c>
      <c r="G635" t="s">
        <v>14739</v>
      </c>
      <c r="H635" t="s">
        <v>14740</v>
      </c>
      <c r="I635" t="s">
        <v>431</v>
      </c>
      <c r="M635" t="s">
        <v>33</v>
      </c>
    </row>
    <row r="636" spans="1:13" x14ac:dyDescent="0.35">
      <c r="A636" t="s">
        <v>20</v>
      </c>
      <c r="B636">
        <v>17643</v>
      </c>
      <c r="C636" t="s">
        <v>426</v>
      </c>
      <c r="D636" t="s">
        <v>427</v>
      </c>
      <c r="E636" t="s">
        <v>14182</v>
      </c>
      <c r="F636" t="s">
        <v>14741</v>
      </c>
      <c r="G636" t="s">
        <v>14742</v>
      </c>
      <c r="H636" t="s">
        <v>14743</v>
      </c>
      <c r="I636" t="s">
        <v>431</v>
      </c>
      <c r="M636" t="s">
        <v>33</v>
      </c>
    </row>
    <row r="637" spans="1:13" x14ac:dyDescent="0.35">
      <c r="A637" t="s">
        <v>20</v>
      </c>
      <c r="B637">
        <v>17643</v>
      </c>
      <c r="C637" t="s">
        <v>426</v>
      </c>
      <c r="D637" t="s">
        <v>427</v>
      </c>
      <c r="E637" t="s">
        <v>14186</v>
      </c>
      <c r="F637" t="s">
        <v>14744</v>
      </c>
      <c r="G637" t="s">
        <v>14745</v>
      </c>
      <c r="H637" t="s">
        <v>14746</v>
      </c>
      <c r="I637" t="s">
        <v>431</v>
      </c>
      <c r="M637" t="s">
        <v>33</v>
      </c>
    </row>
    <row r="638" spans="1:13" x14ac:dyDescent="0.35">
      <c r="A638" t="s">
        <v>20</v>
      </c>
      <c r="B638">
        <v>17643</v>
      </c>
      <c r="C638" t="s">
        <v>426</v>
      </c>
      <c r="D638" t="s">
        <v>427</v>
      </c>
      <c r="E638" t="s">
        <v>14190</v>
      </c>
      <c r="F638" t="s">
        <v>14747</v>
      </c>
      <c r="G638" t="s">
        <v>14748</v>
      </c>
      <c r="H638" t="s">
        <v>14749</v>
      </c>
      <c r="I638" t="s">
        <v>431</v>
      </c>
      <c r="M638" t="s">
        <v>33</v>
      </c>
    </row>
    <row r="639" spans="1:13" x14ac:dyDescent="0.35">
      <c r="A639" t="s">
        <v>20</v>
      </c>
      <c r="B639">
        <v>17643</v>
      </c>
      <c r="C639" t="s">
        <v>426</v>
      </c>
      <c r="D639" t="s">
        <v>427</v>
      </c>
      <c r="E639" t="s">
        <v>14194</v>
      </c>
      <c r="F639" t="s">
        <v>12938</v>
      </c>
      <c r="G639" t="s">
        <v>14750</v>
      </c>
      <c r="H639" t="s">
        <v>14751</v>
      </c>
      <c r="I639" t="s">
        <v>431</v>
      </c>
      <c r="M639" t="s">
        <v>33</v>
      </c>
    </row>
    <row r="640" spans="1:13" x14ac:dyDescent="0.35">
      <c r="A640" t="s">
        <v>20</v>
      </c>
      <c r="B640">
        <v>17643</v>
      </c>
      <c r="C640" t="s">
        <v>426</v>
      </c>
      <c r="D640" t="s">
        <v>427</v>
      </c>
      <c r="E640" t="s">
        <v>14198</v>
      </c>
      <c r="F640" t="s">
        <v>14752</v>
      </c>
      <c r="G640" t="s">
        <v>14753</v>
      </c>
      <c r="H640" t="s">
        <v>14754</v>
      </c>
      <c r="I640" t="s">
        <v>431</v>
      </c>
      <c r="M640" t="s">
        <v>33</v>
      </c>
    </row>
    <row r="641" spans="1:13" x14ac:dyDescent="0.35">
      <c r="A641" t="s">
        <v>20</v>
      </c>
      <c r="B641">
        <v>17643</v>
      </c>
      <c r="C641" t="s">
        <v>426</v>
      </c>
      <c r="D641" t="s">
        <v>427</v>
      </c>
      <c r="E641" t="s">
        <v>14202</v>
      </c>
      <c r="F641" t="s">
        <v>14755</v>
      </c>
      <c r="G641" t="s">
        <v>14756</v>
      </c>
      <c r="H641" t="s">
        <v>14757</v>
      </c>
      <c r="I641" t="s">
        <v>431</v>
      </c>
      <c r="M641" t="s">
        <v>33</v>
      </c>
    </row>
    <row r="642" spans="1:13" x14ac:dyDescent="0.35">
      <c r="A642" t="s">
        <v>20</v>
      </c>
      <c r="B642">
        <v>17643</v>
      </c>
      <c r="C642" t="s">
        <v>426</v>
      </c>
      <c r="D642" t="s">
        <v>427</v>
      </c>
      <c r="E642" t="s">
        <v>14206</v>
      </c>
      <c r="F642" t="s">
        <v>14758</v>
      </c>
      <c r="G642" t="s">
        <v>14759</v>
      </c>
      <c r="H642" t="s">
        <v>14760</v>
      </c>
      <c r="I642" t="s">
        <v>431</v>
      </c>
      <c r="M642" t="s">
        <v>33</v>
      </c>
    </row>
    <row r="643" spans="1:13" x14ac:dyDescent="0.35">
      <c r="A643" t="s">
        <v>20</v>
      </c>
      <c r="B643">
        <v>17643</v>
      </c>
      <c r="C643" t="s">
        <v>426</v>
      </c>
      <c r="D643" t="s">
        <v>427</v>
      </c>
      <c r="E643" t="s">
        <v>14210</v>
      </c>
      <c r="F643" t="s">
        <v>14761</v>
      </c>
      <c r="G643" t="s">
        <v>14762</v>
      </c>
      <c r="H643" t="s">
        <v>14763</v>
      </c>
      <c r="I643" t="s">
        <v>431</v>
      </c>
      <c r="M643" t="s">
        <v>33</v>
      </c>
    </row>
    <row r="644" spans="1:13" x14ac:dyDescent="0.35">
      <c r="A644" t="s">
        <v>20</v>
      </c>
      <c r="B644">
        <v>17643</v>
      </c>
      <c r="C644" t="s">
        <v>426</v>
      </c>
      <c r="D644" t="s">
        <v>427</v>
      </c>
      <c r="E644" t="s">
        <v>14214</v>
      </c>
      <c r="F644" t="s">
        <v>14764</v>
      </c>
      <c r="G644" t="s">
        <v>14765</v>
      </c>
      <c r="H644" t="s">
        <v>14766</v>
      </c>
      <c r="I644" t="s">
        <v>431</v>
      </c>
      <c r="M644" t="s">
        <v>33</v>
      </c>
    </row>
    <row r="645" spans="1:13" x14ac:dyDescent="0.35">
      <c r="A645" t="s">
        <v>20</v>
      </c>
      <c r="B645">
        <v>17643</v>
      </c>
      <c r="C645" t="s">
        <v>426</v>
      </c>
      <c r="D645" t="s">
        <v>427</v>
      </c>
      <c r="E645" t="s">
        <v>14218</v>
      </c>
      <c r="F645" t="s">
        <v>14767</v>
      </c>
      <c r="G645" t="s">
        <v>14768</v>
      </c>
      <c r="H645" t="s">
        <v>14769</v>
      </c>
      <c r="I645" t="s">
        <v>431</v>
      </c>
      <c r="M645" t="s">
        <v>33</v>
      </c>
    </row>
    <row r="646" spans="1:13" x14ac:dyDescent="0.35">
      <c r="A646" t="s">
        <v>20</v>
      </c>
      <c r="B646">
        <v>17643</v>
      </c>
      <c r="C646" t="s">
        <v>426</v>
      </c>
      <c r="D646" t="s">
        <v>427</v>
      </c>
      <c r="E646" t="s">
        <v>14222</v>
      </c>
      <c r="F646" t="s">
        <v>14770</v>
      </c>
      <c r="G646" t="s">
        <v>14771</v>
      </c>
      <c r="H646" t="s">
        <v>14772</v>
      </c>
      <c r="I646" t="s">
        <v>431</v>
      </c>
      <c r="M646" t="s">
        <v>33</v>
      </c>
    </row>
    <row r="647" spans="1:13" x14ac:dyDescent="0.35">
      <c r="A647" t="s">
        <v>20</v>
      </c>
      <c r="B647">
        <v>17643</v>
      </c>
      <c r="C647" t="s">
        <v>426</v>
      </c>
      <c r="D647" t="s">
        <v>427</v>
      </c>
      <c r="E647" t="s">
        <v>14225</v>
      </c>
      <c r="F647" t="s">
        <v>14773</v>
      </c>
      <c r="G647" t="s">
        <v>14774</v>
      </c>
      <c r="H647" t="s">
        <v>14775</v>
      </c>
      <c r="I647" t="s">
        <v>431</v>
      </c>
      <c r="M647" t="s">
        <v>33</v>
      </c>
    </row>
    <row r="648" spans="1:13" x14ac:dyDescent="0.35">
      <c r="A648" t="s">
        <v>20</v>
      </c>
      <c r="B648">
        <v>17643</v>
      </c>
      <c r="C648" t="s">
        <v>426</v>
      </c>
      <c r="D648" t="s">
        <v>427</v>
      </c>
      <c r="E648" t="s">
        <v>14229</v>
      </c>
      <c r="F648" t="s">
        <v>14776</v>
      </c>
      <c r="G648" t="s">
        <v>14777</v>
      </c>
      <c r="H648" t="s">
        <v>14778</v>
      </c>
      <c r="I648" t="s">
        <v>431</v>
      </c>
      <c r="M648" t="s">
        <v>33</v>
      </c>
    </row>
    <row r="649" spans="1:13" x14ac:dyDescent="0.35">
      <c r="A649" t="s">
        <v>20</v>
      </c>
      <c r="B649">
        <v>17643</v>
      </c>
      <c r="C649" t="s">
        <v>426</v>
      </c>
      <c r="D649" t="s">
        <v>427</v>
      </c>
      <c r="E649" t="s">
        <v>14233</v>
      </c>
      <c r="F649" t="s">
        <v>14779</v>
      </c>
      <c r="G649" t="s">
        <v>14780</v>
      </c>
      <c r="H649" t="s">
        <v>14781</v>
      </c>
      <c r="I649" t="s">
        <v>431</v>
      </c>
      <c r="M649" t="s">
        <v>33</v>
      </c>
    </row>
    <row r="650" spans="1:13" x14ac:dyDescent="0.35">
      <c r="A650" t="s">
        <v>20</v>
      </c>
      <c r="B650">
        <v>17643</v>
      </c>
      <c r="C650" t="s">
        <v>426</v>
      </c>
      <c r="D650" t="s">
        <v>427</v>
      </c>
      <c r="E650" t="s">
        <v>14237</v>
      </c>
      <c r="F650" t="s">
        <v>14782</v>
      </c>
      <c r="G650" t="s">
        <v>14783</v>
      </c>
      <c r="H650" t="s">
        <v>14784</v>
      </c>
      <c r="I650" t="s">
        <v>431</v>
      </c>
      <c r="M650" t="s">
        <v>33</v>
      </c>
    </row>
    <row r="651" spans="1:13" x14ac:dyDescent="0.35">
      <c r="A651" t="s">
        <v>20</v>
      </c>
      <c r="B651">
        <v>17643</v>
      </c>
      <c r="C651" t="s">
        <v>426</v>
      </c>
      <c r="D651" t="s">
        <v>427</v>
      </c>
      <c r="E651" t="s">
        <v>14241</v>
      </c>
      <c r="F651" t="s">
        <v>14785</v>
      </c>
      <c r="G651" t="s">
        <v>14786</v>
      </c>
      <c r="H651" t="s">
        <v>14787</v>
      </c>
      <c r="I651" t="s">
        <v>431</v>
      </c>
      <c r="M651" t="s">
        <v>33</v>
      </c>
    </row>
    <row r="652" spans="1:13" x14ac:dyDescent="0.35">
      <c r="A652" t="s">
        <v>20</v>
      </c>
      <c r="B652">
        <v>17643</v>
      </c>
      <c r="C652" t="s">
        <v>426</v>
      </c>
      <c r="D652" t="s">
        <v>427</v>
      </c>
      <c r="E652" t="s">
        <v>14245</v>
      </c>
      <c r="F652" t="s">
        <v>14788</v>
      </c>
      <c r="G652" t="s">
        <v>14789</v>
      </c>
      <c r="H652" t="s">
        <v>14790</v>
      </c>
      <c r="I652" t="s">
        <v>431</v>
      </c>
      <c r="M652" t="s">
        <v>33</v>
      </c>
    </row>
    <row r="653" spans="1:13" x14ac:dyDescent="0.35">
      <c r="A653" t="s">
        <v>20</v>
      </c>
      <c r="B653">
        <v>17643</v>
      </c>
      <c r="C653" t="s">
        <v>426</v>
      </c>
      <c r="D653" t="s">
        <v>427</v>
      </c>
      <c r="E653" t="s">
        <v>14249</v>
      </c>
      <c r="F653" t="s">
        <v>14791</v>
      </c>
      <c r="G653" t="s">
        <v>14792</v>
      </c>
      <c r="H653" t="s">
        <v>14793</v>
      </c>
      <c r="I653" t="s">
        <v>431</v>
      </c>
      <c r="M653" t="s">
        <v>33</v>
      </c>
    </row>
    <row r="654" spans="1:13" x14ac:dyDescent="0.35">
      <c r="A654" t="s">
        <v>20</v>
      </c>
      <c r="B654">
        <v>17643</v>
      </c>
      <c r="C654" t="s">
        <v>426</v>
      </c>
      <c r="D654" t="s">
        <v>427</v>
      </c>
      <c r="E654" t="s">
        <v>14253</v>
      </c>
      <c r="F654" t="s">
        <v>14794</v>
      </c>
      <c r="G654" t="s">
        <v>14795</v>
      </c>
      <c r="H654" t="s">
        <v>14796</v>
      </c>
      <c r="I654" t="s">
        <v>431</v>
      </c>
      <c r="M654" t="s">
        <v>33</v>
      </c>
    </row>
    <row r="655" spans="1:13" x14ac:dyDescent="0.35">
      <c r="A655" t="s">
        <v>20</v>
      </c>
      <c r="B655">
        <v>17643</v>
      </c>
      <c r="C655" t="s">
        <v>426</v>
      </c>
      <c r="D655" t="s">
        <v>427</v>
      </c>
      <c r="E655" t="s">
        <v>14257</v>
      </c>
      <c r="F655" t="s">
        <v>14797</v>
      </c>
      <c r="G655" t="s">
        <v>14798</v>
      </c>
      <c r="H655" t="s">
        <v>14799</v>
      </c>
      <c r="I655" t="s">
        <v>431</v>
      </c>
      <c r="M655" t="s">
        <v>33</v>
      </c>
    </row>
    <row r="656" spans="1:13" x14ac:dyDescent="0.35">
      <c r="A656" t="s">
        <v>20</v>
      </c>
      <c r="B656">
        <v>17643</v>
      </c>
      <c r="C656" t="s">
        <v>426</v>
      </c>
      <c r="D656" t="s">
        <v>427</v>
      </c>
      <c r="E656" t="s">
        <v>14261</v>
      </c>
      <c r="F656" t="s">
        <v>14800</v>
      </c>
      <c r="G656" t="s">
        <v>14801</v>
      </c>
      <c r="H656" t="s">
        <v>14802</v>
      </c>
      <c r="I656" t="s">
        <v>431</v>
      </c>
      <c r="M656" t="s">
        <v>33</v>
      </c>
    </row>
    <row r="657" spans="1:13" x14ac:dyDescent="0.35">
      <c r="A657" t="s">
        <v>20</v>
      </c>
      <c r="B657">
        <v>17643</v>
      </c>
      <c r="C657" t="s">
        <v>426</v>
      </c>
      <c r="D657" t="s">
        <v>427</v>
      </c>
      <c r="E657" t="s">
        <v>14265</v>
      </c>
      <c r="F657" t="s">
        <v>14803</v>
      </c>
      <c r="G657" t="s">
        <v>14804</v>
      </c>
      <c r="H657" t="s">
        <v>14805</v>
      </c>
      <c r="I657" t="s">
        <v>431</v>
      </c>
      <c r="M657" t="s">
        <v>33</v>
      </c>
    </row>
    <row r="658" spans="1:13" x14ac:dyDescent="0.35">
      <c r="A658" t="s">
        <v>20</v>
      </c>
      <c r="B658">
        <v>17643</v>
      </c>
      <c r="C658" t="s">
        <v>426</v>
      </c>
      <c r="D658" t="s">
        <v>427</v>
      </c>
      <c r="E658" t="s">
        <v>14269</v>
      </c>
      <c r="F658" t="s">
        <v>14806</v>
      </c>
      <c r="G658" t="s">
        <v>14807</v>
      </c>
      <c r="H658" t="s">
        <v>14808</v>
      </c>
      <c r="I658" t="s">
        <v>431</v>
      </c>
      <c r="M658" t="s">
        <v>33</v>
      </c>
    </row>
    <row r="659" spans="1:13" x14ac:dyDescent="0.35">
      <c r="A659" t="s">
        <v>20</v>
      </c>
      <c r="B659">
        <v>17643</v>
      </c>
      <c r="C659" t="s">
        <v>426</v>
      </c>
      <c r="D659" t="s">
        <v>427</v>
      </c>
      <c r="E659" t="s">
        <v>14273</v>
      </c>
      <c r="F659" t="s">
        <v>14809</v>
      </c>
      <c r="G659" t="s">
        <v>14810</v>
      </c>
      <c r="H659" t="s">
        <v>14811</v>
      </c>
      <c r="I659" t="s">
        <v>431</v>
      </c>
      <c r="M659" t="s">
        <v>33</v>
      </c>
    </row>
    <row r="660" spans="1:13" x14ac:dyDescent="0.35">
      <c r="A660" t="s">
        <v>20</v>
      </c>
      <c r="B660">
        <v>17643</v>
      </c>
      <c r="C660" t="s">
        <v>426</v>
      </c>
      <c r="D660" t="s">
        <v>427</v>
      </c>
      <c r="E660" t="s">
        <v>14277</v>
      </c>
      <c r="F660" t="s">
        <v>14812</v>
      </c>
      <c r="G660" t="s">
        <v>14813</v>
      </c>
      <c r="H660" t="s">
        <v>14814</v>
      </c>
      <c r="I660" t="s">
        <v>431</v>
      </c>
      <c r="M660" t="s">
        <v>33</v>
      </c>
    </row>
    <row r="661" spans="1:13" x14ac:dyDescent="0.35">
      <c r="A661" t="s">
        <v>20</v>
      </c>
      <c r="B661">
        <v>17643</v>
      </c>
      <c r="C661" t="s">
        <v>426</v>
      </c>
      <c r="D661" t="s">
        <v>427</v>
      </c>
      <c r="E661" t="s">
        <v>14281</v>
      </c>
      <c r="F661" t="s">
        <v>14815</v>
      </c>
      <c r="G661" t="s">
        <v>14816</v>
      </c>
      <c r="H661" t="s">
        <v>14817</v>
      </c>
      <c r="I661" t="s">
        <v>431</v>
      </c>
      <c r="M661" t="s">
        <v>33</v>
      </c>
    </row>
    <row r="662" spans="1:13" x14ac:dyDescent="0.35">
      <c r="A662" t="s">
        <v>20</v>
      </c>
      <c r="B662">
        <v>17643</v>
      </c>
      <c r="C662" t="s">
        <v>426</v>
      </c>
      <c r="D662" t="s">
        <v>427</v>
      </c>
      <c r="E662" t="s">
        <v>14285</v>
      </c>
      <c r="F662" t="s">
        <v>14818</v>
      </c>
      <c r="G662" t="s">
        <v>14819</v>
      </c>
      <c r="H662" t="s">
        <v>14820</v>
      </c>
      <c r="I662" t="s">
        <v>431</v>
      </c>
      <c r="M662" t="s">
        <v>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opLeftCell="A10" workbookViewId="0">
      <selection activeCell="F29" sqref="F29:F30"/>
    </sheetView>
  </sheetViews>
  <sheetFormatPr defaultRowHeight="14.5" x14ac:dyDescent="0.35"/>
  <cols>
    <col min="4" max="4" width="27.26953125" style="2" bestFit="1" customWidth="1"/>
    <col min="8" max="8" width="14.54296875" style="2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1528</v>
      </c>
      <c r="L1" t="s">
        <v>15</v>
      </c>
      <c r="M1" t="s">
        <v>19</v>
      </c>
    </row>
    <row r="2" spans="1:13" x14ac:dyDescent="0.35">
      <c r="A2" t="s">
        <v>20</v>
      </c>
      <c r="B2">
        <v>17644</v>
      </c>
      <c r="C2" t="s">
        <v>21</v>
      </c>
      <c r="D2" t="s">
        <v>22</v>
      </c>
      <c r="E2" t="s">
        <v>15190</v>
      </c>
      <c r="F2" t="s">
        <v>15191</v>
      </c>
      <c r="G2" t="s">
        <v>15192</v>
      </c>
      <c r="H2" t="s">
        <v>15193</v>
      </c>
      <c r="I2" t="s">
        <v>27</v>
      </c>
      <c r="L2" t="s">
        <v>33</v>
      </c>
    </row>
    <row r="3" spans="1:13" x14ac:dyDescent="0.35">
      <c r="A3" t="s">
        <v>20</v>
      </c>
      <c r="B3">
        <v>17644</v>
      </c>
      <c r="C3" t="s">
        <v>21</v>
      </c>
      <c r="D3" t="s">
        <v>22</v>
      </c>
      <c r="E3" t="s">
        <v>15194</v>
      </c>
      <c r="F3" t="s">
        <v>15195</v>
      </c>
      <c r="G3" t="s">
        <v>15196</v>
      </c>
      <c r="H3" t="s">
        <v>15197</v>
      </c>
      <c r="I3" t="s">
        <v>27</v>
      </c>
      <c r="L3" t="s">
        <v>33</v>
      </c>
    </row>
    <row r="4" spans="1:13" x14ac:dyDescent="0.35">
      <c r="A4" t="s">
        <v>20</v>
      </c>
      <c r="B4">
        <v>17644</v>
      </c>
      <c r="C4" t="s">
        <v>21</v>
      </c>
      <c r="D4" t="s">
        <v>22</v>
      </c>
      <c r="E4" t="s">
        <v>15198</v>
      </c>
      <c r="F4" t="s">
        <v>15199</v>
      </c>
      <c r="G4" t="s">
        <v>15200</v>
      </c>
      <c r="H4" t="s">
        <v>15201</v>
      </c>
      <c r="I4" t="s">
        <v>27</v>
      </c>
      <c r="L4" t="s">
        <v>33</v>
      </c>
    </row>
    <row r="5" spans="1:13" x14ac:dyDescent="0.35">
      <c r="A5" t="s">
        <v>20</v>
      </c>
      <c r="B5">
        <v>17644</v>
      </c>
      <c r="C5" t="s">
        <v>21</v>
      </c>
      <c r="D5" t="s">
        <v>22</v>
      </c>
      <c r="E5" t="s">
        <v>15202</v>
      </c>
      <c r="F5" t="s">
        <v>15203</v>
      </c>
      <c r="G5" t="s">
        <v>15204</v>
      </c>
      <c r="H5" t="s">
        <v>15205</v>
      </c>
      <c r="I5" t="s">
        <v>27</v>
      </c>
      <c r="L5" t="s">
        <v>33</v>
      </c>
    </row>
    <row r="6" spans="1:13" x14ac:dyDescent="0.35">
      <c r="A6" t="s">
        <v>20</v>
      </c>
      <c r="B6">
        <v>17643</v>
      </c>
      <c r="C6" t="s">
        <v>426</v>
      </c>
      <c r="D6" t="s">
        <v>427</v>
      </c>
      <c r="E6" t="s">
        <v>15190</v>
      </c>
      <c r="F6" t="s">
        <v>15206</v>
      </c>
      <c r="G6" t="s">
        <v>15207</v>
      </c>
      <c r="H6" t="s">
        <v>15208</v>
      </c>
      <c r="I6" t="s">
        <v>431</v>
      </c>
      <c r="L6" t="s">
        <v>33</v>
      </c>
      <c r="M6" t="s">
        <v>432</v>
      </c>
    </row>
    <row r="7" spans="1:13" x14ac:dyDescent="0.35">
      <c r="A7" t="s">
        <v>20</v>
      </c>
      <c r="B7">
        <v>17643</v>
      </c>
      <c r="C7" t="s">
        <v>426</v>
      </c>
      <c r="D7" t="s">
        <v>427</v>
      </c>
      <c r="E7" t="s">
        <v>15194</v>
      </c>
      <c r="F7" t="s">
        <v>15209</v>
      </c>
      <c r="G7" t="s">
        <v>15210</v>
      </c>
      <c r="H7" t="s">
        <v>15211</v>
      </c>
      <c r="I7" t="s">
        <v>431</v>
      </c>
      <c r="L7" t="s">
        <v>33</v>
      </c>
      <c r="M7" t="s">
        <v>432</v>
      </c>
    </row>
    <row r="8" spans="1:13" x14ac:dyDescent="0.35">
      <c r="A8" t="s">
        <v>20</v>
      </c>
      <c r="B8">
        <v>17643</v>
      </c>
      <c r="C8" t="s">
        <v>426</v>
      </c>
      <c r="D8" t="s">
        <v>427</v>
      </c>
      <c r="E8" t="s">
        <v>15198</v>
      </c>
      <c r="F8" t="s">
        <v>15212</v>
      </c>
      <c r="G8" t="s">
        <v>15213</v>
      </c>
      <c r="H8" t="s">
        <v>15214</v>
      </c>
      <c r="I8" t="s">
        <v>431</v>
      </c>
      <c r="L8" t="s">
        <v>33</v>
      </c>
      <c r="M8" t="s">
        <v>432</v>
      </c>
    </row>
    <row r="9" spans="1:13" x14ac:dyDescent="0.35">
      <c r="A9" t="s">
        <v>20</v>
      </c>
      <c r="B9">
        <v>17643</v>
      </c>
      <c r="C9" t="s">
        <v>426</v>
      </c>
      <c r="D9" t="s">
        <v>427</v>
      </c>
      <c r="E9" t="s">
        <v>15202</v>
      </c>
      <c r="F9" t="s">
        <v>15215</v>
      </c>
      <c r="G9" t="s">
        <v>15216</v>
      </c>
      <c r="H9" t="s">
        <v>15217</v>
      </c>
      <c r="I9" t="s">
        <v>431</v>
      </c>
      <c r="L9" t="s">
        <v>33</v>
      </c>
      <c r="M9" t="s">
        <v>432</v>
      </c>
    </row>
    <row r="10" spans="1:13" x14ac:dyDescent="0.35">
      <c r="A10" t="s">
        <v>20</v>
      </c>
      <c r="B10">
        <v>17646</v>
      </c>
      <c r="C10" t="s">
        <v>666</v>
      </c>
      <c r="D10" t="s">
        <v>667</v>
      </c>
      <c r="E10" t="s">
        <v>15190</v>
      </c>
      <c r="F10" t="s">
        <v>15218</v>
      </c>
      <c r="G10" t="s">
        <v>15219</v>
      </c>
      <c r="H10" t="s">
        <v>15220</v>
      </c>
      <c r="I10" t="s">
        <v>671</v>
      </c>
      <c r="L10" t="s">
        <v>33</v>
      </c>
    </row>
    <row r="11" spans="1:13" x14ac:dyDescent="0.35">
      <c r="A11" t="s">
        <v>20</v>
      </c>
      <c r="B11">
        <v>17646</v>
      </c>
      <c r="C11" t="s">
        <v>666</v>
      </c>
      <c r="D11" t="s">
        <v>667</v>
      </c>
      <c r="E11" t="s">
        <v>15194</v>
      </c>
      <c r="F11" t="s">
        <v>15221</v>
      </c>
      <c r="G11" t="s">
        <v>15222</v>
      </c>
      <c r="H11" t="s">
        <v>15223</v>
      </c>
      <c r="I11" t="s">
        <v>671</v>
      </c>
      <c r="L11" t="s">
        <v>33</v>
      </c>
    </row>
    <row r="12" spans="1:13" x14ac:dyDescent="0.35">
      <c r="A12" t="s">
        <v>20</v>
      </c>
      <c r="B12">
        <v>17646</v>
      </c>
      <c r="C12" t="s">
        <v>666</v>
      </c>
      <c r="D12" t="s">
        <v>667</v>
      </c>
      <c r="E12" t="s">
        <v>15198</v>
      </c>
      <c r="F12" t="s">
        <v>15224</v>
      </c>
      <c r="G12" t="s">
        <v>15225</v>
      </c>
      <c r="H12" t="s">
        <v>15226</v>
      </c>
      <c r="I12" t="s">
        <v>809</v>
      </c>
      <c r="L12" t="s">
        <v>33</v>
      </c>
    </row>
    <row r="13" spans="1:13" x14ac:dyDescent="0.35">
      <c r="A13" t="s">
        <v>20</v>
      </c>
      <c r="B13">
        <v>17646</v>
      </c>
      <c r="C13" t="s">
        <v>666</v>
      </c>
      <c r="D13" t="s">
        <v>667</v>
      </c>
      <c r="E13" t="s">
        <v>15202</v>
      </c>
      <c r="F13" t="s">
        <v>15227</v>
      </c>
      <c r="G13" t="s">
        <v>15228</v>
      </c>
      <c r="H13" t="s">
        <v>15229</v>
      </c>
      <c r="I13" t="s">
        <v>671</v>
      </c>
      <c r="L13" t="s">
        <v>33</v>
      </c>
    </row>
    <row r="14" spans="1:13" x14ac:dyDescent="0.35">
      <c r="A14" t="s">
        <v>20</v>
      </c>
      <c r="B14">
        <v>17646</v>
      </c>
      <c r="C14" t="s">
        <v>666</v>
      </c>
      <c r="D14" t="s">
        <v>667</v>
      </c>
      <c r="E14" t="s">
        <v>15230</v>
      </c>
      <c r="F14" t="s">
        <v>15231</v>
      </c>
      <c r="G14" t="s">
        <v>15232</v>
      </c>
      <c r="H14" t="s">
        <v>15233</v>
      </c>
      <c r="I14" t="s">
        <v>809</v>
      </c>
      <c r="L14" t="s">
        <v>33</v>
      </c>
    </row>
    <row r="15" spans="1:13" x14ac:dyDescent="0.35">
      <c r="A15" t="s">
        <v>20</v>
      </c>
      <c r="B15">
        <v>17645</v>
      </c>
      <c r="C15" t="s">
        <v>949</v>
      </c>
      <c r="D15" t="s">
        <v>950</v>
      </c>
      <c r="E15" t="s">
        <v>15190</v>
      </c>
      <c r="F15" t="s">
        <v>15234</v>
      </c>
      <c r="G15" t="s">
        <v>15235</v>
      </c>
      <c r="H15" t="s">
        <v>15236</v>
      </c>
      <c r="L15" t="s">
        <v>33</v>
      </c>
    </row>
    <row r="16" spans="1:13" x14ac:dyDescent="0.35">
      <c r="A16" t="s">
        <v>20</v>
      </c>
      <c r="B16">
        <v>17645</v>
      </c>
      <c r="C16" t="s">
        <v>949</v>
      </c>
      <c r="D16" t="s">
        <v>950</v>
      </c>
      <c r="E16" t="s">
        <v>15194</v>
      </c>
      <c r="F16" t="s">
        <v>15237</v>
      </c>
      <c r="G16" t="s">
        <v>15238</v>
      </c>
      <c r="H16" t="s">
        <v>15239</v>
      </c>
      <c r="L16" t="s">
        <v>33</v>
      </c>
    </row>
    <row r="17" spans="1:12" x14ac:dyDescent="0.35">
      <c r="A17" t="s">
        <v>20</v>
      </c>
      <c r="B17">
        <v>17645</v>
      </c>
      <c r="C17" t="s">
        <v>949</v>
      </c>
      <c r="D17" t="s">
        <v>950</v>
      </c>
      <c r="E17" t="s">
        <v>15198</v>
      </c>
      <c r="F17" t="s">
        <v>15240</v>
      </c>
      <c r="G17" t="s">
        <v>15241</v>
      </c>
      <c r="H17" t="s">
        <v>15242</v>
      </c>
      <c r="L17" t="s">
        <v>33</v>
      </c>
    </row>
    <row r="18" spans="1:12" x14ac:dyDescent="0.35">
      <c r="A18" t="s">
        <v>20</v>
      </c>
      <c r="B18">
        <v>17645</v>
      </c>
      <c r="C18" t="s">
        <v>949</v>
      </c>
      <c r="D18" t="s">
        <v>950</v>
      </c>
      <c r="E18" t="s">
        <v>15202</v>
      </c>
      <c r="F18" t="s">
        <v>15243</v>
      </c>
      <c r="G18" t="s">
        <v>15244</v>
      </c>
      <c r="H18" t="s">
        <v>15245</v>
      </c>
      <c r="L18" t="s">
        <v>33</v>
      </c>
    </row>
    <row r="19" spans="1:12" x14ac:dyDescent="0.35">
      <c r="A19" t="s">
        <v>20</v>
      </c>
      <c r="B19">
        <v>17647</v>
      </c>
      <c r="C19" t="s">
        <v>1252</v>
      </c>
      <c r="D19" t="s">
        <v>1253</v>
      </c>
      <c r="E19" t="s">
        <v>15190</v>
      </c>
      <c r="F19" t="s">
        <v>15246</v>
      </c>
      <c r="G19" t="s">
        <v>15247</v>
      </c>
      <c r="H19" t="s">
        <v>15248</v>
      </c>
      <c r="I19" t="s">
        <v>1395</v>
      </c>
      <c r="L19" t="s">
        <v>33</v>
      </c>
    </row>
    <row r="20" spans="1:12" x14ac:dyDescent="0.35">
      <c r="A20" t="s">
        <v>20</v>
      </c>
      <c r="B20">
        <v>17647</v>
      </c>
      <c r="C20" t="s">
        <v>1252</v>
      </c>
      <c r="D20" t="s">
        <v>1253</v>
      </c>
      <c r="E20" t="s">
        <v>15194</v>
      </c>
      <c r="F20" t="s">
        <v>15249</v>
      </c>
      <c r="G20" t="s">
        <v>15250</v>
      </c>
      <c r="H20" t="s">
        <v>15251</v>
      </c>
      <c r="I20" t="s">
        <v>1257</v>
      </c>
      <c r="L20" t="s">
        <v>33</v>
      </c>
    </row>
    <row r="21" spans="1:12" x14ac:dyDescent="0.35">
      <c r="A21" t="s">
        <v>20</v>
      </c>
      <c r="B21">
        <v>17647</v>
      </c>
      <c r="C21" t="s">
        <v>1252</v>
      </c>
      <c r="D21" t="s">
        <v>1253</v>
      </c>
      <c r="E21" t="s">
        <v>15198</v>
      </c>
      <c r="F21" t="s">
        <v>15252</v>
      </c>
      <c r="G21" t="s">
        <v>15253</v>
      </c>
      <c r="H21" t="s">
        <v>15254</v>
      </c>
      <c r="I21" t="s">
        <v>1257</v>
      </c>
      <c r="L21" t="s">
        <v>33</v>
      </c>
    </row>
    <row r="22" spans="1:12" x14ac:dyDescent="0.35">
      <c r="A22" t="s">
        <v>20</v>
      </c>
      <c r="B22">
        <v>17647</v>
      </c>
      <c r="C22" t="s">
        <v>1252</v>
      </c>
      <c r="D22" t="s">
        <v>1253</v>
      </c>
      <c r="E22" t="s">
        <v>15202</v>
      </c>
      <c r="F22" t="s">
        <v>15255</v>
      </c>
      <c r="G22" t="s">
        <v>15256</v>
      </c>
      <c r="H22" t="s">
        <v>15257</v>
      </c>
      <c r="I22" t="s">
        <v>1257</v>
      </c>
      <c r="L22" t="s">
        <v>33</v>
      </c>
    </row>
    <row r="23" spans="1:12" x14ac:dyDescent="0.35">
      <c r="A23" t="s">
        <v>20</v>
      </c>
      <c r="B23">
        <v>17647</v>
      </c>
      <c r="C23" t="s">
        <v>1252</v>
      </c>
      <c r="D23" t="s">
        <v>1253</v>
      </c>
      <c r="E23" t="s">
        <v>15230</v>
      </c>
      <c r="F23" t="s">
        <v>15258</v>
      </c>
      <c r="G23" t="s">
        <v>15259</v>
      </c>
      <c r="H23" t="s">
        <v>15260</v>
      </c>
      <c r="I23" t="s">
        <v>1395</v>
      </c>
      <c r="L23" t="s">
        <v>33</v>
      </c>
    </row>
    <row r="24" spans="1:12" x14ac:dyDescent="0.35">
      <c r="A24" t="s">
        <v>20</v>
      </c>
      <c r="B24">
        <v>17643</v>
      </c>
      <c r="C24" t="s">
        <v>426</v>
      </c>
      <c r="D24" t="s">
        <v>427</v>
      </c>
      <c r="E24" t="s">
        <v>15190</v>
      </c>
      <c r="F24" t="s">
        <v>15206</v>
      </c>
      <c r="G24" t="s">
        <v>15207</v>
      </c>
      <c r="H24" t="s">
        <v>15208</v>
      </c>
      <c r="I24" t="s">
        <v>431</v>
      </c>
      <c r="L24" t="s">
        <v>33</v>
      </c>
    </row>
    <row r="25" spans="1:12" x14ac:dyDescent="0.35">
      <c r="A25" t="s">
        <v>20</v>
      </c>
      <c r="B25">
        <v>17643</v>
      </c>
      <c r="C25" t="s">
        <v>426</v>
      </c>
      <c r="D25" t="s">
        <v>427</v>
      </c>
      <c r="E25" t="s">
        <v>15194</v>
      </c>
      <c r="F25" t="s">
        <v>15209</v>
      </c>
      <c r="G25" t="s">
        <v>15210</v>
      </c>
      <c r="H25" t="s">
        <v>15211</v>
      </c>
      <c r="I25" t="s">
        <v>431</v>
      </c>
      <c r="L25" t="s">
        <v>33</v>
      </c>
    </row>
    <row r="26" spans="1:12" x14ac:dyDescent="0.35">
      <c r="A26" t="s">
        <v>20</v>
      </c>
      <c r="B26">
        <v>17643</v>
      </c>
      <c r="C26" t="s">
        <v>426</v>
      </c>
      <c r="D26" t="s">
        <v>427</v>
      </c>
      <c r="E26" t="s">
        <v>15198</v>
      </c>
      <c r="F26" t="s">
        <v>15212</v>
      </c>
      <c r="G26" t="s">
        <v>15213</v>
      </c>
      <c r="H26" t="s">
        <v>15214</v>
      </c>
      <c r="I26" t="s">
        <v>431</v>
      </c>
      <c r="L26" t="s">
        <v>33</v>
      </c>
    </row>
    <row r="27" spans="1:12" x14ac:dyDescent="0.35">
      <c r="A27" t="s">
        <v>20</v>
      </c>
      <c r="B27">
        <v>17643</v>
      </c>
      <c r="C27" t="s">
        <v>426</v>
      </c>
      <c r="D27" t="s">
        <v>427</v>
      </c>
      <c r="E27" t="s">
        <v>15202</v>
      </c>
      <c r="F27" t="s">
        <v>15215</v>
      </c>
      <c r="G27" t="s">
        <v>15216</v>
      </c>
      <c r="H27" t="s">
        <v>15217</v>
      </c>
      <c r="I27" t="s">
        <v>431</v>
      </c>
      <c r="L27" t="s">
        <v>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I1" workbookViewId="0">
      <selection activeCell="Q18" sqref="Q18"/>
    </sheetView>
  </sheetViews>
  <sheetFormatPr defaultColWidth="8.81640625" defaultRowHeight="14.5" x14ac:dyDescent="0.35"/>
  <cols>
    <col min="1" max="1" width="8.81640625" style="2" customWidth="1"/>
    <col min="2" max="2" width="3.6328125" style="2" bestFit="1" customWidth="1"/>
    <col min="3" max="3" width="15.81640625" style="2" bestFit="1" customWidth="1"/>
    <col min="4" max="4" width="8.81640625" style="2" customWidth="1"/>
    <col min="5" max="5" width="9.36328125" style="5" bestFit="1" customWidth="1"/>
    <col min="6" max="6" width="8.81640625" style="5" customWidth="1"/>
    <col min="7" max="7" width="10.36328125" style="2" bestFit="1" customWidth="1"/>
    <col min="8" max="9" width="6.81640625" style="5" bestFit="1" customWidth="1"/>
    <col min="10" max="10" width="13.1796875" style="2" bestFit="1" customWidth="1"/>
    <col min="11" max="13" width="8.81640625" style="2" customWidth="1"/>
    <col min="14" max="14" width="30.7265625" style="2" bestFit="1" customWidth="1"/>
    <col min="15" max="15" width="48.90625" style="2" bestFit="1" customWidth="1"/>
    <col min="16" max="16" width="8.81640625" style="2" customWidth="1"/>
    <col min="17" max="16384" width="8.81640625" style="2"/>
  </cols>
  <sheetData>
    <row r="1" spans="1:15" s="16" customFormat="1" ht="14.5" customHeight="1" x14ac:dyDescent="0.35">
      <c r="C1" s="25" t="s">
        <v>15261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5" s="16" customFormat="1" ht="54" customHeight="1" x14ac:dyDescent="0.35"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5" x14ac:dyDescent="0.35">
      <c r="B3" s="29" t="s">
        <v>15262</v>
      </c>
      <c r="C3" s="27" t="s">
        <v>15263</v>
      </c>
      <c r="D3" s="27" t="s">
        <v>15264</v>
      </c>
      <c r="E3" s="27" t="s">
        <v>15265</v>
      </c>
      <c r="F3" s="27" t="s">
        <v>1</v>
      </c>
      <c r="G3" s="32" t="s">
        <v>15266</v>
      </c>
      <c r="H3" s="27" t="s">
        <v>15267</v>
      </c>
      <c r="I3" s="27" t="s">
        <v>15267</v>
      </c>
      <c r="J3" s="32" t="s">
        <v>15268</v>
      </c>
      <c r="K3" s="27" t="s">
        <v>15269</v>
      </c>
      <c r="L3" s="33"/>
      <c r="M3" s="34"/>
      <c r="N3" s="31" t="s">
        <v>15270</v>
      </c>
      <c r="O3" s="30" t="s">
        <v>15271</v>
      </c>
    </row>
    <row r="4" spans="1:15" x14ac:dyDescent="0.35">
      <c r="A4" s="16" t="s">
        <v>27</v>
      </c>
      <c r="B4" s="28"/>
      <c r="C4" s="28"/>
      <c r="D4" s="28"/>
      <c r="E4" s="28"/>
      <c r="F4" s="28"/>
      <c r="G4" s="28"/>
      <c r="H4" s="28"/>
      <c r="I4" s="28"/>
      <c r="J4" s="28"/>
      <c r="K4" s="3"/>
      <c r="L4" s="3"/>
      <c r="M4" s="3"/>
      <c r="N4" s="28"/>
      <c r="O4" s="28"/>
    </row>
    <row r="5" spans="1:15" x14ac:dyDescent="0.35">
      <c r="A5" s="16" t="s">
        <v>1090</v>
      </c>
      <c r="B5" s="44" t="s">
        <v>33</v>
      </c>
      <c r="C5" s="45">
        <v>46292</v>
      </c>
      <c r="D5" s="44">
        <v>1</v>
      </c>
      <c r="E5" s="46">
        <v>1</v>
      </c>
      <c r="F5" s="47">
        <v>17645</v>
      </c>
      <c r="G5" s="48" t="s">
        <v>954</v>
      </c>
      <c r="H5" s="49">
        <v>20</v>
      </c>
      <c r="I5" s="47">
        <v>39</v>
      </c>
      <c r="J5" s="48" t="s">
        <v>1090</v>
      </c>
      <c r="K5" s="44"/>
      <c r="L5" s="44"/>
      <c r="M5" s="44"/>
      <c r="N5" s="50" t="str">
        <f>"20260927-J01-M01-"&amp;G5&amp;"@"&amp;J5&amp;IF(OR(TRIM(H5)="",TRIM(H5)="-"),"","("&amp;TRIM(I5)&amp;")")</f>
        <v>20260927-J01-M01-POZ@UBU(39)</v>
      </c>
      <c r="O5" s="51" t="s">
        <v>15272</v>
      </c>
    </row>
    <row r="6" spans="1:15" x14ac:dyDescent="0.35">
      <c r="A6" s="16" t="s">
        <v>1395</v>
      </c>
      <c r="B6" s="44"/>
      <c r="C6" s="45">
        <v>46292</v>
      </c>
      <c r="D6" s="44">
        <v>1</v>
      </c>
      <c r="E6" s="47">
        <f t="shared" ref="E6:E37" si="0">+E5+1</f>
        <v>2</v>
      </c>
      <c r="F6" s="47">
        <v>17644</v>
      </c>
      <c r="G6" s="52" t="s">
        <v>27</v>
      </c>
      <c r="H6" s="53">
        <v>39</v>
      </c>
      <c r="I6" s="47">
        <v>19</v>
      </c>
      <c r="J6" s="52" t="s">
        <v>238</v>
      </c>
      <c r="K6" s="44"/>
      <c r="L6" s="44"/>
      <c r="M6" s="44"/>
      <c r="N6" s="50" t="str">
        <f>"20260927-J01-M02-"&amp;G6&amp;"@"&amp;J6&amp;IF(OR(TRIM(H6)="",TRIM(H6)="-"),"","("&amp;TRIM(H6)&amp;")")</f>
        <v>20260927-J01-M02-ALC@CIS(39)</v>
      </c>
      <c r="O6" s="51" t="s">
        <v>15273</v>
      </c>
    </row>
    <row r="7" spans="1:15" x14ac:dyDescent="0.35">
      <c r="A7" s="16" t="s">
        <v>238</v>
      </c>
      <c r="B7" s="44"/>
      <c r="C7" s="45">
        <v>46292</v>
      </c>
      <c r="D7" s="44">
        <v>1</v>
      </c>
      <c r="E7" s="47">
        <f t="shared" si="0"/>
        <v>3</v>
      </c>
      <c r="F7" s="47">
        <v>17646</v>
      </c>
      <c r="G7" s="52" t="s">
        <v>809</v>
      </c>
      <c r="H7" s="53">
        <v>25</v>
      </c>
      <c r="I7" s="47">
        <v>15</v>
      </c>
      <c r="J7" s="52" t="s">
        <v>671</v>
      </c>
      <c r="K7" s="44"/>
      <c r="L7" s="44"/>
      <c r="M7" s="44"/>
      <c r="N7" s="50" t="str">
        <f>"20260927-J01-M03-"&amp;G7&amp;"@"&amp;J7&amp;IF(OR(TRIM(H7)="",TRIM(H7)="-"),"","("&amp;TRIM(H7)&amp;")")</f>
        <v>20260927-J01-M03-LIC@ORD(25)</v>
      </c>
      <c r="O7" s="51" t="s">
        <v>15274</v>
      </c>
    </row>
    <row r="8" spans="1:15" x14ac:dyDescent="0.35">
      <c r="A8" s="16" t="s">
        <v>431</v>
      </c>
      <c r="B8" s="44"/>
      <c r="C8" s="45">
        <v>46292</v>
      </c>
      <c r="D8" s="44">
        <v>1</v>
      </c>
      <c r="E8" s="47">
        <f t="shared" si="0"/>
        <v>4</v>
      </c>
      <c r="F8" s="47">
        <v>17643</v>
      </c>
      <c r="G8" s="48" t="s">
        <v>557</v>
      </c>
      <c r="H8" s="49">
        <v>40</v>
      </c>
      <c r="I8" s="47">
        <v>24</v>
      </c>
      <c r="J8" s="48" t="s">
        <v>431</v>
      </c>
      <c r="K8" s="44"/>
      <c r="L8" s="44"/>
      <c r="M8" s="44"/>
      <c r="N8" s="44" t="str">
        <f>"20260927-J01-M04-"&amp;G8&amp;"@"&amp;J8&amp;IF(OR(TRIM(H8)="",TRIM(H8)="-"),"","("&amp;TRIM(H8)&amp;")")</f>
        <v>20260927-J01-M04-VRAC@VILA(40)</v>
      </c>
      <c r="O8" s="51" t="s">
        <v>15275</v>
      </c>
    </row>
    <row r="9" spans="1:15" x14ac:dyDescent="0.35">
      <c r="A9" s="16" t="s">
        <v>557</v>
      </c>
      <c r="B9" s="44"/>
      <c r="C9" s="45">
        <v>46292</v>
      </c>
      <c r="D9" s="44">
        <v>1</v>
      </c>
      <c r="E9" s="47">
        <f t="shared" si="0"/>
        <v>5</v>
      </c>
      <c r="F9" s="47">
        <v>17647</v>
      </c>
      <c r="G9" s="48" t="s">
        <v>1257</v>
      </c>
      <c r="H9" s="49">
        <v>30</v>
      </c>
      <c r="I9" s="47">
        <v>22</v>
      </c>
      <c r="J9" s="48" t="s">
        <v>1395</v>
      </c>
      <c r="K9" s="44"/>
      <c r="L9" s="44"/>
      <c r="M9" s="44"/>
      <c r="N9" s="50" t="str">
        <f>"20260927-J01-M05-"&amp;G9&amp;"@"&amp;J9&amp;IF(OR(TRIM(H9)="",TRIM(H9)="-"),"","("&amp;TRIM(H9)&amp;")")</f>
        <v>20260927-J01-M05-UES@SAL(30)</v>
      </c>
      <c r="O9" s="54" t="s">
        <v>15276</v>
      </c>
    </row>
    <row r="10" spans="1:15" x14ac:dyDescent="0.35">
      <c r="A10" s="16" t="s">
        <v>809</v>
      </c>
      <c r="B10" s="35" t="s">
        <v>15277</v>
      </c>
      <c r="C10" s="36">
        <v>46299</v>
      </c>
      <c r="D10" s="35">
        <v>2</v>
      </c>
      <c r="E10" s="37">
        <f t="shared" si="0"/>
        <v>6</v>
      </c>
      <c r="F10" s="37">
        <v>17648</v>
      </c>
      <c r="G10" s="38" t="s">
        <v>431</v>
      </c>
      <c r="H10" s="39">
        <v>36</v>
      </c>
      <c r="I10" s="37">
        <v>33</v>
      </c>
      <c r="J10" s="38" t="s">
        <v>1257</v>
      </c>
      <c r="K10" s="35"/>
      <c r="L10" s="35"/>
      <c r="M10" s="35"/>
      <c r="N10" s="40" t="str">
        <f>"20261004-J02-M01-"&amp;G10&amp;"@"&amp;J10&amp;IF(OR(TRIM(H10)="",TRIM(H10)="-"),"","("&amp;TRIM(H10)&amp;")")</f>
        <v>20261004-J02-M01-VILA@UES(36)</v>
      </c>
      <c r="O10" s="43" t="s">
        <v>15984</v>
      </c>
    </row>
    <row r="11" spans="1:15" x14ac:dyDescent="0.35">
      <c r="A11" s="16" t="s">
        <v>1257</v>
      </c>
      <c r="B11" s="35"/>
      <c r="C11" s="36">
        <v>46299</v>
      </c>
      <c r="D11" s="35">
        <v>2</v>
      </c>
      <c r="E11" s="37">
        <f t="shared" si="0"/>
        <v>7</v>
      </c>
      <c r="F11" s="37">
        <v>17649</v>
      </c>
      <c r="G11" s="41" t="s">
        <v>238</v>
      </c>
      <c r="H11" s="42">
        <v>12</v>
      </c>
      <c r="I11" s="37">
        <v>22</v>
      </c>
      <c r="J11" s="41" t="s">
        <v>557</v>
      </c>
      <c r="K11" s="35"/>
      <c r="L11" s="35"/>
      <c r="M11" s="35"/>
      <c r="N11" s="40" t="str">
        <f>"20261004-J02-M02-"&amp;G11&amp;"@"&amp;J11&amp;IF(OR(TRIM(H11)="",TRIM(H11)="-"),"","("&amp;TRIM(H11)&amp;")")</f>
        <v>20261004-J02-M02-CIS@VRAC(12)</v>
      </c>
      <c r="O11" s="43" t="s">
        <v>15985</v>
      </c>
    </row>
    <row r="12" spans="1:15" x14ac:dyDescent="0.35">
      <c r="A12" s="16" t="s">
        <v>671</v>
      </c>
      <c r="B12" s="35"/>
      <c r="C12" s="36">
        <v>46299</v>
      </c>
      <c r="D12" s="35">
        <v>2</v>
      </c>
      <c r="E12" s="37">
        <f t="shared" si="0"/>
        <v>8</v>
      </c>
      <c r="F12" s="37">
        <v>17650</v>
      </c>
      <c r="G12" s="38" t="s">
        <v>1090</v>
      </c>
      <c r="H12" s="39">
        <v>18</v>
      </c>
      <c r="I12" s="37">
        <v>15</v>
      </c>
      <c r="J12" s="38" t="s">
        <v>27</v>
      </c>
      <c r="K12" s="35"/>
      <c r="L12" s="35"/>
      <c r="M12" s="35"/>
      <c r="N12" s="40" t="str">
        <f>"20261004-J02-M03-"&amp;G12&amp;"@"&amp;J12&amp;IF(OR(TRIM(H12)="",TRIM(H12)="-"),"","("&amp;TRIM(H12)&amp;")")</f>
        <v>20261004-J02-M03-UBU@ALC(18)</v>
      </c>
      <c r="O12" s="43" t="s">
        <v>15986</v>
      </c>
    </row>
    <row r="13" spans="1:15" x14ac:dyDescent="0.35">
      <c r="A13" s="16" t="s">
        <v>954</v>
      </c>
      <c r="B13" s="35"/>
      <c r="C13" s="36">
        <v>46299</v>
      </c>
      <c r="D13" s="35">
        <v>2</v>
      </c>
      <c r="E13" s="37">
        <f t="shared" si="0"/>
        <v>9</v>
      </c>
      <c r="F13" s="37">
        <v>17651</v>
      </c>
      <c r="G13" s="41" t="s">
        <v>671</v>
      </c>
      <c r="H13" s="42">
        <v>45</v>
      </c>
      <c r="I13" s="37">
        <v>24</v>
      </c>
      <c r="J13" s="41" t="s">
        <v>954</v>
      </c>
      <c r="K13" s="35"/>
      <c r="L13" s="35">
        <v>33</v>
      </c>
      <c r="M13" s="35"/>
      <c r="N13" s="40" t="str">
        <f>"20261004-J02-M04-"&amp;G13&amp;"@"&amp;J13&amp;IF(OR(TRIM(H13)="",TRIM(H13)="-"),"","("&amp;TRIM(H13)&amp;")")</f>
        <v>20261004-J02-M04-ORD@POZ(45)</v>
      </c>
      <c r="O13" s="43" t="s">
        <v>15982</v>
      </c>
    </row>
    <row r="14" spans="1:15" x14ac:dyDescent="0.35">
      <c r="B14" s="35"/>
      <c r="C14" s="36">
        <v>46299</v>
      </c>
      <c r="D14" s="35">
        <v>2</v>
      </c>
      <c r="E14" s="37">
        <f t="shared" si="0"/>
        <v>10</v>
      </c>
      <c r="F14" s="37">
        <v>17652</v>
      </c>
      <c r="G14" s="38" t="s">
        <v>1395</v>
      </c>
      <c r="H14" s="39">
        <v>45</v>
      </c>
      <c r="I14" s="37">
        <v>20</v>
      </c>
      <c r="J14" s="38" t="s">
        <v>809</v>
      </c>
      <c r="K14" s="35"/>
      <c r="L14" s="35"/>
      <c r="M14" s="35"/>
      <c r="N14" s="40" t="str">
        <f>"20261004-J02-M05-"&amp;G14&amp;"@"&amp;J14&amp;IF(OR(TRIM(H14)="",TRIM(H14)="-"),"","("&amp;TRIM(H14)&amp;")")</f>
        <v>20261004-J02-M05-SAL@LIC(45)</v>
      </c>
      <c r="O14" s="43" t="s">
        <v>15983</v>
      </c>
    </row>
    <row r="15" spans="1:15" x14ac:dyDescent="0.35">
      <c r="B15" s="14" t="s">
        <v>15279</v>
      </c>
      <c r="C15" s="13">
        <v>46306</v>
      </c>
      <c r="D15" s="14">
        <v>3</v>
      </c>
      <c r="E15" s="4">
        <f t="shared" si="0"/>
        <v>11</v>
      </c>
      <c r="F15" s="4"/>
      <c r="G15" s="7" t="s">
        <v>431</v>
      </c>
      <c r="H15" s="8" t="s">
        <v>15278</v>
      </c>
      <c r="I15" s="4"/>
      <c r="J15" s="7" t="s">
        <v>238</v>
      </c>
      <c r="K15" s="14"/>
      <c r="L15" s="14"/>
      <c r="M15" s="14"/>
      <c r="N15" s="9" t="str">
        <f>"20261011-J03-M01-"&amp;G15&amp;"@"&amp;J15&amp;IF(OR(TRIM(H15)="",TRIM(H15)="-"),"","("&amp;TRIM(H15)&amp;")")</f>
        <v>20261011-J03-M01-VILA@CIS</v>
      </c>
      <c r="O15" s="6"/>
    </row>
    <row r="16" spans="1:15" x14ac:dyDescent="0.35">
      <c r="B16" s="14"/>
      <c r="C16" s="13">
        <v>46306</v>
      </c>
      <c r="D16" s="14">
        <v>3</v>
      </c>
      <c r="E16" s="4">
        <f t="shared" si="0"/>
        <v>12</v>
      </c>
      <c r="F16" s="4"/>
      <c r="G16" s="10" t="s">
        <v>557</v>
      </c>
      <c r="H16" s="11" t="s">
        <v>15278</v>
      </c>
      <c r="I16" s="4"/>
      <c r="J16" s="7" t="s">
        <v>1090</v>
      </c>
      <c r="K16" s="14"/>
      <c r="L16" s="14"/>
      <c r="M16" s="14"/>
      <c r="N16" s="9" t="str">
        <f>"20261011-J03-M02-"&amp;G16&amp;"@"&amp;J16&amp;IF(OR(TRIM(H16)="",TRIM(H16)="-"),"","("&amp;TRIM(H16)&amp;")")</f>
        <v>20261011-J03-M02-VRAC@UBU</v>
      </c>
      <c r="O16" s="6"/>
    </row>
    <row r="17" spans="2:15" x14ac:dyDescent="0.35">
      <c r="B17" s="14"/>
      <c r="C17" s="13">
        <v>46306</v>
      </c>
      <c r="D17" s="14">
        <v>3</v>
      </c>
      <c r="E17" s="4">
        <f t="shared" si="0"/>
        <v>13</v>
      </c>
      <c r="F17" s="4"/>
      <c r="G17" s="7" t="s">
        <v>27</v>
      </c>
      <c r="H17" s="8" t="s">
        <v>15278</v>
      </c>
      <c r="I17" s="4"/>
      <c r="J17" s="7" t="s">
        <v>671</v>
      </c>
      <c r="K17" s="14"/>
      <c r="L17" s="14"/>
      <c r="M17" s="14"/>
      <c r="N17" s="9" t="str">
        <f>"20261011-J03-M03-"&amp;G17&amp;"@"&amp;J17&amp;IF(OR(TRIM(H17)="",TRIM(H17)="-"),"","("&amp;TRIM(H17)&amp;")")</f>
        <v>20261011-J03-M03-ALC@ORD</v>
      </c>
      <c r="O17" s="6"/>
    </row>
    <row r="18" spans="2:15" x14ac:dyDescent="0.35">
      <c r="B18" s="14"/>
      <c r="C18" s="13">
        <v>46306</v>
      </c>
      <c r="D18" s="14">
        <v>3</v>
      </c>
      <c r="E18" s="4">
        <f t="shared" si="0"/>
        <v>14</v>
      </c>
      <c r="F18" s="4"/>
      <c r="G18" s="10" t="s">
        <v>954</v>
      </c>
      <c r="H18" s="11" t="s">
        <v>15278</v>
      </c>
      <c r="I18" s="4"/>
      <c r="J18" s="10" t="s">
        <v>1395</v>
      </c>
      <c r="K18" s="14"/>
      <c r="L18" s="14"/>
      <c r="M18" s="14"/>
      <c r="N18" s="9" t="str">
        <f>"20261011-J03-M04-"&amp;G18&amp;"@"&amp;J18&amp;IF(OR(TRIM(H18)="",TRIM(H18)="-"),"","("&amp;TRIM(H18)&amp;")")</f>
        <v>20261011-J03-M04-POZ@SAL</v>
      </c>
      <c r="O18" s="6"/>
    </row>
    <row r="19" spans="2:15" x14ac:dyDescent="0.35">
      <c r="B19" s="14"/>
      <c r="C19" s="13">
        <v>46306</v>
      </c>
      <c r="D19" s="14">
        <v>3</v>
      </c>
      <c r="E19" s="4">
        <f t="shared" si="0"/>
        <v>15</v>
      </c>
      <c r="F19" s="4"/>
      <c r="G19" s="7" t="s">
        <v>1257</v>
      </c>
      <c r="H19" s="8" t="s">
        <v>15278</v>
      </c>
      <c r="I19" s="4"/>
      <c r="J19" s="7" t="s">
        <v>809</v>
      </c>
      <c r="K19" s="14"/>
      <c r="L19" s="14"/>
      <c r="M19" s="14"/>
      <c r="N19" s="9" t="str">
        <f>"20261011-J03-M05-"&amp;G19&amp;"@"&amp;J19&amp;IF(OR(TRIM(H19)="",TRIM(H19)="-"),"","("&amp;TRIM(H19)&amp;")")</f>
        <v>20261011-J03-M05-UES@LIC</v>
      </c>
      <c r="O19" s="6"/>
    </row>
    <row r="20" spans="2:15" x14ac:dyDescent="0.35">
      <c r="B20" s="14" t="s">
        <v>15280</v>
      </c>
      <c r="C20" s="13">
        <v>46320</v>
      </c>
      <c r="D20" s="14">
        <v>4</v>
      </c>
      <c r="E20" s="4">
        <f t="shared" si="0"/>
        <v>16</v>
      </c>
      <c r="F20" s="4"/>
      <c r="G20" s="7" t="s">
        <v>238</v>
      </c>
      <c r="H20" s="8" t="s">
        <v>15278</v>
      </c>
      <c r="I20" s="4"/>
      <c r="J20" s="7" t="s">
        <v>1257</v>
      </c>
      <c r="K20" s="14"/>
      <c r="L20" s="14"/>
      <c r="M20" s="14"/>
      <c r="N20" s="9" t="str">
        <f>"20261025-J04-M01-"&amp;G20&amp;"@"&amp;J20&amp;IF(OR(TRIM(H20)="",TRIM(H20)="-"),"","("&amp;TRIM(H20)&amp;")")</f>
        <v>20261025-J04-M01-CIS@UES</v>
      </c>
      <c r="O20" s="12"/>
    </row>
    <row r="21" spans="2:15" x14ac:dyDescent="0.35">
      <c r="B21" s="14"/>
      <c r="C21" s="13">
        <v>46320</v>
      </c>
      <c r="D21" s="14">
        <v>4</v>
      </c>
      <c r="E21" s="4">
        <f t="shared" si="0"/>
        <v>17</v>
      </c>
      <c r="F21" s="4"/>
      <c r="G21" s="7" t="s">
        <v>1090</v>
      </c>
      <c r="H21" s="11" t="s">
        <v>15278</v>
      </c>
      <c r="I21" s="4"/>
      <c r="J21" s="10" t="s">
        <v>431</v>
      </c>
      <c r="K21" s="14"/>
      <c r="L21" s="14"/>
      <c r="M21" s="14"/>
      <c r="N21" s="9" t="str">
        <f>"20261025-J04-M02-"&amp;G21&amp;"@"&amp;J21&amp;IF(OR(TRIM(H21)="",TRIM(H21)="-"),"","("&amp;TRIM(H21)&amp;")")</f>
        <v>20261025-J04-M02-UBU@VILA</v>
      </c>
      <c r="O21" s="12"/>
    </row>
    <row r="22" spans="2:15" x14ac:dyDescent="0.35">
      <c r="B22" s="14"/>
      <c r="C22" s="13">
        <v>46320</v>
      </c>
      <c r="D22" s="14">
        <v>4</v>
      </c>
      <c r="E22" s="4">
        <f t="shared" si="0"/>
        <v>18</v>
      </c>
      <c r="F22" s="4"/>
      <c r="G22" s="7" t="s">
        <v>671</v>
      </c>
      <c r="H22" s="8" t="s">
        <v>15278</v>
      </c>
      <c r="I22" s="4"/>
      <c r="J22" s="7" t="s">
        <v>557</v>
      </c>
      <c r="K22" s="14"/>
      <c r="L22" s="14"/>
      <c r="M22" s="14"/>
      <c r="N22" s="9" t="str">
        <f>"20261025-J04-M03-"&amp;G22&amp;"@"&amp;J22&amp;IF(OR(TRIM(H22)="",TRIM(H22)="-"),"","("&amp;TRIM(H22)&amp;")")</f>
        <v>20261025-J04-M03-ORD@VRAC</v>
      </c>
      <c r="O22" s="12"/>
    </row>
    <row r="23" spans="2:15" x14ac:dyDescent="0.35">
      <c r="B23" s="14"/>
      <c r="C23" s="13">
        <v>46320</v>
      </c>
      <c r="D23" s="14">
        <v>4</v>
      </c>
      <c r="E23" s="4">
        <f t="shared" si="0"/>
        <v>19</v>
      </c>
      <c r="F23" s="4"/>
      <c r="G23" s="10" t="s">
        <v>1395</v>
      </c>
      <c r="H23" s="11" t="s">
        <v>15278</v>
      </c>
      <c r="I23" s="4"/>
      <c r="J23" s="10" t="s">
        <v>27</v>
      </c>
      <c r="K23" s="14"/>
      <c r="L23" s="14"/>
      <c r="M23" s="14"/>
      <c r="N23" s="9" t="str">
        <f>"20261025-J04-M04-"&amp;G23&amp;"@"&amp;J23&amp;IF(OR(TRIM(H23)="",TRIM(H23)="-"),"","("&amp;TRIM(H23)&amp;")")</f>
        <v>20261025-J04-M04-SAL@ALC</v>
      </c>
      <c r="O23" s="12"/>
    </row>
    <row r="24" spans="2:15" x14ac:dyDescent="0.35">
      <c r="B24" s="14"/>
      <c r="C24" s="13">
        <v>46320</v>
      </c>
      <c r="D24" s="14">
        <v>4</v>
      </c>
      <c r="E24" s="4">
        <f t="shared" si="0"/>
        <v>20</v>
      </c>
      <c r="F24" s="4"/>
      <c r="G24" s="7" t="s">
        <v>809</v>
      </c>
      <c r="H24" s="8" t="s">
        <v>15278</v>
      </c>
      <c r="I24" s="4"/>
      <c r="J24" s="7" t="s">
        <v>954</v>
      </c>
      <c r="K24" s="14"/>
      <c r="L24" s="14"/>
      <c r="M24" s="14"/>
      <c r="N24" s="9" t="str">
        <f>"20261025-J04-M05-"&amp;G24&amp;"@"&amp;J24&amp;IF(OR(TRIM(H24)="",TRIM(H24)="-"),"","("&amp;TRIM(H24)&amp;")")</f>
        <v>20261025-J04-M05-LIC@POZ</v>
      </c>
      <c r="O24" s="12"/>
    </row>
    <row r="25" spans="2:15" x14ac:dyDescent="0.35">
      <c r="B25" s="14" t="s">
        <v>15281</v>
      </c>
      <c r="C25" s="13">
        <v>46327</v>
      </c>
      <c r="D25" s="14">
        <v>5</v>
      </c>
      <c r="E25" s="4">
        <f t="shared" si="0"/>
        <v>21</v>
      </c>
      <c r="F25" s="4"/>
      <c r="G25" s="7" t="s">
        <v>238</v>
      </c>
      <c r="H25" s="8" t="s">
        <v>15278</v>
      </c>
      <c r="I25" s="4"/>
      <c r="J25" s="7" t="s">
        <v>1090</v>
      </c>
      <c r="K25" s="14"/>
      <c r="L25" s="14"/>
      <c r="M25" s="14"/>
      <c r="N25" s="9" t="str">
        <f>"20261101-J05-M01-"&amp;G25&amp;"@"&amp;J25&amp;IF(OR(TRIM(H25)="",TRIM(H25)="-"),"","("&amp;TRIM(H25)&amp;")")</f>
        <v>20261101-J05-M01-CIS@UBU</v>
      </c>
      <c r="O25" s="6"/>
    </row>
    <row r="26" spans="2:15" x14ac:dyDescent="0.35">
      <c r="B26" s="14"/>
      <c r="C26" s="13">
        <v>46327</v>
      </c>
      <c r="D26" s="14">
        <v>5</v>
      </c>
      <c r="E26" s="4">
        <f t="shared" si="0"/>
        <v>22</v>
      </c>
      <c r="F26" s="4"/>
      <c r="G26" s="10" t="s">
        <v>431</v>
      </c>
      <c r="H26" s="11" t="s">
        <v>15278</v>
      </c>
      <c r="I26" s="4"/>
      <c r="J26" s="10" t="s">
        <v>671</v>
      </c>
      <c r="K26" s="14"/>
      <c r="L26" s="14"/>
      <c r="M26" s="14"/>
      <c r="N26" s="9" t="str">
        <f>"20261101-J05-M02-"&amp;G26&amp;"@"&amp;J26&amp;IF(OR(TRIM(H26)="",TRIM(H26)="-"),"","("&amp;TRIM(H26)&amp;")")</f>
        <v>20261101-J05-M02-VILA@ORD</v>
      </c>
      <c r="O26" s="6"/>
    </row>
    <row r="27" spans="2:15" x14ac:dyDescent="0.35">
      <c r="B27" s="14"/>
      <c r="C27" s="13">
        <v>46327</v>
      </c>
      <c r="D27" s="14">
        <v>5</v>
      </c>
      <c r="E27" s="4">
        <f t="shared" si="0"/>
        <v>23</v>
      </c>
      <c r="F27" s="4"/>
      <c r="G27" s="7" t="s">
        <v>557</v>
      </c>
      <c r="H27" s="8" t="s">
        <v>15278</v>
      </c>
      <c r="I27" s="4"/>
      <c r="J27" s="7" t="s">
        <v>1395</v>
      </c>
      <c r="K27" s="14"/>
      <c r="L27" s="14"/>
      <c r="M27" s="14"/>
      <c r="N27" s="9" t="str">
        <f>"20261101-J05-M03-"&amp;G27&amp;"@"&amp;J27&amp;IF(OR(TRIM(H27)="",TRIM(H27)="-"),"","("&amp;TRIM(H27)&amp;")")</f>
        <v>20261101-J05-M03-VRAC@SAL</v>
      </c>
      <c r="O27" s="6"/>
    </row>
    <row r="28" spans="2:15" x14ac:dyDescent="0.35">
      <c r="B28" s="14"/>
      <c r="C28" s="13">
        <v>46327</v>
      </c>
      <c r="D28" s="14">
        <v>5</v>
      </c>
      <c r="E28" s="4">
        <f t="shared" si="0"/>
        <v>24</v>
      </c>
      <c r="F28" s="4"/>
      <c r="G28" s="10" t="s">
        <v>27</v>
      </c>
      <c r="H28" s="11" t="s">
        <v>15278</v>
      </c>
      <c r="I28" s="4"/>
      <c r="J28" s="10" t="s">
        <v>809</v>
      </c>
      <c r="K28" s="14"/>
      <c r="L28" s="14"/>
      <c r="M28" s="14"/>
      <c r="N28" s="9" t="str">
        <f>"20261101-J05-M04-"&amp;G28&amp;"@"&amp;J28&amp;IF(OR(TRIM(H28)="",TRIM(H28)="-"),"","("&amp;TRIM(H28)&amp;")")</f>
        <v>20261101-J05-M04-ALC@LIC</v>
      </c>
      <c r="O28" s="6"/>
    </row>
    <row r="29" spans="2:15" x14ac:dyDescent="0.35">
      <c r="B29" s="14"/>
      <c r="C29" s="13">
        <v>46327</v>
      </c>
      <c r="D29" s="14">
        <v>5</v>
      </c>
      <c r="E29" s="4">
        <f t="shared" si="0"/>
        <v>25</v>
      </c>
      <c r="F29" s="4"/>
      <c r="G29" s="7" t="s">
        <v>1257</v>
      </c>
      <c r="H29" s="8" t="s">
        <v>15278</v>
      </c>
      <c r="I29" s="4"/>
      <c r="J29" s="7" t="s">
        <v>954</v>
      </c>
      <c r="K29" s="14"/>
      <c r="L29" s="14"/>
      <c r="M29" s="14"/>
      <c r="N29" s="9" t="str">
        <f>"20261101-J05-M05-"&amp;G29&amp;"@"&amp;J29&amp;IF(OR(TRIM(H29)="",TRIM(H29)="-"),"","("&amp;TRIM(H29)&amp;")")</f>
        <v>20261101-J05-M05-UES@POZ</v>
      </c>
      <c r="O29" s="6"/>
    </row>
    <row r="30" spans="2:15" x14ac:dyDescent="0.35">
      <c r="B30" s="14" t="s">
        <v>15282</v>
      </c>
      <c r="C30" s="13">
        <v>46334</v>
      </c>
      <c r="D30" s="14">
        <v>6</v>
      </c>
      <c r="E30" s="4">
        <f t="shared" si="0"/>
        <v>26</v>
      </c>
      <c r="F30" s="4"/>
      <c r="G30" s="7" t="s">
        <v>1090</v>
      </c>
      <c r="H30" s="8" t="s">
        <v>15278</v>
      </c>
      <c r="I30" s="4"/>
      <c r="J30" s="7" t="s">
        <v>1257</v>
      </c>
      <c r="K30" s="14"/>
      <c r="L30" s="14"/>
      <c r="M30" s="14"/>
      <c r="N30" s="9" t="str">
        <f>"20261108-J06-M01-"&amp;G30&amp;"@"&amp;J30&amp;IF(OR(TRIM(H30)="",TRIM(H30)="-"),"","("&amp;TRIM(H30)&amp;")")</f>
        <v>20261108-J06-M01-UBU@UES</v>
      </c>
      <c r="O30" s="12"/>
    </row>
    <row r="31" spans="2:15" x14ac:dyDescent="0.35">
      <c r="B31" s="14"/>
      <c r="C31" s="13">
        <v>46334</v>
      </c>
      <c r="D31" s="14">
        <v>6</v>
      </c>
      <c r="E31" s="4">
        <f t="shared" si="0"/>
        <v>27</v>
      </c>
      <c r="F31" s="4"/>
      <c r="G31" s="10" t="s">
        <v>671</v>
      </c>
      <c r="H31" s="11" t="s">
        <v>15278</v>
      </c>
      <c r="I31" s="4"/>
      <c r="J31" s="10" t="s">
        <v>238</v>
      </c>
      <c r="K31" s="14"/>
      <c r="L31" s="14"/>
      <c r="M31" s="14"/>
      <c r="N31" s="9" t="str">
        <f>"20261108-J06-M02-"&amp;G31&amp;"@"&amp;J31&amp;IF(OR(TRIM(H31)="",TRIM(H31)="-"),"","("&amp;TRIM(H31)&amp;")")</f>
        <v>20261108-J06-M02-ORD@CIS</v>
      </c>
      <c r="O31" s="12"/>
    </row>
    <row r="32" spans="2:15" x14ac:dyDescent="0.35">
      <c r="B32" s="14"/>
      <c r="C32" s="13">
        <v>46334</v>
      </c>
      <c r="D32" s="14">
        <v>6</v>
      </c>
      <c r="E32" s="4">
        <f t="shared" si="0"/>
        <v>28</v>
      </c>
      <c r="F32" s="4"/>
      <c r="G32" s="7" t="s">
        <v>1395</v>
      </c>
      <c r="H32" s="8" t="s">
        <v>15278</v>
      </c>
      <c r="I32" s="4"/>
      <c r="J32" s="7" t="s">
        <v>431</v>
      </c>
      <c r="K32" s="14"/>
      <c r="L32" s="14"/>
      <c r="M32" s="14"/>
      <c r="N32" s="9" t="str">
        <f>"20261108-J06-M03-"&amp;G32&amp;"@"&amp;J32&amp;IF(OR(TRIM(H32)="",TRIM(H32)="-"),"","("&amp;TRIM(H32)&amp;")")</f>
        <v>20261108-J06-M03-SAL@VILA</v>
      </c>
      <c r="O32" s="12"/>
    </row>
    <row r="33" spans="2:15" x14ac:dyDescent="0.35">
      <c r="B33" s="14"/>
      <c r="C33" s="13">
        <v>46334</v>
      </c>
      <c r="D33" s="14">
        <v>6</v>
      </c>
      <c r="E33" s="4">
        <f t="shared" si="0"/>
        <v>29</v>
      </c>
      <c r="F33" s="4"/>
      <c r="G33" s="10" t="s">
        <v>809</v>
      </c>
      <c r="H33" s="11" t="s">
        <v>15278</v>
      </c>
      <c r="I33" s="4"/>
      <c r="J33" s="10" t="s">
        <v>557</v>
      </c>
      <c r="K33" s="14"/>
      <c r="L33" s="14"/>
      <c r="M33" s="14"/>
      <c r="N33" s="9" t="str">
        <f>"20261108-J06-M04-"&amp;G33&amp;"@"&amp;J33&amp;IF(OR(TRIM(H33)="",TRIM(H33)="-"),"","("&amp;TRIM(H33)&amp;")")</f>
        <v>20261108-J06-M04-LIC@VRAC</v>
      </c>
      <c r="O33" s="12"/>
    </row>
    <row r="34" spans="2:15" x14ac:dyDescent="0.35">
      <c r="B34" s="14"/>
      <c r="C34" s="13">
        <v>46334</v>
      </c>
      <c r="D34" s="14">
        <v>6</v>
      </c>
      <c r="E34" s="4">
        <f t="shared" si="0"/>
        <v>30</v>
      </c>
      <c r="F34" s="4"/>
      <c r="G34" s="7" t="s">
        <v>954</v>
      </c>
      <c r="H34" s="8" t="s">
        <v>15278</v>
      </c>
      <c r="I34" s="4"/>
      <c r="J34" s="7" t="s">
        <v>27</v>
      </c>
      <c r="K34" s="14"/>
      <c r="L34" s="14"/>
      <c r="M34" s="14"/>
      <c r="N34" s="9" t="str">
        <f>"20261108-J06-M05-"&amp;G34&amp;"@"&amp;J34&amp;IF(OR(TRIM(H34)="",TRIM(H34)="-"),"","("&amp;TRIM(H34)&amp;")")</f>
        <v>20261108-J06-M05-POZ@ALC</v>
      </c>
      <c r="O34" s="12"/>
    </row>
    <row r="35" spans="2:15" x14ac:dyDescent="0.35">
      <c r="B35" s="14" t="s">
        <v>15283</v>
      </c>
      <c r="C35" s="13">
        <v>46369</v>
      </c>
      <c r="D35" s="14">
        <v>7</v>
      </c>
      <c r="E35" s="4">
        <f t="shared" si="0"/>
        <v>31</v>
      </c>
      <c r="F35" s="4"/>
      <c r="G35" s="7" t="s">
        <v>1090</v>
      </c>
      <c r="H35" s="8" t="s">
        <v>15278</v>
      </c>
      <c r="I35" s="4"/>
      <c r="J35" s="7" t="s">
        <v>671</v>
      </c>
      <c r="K35" s="14"/>
      <c r="L35" s="14"/>
      <c r="M35" s="14"/>
      <c r="N35" s="9" t="str">
        <f>"20261213-J07-M01-"&amp;G35&amp;"@"&amp;J35&amp;IF(OR(TRIM(H35)="",TRIM(H35)="-"),"","("&amp;TRIM(H35)&amp;")")</f>
        <v>20261213-J07-M01-UBU@ORD</v>
      </c>
      <c r="O35" s="6"/>
    </row>
    <row r="36" spans="2:15" x14ac:dyDescent="0.35">
      <c r="B36" s="14"/>
      <c r="C36" s="13">
        <v>46369</v>
      </c>
      <c r="D36" s="14">
        <v>7</v>
      </c>
      <c r="E36" s="4">
        <f t="shared" si="0"/>
        <v>32</v>
      </c>
      <c r="F36" s="4"/>
      <c r="G36" s="10" t="s">
        <v>238</v>
      </c>
      <c r="H36" s="11" t="s">
        <v>15278</v>
      </c>
      <c r="I36" s="4"/>
      <c r="J36" s="10" t="s">
        <v>1395</v>
      </c>
      <c r="K36" s="14"/>
      <c r="L36" s="14"/>
      <c r="M36" s="14"/>
      <c r="N36" s="9" t="str">
        <f>"20261213-J07-M02-"&amp;G36&amp;"@"&amp;J36&amp;IF(OR(TRIM(H36)="",TRIM(H36)="-"),"","("&amp;TRIM(H36)&amp;")")</f>
        <v>20261213-J07-M02-CIS@SAL</v>
      </c>
      <c r="O36" s="6"/>
    </row>
    <row r="37" spans="2:15" x14ac:dyDescent="0.35">
      <c r="B37" s="14"/>
      <c r="C37" s="13">
        <v>46369</v>
      </c>
      <c r="D37" s="14">
        <v>7</v>
      </c>
      <c r="E37" s="4">
        <f t="shared" si="0"/>
        <v>33</v>
      </c>
      <c r="F37" s="4"/>
      <c r="G37" s="7" t="s">
        <v>431</v>
      </c>
      <c r="H37" s="8" t="s">
        <v>15278</v>
      </c>
      <c r="I37" s="4"/>
      <c r="J37" s="7" t="s">
        <v>809</v>
      </c>
      <c r="K37" s="14"/>
      <c r="L37" s="14"/>
      <c r="M37" s="14"/>
      <c r="N37" s="9" t="str">
        <f>"20261213-J07-M03-"&amp;G37&amp;"@"&amp;J37&amp;IF(OR(TRIM(H37)="",TRIM(H37)="-"),"","("&amp;TRIM(H37)&amp;")")</f>
        <v>20261213-J07-M03-VILA@LIC</v>
      </c>
      <c r="O37" s="6"/>
    </row>
    <row r="38" spans="2:15" x14ac:dyDescent="0.35">
      <c r="B38" s="14"/>
      <c r="C38" s="13">
        <v>46369</v>
      </c>
      <c r="D38" s="14">
        <v>7</v>
      </c>
      <c r="E38" s="4">
        <f t="shared" ref="E38:E69" si="1">+E37+1</f>
        <v>34</v>
      </c>
      <c r="F38" s="4"/>
      <c r="G38" s="10" t="s">
        <v>557</v>
      </c>
      <c r="H38" s="11" t="s">
        <v>15278</v>
      </c>
      <c r="I38" s="4"/>
      <c r="J38" s="10" t="s">
        <v>954</v>
      </c>
      <c r="K38" s="14"/>
      <c r="L38" s="14"/>
      <c r="M38" s="14"/>
      <c r="N38" s="9" t="str">
        <f>"20261213-J07-M04-"&amp;G38&amp;"@"&amp;J38&amp;IF(OR(TRIM(H38)="",TRIM(H38)="-"),"","("&amp;TRIM(H38)&amp;")")</f>
        <v>20261213-J07-M04-VRAC@POZ</v>
      </c>
      <c r="O38" s="6"/>
    </row>
    <row r="39" spans="2:15" x14ac:dyDescent="0.35">
      <c r="B39" s="14"/>
      <c r="C39" s="13">
        <v>46369</v>
      </c>
      <c r="D39" s="14">
        <v>7</v>
      </c>
      <c r="E39" s="4">
        <f t="shared" si="1"/>
        <v>35</v>
      </c>
      <c r="F39" s="4"/>
      <c r="G39" s="7" t="s">
        <v>1257</v>
      </c>
      <c r="H39" s="8" t="s">
        <v>15278</v>
      </c>
      <c r="I39" s="4"/>
      <c r="J39" s="7" t="s">
        <v>27</v>
      </c>
      <c r="K39" s="14"/>
      <c r="L39" s="14"/>
      <c r="M39" s="14"/>
      <c r="N39" s="9" t="str">
        <f>"20261213-J07-M05-"&amp;G39&amp;"@"&amp;J39&amp;IF(OR(TRIM(H39)="",TRIM(H39)="-"),"","("&amp;TRIM(H39)&amp;")")</f>
        <v>20261213-J07-M05-UES@ALC</v>
      </c>
      <c r="O39" s="6"/>
    </row>
    <row r="40" spans="2:15" x14ac:dyDescent="0.35">
      <c r="B40" s="14"/>
      <c r="C40" s="13">
        <v>46376</v>
      </c>
      <c r="D40" s="14">
        <v>7</v>
      </c>
      <c r="E40" s="4">
        <f t="shared" si="1"/>
        <v>36</v>
      </c>
      <c r="F40" s="4"/>
      <c r="G40" s="7" t="s">
        <v>1257</v>
      </c>
      <c r="H40" s="8" t="s">
        <v>15278</v>
      </c>
      <c r="I40" s="4"/>
      <c r="J40" s="7" t="s">
        <v>671</v>
      </c>
      <c r="K40" s="14"/>
      <c r="L40" s="14"/>
      <c r="M40" s="14"/>
      <c r="N40" s="9" t="str">
        <f>"20261220-J08-M01-"&amp;G40&amp;"@"&amp;J40&amp;IF(OR(TRIM(H40)="",TRIM(H40)="-"),"","("&amp;TRIM(H40)&amp;")")</f>
        <v>20261220-J08-M01-UES@ORD</v>
      </c>
      <c r="O40" s="12"/>
    </row>
    <row r="41" spans="2:15" x14ac:dyDescent="0.35">
      <c r="B41" s="14" t="s">
        <v>15284</v>
      </c>
      <c r="C41" s="13">
        <v>46376</v>
      </c>
      <c r="D41" s="14">
        <v>8</v>
      </c>
      <c r="E41" s="4">
        <f t="shared" si="1"/>
        <v>37</v>
      </c>
      <c r="F41" s="4"/>
      <c r="G41" s="10" t="s">
        <v>1395</v>
      </c>
      <c r="H41" s="11" t="s">
        <v>15278</v>
      </c>
      <c r="I41" s="4"/>
      <c r="J41" s="7" t="s">
        <v>1090</v>
      </c>
      <c r="K41" s="14"/>
      <c r="L41" s="14"/>
      <c r="M41" s="14"/>
      <c r="N41" s="9" t="str">
        <f>"20261220-J08-M02-"&amp;G41&amp;"@"&amp;J41&amp;IF(OR(TRIM(H41)="",TRIM(H41)="-"),"","("&amp;TRIM(H41)&amp;")")</f>
        <v>20261220-J08-M02-SAL@UBU</v>
      </c>
      <c r="O41" s="6"/>
    </row>
    <row r="42" spans="2:15" x14ac:dyDescent="0.35">
      <c r="B42" s="14"/>
      <c r="C42" s="13">
        <v>46376</v>
      </c>
      <c r="D42" s="14">
        <v>8</v>
      </c>
      <c r="E42" s="4">
        <f t="shared" si="1"/>
        <v>38</v>
      </c>
      <c r="F42" s="4"/>
      <c r="G42" s="7" t="s">
        <v>809</v>
      </c>
      <c r="H42" s="8" t="s">
        <v>15278</v>
      </c>
      <c r="I42" s="4"/>
      <c r="J42" s="7" t="s">
        <v>238</v>
      </c>
      <c r="K42" s="14"/>
      <c r="L42" s="14"/>
      <c r="M42" s="14"/>
      <c r="N42" s="9" t="str">
        <f>"20261220-J08-M03-"&amp;G42&amp;"@"&amp;J42&amp;IF(OR(TRIM(H42)="",TRIM(H42)="-"),"","("&amp;TRIM(H42)&amp;")")</f>
        <v>20261220-J08-M03-LIC@CIS</v>
      </c>
      <c r="O42" s="6"/>
    </row>
    <row r="43" spans="2:15" x14ac:dyDescent="0.35">
      <c r="B43" s="14"/>
      <c r="C43" s="13">
        <v>46376</v>
      </c>
      <c r="D43" s="14">
        <v>8</v>
      </c>
      <c r="E43" s="4">
        <f t="shared" si="1"/>
        <v>39</v>
      </c>
      <c r="F43" s="4"/>
      <c r="G43" s="10" t="s">
        <v>954</v>
      </c>
      <c r="H43" s="11" t="s">
        <v>15278</v>
      </c>
      <c r="I43" s="4"/>
      <c r="J43" s="10" t="s">
        <v>431</v>
      </c>
      <c r="K43" s="14"/>
      <c r="L43" s="14"/>
      <c r="M43" s="14"/>
      <c r="N43" s="9" t="str">
        <f>"20261220-J08-M04-"&amp;G43&amp;"@"&amp;J43&amp;IF(OR(TRIM(H43)="",TRIM(H43)="-"),"","("&amp;TRIM(H43)&amp;")")</f>
        <v>20261220-J08-M04-POZ@VILA</v>
      </c>
      <c r="O43" s="6"/>
    </row>
    <row r="44" spans="2:15" x14ac:dyDescent="0.35">
      <c r="B44" s="14"/>
      <c r="C44" s="13">
        <v>46376</v>
      </c>
      <c r="D44" s="14">
        <v>8</v>
      </c>
      <c r="E44" s="4">
        <f t="shared" si="1"/>
        <v>40</v>
      </c>
      <c r="F44" s="4"/>
      <c r="G44" s="7" t="s">
        <v>27</v>
      </c>
      <c r="H44" s="8" t="s">
        <v>15278</v>
      </c>
      <c r="I44" s="4"/>
      <c r="J44" s="7" t="s">
        <v>557</v>
      </c>
      <c r="K44" s="14"/>
      <c r="L44" s="14"/>
      <c r="M44" s="14"/>
      <c r="N44" s="9" t="str">
        <f>"20261220-J08-M05-"&amp;G44&amp;"@"&amp;J44&amp;IF(OR(TRIM(H44)="",TRIM(H44)="-"),"","("&amp;TRIM(H44)&amp;")")</f>
        <v>20261220-J08-M05-ALC@VRAC</v>
      </c>
      <c r="O44" s="6"/>
    </row>
    <row r="45" spans="2:15" x14ac:dyDescent="0.35">
      <c r="B45" s="14" t="s">
        <v>15285</v>
      </c>
      <c r="C45" s="13">
        <v>46404</v>
      </c>
      <c r="D45" s="14">
        <v>9</v>
      </c>
      <c r="E45" s="4">
        <f t="shared" si="1"/>
        <v>41</v>
      </c>
      <c r="F45" s="4"/>
      <c r="G45" s="7" t="s">
        <v>671</v>
      </c>
      <c r="H45" s="8" t="s">
        <v>15278</v>
      </c>
      <c r="I45" s="4"/>
      <c r="J45" s="7" t="s">
        <v>1395</v>
      </c>
      <c r="K45" s="14"/>
      <c r="L45" s="14"/>
      <c r="M45" s="14"/>
      <c r="N45" s="9" t="str">
        <f>"20270117-J09-M01-"&amp;G45&amp;"@"&amp;J45&amp;IF(OR(TRIM(H45)="",TRIM(H45)="-"),"","("&amp;TRIM(H45)&amp;")")</f>
        <v>20270117-J09-M01-ORD@SAL</v>
      </c>
      <c r="O45" s="6"/>
    </row>
    <row r="46" spans="2:15" x14ac:dyDescent="0.35">
      <c r="B46" s="14"/>
      <c r="C46" s="13">
        <v>46404</v>
      </c>
      <c r="D46" s="14">
        <v>9</v>
      </c>
      <c r="E46" s="4">
        <f t="shared" si="1"/>
        <v>42</v>
      </c>
      <c r="F46" s="4"/>
      <c r="G46" s="10" t="s">
        <v>1090</v>
      </c>
      <c r="H46" s="11" t="s">
        <v>15278</v>
      </c>
      <c r="I46" s="4"/>
      <c r="J46" s="10" t="s">
        <v>809</v>
      </c>
      <c r="K46" s="14"/>
      <c r="L46" s="14"/>
      <c r="M46" s="14"/>
      <c r="N46" s="9" t="str">
        <f>"20270117-J09-M02-"&amp;G46&amp;"@"&amp;J46&amp;IF(OR(TRIM(H46)="",TRIM(H46)="-"),"","("&amp;TRIM(H46)&amp;")")</f>
        <v>20270117-J09-M02-UBU@LIC</v>
      </c>
      <c r="O46" s="6"/>
    </row>
    <row r="47" spans="2:15" x14ac:dyDescent="0.35">
      <c r="B47" s="14"/>
      <c r="C47" s="13">
        <v>46404</v>
      </c>
      <c r="D47" s="14">
        <v>9</v>
      </c>
      <c r="E47" s="4">
        <f t="shared" si="1"/>
        <v>43</v>
      </c>
      <c r="F47" s="4"/>
      <c r="G47" s="7" t="s">
        <v>238</v>
      </c>
      <c r="H47" s="8" t="s">
        <v>15278</v>
      </c>
      <c r="I47" s="4"/>
      <c r="J47" s="7" t="s">
        <v>954</v>
      </c>
      <c r="K47" s="14"/>
      <c r="L47" s="14"/>
      <c r="M47" s="14"/>
      <c r="N47" s="9" t="str">
        <f>"20270117-J09-M03-"&amp;G47&amp;"@"&amp;J47&amp;IF(OR(TRIM(H47)="",TRIM(H47)="-"),"","("&amp;TRIM(H47)&amp;")")</f>
        <v>20270117-J09-M03-CIS@POZ</v>
      </c>
      <c r="O47" s="6"/>
    </row>
    <row r="48" spans="2:15" x14ac:dyDescent="0.35">
      <c r="B48" s="14"/>
      <c r="C48" s="13">
        <v>46404</v>
      </c>
      <c r="D48" s="14">
        <v>9</v>
      </c>
      <c r="E48" s="4">
        <f t="shared" si="1"/>
        <v>44</v>
      </c>
      <c r="F48" s="4"/>
      <c r="G48" s="10" t="s">
        <v>431</v>
      </c>
      <c r="H48" s="11" t="s">
        <v>15278</v>
      </c>
      <c r="I48" s="4"/>
      <c r="J48" s="10" t="s">
        <v>27</v>
      </c>
      <c r="K48" s="14"/>
      <c r="L48" s="14"/>
      <c r="M48" s="14"/>
      <c r="N48" s="9" t="str">
        <f>"20270117-J09-M04-"&amp;G48&amp;"@"&amp;J48&amp;IF(OR(TRIM(H48)="",TRIM(H48)="-"),"","("&amp;TRIM(H48)&amp;")")</f>
        <v>20270117-J09-M04-VILA@ALC</v>
      </c>
      <c r="O48" s="6"/>
    </row>
    <row r="49" spans="2:15" x14ac:dyDescent="0.35">
      <c r="B49" s="14"/>
      <c r="C49" s="13">
        <v>46404</v>
      </c>
      <c r="D49" s="14">
        <v>9</v>
      </c>
      <c r="E49" s="4">
        <f t="shared" si="1"/>
        <v>45</v>
      </c>
      <c r="F49" s="4"/>
      <c r="G49" s="7" t="s">
        <v>557</v>
      </c>
      <c r="H49" s="8" t="s">
        <v>15278</v>
      </c>
      <c r="I49" s="4"/>
      <c r="J49" s="7" t="s">
        <v>1257</v>
      </c>
      <c r="K49" s="14"/>
      <c r="L49" s="14"/>
      <c r="M49" s="14"/>
      <c r="N49" s="9" t="str">
        <f>"20270117-J09-M05-"&amp;G49&amp;"@"&amp;J49&amp;IF(OR(TRIM(H49)="",TRIM(H49)="-"),"","("&amp;TRIM(H49)&amp;")")</f>
        <v>20270117-J09-M05-VRAC@UES</v>
      </c>
      <c r="O49" s="6"/>
    </row>
    <row r="50" spans="2:15" x14ac:dyDescent="0.35">
      <c r="B50" s="14" t="s">
        <v>15286</v>
      </c>
      <c r="C50" s="13">
        <v>46411</v>
      </c>
      <c r="D50" s="14">
        <v>10</v>
      </c>
      <c r="E50" s="4">
        <f t="shared" si="1"/>
        <v>46</v>
      </c>
      <c r="F50" s="4"/>
      <c r="G50" s="7" t="s">
        <v>431</v>
      </c>
      <c r="H50" s="8" t="s">
        <v>15278</v>
      </c>
      <c r="I50" s="4"/>
      <c r="J50" s="7" t="s">
        <v>557</v>
      </c>
      <c r="K50" s="14"/>
      <c r="L50" s="14"/>
      <c r="M50" s="14"/>
      <c r="N50" s="9" t="str">
        <f>"20270124-J10-M01-"&amp;G50&amp;"@"&amp;J50&amp;IF(OR(TRIM(H50)="",TRIM(H50)="-"),"","("&amp;TRIM(H50)&amp;")")</f>
        <v>20270124-J10-M01-VILA@VRAC</v>
      </c>
      <c r="O50" s="12"/>
    </row>
    <row r="51" spans="2:15" x14ac:dyDescent="0.35">
      <c r="B51" s="14"/>
      <c r="C51" s="13">
        <v>46411</v>
      </c>
      <c r="D51" s="14">
        <v>10</v>
      </c>
      <c r="E51" s="4">
        <f t="shared" si="1"/>
        <v>47</v>
      </c>
      <c r="F51" s="4"/>
      <c r="G51" s="10" t="s">
        <v>238</v>
      </c>
      <c r="H51" s="11" t="s">
        <v>15278</v>
      </c>
      <c r="I51" s="4"/>
      <c r="J51" s="10" t="s">
        <v>27</v>
      </c>
      <c r="K51" s="14"/>
      <c r="L51" s="14"/>
      <c r="M51" s="14"/>
      <c r="N51" s="9" t="str">
        <f>"20270124-J10-M02-"&amp;G51&amp;"@"&amp;J51&amp;IF(OR(TRIM(H51)="",TRIM(H51)="-"),"","("&amp;TRIM(H51)&amp;")")</f>
        <v>20270124-J10-M02-CIS@ALC</v>
      </c>
      <c r="O51" s="12"/>
    </row>
    <row r="52" spans="2:15" x14ac:dyDescent="0.35">
      <c r="B52" s="14"/>
      <c r="C52" s="13">
        <v>46411</v>
      </c>
      <c r="D52" s="14">
        <v>10</v>
      </c>
      <c r="E52" s="4">
        <f t="shared" si="1"/>
        <v>48</v>
      </c>
      <c r="F52" s="4"/>
      <c r="G52" s="10" t="s">
        <v>1090</v>
      </c>
      <c r="H52" s="8" t="s">
        <v>15278</v>
      </c>
      <c r="I52" s="4"/>
      <c r="J52" s="7" t="s">
        <v>954</v>
      </c>
      <c r="K52" s="14"/>
      <c r="L52" s="14"/>
      <c r="M52" s="14"/>
      <c r="N52" s="9" t="str">
        <f>"20270124-J10-M03-"&amp;G52&amp;"@"&amp;J52&amp;IF(OR(TRIM(H52)="",TRIM(H52)="-"),"","("&amp;TRIM(H52)&amp;")")</f>
        <v>20270124-J10-M03-UBU@POZ</v>
      </c>
      <c r="O52" s="12"/>
    </row>
    <row r="53" spans="2:15" x14ac:dyDescent="0.35">
      <c r="B53" s="14"/>
      <c r="C53" s="13">
        <v>46411</v>
      </c>
      <c r="D53" s="14">
        <v>10</v>
      </c>
      <c r="E53" s="4">
        <f t="shared" si="1"/>
        <v>49</v>
      </c>
      <c r="F53" s="4"/>
      <c r="G53" s="10" t="s">
        <v>671</v>
      </c>
      <c r="H53" s="11" t="s">
        <v>15278</v>
      </c>
      <c r="I53" s="4"/>
      <c r="J53" s="10" t="s">
        <v>809</v>
      </c>
      <c r="K53" s="14"/>
      <c r="L53" s="14"/>
      <c r="M53" s="14"/>
      <c r="N53" s="9" t="str">
        <f>"20270124-J10-M04-"&amp;G53&amp;"@"&amp;J53&amp;IF(OR(TRIM(H53)="",TRIM(H53)="-"),"","("&amp;TRIM(H53)&amp;")")</f>
        <v>20270124-J10-M04-ORD@LIC</v>
      </c>
      <c r="O53" s="12"/>
    </row>
    <row r="54" spans="2:15" x14ac:dyDescent="0.35">
      <c r="B54" s="14"/>
      <c r="C54" s="13">
        <v>46411</v>
      </c>
      <c r="D54" s="14">
        <v>10</v>
      </c>
      <c r="E54" s="4">
        <f t="shared" si="1"/>
        <v>50</v>
      </c>
      <c r="F54" s="4"/>
      <c r="G54" s="7" t="s">
        <v>1395</v>
      </c>
      <c r="H54" s="8" t="s">
        <v>15278</v>
      </c>
      <c r="I54" s="4"/>
      <c r="J54" s="7" t="s">
        <v>1257</v>
      </c>
      <c r="K54" s="14"/>
      <c r="L54" s="14"/>
      <c r="M54" s="14"/>
      <c r="N54" s="9" t="str">
        <f>"20270124-J10-M05-"&amp;G54&amp;"@"&amp;J54&amp;IF(OR(TRIM(H54)="",TRIM(H54)="-"),"","("&amp;TRIM(H54)&amp;")")</f>
        <v>20270124-J10-M05-SAL@UES</v>
      </c>
      <c r="O54" s="12"/>
    </row>
    <row r="55" spans="2:15" x14ac:dyDescent="0.35">
      <c r="B55" s="14" t="s">
        <v>15287</v>
      </c>
      <c r="C55" s="13">
        <v>46432</v>
      </c>
      <c r="D55" s="14">
        <v>11</v>
      </c>
      <c r="E55" s="4">
        <f t="shared" si="1"/>
        <v>51</v>
      </c>
      <c r="F55" s="4"/>
      <c r="G55" s="7" t="s">
        <v>1257</v>
      </c>
      <c r="H55" s="8" t="s">
        <v>15278</v>
      </c>
      <c r="I55" s="4"/>
      <c r="J55" s="7" t="s">
        <v>431</v>
      </c>
      <c r="K55" s="14"/>
      <c r="L55" s="14"/>
      <c r="M55" s="14"/>
      <c r="N55" s="9" t="str">
        <f>"20270214-J11-M01-"&amp;G55&amp;"@"&amp;J55&amp;IF(OR(TRIM(H55)="",TRIM(H55)="-"),"","("&amp;TRIM(H55)&amp;")")</f>
        <v>20270214-J11-M01-UES@VILA</v>
      </c>
      <c r="O55" s="6"/>
    </row>
    <row r="56" spans="2:15" x14ac:dyDescent="0.35">
      <c r="B56" s="14"/>
      <c r="C56" s="13">
        <v>46432</v>
      </c>
      <c r="D56" s="14">
        <v>11</v>
      </c>
      <c r="E56" s="4">
        <f t="shared" si="1"/>
        <v>52</v>
      </c>
      <c r="F56" s="4"/>
      <c r="G56" s="10" t="s">
        <v>557</v>
      </c>
      <c r="H56" s="11" t="s">
        <v>15278</v>
      </c>
      <c r="I56" s="4"/>
      <c r="J56" s="10" t="s">
        <v>238</v>
      </c>
      <c r="K56" s="14"/>
      <c r="L56" s="14"/>
      <c r="M56" s="14"/>
      <c r="N56" s="9" t="str">
        <f>"20270214-J11-M02-"&amp;G56&amp;"@"&amp;J56&amp;IF(OR(TRIM(H56)="",TRIM(H56)="-"),"","("&amp;TRIM(H56)&amp;")")</f>
        <v>20270214-J11-M02-VRAC@CIS</v>
      </c>
      <c r="O56" s="6"/>
    </row>
    <row r="57" spans="2:15" x14ac:dyDescent="0.35">
      <c r="B57" s="14"/>
      <c r="C57" s="13">
        <v>46432</v>
      </c>
      <c r="D57" s="14">
        <v>11</v>
      </c>
      <c r="E57" s="4">
        <f t="shared" si="1"/>
        <v>53</v>
      </c>
      <c r="F57" s="4"/>
      <c r="G57" s="7" t="s">
        <v>27</v>
      </c>
      <c r="H57" s="8" t="s">
        <v>15278</v>
      </c>
      <c r="I57" s="4"/>
      <c r="J57" s="10" t="s">
        <v>1090</v>
      </c>
      <c r="K57" s="14"/>
      <c r="L57" s="14"/>
      <c r="M57" s="14"/>
      <c r="N57" s="9" t="str">
        <f>"20270214-J11-M03-"&amp;G57&amp;"@"&amp;J57&amp;IF(OR(TRIM(H57)="",TRIM(H57)="-"),"","("&amp;TRIM(H57)&amp;")")</f>
        <v>20270214-J11-M03-ALC@UBU</v>
      </c>
      <c r="O57" s="6"/>
    </row>
    <row r="58" spans="2:15" x14ac:dyDescent="0.35">
      <c r="B58" s="14"/>
      <c r="C58" s="13">
        <v>46432</v>
      </c>
      <c r="D58" s="14">
        <v>11</v>
      </c>
      <c r="E58" s="4">
        <f t="shared" si="1"/>
        <v>54</v>
      </c>
      <c r="F58" s="4"/>
      <c r="G58" s="10" t="s">
        <v>954</v>
      </c>
      <c r="H58" s="11" t="s">
        <v>15278</v>
      </c>
      <c r="I58" s="4"/>
      <c r="J58" s="10" t="s">
        <v>671</v>
      </c>
      <c r="K58" s="14"/>
      <c r="L58" s="14"/>
      <c r="M58" s="14"/>
      <c r="N58" s="9" t="str">
        <f>"20270214-J11-M04-"&amp;G58&amp;"@"&amp;J58&amp;IF(OR(TRIM(H58)="",TRIM(H58)="-"),"","("&amp;TRIM(H58)&amp;")")</f>
        <v>20270214-J11-M04-POZ@ORD</v>
      </c>
      <c r="O58" s="6"/>
    </row>
    <row r="59" spans="2:15" x14ac:dyDescent="0.35">
      <c r="B59" s="14"/>
      <c r="C59" s="13">
        <v>46432</v>
      </c>
      <c r="D59" s="14">
        <v>11</v>
      </c>
      <c r="E59" s="4">
        <f t="shared" si="1"/>
        <v>55</v>
      </c>
      <c r="F59" s="4"/>
      <c r="G59" s="7" t="s">
        <v>809</v>
      </c>
      <c r="H59" s="8" t="s">
        <v>15278</v>
      </c>
      <c r="I59" s="4"/>
      <c r="J59" s="7" t="s">
        <v>1395</v>
      </c>
      <c r="K59" s="14"/>
      <c r="L59" s="14"/>
      <c r="M59" s="14"/>
      <c r="N59" s="9" t="str">
        <f>"20270214-J11-M05-"&amp;G59&amp;"@"&amp;J59&amp;IF(OR(TRIM(H59)="",TRIM(H59)="-"),"","("&amp;TRIM(H59)&amp;")")</f>
        <v>20270214-J11-M05-LIC@SAL</v>
      </c>
      <c r="O59" s="6"/>
    </row>
    <row r="60" spans="2:15" x14ac:dyDescent="0.35">
      <c r="B60" s="14" t="s">
        <v>15288</v>
      </c>
      <c r="C60" s="13">
        <v>46439</v>
      </c>
      <c r="D60" s="14">
        <v>12</v>
      </c>
      <c r="E60" s="4">
        <f t="shared" si="1"/>
        <v>56</v>
      </c>
      <c r="F60" s="4"/>
      <c r="G60" s="7" t="s">
        <v>238</v>
      </c>
      <c r="H60" s="8" t="s">
        <v>15278</v>
      </c>
      <c r="I60" s="4"/>
      <c r="J60" s="7" t="s">
        <v>431</v>
      </c>
      <c r="K60" s="14"/>
      <c r="L60" s="14"/>
      <c r="M60" s="14"/>
      <c r="N60" s="9" t="str">
        <f>"20270221-J12-M01-"&amp;G60&amp;"@"&amp;J60&amp;IF(OR(TRIM(H60)="",TRIM(H60)="-"),"","("&amp;TRIM(H60)&amp;")")</f>
        <v>20270221-J12-M01-CIS@VILA</v>
      </c>
      <c r="O60" s="15"/>
    </row>
    <row r="61" spans="2:15" x14ac:dyDescent="0.35">
      <c r="B61" s="14"/>
      <c r="C61" s="13">
        <v>46439</v>
      </c>
      <c r="D61" s="14">
        <v>12</v>
      </c>
      <c r="E61" s="4">
        <f t="shared" si="1"/>
        <v>57</v>
      </c>
      <c r="F61" s="4"/>
      <c r="G61" s="10" t="s">
        <v>1090</v>
      </c>
      <c r="H61" s="11" t="s">
        <v>15278</v>
      </c>
      <c r="I61" s="4"/>
      <c r="J61" s="10" t="s">
        <v>557</v>
      </c>
      <c r="K61" s="14"/>
      <c r="L61" s="14"/>
      <c r="M61" s="14"/>
      <c r="N61" s="9" t="str">
        <f>"20270221-J12-M02-"&amp;G61&amp;"@"&amp;J61&amp;IF(OR(TRIM(H61)="",TRIM(H61)="-"),"","("&amp;TRIM(H61)&amp;")")</f>
        <v>20270221-J12-M02-UBU@VRAC</v>
      </c>
      <c r="O61" s="15"/>
    </row>
    <row r="62" spans="2:15" x14ac:dyDescent="0.35">
      <c r="B62" s="14"/>
      <c r="C62" s="13">
        <v>46439</v>
      </c>
      <c r="D62" s="14">
        <v>12</v>
      </c>
      <c r="E62" s="4">
        <f t="shared" si="1"/>
        <v>58</v>
      </c>
      <c r="F62" s="4"/>
      <c r="G62" s="7" t="s">
        <v>671</v>
      </c>
      <c r="H62" s="8" t="s">
        <v>15278</v>
      </c>
      <c r="I62" s="4"/>
      <c r="J62" s="7" t="s">
        <v>27</v>
      </c>
      <c r="K62" s="14"/>
      <c r="L62" s="14"/>
      <c r="M62" s="14"/>
      <c r="N62" s="9" t="str">
        <f>"20270221-J12-M03-"&amp;G62&amp;"@"&amp;J62&amp;IF(OR(TRIM(H62)="",TRIM(H62)="-"),"","("&amp;TRIM(H62)&amp;")")</f>
        <v>20270221-J12-M03-ORD@ALC</v>
      </c>
      <c r="O62" s="15"/>
    </row>
    <row r="63" spans="2:15" x14ac:dyDescent="0.35">
      <c r="B63" s="14"/>
      <c r="C63" s="13">
        <v>46439</v>
      </c>
      <c r="D63" s="14">
        <v>12</v>
      </c>
      <c r="E63" s="4">
        <f t="shared" si="1"/>
        <v>59</v>
      </c>
      <c r="F63" s="4"/>
      <c r="G63" s="10" t="s">
        <v>1395</v>
      </c>
      <c r="H63" s="11" t="s">
        <v>15278</v>
      </c>
      <c r="I63" s="4"/>
      <c r="J63" s="10" t="s">
        <v>954</v>
      </c>
      <c r="K63" s="14"/>
      <c r="L63" s="14"/>
      <c r="M63" s="14"/>
      <c r="N63" s="9" t="str">
        <f>"20270221-J12-M04-"&amp;G63&amp;"@"&amp;J63&amp;IF(OR(TRIM(H63)="",TRIM(H63)="-"),"","("&amp;TRIM(H63)&amp;")")</f>
        <v>20270221-J12-M04-SAL@POZ</v>
      </c>
      <c r="O63" s="15"/>
    </row>
    <row r="64" spans="2:15" x14ac:dyDescent="0.35">
      <c r="B64" s="14"/>
      <c r="C64" s="13">
        <v>46439</v>
      </c>
      <c r="D64" s="14">
        <v>12</v>
      </c>
      <c r="E64" s="4">
        <f t="shared" si="1"/>
        <v>60</v>
      </c>
      <c r="F64" s="4"/>
      <c r="G64" s="7" t="s">
        <v>809</v>
      </c>
      <c r="H64" s="8" t="s">
        <v>15278</v>
      </c>
      <c r="I64" s="4"/>
      <c r="J64" s="7" t="s">
        <v>1257</v>
      </c>
      <c r="K64" s="14"/>
      <c r="L64" s="14"/>
      <c r="M64" s="14"/>
      <c r="N64" s="9" t="str">
        <f>"20270221-J12-M05-"&amp;G64&amp;"@"&amp;J64&amp;IF(OR(TRIM(H64)="",TRIM(H64)="-"),"","("&amp;TRIM(H64)&amp;")")</f>
        <v>20270221-J12-M05-LIC@UES</v>
      </c>
      <c r="O64" s="15"/>
    </row>
    <row r="65" spans="2:15" x14ac:dyDescent="0.35">
      <c r="B65" s="14" t="s">
        <v>15289</v>
      </c>
      <c r="C65" s="13">
        <v>46453</v>
      </c>
      <c r="D65" s="14">
        <v>13</v>
      </c>
      <c r="E65" s="4">
        <f t="shared" si="1"/>
        <v>61</v>
      </c>
      <c r="F65" s="4"/>
      <c r="G65" s="7" t="s">
        <v>1257</v>
      </c>
      <c r="H65" s="8" t="s">
        <v>15278</v>
      </c>
      <c r="I65" s="4"/>
      <c r="J65" s="7" t="s">
        <v>238</v>
      </c>
      <c r="K65" s="14"/>
      <c r="L65" s="14"/>
      <c r="M65" s="14"/>
      <c r="N65" s="9" t="str">
        <f>"20270307-J13-M01-"&amp;G65&amp;"@"&amp;J65&amp;IF(OR(TRIM(H65)="",TRIM(H65)="-"),"","("&amp;TRIM(H65)&amp;")")</f>
        <v>20270307-J13-M01-UES@CIS</v>
      </c>
      <c r="O65" s="6"/>
    </row>
    <row r="66" spans="2:15" x14ac:dyDescent="0.35">
      <c r="B66" s="14"/>
      <c r="C66" s="13">
        <v>46453</v>
      </c>
      <c r="D66" s="14">
        <v>13</v>
      </c>
      <c r="E66" s="4">
        <f t="shared" si="1"/>
        <v>62</v>
      </c>
      <c r="F66" s="4"/>
      <c r="G66" s="10" t="s">
        <v>431</v>
      </c>
      <c r="H66" s="11" t="s">
        <v>15278</v>
      </c>
      <c r="I66" s="4"/>
      <c r="J66" s="10" t="s">
        <v>1090</v>
      </c>
      <c r="K66" s="14"/>
      <c r="L66" s="14"/>
      <c r="M66" s="14"/>
      <c r="N66" s="9" t="str">
        <f>"20270307-J13-M02-"&amp;G66&amp;"@"&amp;J66&amp;IF(OR(TRIM(H66)="",TRIM(H66)="-"),"","("&amp;TRIM(H66)&amp;")")</f>
        <v>20270307-J13-M02-VILA@UBU</v>
      </c>
      <c r="O66" s="6"/>
    </row>
    <row r="67" spans="2:15" x14ac:dyDescent="0.35">
      <c r="B67" s="14"/>
      <c r="C67" s="13">
        <v>46453</v>
      </c>
      <c r="D67" s="14">
        <v>13</v>
      </c>
      <c r="E67" s="4">
        <f t="shared" si="1"/>
        <v>63</v>
      </c>
      <c r="F67" s="4"/>
      <c r="G67" s="7" t="s">
        <v>557</v>
      </c>
      <c r="H67" s="8" t="s">
        <v>15278</v>
      </c>
      <c r="I67" s="4"/>
      <c r="J67" s="7" t="s">
        <v>671</v>
      </c>
      <c r="K67" s="14"/>
      <c r="L67" s="14"/>
      <c r="M67" s="14"/>
      <c r="N67" s="9" t="str">
        <f>"20270307-J13-M03-"&amp;G67&amp;"@"&amp;J67&amp;IF(OR(TRIM(H67)="",TRIM(H67)="-"),"","("&amp;TRIM(H67)&amp;")")</f>
        <v>20270307-J13-M03-VRAC@ORD</v>
      </c>
      <c r="O67" s="6"/>
    </row>
    <row r="68" spans="2:15" x14ac:dyDescent="0.35">
      <c r="B68" s="14"/>
      <c r="C68" s="13">
        <v>46453</v>
      </c>
      <c r="D68" s="14">
        <v>13</v>
      </c>
      <c r="E68" s="4">
        <f t="shared" si="1"/>
        <v>64</v>
      </c>
      <c r="F68" s="4"/>
      <c r="G68" s="10" t="s">
        <v>27</v>
      </c>
      <c r="H68" s="11" t="s">
        <v>15278</v>
      </c>
      <c r="I68" s="4"/>
      <c r="J68" s="10" t="s">
        <v>1395</v>
      </c>
      <c r="K68" s="14"/>
      <c r="L68" s="14"/>
      <c r="M68" s="14"/>
      <c r="N68" s="9" t="str">
        <f>"20270307-J13-M04-"&amp;G68&amp;"@"&amp;J68&amp;IF(OR(TRIM(H68)="",TRIM(H68)="-"),"","("&amp;TRIM(H68)&amp;")")</f>
        <v>20270307-J13-M04-ALC@SAL</v>
      </c>
      <c r="O68" s="6"/>
    </row>
    <row r="69" spans="2:15" x14ac:dyDescent="0.35">
      <c r="B69" s="14"/>
      <c r="C69" s="13">
        <v>46453</v>
      </c>
      <c r="D69" s="14">
        <v>13</v>
      </c>
      <c r="E69" s="4">
        <f t="shared" si="1"/>
        <v>65</v>
      </c>
      <c r="F69" s="4"/>
      <c r="G69" s="7" t="s">
        <v>954</v>
      </c>
      <c r="H69" s="8" t="s">
        <v>15278</v>
      </c>
      <c r="I69" s="4"/>
      <c r="J69" s="7" t="s">
        <v>809</v>
      </c>
      <c r="K69" s="14"/>
      <c r="L69" s="14"/>
      <c r="M69" s="14"/>
      <c r="N69" s="9" t="str">
        <f>"20270307-J13-M05-"&amp;G69&amp;"@"&amp;J69&amp;IF(OR(TRIM(H69)="",TRIM(H69)="-"),"","("&amp;TRIM(H69)&amp;")")</f>
        <v>20270307-J13-M05-POZ@LIC</v>
      </c>
      <c r="O69" s="6"/>
    </row>
    <row r="70" spans="2:15" x14ac:dyDescent="0.35">
      <c r="B70" s="14" t="s">
        <v>15290</v>
      </c>
      <c r="C70" s="13">
        <v>46460</v>
      </c>
      <c r="D70" s="14">
        <v>14</v>
      </c>
      <c r="E70" s="4">
        <f t="shared" ref="E70:E94" si="2">+E69+1</f>
        <v>66</v>
      </c>
      <c r="F70" s="4"/>
      <c r="G70" s="10" t="s">
        <v>1090</v>
      </c>
      <c r="H70" s="8" t="s">
        <v>15278</v>
      </c>
      <c r="I70" s="4"/>
      <c r="J70" s="7" t="s">
        <v>238</v>
      </c>
      <c r="K70" s="14"/>
      <c r="L70" s="14"/>
      <c r="M70" s="14"/>
      <c r="N70" s="9" t="str">
        <f>"20270314-J14-M01-"&amp;G70&amp;"@"&amp;J70&amp;IF(OR(TRIM(H70)="",TRIM(H70)="-"),"","("&amp;TRIM(H70)&amp;")")</f>
        <v>20270314-J14-M01-UBU@CIS</v>
      </c>
      <c r="O70" s="12"/>
    </row>
    <row r="71" spans="2:15" x14ac:dyDescent="0.35">
      <c r="B71" s="14"/>
      <c r="C71" s="13">
        <v>46460</v>
      </c>
      <c r="D71" s="14">
        <v>14</v>
      </c>
      <c r="E71" s="4">
        <f t="shared" si="2"/>
        <v>67</v>
      </c>
      <c r="F71" s="4"/>
      <c r="G71" s="10" t="s">
        <v>671</v>
      </c>
      <c r="H71" s="11" t="s">
        <v>15278</v>
      </c>
      <c r="I71" s="4"/>
      <c r="J71" s="10" t="s">
        <v>431</v>
      </c>
      <c r="K71" s="14"/>
      <c r="L71" s="14"/>
      <c r="M71" s="14"/>
      <c r="N71" s="9" t="str">
        <f>"20270314-J14-M02-"&amp;G71&amp;"@"&amp;J71&amp;IF(OR(TRIM(H71)="",TRIM(H71)="-"),"","("&amp;TRIM(H71)&amp;")")</f>
        <v>20270314-J14-M02-ORD@VILA</v>
      </c>
      <c r="O71" s="12"/>
    </row>
    <row r="72" spans="2:15" x14ac:dyDescent="0.35">
      <c r="B72" s="14"/>
      <c r="C72" s="13">
        <v>46460</v>
      </c>
      <c r="D72" s="14">
        <v>14</v>
      </c>
      <c r="E72" s="4">
        <f t="shared" si="2"/>
        <v>68</v>
      </c>
      <c r="F72" s="4"/>
      <c r="G72" s="7" t="s">
        <v>1395</v>
      </c>
      <c r="H72" s="8" t="s">
        <v>15278</v>
      </c>
      <c r="I72" s="4"/>
      <c r="J72" s="7" t="s">
        <v>557</v>
      </c>
      <c r="K72" s="14"/>
      <c r="L72" s="14"/>
      <c r="M72" s="14"/>
      <c r="N72" s="9" t="str">
        <f>"20270314-J14-M03-"&amp;G72&amp;"@"&amp;J72&amp;IF(OR(TRIM(H72)="",TRIM(H72)="-"),"","("&amp;TRIM(H72)&amp;")")</f>
        <v>20270314-J14-M03-SAL@VRAC</v>
      </c>
      <c r="O72" s="12"/>
    </row>
    <row r="73" spans="2:15" x14ac:dyDescent="0.35">
      <c r="B73" s="14"/>
      <c r="C73" s="13">
        <v>46460</v>
      </c>
      <c r="D73" s="14">
        <v>14</v>
      </c>
      <c r="E73" s="4">
        <f t="shared" si="2"/>
        <v>69</v>
      </c>
      <c r="F73" s="4"/>
      <c r="G73" s="10" t="s">
        <v>809</v>
      </c>
      <c r="H73" s="11" t="s">
        <v>15278</v>
      </c>
      <c r="I73" s="4"/>
      <c r="J73" s="10" t="s">
        <v>27</v>
      </c>
      <c r="K73" s="14"/>
      <c r="L73" s="14"/>
      <c r="M73" s="14"/>
      <c r="N73" s="9" t="str">
        <f>"20270314-J14-M04-"&amp;G73&amp;"@"&amp;J73&amp;IF(OR(TRIM(H73)="",TRIM(H73)="-"),"","("&amp;TRIM(H73)&amp;")")</f>
        <v>20270314-J14-M04-LIC@ALC</v>
      </c>
      <c r="O73" s="12"/>
    </row>
    <row r="74" spans="2:15" x14ac:dyDescent="0.35">
      <c r="B74" s="14"/>
      <c r="C74" s="13">
        <v>46460</v>
      </c>
      <c r="D74" s="14">
        <v>14</v>
      </c>
      <c r="E74" s="4">
        <f t="shared" si="2"/>
        <v>70</v>
      </c>
      <c r="F74" s="4"/>
      <c r="G74" s="7" t="s">
        <v>954</v>
      </c>
      <c r="H74" s="8" t="s">
        <v>15278</v>
      </c>
      <c r="I74" s="4"/>
      <c r="J74" s="7" t="s">
        <v>1257</v>
      </c>
      <c r="K74" s="14"/>
      <c r="L74" s="14"/>
      <c r="M74" s="14"/>
      <c r="N74" s="9" t="str">
        <f>"20270314-J14-M05-"&amp;G74&amp;"@"&amp;J74&amp;IF(OR(TRIM(H74)="",TRIM(H74)="-"),"","("&amp;TRIM(H74)&amp;")")</f>
        <v>20270314-J14-M05-POZ@UES</v>
      </c>
      <c r="O74" s="12"/>
    </row>
    <row r="75" spans="2:15" x14ac:dyDescent="0.35">
      <c r="B75" s="14" t="s">
        <v>15291</v>
      </c>
      <c r="C75" s="13">
        <v>46467</v>
      </c>
      <c r="D75" s="14">
        <v>15</v>
      </c>
      <c r="E75" s="4">
        <f t="shared" si="2"/>
        <v>71</v>
      </c>
      <c r="F75" s="4"/>
      <c r="G75" s="7" t="s">
        <v>1257</v>
      </c>
      <c r="H75" s="8" t="s">
        <v>15278</v>
      </c>
      <c r="I75" s="4"/>
      <c r="J75" s="10" t="s">
        <v>1090</v>
      </c>
      <c r="K75" s="14"/>
      <c r="L75" s="14"/>
      <c r="M75" s="14"/>
      <c r="N75" s="9" t="str">
        <f>"20270321-J15-M01-"&amp;G75&amp;"@"&amp;J75&amp;IF(OR(TRIM(H75)="",TRIM(H75)="-"),"","("&amp;TRIM(H75)&amp;")")</f>
        <v>20270321-J15-M01-UES@UBU</v>
      </c>
      <c r="O75" s="6"/>
    </row>
    <row r="76" spans="2:15" x14ac:dyDescent="0.35">
      <c r="B76" s="14"/>
      <c r="C76" s="13">
        <v>46467</v>
      </c>
      <c r="D76" s="14">
        <v>15</v>
      </c>
      <c r="E76" s="4">
        <f t="shared" si="2"/>
        <v>72</v>
      </c>
      <c r="F76" s="4"/>
      <c r="G76" s="10" t="s">
        <v>238</v>
      </c>
      <c r="H76" s="11" t="s">
        <v>15278</v>
      </c>
      <c r="I76" s="4"/>
      <c r="J76" s="10" t="s">
        <v>671</v>
      </c>
      <c r="K76" s="14"/>
      <c r="L76" s="14"/>
      <c r="M76" s="14"/>
      <c r="N76" s="9" t="str">
        <f>"20270321-J15-M02-"&amp;G76&amp;"@"&amp;J76&amp;IF(OR(TRIM(H76)="",TRIM(H76)="-"),"","("&amp;TRIM(H76)&amp;")")</f>
        <v>20270321-J15-M02-CIS@ORD</v>
      </c>
      <c r="O76" s="6"/>
    </row>
    <row r="77" spans="2:15" x14ac:dyDescent="0.35">
      <c r="B77" s="14"/>
      <c r="C77" s="13">
        <v>46467</v>
      </c>
      <c r="D77" s="14">
        <v>15</v>
      </c>
      <c r="E77" s="4">
        <f t="shared" si="2"/>
        <v>73</v>
      </c>
      <c r="F77" s="4"/>
      <c r="G77" s="7" t="s">
        <v>431</v>
      </c>
      <c r="H77" s="8" t="s">
        <v>15278</v>
      </c>
      <c r="I77" s="4"/>
      <c r="J77" s="7" t="s">
        <v>1395</v>
      </c>
      <c r="K77" s="14"/>
      <c r="L77" s="14"/>
      <c r="M77" s="14"/>
      <c r="N77" s="9" t="str">
        <f>"20270321-J15-M03-"&amp;G77&amp;"@"&amp;J77&amp;IF(OR(TRIM(H77)="",TRIM(H77)="-"),"","("&amp;TRIM(H77)&amp;")")</f>
        <v>20270321-J15-M03-VILA@SAL</v>
      </c>
      <c r="O77" s="6"/>
    </row>
    <row r="78" spans="2:15" x14ac:dyDescent="0.35">
      <c r="B78" s="14"/>
      <c r="C78" s="13">
        <v>46467</v>
      </c>
      <c r="D78" s="14">
        <v>15</v>
      </c>
      <c r="E78" s="4">
        <f t="shared" si="2"/>
        <v>74</v>
      </c>
      <c r="F78" s="4"/>
      <c r="G78" s="10" t="s">
        <v>557</v>
      </c>
      <c r="H78" s="11" t="s">
        <v>15278</v>
      </c>
      <c r="I78" s="4"/>
      <c r="J78" s="10" t="s">
        <v>809</v>
      </c>
      <c r="K78" s="14"/>
      <c r="L78" s="14"/>
      <c r="M78" s="14"/>
      <c r="N78" s="9" t="str">
        <f>"20270321-J15-M04-"&amp;G78&amp;"@"&amp;J78&amp;IF(OR(TRIM(H78)="",TRIM(H78)="-"),"","("&amp;TRIM(H78)&amp;")")</f>
        <v>20270321-J15-M04-VRAC@LIC</v>
      </c>
      <c r="O78" s="6"/>
    </row>
    <row r="79" spans="2:15" x14ac:dyDescent="0.35">
      <c r="B79" s="14"/>
      <c r="C79" s="13">
        <v>46467</v>
      </c>
      <c r="D79" s="14">
        <v>15</v>
      </c>
      <c r="E79" s="4">
        <f t="shared" si="2"/>
        <v>75</v>
      </c>
      <c r="F79" s="4"/>
      <c r="G79" s="7" t="s">
        <v>27</v>
      </c>
      <c r="H79" s="8" t="s">
        <v>15278</v>
      </c>
      <c r="I79" s="4"/>
      <c r="J79" s="7" t="s">
        <v>954</v>
      </c>
      <c r="K79" s="14"/>
      <c r="L79" s="14"/>
      <c r="M79" s="14"/>
      <c r="N79" s="9" t="str">
        <f>"20270321-J15-M05-"&amp;G79&amp;"@"&amp;J79&amp;IF(OR(TRIM(H79)="",TRIM(H79)="-"),"","("&amp;TRIM(H79)&amp;")")</f>
        <v>20270321-J15-M05-ALC@POZ</v>
      </c>
      <c r="O79" s="6"/>
    </row>
    <row r="80" spans="2:15" x14ac:dyDescent="0.35">
      <c r="B80" s="14" t="s">
        <v>15292</v>
      </c>
      <c r="C80" s="13">
        <v>46481</v>
      </c>
      <c r="D80" s="14">
        <v>16</v>
      </c>
      <c r="E80" s="4">
        <f t="shared" si="2"/>
        <v>76</v>
      </c>
      <c r="F80" s="4"/>
      <c r="G80" s="7" t="s">
        <v>671</v>
      </c>
      <c r="H80" s="8" t="s">
        <v>15278</v>
      </c>
      <c r="I80" s="4"/>
      <c r="J80" s="10" t="s">
        <v>1090</v>
      </c>
      <c r="K80" s="14"/>
      <c r="L80" s="14"/>
      <c r="M80" s="14"/>
      <c r="N80" s="9" t="str">
        <f>"20270404-J16-M01-"&amp;G80&amp;"@"&amp;J80&amp;IF(OR(TRIM(H80)="",TRIM(H80)="-"),"","("&amp;TRIM(H80)&amp;")")</f>
        <v>20270404-J16-M01-ORD@UBU</v>
      </c>
      <c r="O80" s="12"/>
    </row>
    <row r="81" spans="2:15" x14ac:dyDescent="0.35">
      <c r="B81" s="14"/>
      <c r="C81" s="13">
        <v>46481</v>
      </c>
      <c r="D81" s="14">
        <v>16</v>
      </c>
      <c r="E81" s="4">
        <f t="shared" si="2"/>
        <v>77</v>
      </c>
      <c r="F81" s="4"/>
      <c r="G81" s="10" t="s">
        <v>1395</v>
      </c>
      <c r="H81" s="11" t="s">
        <v>15278</v>
      </c>
      <c r="I81" s="4"/>
      <c r="J81" s="10" t="s">
        <v>238</v>
      </c>
      <c r="K81" s="14"/>
      <c r="L81" s="14"/>
      <c r="M81" s="14"/>
      <c r="N81" s="9" t="str">
        <f>"20270404-J16-M02-"&amp;G81&amp;"@"&amp;J81&amp;IF(OR(TRIM(H81)="",TRIM(H81)="-"),"","("&amp;TRIM(H81)&amp;")")</f>
        <v>20270404-J16-M02-SAL@CIS</v>
      </c>
      <c r="O81" s="12"/>
    </row>
    <row r="82" spans="2:15" x14ac:dyDescent="0.35">
      <c r="B82" s="14"/>
      <c r="C82" s="13">
        <v>46481</v>
      </c>
      <c r="D82" s="14">
        <v>16</v>
      </c>
      <c r="E82" s="4">
        <f t="shared" si="2"/>
        <v>78</v>
      </c>
      <c r="F82" s="4"/>
      <c r="G82" s="7" t="s">
        <v>809</v>
      </c>
      <c r="H82" s="8" t="s">
        <v>15278</v>
      </c>
      <c r="I82" s="4"/>
      <c r="J82" s="7" t="s">
        <v>431</v>
      </c>
      <c r="K82" s="14"/>
      <c r="L82" s="14"/>
      <c r="M82" s="14"/>
      <c r="N82" s="9" t="str">
        <f>"20270404-J16-M03-"&amp;G82&amp;"@"&amp;J82&amp;IF(OR(TRIM(H82)="",TRIM(H82)="-"),"","("&amp;TRIM(H82)&amp;")")</f>
        <v>20270404-J16-M03-LIC@VILA</v>
      </c>
      <c r="O82" s="12"/>
    </row>
    <row r="83" spans="2:15" x14ac:dyDescent="0.35">
      <c r="B83" s="14"/>
      <c r="C83" s="13">
        <v>46481</v>
      </c>
      <c r="D83" s="14">
        <v>16</v>
      </c>
      <c r="E83" s="4">
        <f t="shared" si="2"/>
        <v>79</v>
      </c>
      <c r="F83" s="4"/>
      <c r="G83" s="10" t="s">
        <v>954</v>
      </c>
      <c r="H83" s="11" t="s">
        <v>15278</v>
      </c>
      <c r="I83" s="4"/>
      <c r="J83" s="10" t="s">
        <v>557</v>
      </c>
      <c r="K83" s="14"/>
      <c r="L83" s="14"/>
      <c r="M83" s="14"/>
      <c r="N83" s="9" t="str">
        <f>"20270404-J16-M04-"&amp;G83&amp;"@"&amp;J83&amp;IF(OR(TRIM(H83)="",TRIM(H83)="-"),"","("&amp;TRIM(H83)&amp;")")</f>
        <v>20270404-J16-M04-POZ@VRAC</v>
      </c>
      <c r="O83" s="12"/>
    </row>
    <row r="84" spans="2:15" x14ac:dyDescent="0.35">
      <c r="B84" s="14"/>
      <c r="C84" s="13">
        <v>46481</v>
      </c>
      <c r="D84" s="14">
        <v>16</v>
      </c>
      <c r="E84" s="4">
        <f t="shared" si="2"/>
        <v>80</v>
      </c>
      <c r="F84" s="4"/>
      <c r="G84" s="7" t="s">
        <v>27</v>
      </c>
      <c r="H84" s="8" t="s">
        <v>15278</v>
      </c>
      <c r="I84" s="4"/>
      <c r="J84" s="7" t="s">
        <v>1257</v>
      </c>
      <c r="K84" s="14"/>
      <c r="L84" s="14"/>
      <c r="M84" s="14"/>
      <c r="N84" s="9" t="str">
        <f>"20270404-J16-M05-"&amp;G84&amp;"@"&amp;J84&amp;IF(OR(TRIM(H84)="",TRIM(H84)="-"),"","("&amp;TRIM(H84)&amp;")")</f>
        <v>20270404-J16-M05-ALC@UES</v>
      </c>
      <c r="O84" s="12"/>
    </row>
    <row r="85" spans="2:15" x14ac:dyDescent="0.35">
      <c r="B85" s="14" t="s">
        <v>15293</v>
      </c>
      <c r="C85" s="13">
        <v>46488</v>
      </c>
      <c r="D85" s="14">
        <v>17</v>
      </c>
      <c r="E85" s="4">
        <f t="shared" si="2"/>
        <v>81</v>
      </c>
      <c r="F85" s="4"/>
      <c r="G85" s="7" t="s">
        <v>671</v>
      </c>
      <c r="H85" s="8" t="s">
        <v>15278</v>
      </c>
      <c r="I85" s="4"/>
      <c r="J85" s="7" t="s">
        <v>1257</v>
      </c>
      <c r="K85" s="14"/>
      <c r="L85" s="14"/>
      <c r="M85" s="14"/>
      <c r="N85" s="9" t="str">
        <f>"20270411-J17-M01-"&amp;G85&amp;"@"&amp;J85&amp;IF(OR(TRIM(H85)="",TRIM(H85)="-"),"","("&amp;TRIM(H85)&amp;")")</f>
        <v>20270411-J17-M01-ORD@UES</v>
      </c>
      <c r="O85" s="6"/>
    </row>
    <row r="86" spans="2:15" x14ac:dyDescent="0.35">
      <c r="B86" s="14"/>
      <c r="C86" s="13">
        <v>46488</v>
      </c>
      <c r="D86" s="14">
        <v>17</v>
      </c>
      <c r="E86" s="4">
        <f t="shared" si="2"/>
        <v>82</v>
      </c>
      <c r="F86" s="4"/>
      <c r="G86" s="10" t="s">
        <v>1090</v>
      </c>
      <c r="H86" s="11" t="s">
        <v>15278</v>
      </c>
      <c r="I86" s="4"/>
      <c r="J86" s="10" t="s">
        <v>1395</v>
      </c>
      <c r="K86" s="14"/>
      <c r="L86" s="14"/>
      <c r="M86" s="14"/>
      <c r="N86" s="9" t="str">
        <f>"20270411-J17-M02-"&amp;G86&amp;"@"&amp;J86&amp;IF(OR(TRIM(H86)="",TRIM(H86)="-"),"","("&amp;TRIM(H86)&amp;")")</f>
        <v>20270411-J17-M02-UBU@SAL</v>
      </c>
      <c r="O86" s="6"/>
    </row>
    <row r="87" spans="2:15" x14ac:dyDescent="0.35">
      <c r="B87" s="14"/>
      <c r="C87" s="13">
        <v>46488</v>
      </c>
      <c r="D87" s="14">
        <v>17</v>
      </c>
      <c r="E87" s="4">
        <f t="shared" si="2"/>
        <v>83</v>
      </c>
      <c r="F87" s="4"/>
      <c r="G87" s="7" t="s">
        <v>238</v>
      </c>
      <c r="H87" s="8" t="s">
        <v>15278</v>
      </c>
      <c r="I87" s="4"/>
      <c r="J87" s="7" t="s">
        <v>809</v>
      </c>
      <c r="K87" s="14"/>
      <c r="L87" s="14"/>
      <c r="M87" s="14"/>
      <c r="N87" s="9" t="str">
        <f>"20270411-J17-M03-"&amp;G87&amp;"@"&amp;J87&amp;IF(OR(TRIM(H87)="",TRIM(H87)="-"),"","("&amp;TRIM(H87)&amp;")")</f>
        <v>20270411-J17-M03-CIS@LIC</v>
      </c>
      <c r="O87" s="6"/>
    </row>
    <row r="88" spans="2:15" x14ac:dyDescent="0.35">
      <c r="B88" s="14"/>
      <c r="C88" s="13">
        <v>46488</v>
      </c>
      <c r="D88" s="14">
        <v>17</v>
      </c>
      <c r="E88" s="4">
        <f t="shared" si="2"/>
        <v>84</v>
      </c>
      <c r="F88" s="4"/>
      <c r="G88" s="10" t="s">
        <v>431</v>
      </c>
      <c r="H88" s="11" t="s">
        <v>15278</v>
      </c>
      <c r="I88" s="4"/>
      <c r="J88" s="10" t="s">
        <v>954</v>
      </c>
      <c r="K88" s="14"/>
      <c r="L88" s="14"/>
      <c r="M88" s="14"/>
      <c r="N88" s="9" t="str">
        <f>"20270411-J17-M04-"&amp;G88&amp;"@"&amp;J88&amp;IF(OR(TRIM(H88)="",TRIM(H88)="-"),"","("&amp;TRIM(H88)&amp;")")</f>
        <v>20270411-J17-M04-VILA@POZ</v>
      </c>
      <c r="O88" s="6"/>
    </row>
    <row r="89" spans="2:15" x14ac:dyDescent="0.35">
      <c r="B89" s="14"/>
      <c r="C89" s="13">
        <v>46488</v>
      </c>
      <c r="D89" s="14">
        <v>17</v>
      </c>
      <c r="E89" s="4">
        <f t="shared" si="2"/>
        <v>85</v>
      </c>
      <c r="F89" s="4"/>
      <c r="G89" s="7" t="s">
        <v>557</v>
      </c>
      <c r="H89" s="8" t="s">
        <v>15278</v>
      </c>
      <c r="I89" s="4"/>
      <c r="J89" s="7" t="s">
        <v>27</v>
      </c>
      <c r="K89" s="14"/>
      <c r="L89" s="14"/>
      <c r="M89" s="14"/>
      <c r="N89" s="9" t="str">
        <f>"20270411-J17-M05-"&amp;G89&amp;"@"&amp;J89&amp;IF(OR(TRIM(H89)="",TRIM(H89)="-"),"","("&amp;TRIM(H89)&amp;")")</f>
        <v>20270411-J17-M05-VRAC@ALC</v>
      </c>
      <c r="O89" s="6"/>
    </row>
    <row r="90" spans="2:15" x14ac:dyDescent="0.35">
      <c r="B90" s="14" t="s">
        <v>15294</v>
      </c>
      <c r="C90" s="13">
        <v>46495</v>
      </c>
      <c r="D90" s="14">
        <v>18</v>
      </c>
      <c r="E90" s="4">
        <f t="shared" si="2"/>
        <v>86</v>
      </c>
      <c r="F90" s="4"/>
      <c r="G90" s="7" t="s">
        <v>1395</v>
      </c>
      <c r="H90" s="8" t="s">
        <v>15278</v>
      </c>
      <c r="I90" s="4"/>
      <c r="J90" s="7" t="s">
        <v>671</v>
      </c>
      <c r="K90" s="14"/>
      <c r="L90" s="14"/>
      <c r="M90" s="14"/>
      <c r="N90" s="9" t="str">
        <f>"20270418-J18-M01-"&amp;G90&amp;"@"&amp;J90&amp;IF(OR(TRIM(H90)="",TRIM(H90)="-"),"","("&amp;TRIM(H90)&amp;")")</f>
        <v>20270418-J18-M01-SAL@ORD</v>
      </c>
      <c r="O90" s="6"/>
    </row>
    <row r="91" spans="2:15" x14ac:dyDescent="0.35">
      <c r="B91" s="14"/>
      <c r="C91" s="13">
        <v>46495</v>
      </c>
      <c r="D91" s="14">
        <v>18</v>
      </c>
      <c r="E91" s="4">
        <f t="shared" si="2"/>
        <v>87</v>
      </c>
      <c r="F91" s="4"/>
      <c r="G91" s="10" t="s">
        <v>809</v>
      </c>
      <c r="H91" s="11" t="s">
        <v>15278</v>
      </c>
      <c r="I91" s="4"/>
      <c r="J91" s="10" t="s">
        <v>1090</v>
      </c>
      <c r="K91" s="14"/>
      <c r="L91" s="14"/>
      <c r="M91" s="14"/>
      <c r="N91" s="9" t="str">
        <f>"20270418-J18-M02-"&amp;G91&amp;"@"&amp;J91&amp;IF(OR(TRIM(H91)="",TRIM(H91)="-"),"","("&amp;TRIM(H91)&amp;")")</f>
        <v>20270418-J18-M02-LIC@UBU</v>
      </c>
      <c r="O91" s="6"/>
    </row>
    <row r="92" spans="2:15" x14ac:dyDescent="0.35">
      <c r="B92" s="14"/>
      <c r="C92" s="13">
        <v>46495</v>
      </c>
      <c r="D92" s="14">
        <v>18</v>
      </c>
      <c r="E92" s="4">
        <f t="shared" si="2"/>
        <v>88</v>
      </c>
      <c r="F92" s="4"/>
      <c r="G92" s="7" t="s">
        <v>954</v>
      </c>
      <c r="H92" s="8" t="s">
        <v>15278</v>
      </c>
      <c r="I92" s="4"/>
      <c r="J92" s="7" t="s">
        <v>238</v>
      </c>
      <c r="K92" s="14"/>
      <c r="L92" s="14"/>
      <c r="M92" s="14"/>
      <c r="N92" s="9" t="str">
        <f>"20270418-J18-M03-"&amp;G92&amp;"@"&amp;J92&amp;IF(OR(TRIM(H92)="",TRIM(H92)="-"),"","("&amp;TRIM(H92)&amp;")")</f>
        <v>20270418-J18-M03-POZ@CIS</v>
      </c>
      <c r="O92" s="6"/>
    </row>
    <row r="93" spans="2:15" x14ac:dyDescent="0.35">
      <c r="B93" s="14"/>
      <c r="C93" s="13">
        <v>46495</v>
      </c>
      <c r="D93" s="14">
        <v>18</v>
      </c>
      <c r="E93" s="4">
        <f t="shared" si="2"/>
        <v>89</v>
      </c>
      <c r="F93" s="4"/>
      <c r="G93" s="10" t="s">
        <v>27</v>
      </c>
      <c r="H93" s="11" t="s">
        <v>15278</v>
      </c>
      <c r="I93" s="4"/>
      <c r="J93" s="10" t="s">
        <v>431</v>
      </c>
      <c r="K93" s="14"/>
      <c r="L93" s="14"/>
      <c r="M93" s="14"/>
      <c r="N93" s="9" t="str">
        <f>"20270418-J18-M04-"&amp;G93&amp;"@"&amp;J93&amp;IF(OR(TRIM(H93)="",TRIM(H93)="-"),"","("&amp;TRIM(H93)&amp;")")</f>
        <v>20270418-J18-M04-ALC@VILA</v>
      </c>
      <c r="O93" s="6"/>
    </row>
    <row r="94" spans="2:15" x14ac:dyDescent="0.35">
      <c r="B94" s="14"/>
      <c r="C94" s="13">
        <v>46495</v>
      </c>
      <c r="D94" s="14">
        <v>18</v>
      </c>
      <c r="E94" s="4">
        <f t="shared" si="2"/>
        <v>90</v>
      </c>
      <c r="F94" s="4"/>
      <c r="G94" s="7" t="s">
        <v>1257</v>
      </c>
      <c r="H94" s="8" t="s">
        <v>15278</v>
      </c>
      <c r="I94" s="4"/>
      <c r="J94" s="7" t="s">
        <v>557</v>
      </c>
      <c r="K94" s="14"/>
      <c r="L94" s="14"/>
      <c r="M94" s="14"/>
      <c r="N94" s="9" t="str">
        <f>"20270418-J18-M05-"&amp;G94&amp;"@"&amp;J94&amp;IF(OR(TRIM(H94)="",TRIM(H94)="-"),"","("&amp;TRIM(H94)&amp;")")</f>
        <v>20270418-J18-M05-UES@VRAC</v>
      </c>
      <c r="O94" s="6"/>
    </row>
  </sheetData>
  <mergeCells count="13">
    <mergeCell ref="C1:N2"/>
    <mergeCell ref="C3:C4"/>
    <mergeCell ref="B3:B4"/>
    <mergeCell ref="O3:O4"/>
    <mergeCell ref="N3:N4"/>
    <mergeCell ref="E3:E4"/>
    <mergeCell ref="G3:G4"/>
    <mergeCell ref="F3:F4"/>
    <mergeCell ref="D3:D4"/>
    <mergeCell ref="H3:H4"/>
    <mergeCell ref="I3:I4"/>
    <mergeCell ref="J3:J4"/>
    <mergeCell ref="K3:M3"/>
  </mergeCells>
  <hyperlinks>
    <hyperlink ref="O8" r:id="rId1"/>
    <hyperlink ref="O13" r:id="rId2"/>
    <hyperlink ref="O14" r:id="rId3"/>
    <hyperlink ref="O10" r:id="rId4"/>
    <hyperlink ref="O11" r:id="rId5"/>
    <hyperlink ref="O12" r:id="rId6"/>
  </hyperlinks>
  <pageMargins left="0.7" right="0.7" top="0.75" bottom="0.75" header="0.3" footer="0.3"/>
  <pageSetup paperSize="9" orientation="portrait" horizontalDpi="4294967295" verticalDpi="4294967295"/>
  <drawing r:id="rId7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1"/>
  <sheetViews>
    <sheetView tabSelected="1" zoomScale="85" zoomScaleNormal="85" workbookViewId="0">
      <pane ySplit="1" topLeftCell="A294" activePane="bottomLeft" state="frozen"/>
      <selection pane="bottomLeft" activeCell="V469" sqref="V469"/>
    </sheetView>
  </sheetViews>
  <sheetFormatPr defaultRowHeight="14.5" x14ac:dyDescent="0.35"/>
  <cols>
    <col min="1" max="1" width="8.7265625" style="17" customWidth="1"/>
    <col min="2" max="2" width="8.7265625" style="2" customWidth="1"/>
    <col min="3" max="4" width="8.7265625" style="23" customWidth="1"/>
    <col min="5" max="5" width="10.453125" style="2" bestFit="1" customWidth="1"/>
    <col min="6" max="6" width="35" style="2" bestFit="1" customWidth="1"/>
    <col min="7" max="7" width="15.7265625" style="2" bestFit="1" customWidth="1"/>
    <col min="8" max="9" width="8.7265625" style="16" customWidth="1"/>
    <col min="10" max="10" width="10.54296875" style="2" bestFit="1" customWidth="1"/>
    <col min="11" max="11" width="37.7265625" style="2" bestFit="1" customWidth="1"/>
    <col min="12" max="12" width="8.7265625" style="2" customWidth="1"/>
    <col min="13" max="20" width="8.7265625" style="16" customWidth="1"/>
    <col min="21" max="21" width="12.6328125" style="16" bestFit="1" customWidth="1"/>
    <col min="22" max="22" width="8.7265625" style="23" customWidth="1"/>
    <col min="23" max="23" width="9.7265625" style="21" bestFit="1" customWidth="1"/>
    <col min="24" max="16384" width="8.7265625" style="2"/>
  </cols>
  <sheetData>
    <row r="1" spans="1:23" x14ac:dyDescent="0.35">
      <c r="A1" s="17" t="s">
        <v>15295</v>
      </c>
      <c r="B1" t="s">
        <v>15296</v>
      </c>
      <c r="C1" s="23" t="s">
        <v>15297</v>
      </c>
      <c r="D1" s="23" t="s">
        <v>15298</v>
      </c>
      <c r="E1" t="s">
        <v>15299</v>
      </c>
      <c r="F1" t="s">
        <v>15300</v>
      </c>
      <c r="G1" t="s">
        <v>15301</v>
      </c>
      <c r="H1" s="16" t="s">
        <v>15302</v>
      </c>
      <c r="I1" s="16" t="s">
        <v>15303</v>
      </c>
      <c r="J1" t="s">
        <v>15304</v>
      </c>
      <c r="K1" t="s">
        <v>15305</v>
      </c>
      <c r="L1" t="s">
        <v>15306</v>
      </c>
      <c r="M1" s="16" t="s">
        <v>15307</v>
      </c>
      <c r="N1" s="16" t="s">
        <v>15308</v>
      </c>
      <c r="O1" s="16" t="s">
        <v>15309</v>
      </c>
      <c r="P1" s="16" t="s">
        <v>15310</v>
      </c>
      <c r="Q1" s="16" t="s">
        <v>15311</v>
      </c>
      <c r="R1" s="16" t="s">
        <v>15312</v>
      </c>
      <c r="S1" s="16" t="s">
        <v>15313</v>
      </c>
      <c r="T1" s="16" t="s">
        <v>15314</v>
      </c>
      <c r="U1" s="16" t="s">
        <v>15315</v>
      </c>
      <c r="V1" s="23" t="s">
        <v>15316</v>
      </c>
      <c r="W1" s="21" t="s">
        <v>15317</v>
      </c>
    </row>
    <row r="2" spans="1:23" x14ac:dyDescent="0.35">
      <c r="A2" s="18" t="s">
        <v>15368</v>
      </c>
      <c r="B2" s="19" t="s">
        <v>33</v>
      </c>
      <c r="C2" s="24" t="s">
        <v>557</v>
      </c>
      <c r="D2" s="24" t="s">
        <v>431</v>
      </c>
      <c r="E2" s="19" t="s">
        <v>15319</v>
      </c>
      <c r="F2" s="19" t="s">
        <v>427</v>
      </c>
      <c r="G2" s="19" t="s">
        <v>15320</v>
      </c>
      <c r="H2" s="20" t="s">
        <v>15399</v>
      </c>
      <c r="I2" s="20" t="s">
        <v>15399</v>
      </c>
      <c r="J2" s="19" t="s">
        <v>15492</v>
      </c>
      <c r="K2" s="19" t="s">
        <v>15493</v>
      </c>
      <c r="L2" s="19" t="s">
        <v>15466</v>
      </c>
      <c r="M2" s="20" t="s">
        <v>15350</v>
      </c>
      <c r="N2" s="20" t="s">
        <v>15399</v>
      </c>
      <c r="O2" s="20"/>
      <c r="P2" s="20"/>
      <c r="Q2" s="20"/>
      <c r="R2" s="20" t="s">
        <v>15324</v>
      </c>
      <c r="S2" s="20">
        <v>40</v>
      </c>
      <c r="T2" s="20">
        <v>24</v>
      </c>
      <c r="U2" s="20">
        <v>46</v>
      </c>
      <c r="V2" s="24" t="s">
        <v>557</v>
      </c>
      <c r="W2" s="22" t="s">
        <v>15329</v>
      </c>
    </row>
    <row r="3" spans="1:23" x14ac:dyDescent="0.35">
      <c r="A3" s="18" t="s">
        <v>15368</v>
      </c>
      <c r="B3" s="19" t="s">
        <v>33</v>
      </c>
      <c r="C3" s="24" t="s">
        <v>557</v>
      </c>
      <c r="D3" s="24" t="s">
        <v>431</v>
      </c>
      <c r="E3" s="19" t="s">
        <v>15319</v>
      </c>
      <c r="F3" s="19" t="s">
        <v>427</v>
      </c>
      <c r="G3" s="19" t="s">
        <v>15320</v>
      </c>
      <c r="H3" s="20" t="s">
        <v>15337</v>
      </c>
      <c r="I3" s="20" t="s">
        <v>15337</v>
      </c>
      <c r="J3" s="19" t="s">
        <v>15539</v>
      </c>
      <c r="K3" s="19" t="s">
        <v>15540</v>
      </c>
      <c r="L3" s="19" t="s">
        <v>15324</v>
      </c>
      <c r="M3" s="20" t="s">
        <v>15350</v>
      </c>
      <c r="N3" s="20" t="s">
        <v>15337</v>
      </c>
      <c r="O3" s="20"/>
      <c r="P3" s="20"/>
      <c r="Q3" s="20"/>
      <c r="R3" s="20" t="s">
        <v>15324</v>
      </c>
      <c r="S3" s="20">
        <v>40</v>
      </c>
      <c r="T3" s="20">
        <v>24</v>
      </c>
      <c r="U3" s="20">
        <v>46</v>
      </c>
      <c r="V3" s="24" t="s">
        <v>557</v>
      </c>
      <c r="W3" s="22" t="s">
        <v>15329</v>
      </c>
    </row>
    <row r="4" spans="1:23" x14ac:dyDescent="0.35">
      <c r="A4" s="18" t="s">
        <v>15368</v>
      </c>
      <c r="B4" s="19" t="s">
        <v>33</v>
      </c>
      <c r="C4" s="24" t="s">
        <v>557</v>
      </c>
      <c r="D4" s="24" t="s">
        <v>431</v>
      </c>
      <c r="E4" s="19" t="s">
        <v>15319</v>
      </c>
      <c r="F4" s="19" t="s">
        <v>427</v>
      </c>
      <c r="G4" s="19" t="s">
        <v>15320</v>
      </c>
      <c r="H4" s="20" t="s">
        <v>15331</v>
      </c>
      <c r="I4" s="20" t="s">
        <v>15331</v>
      </c>
      <c r="J4" s="19" t="s">
        <v>15831</v>
      </c>
      <c r="K4" s="19" t="s">
        <v>15832</v>
      </c>
      <c r="L4" s="19" t="s">
        <v>15334</v>
      </c>
      <c r="M4" s="20" t="s">
        <v>15323</v>
      </c>
      <c r="N4" s="20" t="s">
        <v>15331</v>
      </c>
      <c r="O4" s="20"/>
      <c r="P4" s="20"/>
      <c r="Q4" s="20"/>
      <c r="R4" s="20" t="s">
        <v>15324</v>
      </c>
      <c r="S4" s="20">
        <v>40</v>
      </c>
      <c r="T4" s="20">
        <v>24</v>
      </c>
      <c r="U4" s="20">
        <v>46</v>
      </c>
      <c r="V4" s="24" t="s">
        <v>557</v>
      </c>
      <c r="W4" s="22" t="s">
        <v>15329</v>
      </c>
    </row>
    <row r="5" spans="1:23" x14ac:dyDescent="0.35">
      <c r="A5" s="18" t="s">
        <v>15368</v>
      </c>
      <c r="B5" s="19" t="s">
        <v>33</v>
      </c>
      <c r="C5" s="24" t="s">
        <v>557</v>
      </c>
      <c r="D5" s="24" t="s">
        <v>431</v>
      </c>
      <c r="E5" s="19" t="s">
        <v>15319</v>
      </c>
      <c r="F5" s="19" t="s">
        <v>427</v>
      </c>
      <c r="G5" s="19" t="s">
        <v>15320</v>
      </c>
      <c r="H5" s="20" t="s">
        <v>2197</v>
      </c>
      <c r="I5" s="20" t="s">
        <v>2197</v>
      </c>
      <c r="J5" s="19" t="s">
        <v>15496</v>
      </c>
      <c r="K5" s="19" t="s">
        <v>15497</v>
      </c>
      <c r="L5" s="19"/>
      <c r="M5" s="20" t="s">
        <v>15323</v>
      </c>
      <c r="N5" s="20" t="s">
        <v>2197</v>
      </c>
      <c r="O5" s="20"/>
      <c r="P5" s="20"/>
      <c r="Q5" s="20"/>
      <c r="R5" s="20" t="s">
        <v>15324</v>
      </c>
      <c r="S5" s="20">
        <v>40</v>
      </c>
      <c r="T5" s="20">
        <v>24</v>
      </c>
      <c r="U5" s="20">
        <v>80</v>
      </c>
      <c r="V5" s="24" t="s">
        <v>557</v>
      </c>
      <c r="W5" s="22" t="s">
        <v>15329</v>
      </c>
    </row>
    <row r="6" spans="1:23" x14ac:dyDescent="0.35">
      <c r="A6" s="18" t="s">
        <v>15368</v>
      </c>
      <c r="B6" s="19" t="s">
        <v>33</v>
      </c>
      <c r="C6" s="24" t="s">
        <v>557</v>
      </c>
      <c r="D6" s="24" t="s">
        <v>431</v>
      </c>
      <c r="E6" s="19" t="s">
        <v>15319</v>
      </c>
      <c r="F6" s="19" t="s">
        <v>427</v>
      </c>
      <c r="G6" s="19" t="s">
        <v>15320</v>
      </c>
      <c r="H6" s="20" t="s">
        <v>2135</v>
      </c>
      <c r="I6" s="20" t="s">
        <v>2135</v>
      </c>
      <c r="J6" s="19" t="s">
        <v>15426</v>
      </c>
      <c r="K6" s="19" t="s">
        <v>15427</v>
      </c>
      <c r="L6" s="19"/>
      <c r="M6" s="20" t="s">
        <v>15341</v>
      </c>
      <c r="N6" s="20" t="s">
        <v>2135</v>
      </c>
      <c r="O6" s="20"/>
      <c r="P6" s="20"/>
      <c r="Q6" s="20"/>
      <c r="R6" s="20" t="s">
        <v>15324</v>
      </c>
      <c r="S6" s="20">
        <v>40</v>
      </c>
      <c r="T6" s="20">
        <v>24</v>
      </c>
      <c r="U6" s="20">
        <v>80</v>
      </c>
      <c r="V6" s="24" t="s">
        <v>557</v>
      </c>
      <c r="W6" s="22" t="s">
        <v>15329</v>
      </c>
    </row>
    <row r="7" spans="1:23" x14ac:dyDescent="0.35">
      <c r="A7" s="18" t="s">
        <v>15368</v>
      </c>
      <c r="B7" s="19" t="s">
        <v>33</v>
      </c>
      <c r="C7" s="24" t="s">
        <v>557</v>
      </c>
      <c r="D7" s="24" t="s">
        <v>431</v>
      </c>
      <c r="E7" s="19" t="s">
        <v>15319</v>
      </c>
      <c r="F7" s="19" t="s">
        <v>427</v>
      </c>
      <c r="G7" s="19" t="s">
        <v>15320</v>
      </c>
      <c r="H7" s="20" t="s">
        <v>2151</v>
      </c>
      <c r="I7" s="20" t="s">
        <v>2151</v>
      </c>
      <c r="J7" s="19" t="s">
        <v>15777</v>
      </c>
      <c r="K7" s="19" t="s">
        <v>15778</v>
      </c>
      <c r="L7" s="19"/>
      <c r="M7" s="20" t="s">
        <v>15341</v>
      </c>
      <c r="N7" s="20" t="s">
        <v>2151</v>
      </c>
      <c r="O7" s="20"/>
      <c r="P7" s="20"/>
      <c r="Q7" s="20"/>
      <c r="R7" s="20" t="s">
        <v>15324</v>
      </c>
      <c r="S7" s="20">
        <v>40</v>
      </c>
      <c r="T7" s="20">
        <v>24</v>
      </c>
      <c r="U7" s="20">
        <v>53</v>
      </c>
      <c r="V7" s="24" t="s">
        <v>557</v>
      </c>
      <c r="W7" s="22" t="s">
        <v>15329</v>
      </c>
    </row>
    <row r="8" spans="1:23" x14ac:dyDescent="0.35">
      <c r="A8" s="18" t="s">
        <v>15368</v>
      </c>
      <c r="B8" s="19" t="s">
        <v>33</v>
      </c>
      <c r="C8" s="24" t="s">
        <v>557</v>
      </c>
      <c r="D8" s="24" t="s">
        <v>431</v>
      </c>
      <c r="E8" s="19" t="s">
        <v>15319</v>
      </c>
      <c r="F8" s="19" t="s">
        <v>427</v>
      </c>
      <c r="G8" s="19" t="s">
        <v>15320</v>
      </c>
      <c r="H8" s="20" t="s">
        <v>15409</v>
      </c>
      <c r="I8" s="20" t="s">
        <v>15409</v>
      </c>
      <c r="J8" s="19" t="s">
        <v>15791</v>
      </c>
      <c r="K8" s="19" t="s">
        <v>15792</v>
      </c>
      <c r="L8" s="19"/>
      <c r="M8" s="20" t="s">
        <v>15350</v>
      </c>
      <c r="N8" s="20" t="s">
        <v>15409</v>
      </c>
      <c r="O8" s="20"/>
      <c r="P8" s="20"/>
      <c r="Q8" s="20"/>
      <c r="R8" s="20" t="s">
        <v>15324</v>
      </c>
      <c r="S8" s="20">
        <v>40</v>
      </c>
      <c r="T8" s="20">
        <v>24</v>
      </c>
      <c r="U8" s="20">
        <v>68</v>
      </c>
      <c r="V8" s="24" t="s">
        <v>557</v>
      </c>
      <c r="W8" s="22" t="s">
        <v>15329</v>
      </c>
    </row>
    <row r="9" spans="1:23" x14ac:dyDescent="0.35">
      <c r="A9" s="18" t="s">
        <v>15368</v>
      </c>
      <c r="B9" s="19" t="s">
        <v>33</v>
      </c>
      <c r="C9" s="24" t="s">
        <v>557</v>
      </c>
      <c r="D9" s="24" t="s">
        <v>431</v>
      </c>
      <c r="E9" s="19" t="s">
        <v>15319</v>
      </c>
      <c r="F9" s="19" t="s">
        <v>427</v>
      </c>
      <c r="G9" s="19" t="s">
        <v>15320</v>
      </c>
      <c r="H9" s="20" t="s">
        <v>15381</v>
      </c>
      <c r="I9" s="20" t="s">
        <v>15381</v>
      </c>
      <c r="J9" s="19" t="s">
        <v>15656</v>
      </c>
      <c r="K9" s="19" t="s">
        <v>15657</v>
      </c>
      <c r="L9" s="19"/>
      <c r="M9" s="20" t="s">
        <v>15341</v>
      </c>
      <c r="N9" s="20" t="s">
        <v>15381</v>
      </c>
      <c r="O9" s="20"/>
      <c r="P9" s="20"/>
      <c r="Q9" s="20"/>
      <c r="R9" s="20" t="s">
        <v>15324</v>
      </c>
      <c r="S9" s="20">
        <v>40</v>
      </c>
      <c r="T9" s="20">
        <v>24</v>
      </c>
      <c r="U9" s="20">
        <v>80</v>
      </c>
      <c r="V9" s="24" t="s">
        <v>557</v>
      </c>
      <c r="W9" s="22" t="s">
        <v>15329</v>
      </c>
    </row>
    <row r="10" spans="1:23" x14ac:dyDescent="0.35">
      <c r="A10" s="18" t="s">
        <v>15368</v>
      </c>
      <c r="B10" s="19" t="s">
        <v>33</v>
      </c>
      <c r="C10" s="24" t="s">
        <v>557</v>
      </c>
      <c r="D10" s="24" t="s">
        <v>431</v>
      </c>
      <c r="E10" s="19" t="s">
        <v>15319</v>
      </c>
      <c r="F10" s="19" t="s">
        <v>427</v>
      </c>
      <c r="G10" s="19" t="s">
        <v>15320</v>
      </c>
      <c r="H10" s="20" t="s">
        <v>15354</v>
      </c>
      <c r="I10" s="20" t="s">
        <v>15354</v>
      </c>
      <c r="J10" s="19" t="s">
        <v>15439</v>
      </c>
      <c r="K10" s="19" t="s">
        <v>15440</v>
      </c>
      <c r="L10" s="19"/>
      <c r="M10" s="20" t="s">
        <v>15323</v>
      </c>
      <c r="N10" s="20" t="s">
        <v>15354</v>
      </c>
      <c r="O10" s="20"/>
      <c r="P10" s="20"/>
      <c r="Q10" s="20"/>
      <c r="R10" s="20" t="s">
        <v>15324</v>
      </c>
      <c r="S10" s="20">
        <v>40</v>
      </c>
      <c r="T10" s="20">
        <v>24</v>
      </c>
      <c r="U10" s="20">
        <v>55</v>
      </c>
      <c r="V10" s="24" t="s">
        <v>557</v>
      </c>
      <c r="W10" s="22" t="s">
        <v>15329</v>
      </c>
    </row>
    <row r="11" spans="1:23" x14ac:dyDescent="0.35">
      <c r="A11" s="18" t="s">
        <v>15368</v>
      </c>
      <c r="B11" s="19" t="s">
        <v>33</v>
      </c>
      <c r="C11" s="24" t="s">
        <v>557</v>
      </c>
      <c r="D11" s="24" t="s">
        <v>431</v>
      </c>
      <c r="E11" s="19" t="s">
        <v>15319</v>
      </c>
      <c r="F11" s="19" t="s">
        <v>427</v>
      </c>
      <c r="G11" s="19" t="s">
        <v>15320</v>
      </c>
      <c r="H11" s="20" t="s">
        <v>15378</v>
      </c>
      <c r="I11" s="20" t="s">
        <v>15378</v>
      </c>
      <c r="J11" s="19" t="s">
        <v>15813</v>
      </c>
      <c r="K11" s="19" t="s">
        <v>15814</v>
      </c>
      <c r="L11" s="19"/>
      <c r="M11" s="20" t="s">
        <v>15323</v>
      </c>
      <c r="N11" s="20" t="s">
        <v>15378</v>
      </c>
      <c r="O11" s="20"/>
      <c r="P11" s="20"/>
      <c r="Q11" s="20"/>
      <c r="R11" s="20" t="s">
        <v>15324</v>
      </c>
      <c r="S11" s="20">
        <v>40</v>
      </c>
      <c r="T11" s="20">
        <v>24</v>
      </c>
      <c r="U11" s="20">
        <v>53</v>
      </c>
      <c r="V11" s="24" t="s">
        <v>557</v>
      </c>
      <c r="W11" s="22" t="s">
        <v>15329</v>
      </c>
    </row>
    <row r="12" spans="1:23" x14ac:dyDescent="0.35">
      <c r="A12" s="18" t="s">
        <v>15368</v>
      </c>
      <c r="B12" s="19" t="s">
        <v>33</v>
      </c>
      <c r="C12" s="24" t="s">
        <v>557</v>
      </c>
      <c r="D12" s="24" t="s">
        <v>431</v>
      </c>
      <c r="E12" s="19" t="s">
        <v>15319</v>
      </c>
      <c r="F12" s="19" t="s">
        <v>427</v>
      </c>
      <c r="G12" s="19" t="s">
        <v>15320</v>
      </c>
      <c r="H12" s="20" t="s">
        <v>15420</v>
      </c>
      <c r="I12" s="20" t="s">
        <v>15420</v>
      </c>
      <c r="J12" s="19" t="s">
        <v>15662</v>
      </c>
      <c r="K12" s="19" t="s">
        <v>15663</v>
      </c>
      <c r="L12" s="19"/>
      <c r="M12" s="20" t="s">
        <v>15350</v>
      </c>
      <c r="N12" s="20" t="s">
        <v>15420</v>
      </c>
      <c r="O12" s="20"/>
      <c r="P12" s="20"/>
      <c r="Q12" s="20"/>
      <c r="R12" s="20" t="s">
        <v>15324</v>
      </c>
      <c r="S12" s="20">
        <v>40</v>
      </c>
      <c r="T12" s="20">
        <v>24</v>
      </c>
      <c r="U12" s="20">
        <v>80</v>
      </c>
      <c r="V12" s="24" t="s">
        <v>557</v>
      </c>
      <c r="W12" s="22" t="s">
        <v>15329</v>
      </c>
    </row>
    <row r="13" spans="1:23" x14ac:dyDescent="0.35">
      <c r="A13" s="18" t="s">
        <v>15368</v>
      </c>
      <c r="B13" s="19" t="s">
        <v>33</v>
      </c>
      <c r="C13" s="24" t="s">
        <v>557</v>
      </c>
      <c r="D13" s="24" t="s">
        <v>431</v>
      </c>
      <c r="E13" s="19" t="s">
        <v>15319</v>
      </c>
      <c r="F13" s="19" t="s">
        <v>427</v>
      </c>
      <c r="G13" s="19" t="s">
        <v>15320</v>
      </c>
      <c r="H13" s="20" t="s">
        <v>15404</v>
      </c>
      <c r="I13" s="20" t="s">
        <v>15404</v>
      </c>
      <c r="J13" s="19" t="s">
        <v>15573</v>
      </c>
      <c r="K13" s="19" t="s">
        <v>15574</v>
      </c>
      <c r="L13" s="19"/>
      <c r="M13" s="20" t="s">
        <v>15323</v>
      </c>
      <c r="N13" s="20" t="s">
        <v>15404</v>
      </c>
      <c r="O13" s="20"/>
      <c r="P13" s="20"/>
      <c r="Q13" s="20"/>
      <c r="R13" s="20" t="s">
        <v>15324</v>
      </c>
      <c r="S13" s="20">
        <v>40</v>
      </c>
      <c r="T13" s="20">
        <v>24</v>
      </c>
      <c r="U13" s="20">
        <v>80</v>
      </c>
      <c r="V13" s="24" t="s">
        <v>557</v>
      </c>
      <c r="W13" s="22" t="s">
        <v>15329</v>
      </c>
    </row>
    <row r="14" spans="1:23" x14ac:dyDescent="0.35">
      <c r="A14" s="18" t="s">
        <v>15368</v>
      </c>
      <c r="B14" s="19" t="s">
        <v>33</v>
      </c>
      <c r="C14" s="24" t="s">
        <v>557</v>
      </c>
      <c r="D14" s="24" t="s">
        <v>431</v>
      </c>
      <c r="E14" s="19" t="s">
        <v>15319</v>
      </c>
      <c r="F14" s="19" t="s">
        <v>427</v>
      </c>
      <c r="G14" s="19" t="s">
        <v>15320</v>
      </c>
      <c r="H14" s="20" t="s">
        <v>15451</v>
      </c>
      <c r="I14" s="20" t="s">
        <v>15451</v>
      </c>
      <c r="J14" s="19" t="s">
        <v>15823</v>
      </c>
      <c r="K14" s="19" t="s">
        <v>15824</v>
      </c>
      <c r="L14" s="19"/>
      <c r="M14" s="20" t="s">
        <v>15341</v>
      </c>
      <c r="N14" s="20" t="s">
        <v>15451</v>
      </c>
      <c r="O14" s="20"/>
      <c r="P14" s="20"/>
      <c r="Q14" s="20"/>
      <c r="R14" s="20" t="s">
        <v>15324</v>
      </c>
      <c r="S14" s="20">
        <v>40</v>
      </c>
      <c r="T14" s="20">
        <v>24</v>
      </c>
      <c r="U14" s="20">
        <v>80</v>
      </c>
      <c r="V14" s="24" t="s">
        <v>557</v>
      </c>
      <c r="W14" s="22" t="s">
        <v>15329</v>
      </c>
    </row>
    <row r="15" spans="1:23" x14ac:dyDescent="0.35">
      <c r="A15" s="18" t="s">
        <v>15368</v>
      </c>
      <c r="B15" s="19" t="s">
        <v>33</v>
      </c>
      <c r="C15" s="24" t="s">
        <v>557</v>
      </c>
      <c r="D15" s="24" t="s">
        <v>431</v>
      </c>
      <c r="E15" s="19" t="s">
        <v>15319</v>
      </c>
      <c r="F15" s="19" t="s">
        <v>427</v>
      </c>
      <c r="G15" s="19" t="s">
        <v>15320</v>
      </c>
      <c r="H15" s="20" t="s">
        <v>15363</v>
      </c>
      <c r="I15" s="20" t="s">
        <v>15363</v>
      </c>
      <c r="J15" s="19" t="s">
        <v>15688</v>
      </c>
      <c r="K15" s="19" t="s">
        <v>15689</v>
      </c>
      <c r="L15" s="19"/>
      <c r="M15" s="20" t="s">
        <v>15341</v>
      </c>
      <c r="N15" s="20" t="s">
        <v>15363</v>
      </c>
      <c r="O15" s="20"/>
      <c r="P15" s="20"/>
      <c r="Q15" s="20"/>
      <c r="R15" s="20" t="s">
        <v>15324</v>
      </c>
      <c r="S15" s="20">
        <v>40</v>
      </c>
      <c r="T15" s="20">
        <v>24</v>
      </c>
      <c r="U15" s="20">
        <v>80</v>
      </c>
      <c r="V15" s="24" t="s">
        <v>557</v>
      </c>
      <c r="W15" s="22" t="s">
        <v>15329</v>
      </c>
    </row>
    <row r="16" spans="1:23" x14ac:dyDescent="0.35">
      <c r="A16" s="18" t="s">
        <v>15368</v>
      </c>
      <c r="B16" s="19" t="s">
        <v>33</v>
      </c>
      <c r="C16" s="24" t="s">
        <v>557</v>
      </c>
      <c r="D16" s="24" t="s">
        <v>431</v>
      </c>
      <c r="E16" s="19" t="s">
        <v>15319</v>
      </c>
      <c r="F16" s="19" t="s">
        <v>427</v>
      </c>
      <c r="G16" s="19" t="s">
        <v>15320</v>
      </c>
      <c r="H16" s="20" t="s">
        <v>15364</v>
      </c>
      <c r="I16" s="20" t="s">
        <v>15364</v>
      </c>
      <c r="J16" s="19" t="s">
        <v>15738</v>
      </c>
      <c r="K16" s="19" t="s">
        <v>15739</v>
      </c>
      <c r="L16" s="19"/>
      <c r="M16" s="20" t="s">
        <v>15323</v>
      </c>
      <c r="N16" s="20" t="s">
        <v>15364</v>
      </c>
      <c r="O16" s="20"/>
      <c r="P16" s="20"/>
      <c r="Q16" s="20"/>
      <c r="R16" s="20" t="s">
        <v>15324</v>
      </c>
      <c r="S16" s="20">
        <v>40</v>
      </c>
      <c r="T16" s="20">
        <v>24</v>
      </c>
      <c r="U16" s="20">
        <v>62</v>
      </c>
      <c r="V16" s="24" t="s">
        <v>557</v>
      </c>
      <c r="W16" s="22" t="s">
        <v>15329</v>
      </c>
    </row>
    <row r="17" spans="1:23" x14ac:dyDescent="0.35">
      <c r="A17" s="18" t="s">
        <v>15368</v>
      </c>
      <c r="B17" s="19" t="s">
        <v>33</v>
      </c>
      <c r="C17" s="24" t="s">
        <v>557</v>
      </c>
      <c r="D17" s="24" t="s">
        <v>431</v>
      </c>
      <c r="E17" s="19" t="s">
        <v>15319</v>
      </c>
      <c r="F17" s="19" t="s">
        <v>427</v>
      </c>
      <c r="G17" s="19" t="s">
        <v>15320</v>
      </c>
      <c r="H17" s="20" t="s">
        <v>15347</v>
      </c>
      <c r="I17" s="20" t="s">
        <v>15347</v>
      </c>
      <c r="J17" s="19" t="s">
        <v>15567</v>
      </c>
      <c r="K17" s="19" t="s">
        <v>15568</v>
      </c>
      <c r="L17" s="19" t="s">
        <v>15466</v>
      </c>
      <c r="M17" s="20" t="s">
        <v>15350</v>
      </c>
      <c r="N17" s="20" t="s">
        <v>15347</v>
      </c>
      <c r="O17" s="20"/>
      <c r="P17" s="20"/>
      <c r="Q17" s="20"/>
      <c r="R17" s="20" t="s">
        <v>15346</v>
      </c>
      <c r="S17" s="20">
        <v>40</v>
      </c>
      <c r="T17" s="20">
        <v>24</v>
      </c>
      <c r="U17" s="20">
        <v>34</v>
      </c>
      <c r="V17" s="24" t="s">
        <v>557</v>
      </c>
      <c r="W17" s="22" t="s">
        <v>15329</v>
      </c>
    </row>
    <row r="18" spans="1:23" x14ac:dyDescent="0.35">
      <c r="A18" s="18" t="s">
        <v>15368</v>
      </c>
      <c r="B18" s="19" t="s">
        <v>33</v>
      </c>
      <c r="C18" s="24" t="s">
        <v>557</v>
      </c>
      <c r="D18" s="24" t="s">
        <v>431</v>
      </c>
      <c r="E18" s="19" t="s">
        <v>15319</v>
      </c>
      <c r="F18" s="19" t="s">
        <v>427</v>
      </c>
      <c r="G18" s="19" t="s">
        <v>15320</v>
      </c>
      <c r="H18" s="20" t="s">
        <v>15412</v>
      </c>
      <c r="I18" s="20" t="s">
        <v>15412</v>
      </c>
      <c r="J18" s="19" t="s">
        <v>15817</v>
      </c>
      <c r="K18" s="19" t="s">
        <v>15818</v>
      </c>
      <c r="L18" s="19" t="s">
        <v>15345</v>
      </c>
      <c r="M18" s="20" t="s">
        <v>15323</v>
      </c>
      <c r="N18" s="20" t="s">
        <v>15412</v>
      </c>
      <c r="O18" s="20"/>
      <c r="P18" s="20"/>
      <c r="Q18" s="20"/>
      <c r="R18" s="20" t="s">
        <v>15346</v>
      </c>
      <c r="S18" s="20">
        <v>40</v>
      </c>
      <c r="T18" s="20">
        <v>24</v>
      </c>
      <c r="U18" s="20">
        <v>34</v>
      </c>
      <c r="V18" s="24" t="s">
        <v>557</v>
      </c>
      <c r="W18" s="22" t="s">
        <v>15329</v>
      </c>
    </row>
    <row r="19" spans="1:23" x14ac:dyDescent="0.35">
      <c r="A19" s="18" t="s">
        <v>15368</v>
      </c>
      <c r="B19" s="19" t="s">
        <v>33</v>
      </c>
      <c r="C19" s="24" t="s">
        <v>557</v>
      </c>
      <c r="D19" s="24" t="s">
        <v>431</v>
      </c>
      <c r="E19" s="19" t="s">
        <v>15319</v>
      </c>
      <c r="F19" s="19" t="s">
        <v>427</v>
      </c>
      <c r="G19" s="19" t="s">
        <v>15320</v>
      </c>
      <c r="H19" s="20" t="s">
        <v>15342</v>
      </c>
      <c r="I19" s="20" t="s">
        <v>15342</v>
      </c>
      <c r="J19" s="19" t="s">
        <v>15557</v>
      </c>
      <c r="K19" s="19" t="s">
        <v>15558</v>
      </c>
      <c r="L19" s="19" t="s">
        <v>15334</v>
      </c>
      <c r="M19" s="20" t="s">
        <v>15323</v>
      </c>
      <c r="N19" s="20" t="s">
        <v>15342</v>
      </c>
      <c r="O19" s="20"/>
      <c r="P19" s="20"/>
      <c r="Q19" s="20"/>
      <c r="R19" s="20" t="s">
        <v>15346</v>
      </c>
      <c r="S19" s="20">
        <v>40</v>
      </c>
      <c r="T19" s="20">
        <v>24</v>
      </c>
      <c r="U19" s="20">
        <v>34</v>
      </c>
      <c r="V19" s="24" t="s">
        <v>557</v>
      </c>
      <c r="W19" s="22" t="s">
        <v>15329</v>
      </c>
    </row>
    <row r="20" spans="1:23" x14ac:dyDescent="0.35">
      <c r="A20" s="18" t="s">
        <v>15368</v>
      </c>
      <c r="B20" s="19" t="s">
        <v>33</v>
      </c>
      <c r="C20" s="24" t="s">
        <v>557</v>
      </c>
      <c r="D20" s="24" t="s">
        <v>431</v>
      </c>
      <c r="E20" s="19" t="s">
        <v>15319</v>
      </c>
      <c r="F20" s="19" t="s">
        <v>427</v>
      </c>
      <c r="G20" s="19" t="s">
        <v>15320</v>
      </c>
      <c r="H20" s="20" t="s">
        <v>15476</v>
      </c>
      <c r="I20" s="20" t="s">
        <v>15476</v>
      </c>
      <c r="J20" s="19" t="s">
        <v>15500</v>
      </c>
      <c r="K20" s="19" t="s">
        <v>15501</v>
      </c>
      <c r="L20" s="19"/>
      <c r="M20" s="20" t="s">
        <v>15341</v>
      </c>
      <c r="N20" s="20" t="s">
        <v>15476</v>
      </c>
      <c r="O20" s="20"/>
      <c r="P20" s="20"/>
      <c r="Q20" s="20"/>
      <c r="R20" s="20" t="s">
        <v>15346</v>
      </c>
      <c r="S20" s="20">
        <v>40</v>
      </c>
      <c r="T20" s="20">
        <v>24</v>
      </c>
      <c r="U20" s="20">
        <v>12</v>
      </c>
      <c r="V20" s="24" t="s">
        <v>557</v>
      </c>
      <c r="W20" s="22" t="s">
        <v>15329</v>
      </c>
    </row>
    <row r="21" spans="1:23" x14ac:dyDescent="0.35">
      <c r="A21" s="18" t="s">
        <v>15368</v>
      </c>
      <c r="B21" s="19" t="s">
        <v>33</v>
      </c>
      <c r="C21" s="24" t="s">
        <v>557</v>
      </c>
      <c r="D21" s="24" t="s">
        <v>431</v>
      </c>
      <c r="E21" s="19" t="s">
        <v>15319</v>
      </c>
      <c r="F21" s="19" t="s">
        <v>427</v>
      </c>
      <c r="G21" s="19" t="s">
        <v>15320</v>
      </c>
      <c r="H21" s="20" t="s">
        <v>15392</v>
      </c>
      <c r="I21" s="20" t="s">
        <v>15392</v>
      </c>
      <c r="J21" s="19" t="s">
        <v>15506</v>
      </c>
      <c r="K21" s="19" t="s">
        <v>15507</v>
      </c>
      <c r="L21" s="19"/>
      <c r="M21" s="20" t="s">
        <v>15341</v>
      </c>
      <c r="N21" s="20" t="s">
        <v>15392</v>
      </c>
      <c r="O21" s="20"/>
      <c r="P21" s="20"/>
      <c r="Q21" s="20"/>
      <c r="R21" s="20" t="s">
        <v>15346</v>
      </c>
      <c r="S21" s="20">
        <v>40</v>
      </c>
      <c r="T21" s="20">
        <v>24</v>
      </c>
      <c r="U21" s="20">
        <v>27</v>
      </c>
      <c r="V21" s="24" t="s">
        <v>557</v>
      </c>
      <c r="W21" s="22" t="s">
        <v>15329</v>
      </c>
    </row>
    <row r="22" spans="1:23" x14ac:dyDescent="0.35">
      <c r="A22" s="18" t="s">
        <v>15368</v>
      </c>
      <c r="B22" s="19" t="s">
        <v>33</v>
      </c>
      <c r="C22" s="24" t="s">
        <v>557</v>
      </c>
      <c r="D22" s="24" t="s">
        <v>431</v>
      </c>
      <c r="E22" s="19" t="s">
        <v>15319</v>
      </c>
      <c r="F22" s="19" t="s">
        <v>427</v>
      </c>
      <c r="G22" s="19" t="s">
        <v>15320</v>
      </c>
      <c r="H22" s="20" t="s">
        <v>15351</v>
      </c>
      <c r="I22" s="20" t="s">
        <v>15351</v>
      </c>
      <c r="J22" s="19" t="s">
        <v>15490</v>
      </c>
      <c r="K22" s="19" t="s">
        <v>15491</v>
      </c>
      <c r="L22" s="19"/>
      <c r="M22" s="20" t="s">
        <v>15341</v>
      </c>
      <c r="N22" s="20" t="s">
        <v>15351</v>
      </c>
      <c r="O22" s="20"/>
      <c r="P22" s="20"/>
      <c r="Q22" s="20"/>
      <c r="R22" s="20" t="s">
        <v>15346</v>
      </c>
      <c r="S22" s="20">
        <v>40</v>
      </c>
      <c r="T22" s="20">
        <v>24</v>
      </c>
      <c r="U22" s="20">
        <v>25</v>
      </c>
      <c r="V22" s="24" t="s">
        <v>557</v>
      </c>
      <c r="W22" s="22" t="s">
        <v>15329</v>
      </c>
    </row>
    <row r="23" spans="1:23" x14ac:dyDescent="0.35">
      <c r="A23" s="18" t="s">
        <v>15368</v>
      </c>
      <c r="B23" s="19" t="s">
        <v>33</v>
      </c>
      <c r="C23" s="24" t="s">
        <v>557</v>
      </c>
      <c r="D23" s="24" t="s">
        <v>431</v>
      </c>
      <c r="E23" s="19" t="s">
        <v>15319</v>
      </c>
      <c r="F23" s="19" t="s">
        <v>427</v>
      </c>
      <c r="G23" s="19" t="s">
        <v>15320</v>
      </c>
      <c r="H23" s="20" t="s">
        <v>15359</v>
      </c>
      <c r="I23" s="20" t="s">
        <v>15359</v>
      </c>
      <c r="J23" s="19" t="s">
        <v>15643</v>
      </c>
      <c r="K23" s="19" t="s">
        <v>15644</v>
      </c>
      <c r="L23" s="19"/>
      <c r="M23" s="20" t="s">
        <v>15350</v>
      </c>
      <c r="N23" s="20" t="s">
        <v>15359</v>
      </c>
      <c r="O23" s="20"/>
      <c r="P23" s="20"/>
      <c r="Q23" s="20"/>
      <c r="R23" s="20" t="s">
        <v>15346</v>
      </c>
      <c r="S23" s="20">
        <v>40</v>
      </c>
      <c r="T23" s="20">
        <v>24</v>
      </c>
      <c r="U23" s="20">
        <v>27</v>
      </c>
      <c r="V23" s="24" t="s">
        <v>557</v>
      </c>
      <c r="W23" s="22" t="s">
        <v>15329</v>
      </c>
    </row>
    <row r="24" spans="1:23" x14ac:dyDescent="0.35">
      <c r="A24" s="18" t="s">
        <v>15368</v>
      </c>
      <c r="B24" s="19" t="s">
        <v>33</v>
      </c>
      <c r="C24" s="24" t="s">
        <v>557</v>
      </c>
      <c r="D24" s="24" t="s">
        <v>431</v>
      </c>
      <c r="E24" s="19" t="s">
        <v>15319</v>
      </c>
      <c r="F24" s="19" t="s">
        <v>427</v>
      </c>
      <c r="G24" s="19" t="s">
        <v>15320</v>
      </c>
      <c r="H24" s="20" t="s">
        <v>15423</v>
      </c>
      <c r="I24" s="20" t="s">
        <v>15423</v>
      </c>
      <c r="J24" s="19" t="s">
        <v>15819</v>
      </c>
      <c r="K24" s="19" t="s">
        <v>15820</v>
      </c>
      <c r="L24" s="19"/>
      <c r="M24" s="20" t="s">
        <v>15350</v>
      </c>
      <c r="N24" s="20" t="s">
        <v>15423</v>
      </c>
      <c r="O24" s="20"/>
      <c r="P24" s="20"/>
      <c r="Q24" s="20"/>
      <c r="R24" s="20" t="s">
        <v>15346</v>
      </c>
      <c r="S24" s="20">
        <v>40</v>
      </c>
      <c r="T24" s="20">
        <v>24</v>
      </c>
      <c r="U24" s="20">
        <v>18</v>
      </c>
      <c r="V24" s="24" t="s">
        <v>557</v>
      </c>
      <c r="W24" s="22" t="s">
        <v>15329</v>
      </c>
    </row>
    <row r="25" spans="1:23" x14ac:dyDescent="0.35">
      <c r="A25" s="18" t="s">
        <v>15368</v>
      </c>
      <c r="B25" s="19" t="s">
        <v>33</v>
      </c>
      <c r="C25" s="24" t="s">
        <v>557</v>
      </c>
      <c r="D25" s="24" t="s">
        <v>431</v>
      </c>
      <c r="E25" s="19" t="s">
        <v>15319</v>
      </c>
      <c r="F25" s="19" t="s">
        <v>427</v>
      </c>
      <c r="G25" s="19" t="s">
        <v>15320</v>
      </c>
      <c r="H25" s="20" t="s">
        <v>15399</v>
      </c>
      <c r="I25" s="20" t="s">
        <v>15399</v>
      </c>
      <c r="J25" s="19" t="s">
        <v>15547</v>
      </c>
      <c r="K25" s="19" t="s">
        <v>15548</v>
      </c>
      <c r="L25" s="19" t="s">
        <v>15371</v>
      </c>
      <c r="M25" s="20" t="s">
        <v>15357</v>
      </c>
      <c r="N25" s="20" t="s">
        <v>15399</v>
      </c>
      <c r="O25" s="20"/>
      <c r="P25" s="20"/>
      <c r="Q25" s="20"/>
      <c r="R25" s="20" t="s">
        <v>15324</v>
      </c>
      <c r="S25" s="20">
        <v>40</v>
      </c>
      <c r="T25" s="20">
        <v>24</v>
      </c>
      <c r="U25" s="20">
        <v>68</v>
      </c>
      <c r="V25" s="24" t="s">
        <v>431</v>
      </c>
      <c r="W25" s="22" t="s">
        <v>15325</v>
      </c>
    </row>
    <row r="26" spans="1:23" x14ac:dyDescent="0.35">
      <c r="A26" s="18" t="s">
        <v>15368</v>
      </c>
      <c r="B26" s="19" t="s">
        <v>33</v>
      </c>
      <c r="C26" s="24" t="s">
        <v>557</v>
      </c>
      <c r="D26" s="24" t="s">
        <v>431</v>
      </c>
      <c r="E26" s="19" t="s">
        <v>15319</v>
      </c>
      <c r="F26" s="19" t="s">
        <v>427</v>
      </c>
      <c r="G26" s="19" t="s">
        <v>15320</v>
      </c>
      <c r="H26" s="20" t="s">
        <v>15337</v>
      </c>
      <c r="I26" s="20" t="s">
        <v>15337</v>
      </c>
      <c r="J26" s="19" t="s">
        <v>15437</v>
      </c>
      <c r="K26" s="19" t="s">
        <v>15438</v>
      </c>
      <c r="L26" s="19" t="s">
        <v>15340</v>
      </c>
      <c r="M26" s="20" t="s">
        <v>15341</v>
      </c>
      <c r="N26" s="20" t="s">
        <v>15337</v>
      </c>
      <c r="O26" s="20"/>
      <c r="P26" s="20"/>
      <c r="Q26" s="20"/>
      <c r="R26" s="20" t="s">
        <v>15324</v>
      </c>
      <c r="S26" s="20">
        <v>40</v>
      </c>
      <c r="T26" s="20">
        <v>24</v>
      </c>
      <c r="U26" s="20">
        <v>70</v>
      </c>
      <c r="V26" s="24" t="s">
        <v>431</v>
      </c>
      <c r="W26" s="22" t="s">
        <v>15325</v>
      </c>
    </row>
    <row r="27" spans="1:23" x14ac:dyDescent="0.35">
      <c r="A27" s="18" t="s">
        <v>15368</v>
      </c>
      <c r="B27" s="19" t="s">
        <v>33</v>
      </c>
      <c r="C27" s="24" t="s">
        <v>557</v>
      </c>
      <c r="D27" s="24" t="s">
        <v>431</v>
      </c>
      <c r="E27" s="19" t="s">
        <v>15319</v>
      </c>
      <c r="F27" s="19" t="s">
        <v>427</v>
      </c>
      <c r="G27" s="19" t="s">
        <v>15320</v>
      </c>
      <c r="H27" s="20" t="s">
        <v>15331</v>
      </c>
      <c r="I27" s="20" t="s">
        <v>15331</v>
      </c>
      <c r="J27" s="19" t="s">
        <v>15369</v>
      </c>
      <c r="K27" s="19" t="s">
        <v>15370</v>
      </c>
      <c r="L27" s="19" t="s">
        <v>15371</v>
      </c>
      <c r="M27" s="20" t="s">
        <v>15323</v>
      </c>
      <c r="N27" s="20" t="s">
        <v>15331</v>
      </c>
      <c r="O27" s="20"/>
      <c r="P27" s="20"/>
      <c r="Q27" s="20"/>
      <c r="R27" s="20" t="s">
        <v>15324</v>
      </c>
      <c r="S27" s="20">
        <v>40</v>
      </c>
      <c r="T27" s="20">
        <v>24</v>
      </c>
      <c r="U27" s="20">
        <v>74</v>
      </c>
      <c r="V27" s="24" t="s">
        <v>431</v>
      </c>
      <c r="W27" s="22" t="s">
        <v>15325</v>
      </c>
    </row>
    <row r="28" spans="1:23" x14ac:dyDescent="0.35">
      <c r="A28" s="18" t="s">
        <v>15368</v>
      </c>
      <c r="B28" s="19" t="s">
        <v>33</v>
      </c>
      <c r="C28" s="24" t="s">
        <v>557</v>
      </c>
      <c r="D28" s="24" t="s">
        <v>431</v>
      </c>
      <c r="E28" s="19" t="s">
        <v>15319</v>
      </c>
      <c r="F28" s="19" t="s">
        <v>427</v>
      </c>
      <c r="G28" s="19" t="s">
        <v>15320</v>
      </c>
      <c r="H28" s="20" t="s">
        <v>2197</v>
      </c>
      <c r="I28" s="20" t="s">
        <v>2197</v>
      </c>
      <c r="J28" s="19" t="s">
        <v>15660</v>
      </c>
      <c r="K28" s="19" t="s">
        <v>15661</v>
      </c>
      <c r="L28" s="19"/>
      <c r="M28" s="20" t="s">
        <v>15341</v>
      </c>
      <c r="N28" s="20" t="s">
        <v>2197</v>
      </c>
      <c r="O28" s="20"/>
      <c r="P28" s="20"/>
      <c r="Q28" s="20"/>
      <c r="R28" s="20" t="s">
        <v>15324</v>
      </c>
      <c r="S28" s="20">
        <v>40</v>
      </c>
      <c r="T28" s="20">
        <v>24</v>
      </c>
      <c r="U28" s="20">
        <v>80</v>
      </c>
      <c r="V28" s="24" t="s">
        <v>431</v>
      </c>
      <c r="W28" s="22" t="s">
        <v>15325</v>
      </c>
    </row>
    <row r="29" spans="1:23" x14ac:dyDescent="0.35">
      <c r="A29" s="18" t="s">
        <v>15368</v>
      </c>
      <c r="B29" s="19" t="s">
        <v>33</v>
      </c>
      <c r="C29" s="24" t="s">
        <v>557</v>
      </c>
      <c r="D29" s="24" t="s">
        <v>431</v>
      </c>
      <c r="E29" s="19" t="s">
        <v>15319</v>
      </c>
      <c r="F29" s="19" t="s">
        <v>427</v>
      </c>
      <c r="G29" s="19" t="s">
        <v>15320</v>
      </c>
      <c r="H29" s="20" t="s">
        <v>2135</v>
      </c>
      <c r="I29" s="20" t="s">
        <v>2135</v>
      </c>
      <c r="J29" s="19" t="s">
        <v>15648</v>
      </c>
      <c r="K29" s="19" t="s">
        <v>15649</v>
      </c>
      <c r="L29" s="19"/>
      <c r="M29" s="20" t="s">
        <v>15341</v>
      </c>
      <c r="N29" s="20" t="s">
        <v>2135</v>
      </c>
      <c r="O29" s="20"/>
      <c r="P29" s="20"/>
      <c r="Q29" s="20"/>
      <c r="R29" s="20" t="s">
        <v>15324</v>
      </c>
      <c r="S29" s="20">
        <v>40</v>
      </c>
      <c r="T29" s="20">
        <v>24</v>
      </c>
      <c r="U29" s="20">
        <v>80</v>
      </c>
      <c r="V29" s="24" t="s">
        <v>431</v>
      </c>
      <c r="W29" s="22" t="s">
        <v>15325</v>
      </c>
    </row>
    <row r="30" spans="1:23" x14ac:dyDescent="0.35">
      <c r="A30" s="18" t="s">
        <v>15368</v>
      </c>
      <c r="B30" s="19" t="s">
        <v>33</v>
      </c>
      <c r="C30" s="24" t="s">
        <v>557</v>
      </c>
      <c r="D30" s="24" t="s">
        <v>431</v>
      </c>
      <c r="E30" s="19" t="s">
        <v>15319</v>
      </c>
      <c r="F30" s="19" t="s">
        <v>427</v>
      </c>
      <c r="G30" s="19" t="s">
        <v>15320</v>
      </c>
      <c r="H30" s="20" t="s">
        <v>2151</v>
      </c>
      <c r="I30" s="20" t="s">
        <v>2151</v>
      </c>
      <c r="J30" s="19" t="s">
        <v>15707</v>
      </c>
      <c r="K30" s="19" t="s">
        <v>15708</v>
      </c>
      <c r="L30" s="19"/>
      <c r="M30" s="20" t="s">
        <v>15341</v>
      </c>
      <c r="N30" s="20" t="s">
        <v>2151</v>
      </c>
      <c r="O30" s="20"/>
      <c r="P30" s="20"/>
      <c r="Q30" s="20"/>
      <c r="R30" s="20" t="s">
        <v>15324</v>
      </c>
      <c r="S30" s="20">
        <v>40</v>
      </c>
      <c r="T30" s="20">
        <v>24</v>
      </c>
      <c r="U30" s="20">
        <v>80</v>
      </c>
      <c r="V30" s="24" t="s">
        <v>431</v>
      </c>
      <c r="W30" s="22" t="s">
        <v>15325</v>
      </c>
    </row>
    <row r="31" spans="1:23" x14ac:dyDescent="0.35">
      <c r="A31" s="18" t="s">
        <v>15368</v>
      </c>
      <c r="B31" s="19" t="s">
        <v>33</v>
      </c>
      <c r="C31" s="24" t="s">
        <v>557</v>
      </c>
      <c r="D31" s="24" t="s">
        <v>431</v>
      </c>
      <c r="E31" s="19" t="s">
        <v>15319</v>
      </c>
      <c r="F31" s="19" t="s">
        <v>427</v>
      </c>
      <c r="G31" s="19" t="s">
        <v>15320</v>
      </c>
      <c r="H31" s="20" t="s">
        <v>15409</v>
      </c>
      <c r="I31" s="20" t="s">
        <v>15409</v>
      </c>
      <c r="J31" s="19" t="s">
        <v>15829</v>
      </c>
      <c r="K31" s="19" t="s">
        <v>15830</v>
      </c>
      <c r="L31" s="19"/>
      <c r="M31" s="20" t="s">
        <v>15341</v>
      </c>
      <c r="N31" s="20" t="s">
        <v>15409</v>
      </c>
      <c r="O31" s="20"/>
      <c r="P31" s="20"/>
      <c r="Q31" s="20"/>
      <c r="R31" s="20" t="s">
        <v>15324</v>
      </c>
      <c r="S31" s="20">
        <v>40</v>
      </c>
      <c r="T31" s="20">
        <v>24</v>
      </c>
      <c r="U31" s="20">
        <v>54</v>
      </c>
      <c r="V31" s="24" t="s">
        <v>431</v>
      </c>
      <c r="W31" s="22" t="s">
        <v>15325</v>
      </c>
    </row>
    <row r="32" spans="1:23" x14ac:dyDescent="0.35">
      <c r="A32" s="18" t="s">
        <v>15368</v>
      </c>
      <c r="B32" s="19" t="s">
        <v>33</v>
      </c>
      <c r="C32" s="24" t="s">
        <v>557</v>
      </c>
      <c r="D32" s="24" t="s">
        <v>431</v>
      </c>
      <c r="E32" s="19" t="s">
        <v>15319</v>
      </c>
      <c r="F32" s="19" t="s">
        <v>427</v>
      </c>
      <c r="G32" s="19" t="s">
        <v>15320</v>
      </c>
      <c r="H32" s="20" t="s">
        <v>15381</v>
      </c>
      <c r="I32" s="20" t="s">
        <v>15381</v>
      </c>
      <c r="J32" s="19" t="s">
        <v>15668</v>
      </c>
      <c r="K32" s="19" t="s">
        <v>15669</v>
      </c>
      <c r="L32" s="19"/>
      <c r="M32" s="20" t="s">
        <v>15323</v>
      </c>
      <c r="N32" s="20" t="s">
        <v>15381</v>
      </c>
      <c r="O32" s="20"/>
      <c r="P32" s="20"/>
      <c r="Q32" s="20"/>
      <c r="R32" s="20" t="s">
        <v>15324</v>
      </c>
      <c r="S32" s="20">
        <v>40</v>
      </c>
      <c r="T32" s="20">
        <v>24</v>
      </c>
      <c r="U32" s="20">
        <v>70</v>
      </c>
      <c r="V32" s="24" t="s">
        <v>431</v>
      </c>
      <c r="W32" s="22" t="s">
        <v>15325</v>
      </c>
    </row>
    <row r="33" spans="1:23" x14ac:dyDescent="0.35">
      <c r="A33" s="18" t="s">
        <v>15368</v>
      </c>
      <c r="B33" s="19" t="s">
        <v>33</v>
      </c>
      <c r="C33" s="24" t="s">
        <v>557</v>
      </c>
      <c r="D33" s="24" t="s">
        <v>431</v>
      </c>
      <c r="E33" s="19" t="s">
        <v>15319</v>
      </c>
      <c r="F33" s="19" t="s">
        <v>427</v>
      </c>
      <c r="G33" s="19" t="s">
        <v>15320</v>
      </c>
      <c r="H33" s="20" t="s">
        <v>15354</v>
      </c>
      <c r="I33" s="20" t="s">
        <v>15354</v>
      </c>
      <c r="J33" s="19" t="s">
        <v>15851</v>
      </c>
      <c r="K33" s="19" t="s">
        <v>15852</v>
      </c>
      <c r="L33" s="19"/>
      <c r="M33" s="20" t="s">
        <v>15341</v>
      </c>
      <c r="N33" s="20" t="s">
        <v>15354</v>
      </c>
      <c r="O33" s="20"/>
      <c r="P33" s="20"/>
      <c r="Q33" s="20"/>
      <c r="R33" s="20" t="s">
        <v>15324</v>
      </c>
      <c r="S33" s="20">
        <v>40</v>
      </c>
      <c r="T33" s="20">
        <v>24</v>
      </c>
      <c r="U33" s="20">
        <v>80</v>
      </c>
      <c r="V33" s="24" t="s">
        <v>431</v>
      </c>
      <c r="W33" s="22" t="s">
        <v>15325</v>
      </c>
    </row>
    <row r="34" spans="1:23" x14ac:dyDescent="0.35">
      <c r="A34" s="18" t="s">
        <v>15368</v>
      </c>
      <c r="B34" s="19" t="s">
        <v>33</v>
      </c>
      <c r="C34" s="24" t="s">
        <v>557</v>
      </c>
      <c r="D34" s="24" t="s">
        <v>431</v>
      </c>
      <c r="E34" s="19" t="s">
        <v>15319</v>
      </c>
      <c r="F34" s="19" t="s">
        <v>427</v>
      </c>
      <c r="G34" s="19" t="s">
        <v>15320</v>
      </c>
      <c r="H34" s="20" t="s">
        <v>15378</v>
      </c>
      <c r="I34" s="20" t="s">
        <v>15378</v>
      </c>
      <c r="J34" s="19" t="s">
        <v>15720</v>
      </c>
      <c r="K34" s="19" t="s">
        <v>15721</v>
      </c>
      <c r="L34" s="19"/>
      <c r="M34" s="20" t="s">
        <v>15323</v>
      </c>
      <c r="N34" s="20" t="s">
        <v>15378</v>
      </c>
      <c r="O34" s="20"/>
      <c r="P34" s="20"/>
      <c r="Q34" s="20"/>
      <c r="R34" s="20" t="s">
        <v>15324</v>
      </c>
      <c r="S34" s="20">
        <v>40</v>
      </c>
      <c r="T34" s="20">
        <v>24</v>
      </c>
      <c r="U34" s="20">
        <v>62</v>
      </c>
      <c r="V34" s="24" t="s">
        <v>431</v>
      </c>
      <c r="W34" s="22" t="s">
        <v>15325</v>
      </c>
    </row>
    <row r="35" spans="1:23" x14ac:dyDescent="0.35">
      <c r="A35" s="18" t="s">
        <v>15368</v>
      </c>
      <c r="B35" s="19" t="s">
        <v>33</v>
      </c>
      <c r="C35" s="24" t="s">
        <v>557</v>
      </c>
      <c r="D35" s="24" t="s">
        <v>431</v>
      </c>
      <c r="E35" s="19" t="s">
        <v>15319</v>
      </c>
      <c r="F35" s="19" t="s">
        <v>427</v>
      </c>
      <c r="G35" s="19" t="s">
        <v>15320</v>
      </c>
      <c r="H35" s="20" t="s">
        <v>15420</v>
      </c>
      <c r="I35" s="20" t="s">
        <v>15420</v>
      </c>
      <c r="J35" s="19" t="s">
        <v>15751</v>
      </c>
      <c r="K35" s="19" t="s">
        <v>15752</v>
      </c>
      <c r="L35" s="19"/>
      <c r="M35" s="20" t="s">
        <v>15341</v>
      </c>
      <c r="N35" s="20" t="s">
        <v>15420</v>
      </c>
      <c r="O35" s="20"/>
      <c r="P35" s="20"/>
      <c r="Q35" s="20"/>
      <c r="R35" s="20" t="s">
        <v>15324</v>
      </c>
      <c r="S35" s="20">
        <v>40</v>
      </c>
      <c r="T35" s="20">
        <v>24</v>
      </c>
      <c r="U35" s="20">
        <v>80</v>
      </c>
      <c r="V35" s="24" t="s">
        <v>431</v>
      </c>
      <c r="W35" s="22" t="s">
        <v>15325</v>
      </c>
    </row>
    <row r="36" spans="1:23" x14ac:dyDescent="0.35">
      <c r="A36" s="18" t="s">
        <v>15368</v>
      </c>
      <c r="B36" s="19" t="s">
        <v>33</v>
      </c>
      <c r="C36" s="24" t="s">
        <v>557</v>
      </c>
      <c r="D36" s="24" t="s">
        <v>431</v>
      </c>
      <c r="E36" s="19" t="s">
        <v>15319</v>
      </c>
      <c r="F36" s="19" t="s">
        <v>427</v>
      </c>
      <c r="G36" s="19" t="s">
        <v>15320</v>
      </c>
      <c r="H36" s="20" t="s">
        <v>15404</v>
      </c>
      <c r="I36" s="20" t="s">
        <v>15404</v>
      </c>
      <c r="J36" s="19" t="s">
        <v>15485</v>
      </c>
      <c r="K36" s="19" t="s">
        <v>15486</v>
      </c>
      <c r="L36" s="19"/>
      <c r="M36" s="20" t="s">
        <v>15362</v>
      </c>
      <c r="N36" s="20" t="s">
        <v>15404</v>
      </c>
      <c r="O36" s="20"/>
      <c r="P36" s="20"/>
      <c r="Q36" s="20"/>
      <c r="R36" s="20" t="s">
        <v>15324</v>
      </c>
      <c r="S36" s="20">
        <v>40</v>
      </c>
      <c r="T36" s="20">
        <v>24</v>
      </c>
      <c r="U36" s="20">
        <v>80</v>
      </c>
      <c r="V36" s="24" t="s">
        <v>431</v>
      </c>
      <c r="W36" s="22" t="s">
        <v>15325</v>
      </c>
    </row>
    <row r="37" spans="1:23" x14ac:dyDescent="0.35">
      <c r="A37" s="18" t="s">
        <v>15368</v>
      </c>
      <c r="B37" s="19" t="s">
        <v>33</v>
      </c>
      <c r="C37" s="24" t="s">
        <v>557</v>
      </c>
      <c r="D37" s="24" t="s">
        <v>431</v>
      </c>
      <c r="E37" s="19" t="s">
        <v>15319</v>
      </c>
      <c r="F37" s="19" t="s">
        <v>427</v>
      </c>
      <c r="G37" s="19" t="s">
        <v>15320</v>
      </c>
      <c r="H37" s="20" t="s">
        <v>15451</v>
      </c>
      <c r="I37" s="20" t="s">
        <v>15451</v>
      </c>
      <c r="J37" s="19" t="s">
        <v>15468</v>
      </c>
      <c r="K37" s="19" t="s">
        <v>15469</v>
      </c>
      <c r="L37" s="19"/>
      <c r="M37" s="20" t="s">
        <v>15362</v>
      </c>
      <c r="N37" s="20" t="s">
        <v>15451</v>
      </c>
      <c r="O37" s="20"/>
      <c r="P37" s="20"/>
      <c r="Q37" s="20"/>
      <c r="R37" s="20" t="s">
        <v>15324</v>
      </c>
      <c r="S37" s="20">
        <v>40</v>
      </c>
      <c r="T37" s="20">
        <v>24</v>
      </c>
      <c r="U37" s="20">
        <v>70</v>
      </c>
      <c r="V37" s="24" t="s">
        <v>431</v>
      </c>
      <c r="W37" s="22" t="s">
        <v>15325</v>
      </c>
    </row>
    <row r="38" spans="1:23" x14ac:dyDescent="0.35">
      <c r="A38" s="18" t="s">
        <v>15368</v>
      </c>
      <c r="B38" s="19" t="s">
        <v>33</v>
      </c>
      <c r="C38" s="24" t="s">
        <v>557</v>
      </c>
      <c r="D38" s="24" t="s">
        <v>431</v>
      </c>
      <c r="E38" s="19" t="s">
        <v>15319</v>
      </c>
      <c r="F38" s="19" t="s">
        <v>427</v>
      </c>
      <c r="G38" s="19" t="s">
        <v>15320</v>
      </c>
      <c r="H38" s="20" t="s">
        <v>15363</v>
      </c>
      <c r="I38" s="20" t="s">
        <v>15363</v>
      </c>
      <c r="J38" s="19" t="s">
        <v>15487</v>
      </c>
      <c r="K38" s="19" t="s">
        <v>15488</v>
      </c>
      <c r="L38" s="19"/>
      <c r="M38" s="20" t="s">
        <v>15350</v>
      </c>
      <c r="N38" s="20" t="s">
        <v>15363</v>
      </c>
      <c r="O38" s="20"/>
      <c r="P38" s="20"/>
      <c r="Q38" s="20"/>
      <c r="R38" s="20" t="s">
        <v>15324</v>
      </c>
      <c r="S38" s="20">
        <v>40</v>
      </c>
      <c r="T38" s="20">
        <v>24</v>
      </c>
      <c r="U38" s="20">
        <v>62</v>
      </c>
      <c r="V38" s="24" t="s">
        <v>431</v>
      </c>
      <c r="W38" s="22" t="s">
        <v>15325</v>
      </c>
    </row>
    <row r="39" spans="1:23" x14ac:dyDescent="0.35">
      <c r="A39" s="18" t="s">
        <v>15368</v>
      </c>
      <c r="B39" s="19" t="s">
        <v>33</v>
      </c>
      <c r="C39" s="24" t="s">
        <v>557</v>
      </c>
      <c r="D39" s="24" t="s">
        <v>431</v>
      </c>
      <c r="E39" s="19" t="s">
        <v>15319</v>
      </c>
      <c r="F39" s="19" t="s">
        <v>427</v>
      </c>
      <c r="G39" s="19" t="s">
        <v>15320</v>
      </c>
      <c r="H39" s="20" t="s">
        <v>15364</v>
      </c>
      <c r="I39" s="20" t="s">
        <v>15364</v>
      </c>
      <c r="J39" s="19" t="s">
        <v>15690</v>
      </c>
      <c r="K39" s="19" t="s">
        <v>15691</v>
      </c>
      <c r="L39" s="19"/>
      <c r="M39" s="20" t="s">
        <v>15323</v>
      </c>
      <c r="N39" s="20" t="s">
        <v>15364</v>
      </c>
      <c r="O39" s="20"/>
      <c r="P39" s="20"/>
      <c r="Q39" s="20"/>
      <c r="R39" s="20" t="s">
        <v>15324</v>
      </c>
      <c r="S39" s="20">
        <v>40</v>
      </c>
      <c r="T39" s="20">
        <v>24</v>
      </c>
      <c r="U39" s="20">
        <v>80</v>
      </c>
      <c r="V39" s="24" t="s">
        <v>431</v>
      </c>
      <c r="W39" s="22" t="s">
        <v>15325</v>
      </c>
    </row>
    <row r="40" spans="1:23" x14ac:dyDescent="0.35">
      <c r="A40" s="18" t="s">
        <v>15368</v>
      </c>
      <c r="B40" s="19" t="s">
        <v>33</v>
      </c>
      <c r="C40" s="24" t="s">
        <v>557</v>
      </c>
      <c r="D40" s="24" t="s">
        <v>431</v>
      </c>
      <c r="E40" s="19" t="s">
        <v>15319</v>
      </c>
      <c r="F40" s="19" t="s">
        <v>427</v>
      </c>
      <c r="G40" s="19" t="s">
        <v>15320</v>
      </c>
      <c r="H40" s="20" t="s">
        <v>15347</v>
      </c>
      <c r="I40" s="20" t="s">
        <v>15347</v>
      </c>
      <c r="J40" s="19" t="s">
        <v>15443</v>
      </c>
      <c r="K40" s="19" t="s">
        <v>15444</v>
      </c>
      <c r="L40" s="19" t="s">
        <v>15371</v>
      </c>
      <c r="M40" s="20" t="s">
        <v>15357</v>
      </c>
      <c r="N40" s="20" t="s">
        <v>15347</v>
      </c>
      <c r="O40" s="20"/>
      <c r="P40" s="20"/>
      <c r="Q40" s="20"/>
      <c r="R40" s="20" t="s">
        <v>15346</v>
      </c>
      <c r="S40" s="20">
        <v>40</v>
      </c>
      <c r="T40" s="20">
        <v>24</v>
      </c>
      <c r="U40" s="20">
        <v>12</v>
      </c>
      <c r="V40" s="24" t="s">
        <v>431</v>
      </c>
      <c r="W40" s="22" t="s">
        <v>15325</v>
      </c>
    </row>
    <row r="41" spans="1:23" x14ac:dyDescent="0.35">
      <c r="A41" s="18" t="s">
        <v>15368</v>
      </c>
      <c r="B41" s="19" t="s">
        <v>33</v>
      </c>
      <c r="C41" s="24" t="s">
        <v>557</v>
      </c>
      <c r="D41" s="24" t="s">
        <v>431</v>
      </c>
      <c r="E41" s="19" t="s">
        <v>15319</v>
      </c>
      <c r="F41" s="19" t="s">
        <v>427</v>
      </c>
      <c r="G41" s="19" t="s">
        <v>15320</v>
      </c>
      <c r="H41" s="20" t="s">
        <v>15412</v>
      </c>
      <c r="I41" s="20" t="s">
        <v>15412</v>
      </c>
      <c r="J41" s="19" t="s">
        <v>15523</v>
      </c>
      <c r="K41" s="19" t="s">
        <v>15524</v>
      </c>
      <c r="L41" s="19" t="s">
        <v>15345</v>
      </c>
      <c r="M41" s="20" t="s">
        <v>15341</v>
      </c>
      <c r="N41" s="20" t="s">
        <v>15412</v>
      </c>
      <c r="O41" s="20"/>
      <c r="P41" s="20"/>
      <c r="Q41" s="20"/>
      <c r="R41" s="20" t="s">
        <v>15346</v>
      </c>
      <c r="S41" s="20">
        <v>40</v>
      </c>
      <c r="T41" s="20">
        <v>24</v>
      </c>
      <c r="U41" s="20">
        <v>10</v>
      </c>
      <c r="V41" s="24" t="s">
        <v>431</v>
      </c>
      <c r="W41" s="22" t="s">
        <v>15325</v>
      </c>
    </row>
    <row r="42" spans="1:23" x14ac:dyDescent="0.35">
      <c r="A42" s="18" t="s">
        <v>15368</v>
      </c>
      <c r="B42" s="19" t="s">
        <v>33</v>
      </c>
      <c r="C42" s="24" t="s">
        <v>557</v>
      </c>
      <c r="D42" s="24" t="s">
        <v>431</v>
      </c>
      <c r="E42" s="19" t="s">
        <v>15319</v>
      </c>
      <c r="F42" s="19" t="s">
        <v>427</v>
      </c>
      <c r="G42" s="19" t="s">
        <v>15320</v>
      </c>
      <c r="H42" s="20" t="s">
        <v>15342</v>
      </c>
      <c r="I42" s="20" t="s">
        <v>15342</v>
      </c>
      <c r="J42" s="19" t="s">
        <v>15789</v>
      </c>
      <c r="K42" s="19" t="s">
        <v>15790</v>
      </c>
      <c r="L42" s="19" t="s">
        <v>15371</v>
      </c>
      <c r="M42" s="20" t="s">
        <v>15323</v>
      </c>
      <c r="N42" s="20" t="s">
        <v>15342</v>
      </c>
      <c r="O42" s="20"/>
      <c r="P42" s="20"/>
      <c r="Q42" s="20"/>
      <c r="R42" s="20" t="s">
        <v>15346</v>
      </c>
      <c r="S42" s="20">
        <v>40</v>
      </c>
      <c r="T42" s="20">
        <v>24</v>
      </c>
      <c r="U42" s="20">
        <v>0</v>
      </c>
      <c r="V42" s="24" t="s">
        <v>431</v>
      </c>
      <c r="W42" s="22" t="s">
        <v>15325</v>
      </c>
    </row>
    <row r="43" spans="1:23" x14ac:dyDescent="0.35">
      <c r="A43" s="18" t="s">
        <v>15368</v>
      </c>
      <c r="B43" s="19" t="s">
        <v>33</v>
      </c>
      <c r="C43" s="24" t="s">
        <v>557</v>
      </c>
      <c r="D43" s="24" t="s">
        <v>431</v>
      </c>
      <c r="E43" s="19" t="s">
        <v>15319</v>
      </c>
      <c r="F43" s="19" t="s">
        <v>427</v>
      </c>
      <c r="G43" s="19" t="s">
        <v>15320</v>
      </c>
      <c r="H43" s="20" t="s">
        <v>15476</v>
      </c>
      <c r="I43" s="20" t="s">
        <v>15476</v>
      </c>
      <c r="J43" s="19" t="s">
        <v>15732</v>
      </c>
      <c r="K43" s="19" t="s">
        <v>15733</v>
      </c>
      <c r="L43" s="19"/>
      <c r="M43" s="20" t="s">
        <v>15350</v>
      </c>
      <c r="N43" s="20" t="s">
        <v>15476</v>
      </c>
      <c r="O43" s="20"/>
      <c r="P43" s="20"/>
      <c r="Q43" s="20"/>
      <c r="R43" s="20" t="s">
        <v>15346</v>
      </c>
      <c r="S43" s="20">
        <v>40</v>
      </c>
      <c r="T43" s="20">
        <v>24</v>
      </c>
      <c r="U43" s="20">
        <v>26</v>
      </c>
      <c r="V43" s="24" t="s">
        <v>431</v>
      </c>
      <c r="W43" s="22" t="s">
        <v>15325</v>
      </c>
    </row>
    <row r="44" spans="1:23" x14ac:dyDescent="0.35">
      <c r="A44" s="18" t="s">
        <v>15368</v>
      </c>
      <c r="B44" s="19" t="s">
        <v>33</v>
      </c>
      <c r="C44" s="24" t="s">
        <v>557</v>
      </c>
      <c r="D44" s="24" t="s">
        <v>431</v>
      </c>
      <c r="E44" s="19" t="s">
        <v>15319</v>
      </c>
      <c r="F44" s="19" t="s">
        <v>427</v>
      </c>
      <c r="G44" s="19" t="s">
        <v>15320</v>
      </c>
      <c r="H44" s="20" t="s">
        <v>15392</v>
      </c>
      <c r="I44" s="20" t="s">
        <v>15392</v>
      </c>
      <c r="J44" s="19" t="s">
        <v>15651</v>
      </c>
      <c r="K44" s="19" t="s">
        <v>15652</v>
      </c>
      <c r="L44" s="19"/>
      <c r="M44" s="20" t="s">
        <v>15350</v>
      </c>
      <c r="N44" s="20" t="s">
        <v>15392</v>
      </c>
      <c r="O44" s="20"/>
      <c r="P44" s="20"/>
      <c r="Q44" s="20"/>
      <c r="R44" s="20" t="s">
        <v>15346</v>
      </c>
      <c r="S44" s="20">
        <v>40</v>
      </c>
      <c r="T44" s="20">
        <v>24</v>
      </c>
      <c r="U44" s="20">
        <v>10</v>
      </c>
      <c r="V44" s="24" t="s">
        <v>431</v>
      </c>
      <c r="W44" s="22" t="s">
        <v>15325</v>
      </c>
    </row>
    <row r="45" spans="1:23" x14ac:dyDescent="0.35">
      <c r="A45" s="18" t="s">
        <v>15368</v>
      </c>
      <c r="B45" s="19" t="s">
        <v>33</v>
      </c>
      <c r="C45" s="24" t="s">
        <v>557</v>
      </c>
      <c r="D45" s="24" t="s">
        <v>431</v>
      </c>
      <c r="E45" s="19" t="s">
        <v>15319</v>
      </c>
      <c r="F45" s="19" t="s">
        <v>427</v>
      </c>
      <c r="G45" s="19" t="s">
        <v>15320</v>
      </c>
      <c r="H45" s="20" t="s">
        <v>15351</v>
      </c>
      <c r="I45" s="20" t="s">
        <v>15351</v>
      </c>
      <c r="J45" s="19" t="s">
        <v>15460</v>
      </c>
      <c r="K45" s="19" t="s">
        <v>15461</v>
      </c>
      <c r="L45" s="19"/>
      <c r="M45" s="20" t="s">
        <v>15341</v>
      </c>
      <c r="N45" s="20" t="s">
        <v>15351</v>
      </c>
      <c r="O45" s="20"/>
      <c r="P45" s="20"/>
      <c r="Q45" s="20"/>
      <c r="R45" s="20" t="s">
        <v>15346</v>
      </c>
      <c r="S45" s="20">
        <v>40</v>
      </c>
      <c r="T45" s="20">
        <v>24</v>
      </c>
      <c r="U45" s="20">
        <v>10</v>
      </c>
      <c r="V45" s="24" t="s">
        <v>431</v>
      </c>
      <c r="W45" s="22" t="s">
        <v>15325</v>
      </c>
    </row>
    <row r="46" spans="1:23" x14ac:dyDescent="0.35">
      <c r="A46" s="18" t="s">
        <v>15368</v>
      </c>
      <c r="B46" s="19" t="s">
        <v>33</v>
      </c>
      <c r="C46" s="24" t="s">
        <v>557</v>
      </c>
      <c r="D46" s="24" t="s">
        <v>431</v>
      </c>
      <c r="E46" s="19" t="s">
        <v>15319</v>
      </c>
      <c r="F46" s="19" t="s">
        <v>427</v>
      </c>
      <c r="G46" s="19" t="s">
        <v>15320</v>
      </c>
      <c r="H46" s="20" t="s">
        <v>15359</v>
      </c>
      <c r="I46" s="20" t="s">
        <v>15359</v>
      </c>
      <c r="J46" s="19" t="s">
        <v>15417</v>
      </c>
      <c r="K46" s="19" t="s">
        <v>15418</v>
      </c>
      <c r="L46" s="19"/>
      <c r="M46" s="20" t="s">
        <v>15419</v>
      </c>
      <c r="N46" s="20" t="s">
        <v>15359</v>
      </c>
      <c r="O46" s="20"/>
      <c r="P46" s="20"/>
      <c r="Q46" s="20"/>
      <c r="R46" s="20" t="s">
        <v>15346</v>
      </c>
      <c r="S46" s="20">
        <v>40</v>
      </c>
      <c r="T46" s="20">
        <v>24</v>
      </c>
      <c r="U46" s="20">
        <v>18</v>
      </c>
      <c r="V46" s="24" t="s">
        <v>431</v>
      </c>
      <c r="W46" s="22" t="s">
        <v>15325</v>
      </c>
    </row>
    <row r="47" spans="1:23" x14ac:dyDescent="0.35">
      <c r="A47" s="18" t="s">
        <v>15368</v>
      </c>
      <c r="B47" s="19" t="s">
        <v>33</v>
      </c>
      <c r="C47" s="24" t="s">
        <v>557</v>
      </c>
      <c r="D47" s="24" t="s">
        <v>431</v>
      </c>
      <c r="E47" s="19" t="s">
        <v>15319</v>
      </c>
      <c r="F47" s="19" t="s">
        <v>427</v>
      </c>
      <c r="G47" s="19" t="s">
        <v>15320</v>
      </c>
      <c r="H47" s="20" t="s">
        <v>15423</v>
      </c>
      <c r="I47" s="20" t="s">
        <v>15423</v>
      </c>
      <c r="J47" s="19" t="s">
        <v>15759</v>
      </c>
      <c r="K47" s="19" t="s">
        <v>15760</v>
      </c>
      <c r="L47" s="19"/>
      <c r="M47" s="20" t="s">
        <v>15350</v>
      </c>
      <c r="N47" s="20" t="s">
        <v>15423</v>
      </c>
      <c r="O47" s="20"/>
      <c r="P47" s="20"/>
      <c r="Q47" s="20"/>
      <c r="R47" s="20" t="s">
        <v>15346</v>
      </c>
      <c r="S47" s="20">
        <v>40</v>
      </c>
      <c r="T47" s="20">
        <v>24</v>
      </c>
      <c r="U47" s="20">
        <v>18</v>
      </c>
      <c r="V47" s="24" t="s">
        <v>431</v>
      </c>
      <c r="W47" s="22" t="s">
        <v>15325</v>
      </c>
    </row>
    <row r="48" spans="1:23" x14ac:dyDescent="0.35">
      <c r="A48" s="18" t="s">
        <v>15376</v>
      </c>
      <c r="B48" s="19" t="s">
        <v>33</v>
      </c>
      <c r="C48" s="24" t="s">
        <v>27</v>
      </c>
      <c r="D48" s="24" t="s">
        <v>238</v>
      </c>
      <c r="E48" s="19" t="s">
        <v>15319</v>
      </c>
      <c r="F48" s="19" t="s">
        <v>15377</v>
      </c>
      <c r="G48" s="19" t="s">
        <v>15320</v>
      </c>
      <c r="H48" s="20" t="s">
        <v>15399</v>
      </c>
      <c r="I48" s="20" t="s">
        <v>15399</v>
      </c>
      <c r="J48" s="19" t="s">
        <v>15400</v>
      </c>
      <c r="K48" s="19" t="s">
        <v>15401</v>
      </c>
      <c r="L48" s="19" t="s">
        <v>15371</v>
      </c>
      <c r="M48" s="20" t="s">
        <v>15323</v>
      </c>
      <c r="N48" s="20" t="s">
        <v>15399</v>
      </c>
      <c r="O48" s="20"/>
      <c r="P48" s="20"/>
      <c r="Q48" s="20"/>
      <c r="R48" s="20" t="s">
        <v>15324</v>
      </c>
      <c r="S48" s="20">
        <v>29</v>
      </c>
      <c r="T48" s="20">
        <v>19</v>
      </c>
      <c r="U48" s="20">
        <v>73</v>
      </c>
      <c r="V48" s="24" t="s">
        <v>238</v>
      </c>
      <c r="W48" s="22" t="s">
        <v>15325</v>
      </c>
    </row>
    <row r="49" spans="1:23" x14ac:dyDescent="0.35">
      <c r="A49" s="18" t="s">
        <v>15376</v>
      </c>
      <c r="B49" s="19" t="s">
        <v>33</v>
      </c>
      <c r="C49" s="24" t="s">
        <v>27</v>
      </c>
      <c r="D49" s="24" t="s">
        <v>238</v>
      </c>
      <c r="E49" s="19" t="s">
        <v>15319</v>
      </c>
      <c r="F49" s="19" t="s">
        <v>15377</v>
      </c>
      <c r="G49" s="19" t="s">
        <v>15320</v>
      </c>
      <c r="H49" s="20" t="s">
        <v>15399</v>
      </c>
      <c r="I49" s="20" t="s">
        <v>15399</v>
      </c>
      <c r="J49" s="19" t="s">
        <v>15728</v>
      </c>
      <c r="K49" s="19" t="s">
        <v>15729</v>
      </c>
      <c r="L49" s="19" t="s">
        <v>15466</v>
      </c>
      <c r="M49" s="20" t="s">
        <v>15341</v>
      </c>
      <c r="N49" s="20" t="s">
        <v>15399</v>
      </c>
      <c r="O49" s="20"/>
      <c r="P49" s="20"/>
      <c r="Q49" s="20"/>
      <c r="R49" s="20" t="s">
        <v>15324</v>
      </c>
      <c r="S49" s="20">
        <v>29</v>
      </c>
      <c r="T49" s="20">
        <v>19</v>
      </c>
      <c r="U49" s="20">
        <v>61</v>
      </c>
      <c r="V49" s="24" t="s">
        <v>27</v>
      </c>
      <c r="W49" s="22" t="s">
        <v>15329</v>
      </c>
    </row>
    <row r="50" spans="1:23" x14ac:dyDescent="0.35">
      <c r="A50" s="18" t="s">
        <v>15376</v>
      </c>
      <c r="B50" s="19" t="s">
        <v>33</v>
      </c>
      <c r="C50" s="24" t="s">
        <v>27</v>
      </c>
      <c r="D50" s="24" t="s">
        <v>238</v>
      </c>
      <c r="E50" s="19" t="s">
        <v>15319</v>
      </c>
      <c r="F50" s="19" t="s">
        <v>15377</v>
      </c>
      <c r="G50" s="19" t="s">
        <v>15320</v>
      </c>
      <c r="H50" s="20" t="s">
        <v>15337</v>
      </c>
      <c r="I50" s="20" t="s">
        <v>15337</v>
      </c>
      <c r="J50" s="19" t="s">
        <v>15848</v>
      </c>
      <c r="K50" s="19" t="s">
        <v>15849</v>
      </c>
      <c r="L50" s="19" t="s">
        <v>15324</v>
      </c>
      <c r="M50" s="20" t="s">
        <v>15341</v>
      </c>
      <c r="N50" s="20" t="s">
        <v>15337</v>
      </c>
      <c r="O50" s="20"/>
      <c r="P50" s="20"/>
      <c r="Q50" s="20"/>
      <c r="R50" s="20" t="s">
        <v>15324</v>
      </c>
      <c r="S50" s="20">
        <v>29</v>
      </c>
      <c r="T50" s="20">
        <v>19</v>
      </c>
      <c r="U50" s="20">
        <v>64</v>
      </c>
      <c r="V50" s="24" t="s">
        <v>27</v>
      </c>
      <c r="W50" s="22" t="s">
        <v>15329</v>
      </c>
    </row>
    <row r="51" spans="1:23" x14ac:dyDescent="0.35">
      <c r="A51" s="18" t="s">
        <v>15376</v>
      </c>
      <c r="B51" s="19" t="s">
        <v>33</v>
      </c>
      <c r="C51" s="24" t="s">
        <v>27</v>
      </c>
      <c r="D51" s="24" t="s">
        <v>238</v>
      </c>
      <c r="E51" s="19" t="s">
        <v>15319</v>
      </c>
      <c r="F51" s="19" t="s">
        <v>15377</v>
      </c>
      <c r="G51" s="19" t="s">
        <v>15320</v>
      </c>
      <c r="H51" s="20" t="s">
        <v>15331</v>
      </c>
      <c r="I51" s="20" t="s">
        <v>15331</v>
      </c>
      <c r="J51" s="19" t="s">
        <v>15666</v>
      </c>
      <c r="K51" s="19" t="s">
        <v>15667</v>
      </c>
      <c r="L51" s="19" t="s">
        <v>15334</v>
      </c>
      <c r="M51" s="20" t="s">
        <v>15323</v>
      </c>
      <c r="N51" s="20" t="s">
        <v>15331</v>
      </c>
      <c r="O51" s="20"/>
      <c r="P51" s="20"/>
      <c r="Q51" s="20"/>
      <c r="R51" s="20" t="s">
        <v>15324</v>
      </c>
      <c r="S51" s="20">
        <v>29</v>
      </c>
      <c r="T51" s="20">
        <v>19</v>
      </c>
      <c r="U51" s="20">
        <v>45</v>
      </c>
      <c r="V51" s="24" t="s">
        <v>27</v>
      </c>
      <c r="W51" s="22" t="s">
        <v>15329</v>
      </c>
    </row>
    <row r="52" spans="1:23" x14ac:dyDescent="0.35">
      <c r="A52" s="18" t="s">
        <v>15376</v>
      </c>
      <c r="B52" s="19" t="s">
        <v>33</v>
      </c>
      <c r="C52" s="24" t="s">
        <v>27</v>
      </c>
      <c r="D52" s="24" t="s">
        <v>238</v>
      </c>
      <c r="E52" s="19" t="s">
        <v>15319</v>
      </c>
      <c r="F52" s="19" t="s">
        <v>15377</v>
      </c>
      <c r="G52" s="19" t="s">
        <v>15320</v>
      </c>
      <c r="H52" s="20" t="s">
        <v>2197</v>
      </c>
      <c r="I52" s="20" t="s">
        <v>2197</v>
      </c>
      <c r="J52" s="19" t="s">
        <v>15583</v>
      </c>
      <c r="K52" s="19" t="s">
        <v>15584</v>
      </c>
      <c r="L52" s="19"/>
      <c r="M52" s="20" t="s">
        <v>15341</v>
      </c>
      <c r="N52" s="20" t="s">
        <v>2197</v>
      </c>
      <c r="O52" s="20"/>
      <c r="P52" s="20"/>
      <c r="Q52" s="20"/>
      <c r="R52" s="20" t="s">
        <v>15324</v>
      </c>
      <c r="S52" s="20">
        <v>29</v>
      </c>
      <c r="T52" s="20">
        <v>19</v>
      </c>
      <c r="U52" s="20">
        <v>80</v>
      </c>
      <c r="V52" s="24" t="s">
        <v>27</v>
      </c>
      <c r="W52" s="22" t="s">
        <v>15329</v>
      </c>
    </row>
    <row r="53" spans="1:23" x14ac:dyDescent="0.35">
      <c r="A53" s="18" t="s">
        <v>15376</v>
      </c>
      <c r="B53" s="19" t="s">
        <v>33</v>
      </c>
      <c r="C53" s="24" t="s">
        <v>27</v>
      </c>
      <c r="D53" s="24" t="s">
        <v>238</v>
      </c>
      <c r="E53" s="19" t="s">
        <v>15319</v>
      </c>
      <c r="F53" s="19" t="s">
        <v>15377</v>
      </c>
      <c r="G53" s="19" t="s">
        <v>15320</v>
      </c>
      <c r="H53" s="20" t="s">
        <v>2135</v>
      </c>
      <c r="I53" s="20" t="s">
        <v>2135</v>
      </c>
      <c r="J53" s="19" t="s">
        <v>15793</v>
      </c>
      <c r="K53" s="19" t="s">
        <v>15794</v>
      </c>
      <c r="L53" s="19"/>
      <c r="M53" s="20" t="s">
        <v>15341</v>
      </c>
      <c r="N53" s="20" t="s">
        <v>2135</v>
      </c>
      <c r="O53" s="20"/>
      <c r="P53" s="20"/>
      <c r="Q53" s="20"/>
      <c r="R53" s="20" t="s">
        <v>15324</v>
      </c>
      <c r="S53" s="20">
        <v>29</v>
      </c>
      <c r="T53" s="20">
        <v>19</v>
      </c>
      <c r="U53" s="20">
        <v>68</v>
      </c>
      <c r="V53" s="24" t="s">
        <v>27</v>
      </c>
      <c r="W53" s="22" t="s">
        <v>15329</v>
      </c>
    </row>
    <row r="54" spans="1:23" x14ac:dyDescent="0.35">
      <c r="A54" s="18" t="s">
        <v>15376</v>
      </c>
      <c r="B54" s="19" t="s">
        <v>33</v>
      </c>
      <c r="C54" s="24" t="s">
        <v>27</v>
      </c>
      <c r="D54" s="24" t="s">
        <v>238</v>
      </c>
      <c r="E54" s="19" t="s">
        <v>15319</v>
      </c>
      <c r="F54" s="19" t="s">
        <v>15377</v>
      </c>
      <c r="G54" s="19" t="s">
        <v>15320</v>
      </c>
      <c r="H54" s="20" t="s">
        <v>2151</v>
      </c>
      <c r="I54" s="20" t="s">
        <v>2151</v>
      </c>
      <c r="J54" s="19" t="s">
        <v>15761</v>
      </c>
      <c r="K54" s="19" t="s">
        <v>15762</v>
      </c>
      <c r="L54" s="19"/>
      <c r="M54" s="20" t="s">
        <v>15341</v>
      </c>
      <c r="N54" s="20" t="s">
        <v>2151</v>
      </c>
      <c r="O54" s="20"/>
      <c r="P54" s="20"/>
      <c r="Q54" s="20"/>
      <c r="R54" s="20" t="s">
        <v>15324</v>
      </c>
      <c r="S54" s="20">
        <v>29</v>
      </c>
      <c r="T54" s="20">
        <v>19</v>
      </c>
      <c r="U54" s="20">
        <v>80</v>
      </c>
      <c r="V54" s="24" t="s">
        <v>27</v>
      </c>
      <c r="W54" s="22" t="s">
        <v>15329</v>
      </c>
    </row>
    <row r="55" spans="1:23" x14ac:dyDescent="0.35">
      <c r="A55" s="18" t="s">
        <v>15376</v>
      </c>
      <c r="B55" s="19" t="s">
        <v>33</v>
      </c>
      <c r="C55" s="24" t="s">
        <v>27</v>
      </c>
      <c r="D55" s="24" t="s">
        <v>238</v>
      </c>
      <c r="E55" s="19" t="s">
        <v>15319</v>
      </c>
      <c r="F55" s="19" t="s">
        <v>15377</v>
      </c>
      <c r="G55" s="19" t="s">
        <v>15320</v>
      </c>
      <c r="H55" s="20" t="s">
        <v>15409</v>
      </c>
      <c r="I55" s="20" t="s">
        <v>15409</v>
      </c>
      <c r="J55" s="19" t="s">
        <v>15811</v>
      </c>
      <c r="K55" s="19" t="s">
        <v>15812</v>
      </c>
      <c r="L55" s="19"/>
      <c r="M55" s="20" t="s">
        <v>15341</v>
      </c>
      <c r="N55" s="20" t="s">
        <v>15409</v>
      </c>
      <c r="O55" s="20"/>
      <c r="P55" s="20"/>
      <c r="Q55" s="20"/>
      <c r="R55" s="20" t="s">
        <v>15324</v>
      </c>
      <c r="S55" s="20">
        <v>29</v>
      </c>
      <c r="T55" s="20">
        <v>19</v>
      </c>
      <c r="U55" s="20">
        <v>80</v>
      </c>
      <c r="V55" s="24" t="s">
        <v>27</v>
      </c>
      <c r="W55" s="22" t="s">
        <v>15329</v>
      </c>
    </row>
    <row r="56" spans="1:23" x14ac:dyDescent="0.35">
      <c r="A56" s="18" t="s">
        <v>15376</v>
      </c>
      <c r="B56" s="19" t="s">
        <v>33</v>
      </c>
      <c r="C56" s="24" t="s">
        <v>27</v>
      </c>
      <c r="D56" s="24" t="s">
        <v>238</v>
      </c>
      <c r="E56" s="19" t="s">
        <v>15319</v>
      </c>
      <c r="F56" s="19" t="s">
        <v>15377</v>
      </c>
      <c r="G56" s="19" t="s">
        <v>15320</v>
      </c>
      <c r="H56" s="20" t="s">
        <v>15381</v>
      </c>
      <c r="I56" s="20" t="s">
        <v>15381</v>
      </c>
      <c r="J56" s="19" t="s">
        <v>15619</v>
      </c>
      <c r="K56" s="19" t="s">
        <v>15620</v>
      </c>
      <c r="L56" s="19"/>
      <c r="M56" s="20" t="s">
        <v>15323</v>
      </c>
      <c r="N56" s="20" t="s">
        <v>15381</v>
      </c>
      <c r="O56" s="20"/>
      <c r="P56" s="20"/>
      <c r="Q56" s="20"/>
      <c r="R56" s="20" t="s">
        <v>15324</v>
      </c>
      <c r="S56" s="20">
        <v>29</v>
      </c>
      <c r="T56" s="20">
        <v>19</v>
      </c>
      <c r="U56" s="20">
        <v>50</v>
      </c>
      <c r="V56" s="24" t="s">
        <v>27</v>
      </c>
      <c r="W56" s="22" t="s">
        <v>15329</v>
      </c>
    </row>
    <row r="57" spans="1:23" x14ac:dyDescent="0.35">
      <c r="A57" s="18" t="s">
        <v>15376</v>
      </c>
      <c r="B57" s="19" t="s">
        <v>33</v>
      </c>
      <c r="C57" s="24" t="s">
        <v>27</v>
      </c>
      <c r="D57" s="24" t="s">
        <v>238</v>
      </c>
      <c r="E57" s="19" t="s">
        <v>15319</v>
      </c>
      <c r="F57" s="19" t="s">
        <v>15377</v>
      </c>
      <c r="G57" s="19" t="s">
        <v>15320</v>
      </c>
      <c r="H57" s="20" t="s">
        <v>15354</v>
      </c>
      <c r="I57" s="20" t="s">
        <v>15354</v>
      </c>
      <c r="J57" s="19" t="s">
        <v>15631</v>
      </c>
      <c r="K57" s="19" t="s">
        <v>15632</v>
      </c>
      <c r="L57" s="19"/>
      <c r="M57" s="20" t="s">
        <v>15350</v>
      </c>
      <c r="N57" s="20" t="s">
        <v>15354</v>
      </c>
      <c r="O57" s="20"/>
      <c r="P57" s="20"/>
      <c r="Q57" s="20"/>
      <c r="R57" s="20" t="s">
        <v>15324</v>
      </c>
      <c r="S57" s="20">
        <v>29</v>
      </c>
      <c r="T57" s="20">
        <v>19</v>
      </c>
      <c r="U57" s="20">
        <v>80</v>
      </c>
      <c r="V57" s="24" t="s">
        <v>27</v>
      </c>
      <c r="W57" s="22" t="s">
        <v>15329</v>
      </c>
    </row>
    <row r="58" spans="1:23" x14ac:dyDescent="0.35">
      <c r="A58" s="18" t="s">
        <v>15376</v>
      </c>
      <c r="B58" s="19" t="s">
        <v>33</v>
      </c>
      <c r="C58" s="24" t="s">
        <v>27</v>
      </c>
      <c r="D58" s="24" t="s">
        <v>238</v>
      </c>
      <c r="E58" s="19" t="s">
        <v>15319</v>
      </c>
      <c r="F58" s="19" t="s">
        <v>15377</v>
      </c>
      <c r="G58" s="19" t="s">
        <v>15320</v>
      </c>
      <c r="H58" s="20" t="s">
        <v>15378</v>
      </c>
      <c r="I58" s="20" t="s">
        <v>15378</v>
      </c>
      <c r="J58" s="19" t="s">
        <v>15379</v>
      </c>
      <c r="K58" s="19" t="s">
        <v>15380</v>
      </c>
      <c r="L58" s="19"/>
      <c r="M58" s="20" t="s">
        <v>15350</v>
      </c>
      <c r="N58" s="20" t="s">
        <v>15378</v>
      </c>
      <c r="O58" s="20"/>
      <c r="P58" s="20"/>
      <c r="Q58" s="20"/>
      <c r="R58" s="20" t="s">
        <v>15324</v>
      </c>
      <c r="S58" s="20">
        <v>29</v>
      </c>
      <c r="T58" s="20">
        <v>19</v>
      </c>
      <c r="U58" s="20">
        <v>71</v>
      </c>
      <c r="V58" s="24" t="s">
        <v>27</v>
      </c>
      <c r="W58" s="22" t="s">
        <v>15329</v>
      </c>
    </row>
    <row r="59" spans="1:23" x14ac:dyDescent="0.35">
      <c r="A59" s="18" t="s">
        <v>15376</v>
      </c>
      <c r="B59" s="19" t="s">
        <v>33</v>
      </c>
      <c r="C59" s="24" t="s">
        <v>27</v>
      </c>
      <c r="D59" s="24" t="s">
        <v>238</v>
      </c>
      <c r="E59" s="19" t="s">
        <v>15319</v>
      </c>
      <c r="F59" s="19" t="s">
        <v>15377</v>
      </c>
      <c r="G59" s="19" t="s">
        <v>15320</v>
      </c>
      <c r="H59" s="20" t="s">
        <v>15420</v>
      </c>
      <c r="I59" s="20" t="s">
        <v>15420</v>
      </c>
      <c r="J59" s="19" t="s">
        <v>15635</v>
      </c>
      <c r="K59" s="19" t="s">
        <v>15636</v>
      </c>
      <c r="L59" s="19"/>
      <c r="M59" s="20" t="s">
        <v>15341</v>
      </c>
      <c r="N59" s="20" t="s">
        <v>15420</v>
      </c>
      <c r="O59" s="20"/>
      <c r="P59" s="20"/>
      <c r="Q59" s="20"/>
      <c r="R59" s="20" t="s">
        <v>15324</v>
      </c>
      <c r="S59" s="20">
        <v>29</v>
      </c>
      <c r="T59" s="20">
        <v>19</v>
      </c>
      <c r="U59" s="20">
        <v>65</v>
      </c>
      <c r="V59" s="24" t="s">
        <v>27</v>
      </c>
      <c r="W59" s="22" t="s">
        <v>15329</v>
      </c>
    </row>
    <row r="60" spans="1:23" x14ac:dyDescent="0.35">
      <c r="A60" s="18" t="s">
        <v>15376</v>
      </c>
      <c r="B60" s="19" t="s">
        <v>33</v>
      </c>
      <c r="C60" s="24" t="s">
        <v>27</v>
      </c>
      <c r="D60" s="24" t="s">
        <v>238</v>
      </c>
      <c r="E60" s="19" t="s">
        <v>15319</v>
      </c>
      <c r="F60" s="19" t="s">
        <v>15377</v>
      </c>
      <c r="G60" s="19" t="s">
        <v>15320</v>
      </c>
      <c r="H60" s="20" t="s">
        <v>15404</v>
      </c>
      <c r="I60" s="20" t="s">
        <v>15404</v>
      </c>
      <c r="J60" s="19" t="s">
        <v>15773</v>
      </c>
      <c r="K60" s="19" t="s">
        <v>15774</v>
      </c>
      <c r="L60" s="19"/>
      <c r="M60" s="20" t="s">
        <v>15341</v>
      </c>
      <c r="N60" s="20" t="s">
        <v>15404</v>
      </c>
      <c r="O60" s="20"/>
      <c r="P60" s="20"/>
      <c r="Q60" s="20"/>
      <c r="R60" s="20" t="s">
        <v>15324</v>
      </c>
      <c r="S60" s="20">
        <v>29</v>
      </c>
      <c r="T60" s="20">
        <v>19</v>
      </c>
      <c r="U60" s="20">
        <v>56</v>
      </c>
      <c r="V60" s="24" t="s">
        <v>27</v>
      </c>
      <c r="W60" s="22" t="s">
        <v>15329</v>
      </c>
    </row>
    <row r="61" spans="1:23" x14ac:dyDescent="0.35">
      <c r="A61" s="18" t="s">
        <v>15376</v>
      </c>
      <c r="B61" s="19" t="s">
        <v>33</v>
      </c>
      <c r="C61" s="24" t="s">
        <v>27</v>
      </c>
      <c r="D61" s="24" t="s">
        <v>238</v>
      </c>
      <c r="E61" s="19" t="s">
        <v>15319</v>
      </c>
      <c r="F61" s="19" t="s">
        <v>15377</v>
      </c>
      <c r="G61" s="19" t="s">
        <v>15320</v>
      </c>
      <c r="H61" s="20" t="s">
        <v>15451</v>
      </c>
      <c r="I61" s="20" t="s">
        <v>15451</v>
      </c>
      <c r="J61" s="19" t="s">
        <v>15757</v>
      </c>
      <c r="K61" s="19" t="s">
        <v>15758</v>
      </c>
      <c r="L61" s="19"/>
      <c r="M61" s="20" t="s">
        <v>15341</v>
      </c>
      <c r="N61" s="20" t="s">
        <v>15451</v>
      </c>
      <c r="O61" s="20"/>
      <c r="P61" s="20"/>
      <c r="Q61" s="20"/>
      <c r="R61" s="20" t="s">
        <v>15324</v>
      </c>
      <c r="S61" s="20">
        <v>29</v>
      </c>
      <c r="T61" s="20">
        <v>19</v>
      </c>
      <c r="U61" s="20">
        <v>80</v>
      </c>
      <c r="V61" s="24" t="s">
        <v>27</v>
      </c>
      <c r="W61" s="22" t="s">
        <v>15329</v>
      </c>
    </row>
    <row r="62" spans="1:23" x14ac:dyDescent="0.35">
      <c r="A62" s="18" t="s">
        <v>15376</v>
      </c>
      <c r="B62" s="19" t="s">
        <v>33</v>
      </c>
      <c r="C62" s="24" t="s">
        <v>27</v>
      </c>
      <c r="D62" s="24" t="s">
        <v>238</v>
      </c>
      <c r="E62" s="19" t="s">
        <v>15319</v>
      </c>
      <c r="F62" s="19" t="s">
        <v>15377</v>
      </c>
      <c r="G62" s="19" t="s">
        <v>15320</v>
      </c>
      <c r="H62" s="20" t="s">
        <v>15363</v>
      </c>
      <c r="I62" s="20" t="s">
        <v>15363</v>
      </c>
      <c r="J62" s="19" t="s">
        <v>15749</v>
      </c>
      <c r="K62" s="19" t="s">
        <v>15750</v>
      </c>
      <c r="L62" s="19"/>
      <c r="M62" s="20" t="s">
        <v>15323</v>
      </c>
      <c r="N62" s="20" t="s">
        <v>15363</v>
      </c>
      <c r="O62" s="20"/>
      <c r="P62" s="20"/>
      <c r="Q62" s="20"/>
      <c r="R62" s="20" t="s">
        <v>15324</v>
      </c>
      <c r="S62" s="20">
        <v>29</v>
      </c>
      <c r="T62" s="20">
        <v>19</v>
      </c>
      <c r="U62" s="20">
        <v>53</v>
      </c>
      <c r="V62" s="24" t="s">
        <v>27</v>
      </c>
      <c r="W62" s="22" t="s">
        <v>15329</v>
      </c>
    </row>
    <row r="63" spans="1:23" x14ac:dyDescent="0.35">
      <c r="A63" s="18" t="s">
        <v>15376</v>
      </c>
      <c r="B63" s="19" t="s">
        <v>33</v>
      </c>
      <c r="C63" s="24" t="s">
        <v>27</v>
      </c>
      <c r="D63" s="24" t="s">
        <v>238</v>
      </c>
      <c r="E63" s="19" t="s">
        <v>15319</v>
      </c>
      <c r="F63" s="19" t="s">
        <v>15377</v>
      </c>
      <c r="G63" s="19" t="s">
        <v>15320</v>
      </c>
      <c r="H63" s="20" t="s">
        <v>15364</v>
      </c>
      <c r="I63" s="20" t="s">
        <v>15364</v>
      </c>
      <c r="J63" s="19" t="s">
        <v>15483</v>
      </c>
      <c r="K63" s="19" t="s">
        <v>15484</v>
      </c>
      <c r="L63" s="19"/>
      <c r="M63" s="20" t="s">
        <v>15341</v>
      </c>
      <c r="N63" s="20" t="s">
        <v>15364</v>
      </c>
      <c r="O63" s="20"/>
      <c r="P63" s="20"/>
      <c r="Q63" s="20"/>
      <c r="R63" s="20" t="s">
        <v>15324</v>
      </c>
      <c r="S63" s="20">
        <v>29</v>
      </c>
      <c r="T63" s="20">
        <v>19</v>
      </c>
      <c r="U63" s="20">
        <v>80</v>
      </c>
      <c r="V63" s="24" t="s">
        <v>27</v>
      </c>
      <c r="W63" s="22" t="s">
        <v>15329</v>
      </c>
    </row>
    <row r="64" spans="1:23" x14ac:dyDescent="0.35">
      <c r="A64" s="18" t="s">
        <v>15376</v>
      </c>
      <c r="B64" s="19" t="s">
        <v>33</v>
      </c>
      <c r="C64" s="24" t="s">
        <v>27</v>
      </c>
      <c r="D64" s="24" t="s">
        <v>238</v>
      </c>
      <c r="E64" s="19" t="s">
        <v>15319</v>
      </c>
      <c r="F64" s="19" t="s">
        <v>15377</v>
      </c>
      <c r="G64" s="19" t="s">
        <v>15320</v>
      </c>
      <c r="H64" s="20" t="s">
        <v>15347</v>
      </c>
      <c r="I64" s="20" t="s">
        <v>15347</v>
      </c>
      <c r="J64" s="19" t="s">
        <v>15787</v>
      </c>
      <c r="K64" s="19" t="s">
        <v>15788</v>
      </c>
      <c r="L64" s="19" t="s">
        <v>15334</v>
      </c>
      <c r="M64" s="20" t="s">
        <v>15323</v>
      </c>
      <c r="N64" s="20" t="s">
        <v>15347</v>
      </c>
      <c r="O64" s="20"/>
      <c r="P64" s="20"/>
      <c r="Q64" s="20"/>
      <c r="R64" s="20" t="s">
        <v>15346</v>
      </c>
      <c r="S64" s="20">
        <v>29</v>
      </c>
      <c r="T64" s="20">
        <v>19</v>
      </c>
      <c r="U64" s="20">
        <v>19</v>
      </c>
      <c r="V64" s="24" t="s">
        <v>27</v>
      </c>
      <c r="W64" s="22" t="s">
        <v>15329</v>
      </c>
    </row>
    <row r="65" spans="1:23" x14ac:dyDescent="0.35">
      <c r="A65" s="18" t="s">
        <v>15376</v>
      </c>
      <c r="B65" s="19" t="s">
        <v>33</v>
      </c>
      <c r="C65" s="24" t="s">
        <v>27</v>
      </c>
      <c r="D65" s="24" t="s">
        <v>238</v>
      </c>
      <c r="E65" s="19" t="s">
        <v>15319</v>
      </c>
      <c r="F65" s="19" t="s">
        <v>15377</v>
      </c>
      <c r="G65" s="19" t="s">
        <v>15320</v>
      </c>
      <c r="H65" s="20" t="s">
        <v>15412</v>
      </c>
      <c r="I65" s="20" t="s">
        <v>15412</v>
      </c>
      <c r="J65" s="19" t="s">
        <v>15726</v>
      </c>
      <c r="K65" s="19" t="s">
        <v>15727</v>
      </c>
      <c r="L65" s="19" t="s">
        <v>15324</v>
      </c>
      <c r="M65" s="20" t="s">
        <v>15350</v>
      </c>
      <c r="N65" s="20" t="s">
        <v>15412</v>
      </c>
      <c r="O65" s="20"/>
      <c r="P65" s="20"/>
      <c r="Q65" s="20"/>
      <c r="R65" s="20" t="s">
        <v>15346</v>
      </c>
      <c r="S65" s="20">
        <v>29</v>
      </c>
      <c r="T65" s="20">
        <v>19</v>
      </c>
      <c r="U65" s="20">
        <v>16</v>
      </c>
      <c r="V65" s="24" t="s">
        <v>27</v>
      </c>
      <c r="W65" s="22" t="s">
        <v>15329</v>
      </c>
    </row>
    <row r="66" spans="1:23" x14ac:dyDescent="0.35">
      <c r="A66" s="18" t="s">
        <v>15376</v>
      </c>
      <c r="B66" s="19" t="s">
        <v>33</v>
      </c>
      <c r="C66" s="24" t="s">
        <v>27</v>
      </c>
      <c r="D66" s="24" t="s">
        <v>238</v>
      </c>
      <c r="E66" s="19" t="s">
        <v>15319</v>
      </c>
      <c r="F66" s="19" t="s">
        <v>15377</v>
      </c>
      <c r="G66" s="19" t="s">
        <v>15320</v>
      </c>
      <c r="H66" s="20" t="s">
        <v>15342</v>
      </c>
      <c r="I66" s="20" t="s">
        <v>15342</v>
      </c>
      <c r="J66" s="19" t="s">
        <v>15861</v>
      </c>
      <c r="K66" s="19" t="s">
        <v>15862</v>
      </c>
      <c r="L66" s="19" t="s">
        <v>15371</v>
      </c>
      <c r="M66" s="20" t="s">
        <v>15323</v>
      </c>
      <c r="N66" s="20" t="s">
        <v>15342</v>
      </c>
      <c r="O66" s="20"/>
      <c r="P66" s="20"/>
      <c r="Q66" s="20"/>
      <c r="R66" s="20" t="s">
        <v>15346</v>
      </c>
      <c r="S66" s="20">
        <v>29</v>
      </c>
      <c r="T66" s="20">
        <v>19</v>
      </c>
      <c r="U66" s="20">
        <v>11</v>
      </c>
      <c r="V66" s="24" t="s">
        <v>27</v>
      </c>
      <c r="W66" s="22" t="s">
        <v>15329</v>
      </c>
    </row>
    <row r="67" spans="1:23" x14ac:dyDescent="0.35">
      <c r="A67" s="18" t="s">
        <v>15376</v>
      </c>
      <c r="B67" s="19" t="s">
        <v>33</v>
      </c>
      <c r="C67" s="24" t="s">
        <v>27</v>
      </c>
      <c r="D67" s="24" t="s">
        <v>238</v>
      </c>
      <c r="E67" s="19" t="s">
        <v>15319</v>
      </c>
      <c r="F67" s="19" t="s">
        <v>15377</v>
      </c>
      <c r="G67" s="19" t="s">
        <v>15320</v>
      </c>
      <c r="H67" s="20" t="s">
        <v>15476</v>
      </c>
      <c r="I67" s="20" t="s">
        <v>15476</v>
      </c>
      <c r="J67" s="19" t="s">
        <v>15599</v>
      </c>
      <c r="K67" s="19" t="s">
        <v>15600</v>
      </c>
      <c r="L67" s="19"/>
      <c r="M67" s="20" t="s">
        <v>15350</v>
      </c>
      <c r="N67" s="20" t="s">
        <v>15476</v>
      </c>
      <c r="O67" s="20"/>
      <c r="P67" s="20"/>
      <c r="Q67" s="20"/>
      <c r="R67" s="20" t="s">
        <v>15346</v>
      </c>
      <c r="S67" s="20">
        <v>29</v>
      </c>
      <c r="T67" s="20">
        <v>19</v>
      </c>
      <c r="U67" s="20">
        <v>12</v>
      </c>
      <c r="V67" s="24" t="s">
        <v>27</v>
      </c>
      <c r="W67" s="22" t="s">
        <v>15329</v>
      </c>
    </row>
    <row r="68" spans="1:23" x14ac:dyDescent="0.35">
      <c r="A68" s="18" t="s">
        <v>15376</v>
      </c>
      <c r="B68" s="19" t="s">
        <v>33</v>
      </c>
      <c r="C68" s="24" t="s">
        <v>27</v>
      </c>
      <c r="D68" s="24" t="s">
        <v>238</v>
      </c>
      <c r="E68" s="19" t="s">
        <v>15319</v>
      </c>
      <c r="F68" s="19" t="s">
        <v>15377</v>
      </c>
      <c r="G68" s="19" t="s">
        <v>15320</v>
      </c>
      <c r="H68" s="20" t="s">
        <v>15392</v>
      </c>
      <c r="I68" s="20" t="s">
        <v>15392</v>
      </c>
      <c r="J68" s="19" t="s">
        <v>15454</v>
      </c>
      <c r="K68" s="19" t="s">
        <v>15455</v>
      </c>
      <c r="L68" s="19"/>
      <c r="M68" s="20" t="s">
        <v>15341</v>
      </c>
      <c r="N68" s="20" t="s">
        <v>15392</v>
      </c>
      <c r="O68" s="20"/>
      <c r="P68" s="20"/>
      <c r="Q68" s="20"/>
      <c r="R68" s="20" t="s">
        <v>15346</v>
      </c>
      <c r="S68" s="20">
        <v>29</v>
      </c>
      <c r="T68" s="20">
        <v>19</v>
      </c>
      <c r="U68" s="20">
        <v>30</v>
      </c>
      <c r="V68" s="24" t="s">
        <v>27</v>
      </c>
      <c r="W68" s="22" t="s">
        <v>15329</v>
      </c>
    </row>
    <row r="69" spans="1:23" x14ac:dyDescent="0.35">
      <c r="A69" s="18" t="s">
        <v>15376</v>
      </c>
      <c r="B69" s="19" t="s">
        <v>33</v>
      </c>
      <c r="C69" s="24" t="s">
        <v>27</v>
      </c>
      <c r="D69" s="24" t="s">
        <v>238</v>
      </c>
      <c r="E69" s="19" t="s">
        <v>15319</v>
      </c>
      <c r="F69" s="19" t="s">
        <v>15377</v>
      </c>
      <c r="G69" s="19" t="s">
        <v>15320</v>
      </c>
      <c r="H69" s="20" t="s">
        <v>15351</v>
      </c>
      <c r="I69" s="20" t="s">
        <v>15351</v>
      </c>
      <c r="J69" s="19" t="s">
        <v>15670</v>
      </c>
      <c r="K69" s="19" t="s">
        <v>15671</v>
      </c>
      <c r="L69" s="19"/>
      <c r="M69" s="20" t="s">
        <v>15362</v>
      </c>
      <c r="N69" s="20" t="s">
        <v>15351</v>
      </c>
      <c r="O69" s="20"/>
      <c r="P69" s="20"/>
      <c r="Q69" s="20"/>
      <c r="R69" s="20" t="s">
        <v>15346</v>
      </c>
      <c r="S69" s="20">
        <v>29</v>
      </c>
      <c r="T69" s="20">
        <v>19</v>
      </c>
      <c r="U69" s="20">
        <v>9</v>
      </c>
      <c r="V69" s="24" t="s">
        <v>27</v>
      </c>
      <c r="W69" s="22" t="s">
        <v>15329</v>
      </c>
    </row>
    <row r="70" spans="1:23" x14ac:dyDescent="0.35">
      <c r="A70" s="18" t="s">
        <v>15376</v>
      </c>
      <c r="B70" s="19" t="s">
        <v>33</v>
      </c>
      <c r="C70" s="24" t="s">
        <v>27</v>
      </c>
      <c r="D70" s="24" t="s">
        <v>238</v>
      </c>
      <c r="E70" s="19" t="s">
        <v>15319</v>
      </c>
      <c r="F70" s="19" t="s">
        <v>15377</v>
      </c>
      <c r="G70" s="19" t="s">
        <v>15320</v>
      </c>
      <c r="H70" s="20" t="s">
        <v>15359</v>
      </c>
      <c r="I70" s="20" t="s">
        <v>15359</v>
      </c>
      <c r="J70" s="19" t="s">
        <v>15674</v>
      </c>
      <c r="K70" s="19" t="s">
        <v>15675</v>
      </c>
      <c r="L70" s="19"/>
      <c r="M70" s="20" t="s">
        <v>15419</v>
      </c>
      <c r="N70" s="20" t="s">
        <v>15359</v>
      </c>
      <c r="O70" s="20"/>
      <c r="P70" s="20"/>
      <c r="Q70" s="20"/>
      <c r="R70" s="20" t="s">
        <v>15346</v>
      </c>
      <c r="S70" s="20">
        <v>29</v>
      </c>
      <c r="T70" s="20">
        <v>19</v>
      </c>
      <c r="U70" s="20">
        <v>24</v>
      </c>
      <c r="V70" s="24" t="s">
        <v>27</v>
      </c>
      <c r="W70" s="22" t="s">
        <v>15329</v>
      </c>
    </row>
    <row r="71" spans="1:23" x14ac:dyDescent="0.35">
      <c r="A71" s="18" t="s">
        <v>15376</v>
      </c>
      <c r="B71" s="19" t="s">
        <v>33</v>
      </c>
      <c r="C71" s="24" t="s">
        <v>27</v>
      </c>
      <c r="D71" s="24" t="s">
        <v>238</v>
      </c>
      <c r="E71" s="19" t="s">
        <v>15319</v>
      </c>
      <c r="F71" s="19" t="s">
        <v>15377</v>
      </c>
      <c r="G71" s="19" t="s">
        <v>15320</v>
      </c>
      <c r="H71" s="20" t="s">
        <v>15423</v>
      </c>
      <c r="I71" s="20" t="s">
        <v>15423</v>
      </c>
      <c r="J71" s="19" t="s">
        <v>15424</v>
      </c>
      <c r="K71" s="19" t="s">
        <v>15425</v>
      </c>
      <c r="L71" s="19"/>
      <c r="M71" s="20" t="s">
        <v>15341</v>
      </c>
      <c r="N71" s="20" t="s">
        <v>15423</v>
      </c>
      <c r="O71" s="20"/>
      <c r="P71" s="20"/>
      <c r="Q71" s="20"/>
      <c r="R71" s="20" t="s">
        <v>15346</v>
      </c>
      <c r="S71" s="20">
        <v>29</v>
      </c>
      <c r="T71" s="20">
        <v>19</v>
      </c>
      <c r="U71" s="20">
        <v>15</v>
      </c>
      <c r="V71" s="24" t="s">
        <v>27</v>
      </c>
      <c r="W71" s="22" t="s">
        <v>15329</v>
      </c>
    </row>
    <row r="72" spans="1:23" x14ac:dyDescent="0.35">
      <c r="A72" s="18" t="s">
        <v>15376</v>
      </c>
      <c r="B72" s="19" t="s">
        <v>33</v>
      </c>
      <c r="C72" s="24" t="s">
        <v>27</v>
      </c>
      <c r="D72" s="24" t="s">
        <v>238</v>
      </c>
      <c r="E72" s="19" t="s">
        <v>15319</v>
      </c>
      <c r="F72" s="19" t="s">
        <v>15377</v>
      </c>
      <c r="G72" s="19" t="s">
        <v>15320</v>
      </c>
      <c r="H72" s="20" t="s">
        <v>15337</v>
      </c>
      <c r="I72" s="20" t="s">
        <v>15337</v>
      </c>
      <c r="J72" s="19" t="s">
        <v>15740</v>
      </c>
      <c r="K72" s="19" t="s">
        <v>15741</v>
      </c>
      <c r="L72" s="19" t="s">
        <v>15340</v>
      </c>
      <c r="M72" s="20" t="s">
        <v>15341</v>
      </c>
      <c r="N72" s="20" t="s">
        <v>15337</v>
      </c>
      <c r="O72" s="20"/>
      <c r="P72" s="20"/>
      <c r="Q72" s="20"/>
      <c r="R72" s="20" t="s">
        <v>15324</v>
      </c>
      <c r="S72" s="20">
        <v>29</v>
      </c>
      <c r="T72" s="20">
        <v>19</v>
      </c>
      <c r="U72" s="20">
        <v>69</v>
      </c>
      <c r="V72" s="24" t="s">
        <v>238</v>
      </c>
      <c r="W72" s="22" t="s">
        <v>15325</v>
      </c>
    </row>
    <row r="73" spans="1:23" x14ac:dyDescent="0.35">
      <c r="A73" s="18" t="s">
        <v>15376</v>
      </c>
      <c r="B73" s="19" t="s">
        <v>33</v>
      </c>
      <c r="C73" s="24" t="s">
        <v>27</v>
      </c>
      <c r="D73" s="24" t="s">
        <v>238</v>
      </c>
      <c r="E73" s="19" t="s">
        <v>15319</v>
      </c>
      <c r="F73" s="19" t="s">
        <v>15377</v>
      </c>
      <c r="G73" s="19" t="s">
        <v>15320</v>
      </c>
      <c r="H73" s="20" t="s">
        <v>15331</v>
      </c>
      <c r="I73" s="20" t="s">
        <v>15331</v>
      </c>
      <c r="J73" s="19" t="s">
        <v>15835</v>
      </c>
      <c r="K73" s="19" t="s">
        <v>15836</v>
      </c>
      <c r="L73" s="19" t="s">
        <v>15596</v>
      </c>
      <c r="M73" s="20" t="s">
        <v>15341</v>
      </c>
      <c r="N73" s="20" t="s">
        <v>15331</v>
      </c>
      <c r="O73" s="20"/>
      <c r="P73" s="20"/>
      <c r="Q73" s="20"/>
      <c r="R73" s="20" t="s">
        <v>15324</v>
      </c>
      <c r="S73" s="20">
        <v>29</v>
      </c>
      <c r="T73" s="20">
        <v>19</v>
      </c>
      <c r="U73" s="20">
        <v>41</v>
      </c>
      <c r="V73" s="24" t="s">
        <v>238</v>
      </c>
      <c r="W73" s="22" t="s">
        <v>15325</v>
      </c>
    </row>
    <row r="74" spans="1:23" x14ac:dyDescent="0.35">
      <c r="A74" s="18" t="s">
        <v>15376</v>
      </c>
      <c r="B74" s="19" t="s">
        <v>33</v>
      </c>
      <c r="C74" s="24" t="s">
        <v>27</v>
      </c>
      <c r="D74" s="24" t="s">
        <v>238</v>
      </c>
      <c r="E74" s="19" t="s">
        <v>15319</v>
      </c>
      <c r="F74" s="19" t="s">
        <v>15377</v>
      </c>
      <c r="G74" s="19" t="s">
        <v>15320</v>
      </c>
      <c r="H74" s="20" t="s">
        <v>2197</v>
      </c>
      <c r="I74" s="20" t="s">
        <v>2197</v>
      </c>
      <c r="J74" s="19" t="s">
        <v>15612</v>
      </c>
      <c r="K74" s="19" t="s">
        <v>15613</v>
      </c>
      <c r="L74" s="19"/>
      <c r="M74" s="20" t="s">
        <v>15419</v>
      </c>
      <c r="N74" s="20" t="s">
        <v>2197</v>
      </c>
      <c r="O74" s="20"/>
      <c r="P74" s="20"/>
      <c r="Q74" s="20"/>
      <c r="R74" s="20" t="s">
        <v>15324</v>
      </c>
      <c r="S74" s="20">
        <v>29</v>
      </c>
      <c r="T74" s="20">
        <v>19</v>
      </c>
      <c r="U74" s="20">
        <v>41</v>
      </c>
      <c r="V74" s="24" t="s">
        <v>238</v>
      </c>
      <c r="W74" s="22" t="s">
        <v>15325</v>
      </c>
    </row>
    <row r="75" spans="1:23" x14ac:dyDescent="0.35">
      <c r="A75" s="18" t="s">
        <v>15376</v>
      </c>
      <c r="B75" s="19" t="s">
        <v>33</v>
      </c>
      <c r="C75" s="24" t="s">
        <v>27</v>
      </c>
      <c r="D75" s="24" t="s">
        <v>238</v>
      </c>
      <c r="E75" s="19" t="s">
        <v>15319</v>
      </c>
      <c r="F75" s="19" t="s">
        <v>15377</v>
      </c>
      <c r="G75" s="19" t="s">
        <v>15320</v>
      </c>
      <c r="H75" s="20" t="s">
        <v>2135</v>
      </c>
      <c r="I75" s="20" t="s">
        <v>2135</v>
      </c>
      <c r="J75" s="19" t="s">
        <v>15610</v>
      </c>
      <c r="K75" s="19" t="s">
        <v>15611</v>
      </c>
      <c r="L75" s="19"/>
      <c r="M75" s="20" t="s">
        <v>15357</v>
      </c>
      <c r="N75" s="20" t="s">
        <v>2135</v>
      </c>
      <c r="O75" s="20"/>
      <c r="P75" s="20"/>
      <c r="Q75" s="20"/>
      <c r="R75" s="20" t="s">
        <v>15324</v>
      </c>
      <c r="S75" s="20">
        <v>29</v>
      </c>
      <c r="T75" s="20">
        <v>19</v>
      </c>
      <c r="U75" s="20">
        <v>80</v>
      </c>
      <c r="V75" s="24" t="s">
        <v>238</v>
      </c>
      <c r="W75" s="22" t="s">
        <v>15325</v>
      </c>
    </row>
    <row r="76" spans="1:23" x14ac:dyDescent="0.35">
      <c r="A76" s="18" t="s">
        <v>15376</v>
      </c>
      <c r="B76" s="19" t="s">
        <v>33</v>
      </c>
      <c r="C76" s="24" t="s">
        <v>27</v>
      </c>
      <c r="D76" s="24" t="s">
        <v>238</v>
      </c>
      <c r="E76" s="19" t="s">
        <v>15319</v>
      </c>
      <c r="F76" s="19" t="s">
        <v>15377</v>
      </c>
      <c r="G76" s="19" t="s">
        <v>15320</v>
      </c>
      <c r="H76" s="20" t="s">
        <v>2151</v>
      </c>
      <c r="I76" s="20" t="s">
        <v>2151</v>
      </c>
      <c r="J76" s="19" t="s">
        <v>15713</v>
      </c>
      <c r="K76" s="19" t="s">
        <v>15714</v>
      </c>
      <c r="L76" s="19"/>
      <c r="M76" s="20" t="s">
        <v>15341</v>
      </c>
      <c r="N76" s="20" t="s">
        <v>2151</v>
      </c>
      <c r="O76" s="20"/>
      <c r="P76" s="20"/>
      <c r="Q76" s="20"/>
      <c r="R76" s="20" t="s">
        <v>15324</v>
      </c>
      <c r="S76" s="20">
        <v>29</v>
      </c>
      <c r="T76" s="20">
        <v>19</v>
      </c>
      <c r="U76" s="20">
        <v>69</v>
      </c>
      <c r="V76" s="24" t="s">
        <v>238</v>
      </c>
      <c r="W76" s="22" t="s">
        <v>15325</v>
      </c>
    </row>
    <row r="77" spans="1:23" x14ac:dyDescent="0.35">
      <c r="A77" s="18" t="s">
        <v>15376</v>
      </c>
      <c r="B77" s="19" t="s">
        <v>33</v>
      </c>
      <c r="C77" s="24" t="s">
        <v>27</v>
      </c>
      <c r="D77" s="24" t="s">
        <v>238</v>
      </c>
      <c r="E77" s="19" t="s">
        <v>15319</v>
      </c>
      <c r="F77" s="19" t="s">
        <v>15377</v>
      </c>
      <c r="G77" s="19" t="s">
        <v>15320</v>
      </c>
      <c r="H77" s="20" t="s">
        <v>15409</v>
      </c>
      <c r="I77" s="20" t="s">
        <v>15409</v>
      </c>
      <c r="J77" s="19" t="s">
        <v>15428</v>
      </c>
      <c r="K77" s="19" t="s">
        <v>15429</v>
      </c>
      <c r="L77" s="19"/>
      <c r="M77" s="20" t="s">
        <v>15341</v>
      </c>
      <c r="N77" s="20" t="s">
        <v>15409</v>
      </c>
      <c r="O77" s="20"/>
      <c r="P77" s="20"/>
      <c r="Q77" s="20"/>
      <c r="R77" s="20" t="s">
        <v>15324</v>
      </c>
      <c r="S77" s="20">
        <v>29</v>
      </c>
      <c r="T77" s="20">
        <v>19</v>
      </c>
      <c r="U77" s="20">
        <v>80</v>
      </c>
      <c r="V77" s="24" t="s">
        <v>238</v>
      </c>
      <c r="W77" s="22" t="s">
        <v>15325</v>
      </c>
    </row>
    <row r="78" spans="1:23" x14ac:dyDescent="0.35">
      <c r="A78" s="18" t="s">
        <v>15376</v>
      </c>
      <c r="B78" s="19" t="s">
        <v>33</v>
      </c>
      <c r="C78" s="24" t="s">
        <v>27</v>
      </c>
      <c r="D78" s="24" t="s">
        <v>238</v>
      </c>
      <c r="E78" s="19" t="s">
        <v>15319</v>
      </c>
      <c r="F78" s="19" t="s">
        <v>15377</v>
      </c>
      <c r="G78" s="19" t="s">
        <v>15320</v>
      </c>
      <c r="H78" s="20" t="s">
        <v>15381</v>
      </c>
      <c r="I78" s="20" t="s">
        <v>15381</v>
      </c>
      <c r="J78" s="19" t="s">
        <v>15382</v>
      </c>
      <c r="K78" s="19" t="s">
        <v>15383</v>
      </c>
      <c r="L78" s="19"/>
      <c r="M78" s="20" t="s">
        <v>15323</v>
      </c>
      <c r="N78" s="20" t="s">
        <v>15381</v>
      </c>
      <c r="O78" s="20"/>
      <c r="P78" s="20"/>
      <c r="Q78" s="20"/>
      <c r="R78" s="20" t="s">
        <v>15324</v>
      </c>
      <c r="S78" s="20">
        <v>29</v>
      </c>
      <c r="T78" s="20">
        <v>19</v>
      </c>
      <c r="U78" s="20">
        <v>80</v>
      </c>
      <c r="V78" s="24" t="s">
        <v>238</v>
      </c>
      <c r="W78" s="22" t="s">
        <v>15325</v>
      </c>
    </row>
    <row r="79" spans="1:23" x14ac:dyDescent="0.35">
      <c r="A79" s="18" t="s">
        <v>15376</v>
      </c>
      <c r="B79" s="19" t="s">
        <v>33</v>
      </c>
      <c r="C79" s="24" t="s">
        <v>27</v>
      </c>
      <c r="D79" s="24" t="s">
        <v>238</v>
      </c>
      <c r="E79" s="19" t="s">
        <v>15319</v>
      </c>
      <c r="F79" s="19" t="s">
        <v>15377</v>
      </c>
      <c r="G79" s="19" t="s">
        <v>15320</v>
      </c>
      <c r="H79" s="20" t="s">
        <v>15354</v>
      </c>
      <c r="I79" s="20" t="s">
        <v>15354</v>
      </c>
      <c r="J79" s="19" t="s">
        <v>15606</v>
      </c>
      <c r="K79" s="19" t="s">
        <v>15607</v>
      </c>
      <c r="L79" s="19"/>
      <c r="M79" s="20" t="s">
        <v>15341</v>
      </c>
      <c r="N79" s="20" t="s">
        <v>15354</v>
      </c>
      <c r="O79" s="20"/>
      <c r="P79" s="20"/>
      <c r="Q79" s="20"/>
      <c r="R79" s="20" t="s">
        <v>15324</v>
      </c>
      <c r="S79" s="20">
        <v>29</v>
      </c>
      <c r="T79" s="20">
        <v>19</v>
      </c>
      <c r="U79" s="20">
        <v>80</v>
      </c>
      <c r="V79" s="24" t="s">
        <v>238</v>
      </c>
      <c r="W79" s="22" t="s">
        <v>15325</v>
      </c>
    </row>
    <row r="80" spans="1:23" x14ac:dyDescent="0.35">
      <c r="A80" s="18" t="s">
        <v>15376</v>
      </c>
      <c r="B80" s="19" t="s">
        <v>33</v>
      </c>
      <c r="C80" s="24" t="s">
        <v>27</v>
      </c>
      <c r="D80" s="24" t="s">
        <v>238</v>
      </c>
      <c r="E80" s="19" t="s">
        <v>15319</v>
      </c>
      <c r="F80" s="19" t="s">
        <v>15377</v>
      </c>
      <c r="G80" s="19" t="s">
        <v>15320</v>
      </c>
      <c r="H80" s="20" t="s">
        <v>15378</v>
      </c>
      <c r="I80" s="20" t="s">
        <v>15378</v>
      </c>
      <c r="J80" s="19" t="s">
        <v>15434</v>
      </c>
      <c r="K80" s="19" t="s">
        <v>15435</v>
      </c>
      <c r="L80" s="19"/>
      <c r="M80" s="20" t="s">
        <v>15323</v>
      </c>
      <c r="N80" s="20" t="s">
        <v>15378</v>
      </c>
      <c r="O80" s="20"/>
      <c r="P80" s="20"/>
      <c r="Q80" s="20"/>
      <c r="R80" s="20" t="s">
        <v>15324</v>
      </c>
      <c r="S80" s="20">
        <v>29</v>
      </c>
      <c r="T80" s="20">
        <v>19</v>
      </c>
      <c r="U80" s="20">
        <v>80</v>
      </c>
      <c r="V80" s="24" t="s">
        <v>238</v>
      </c>
      <c r="W80" s="22" t="s">
        <v>15325</v>
      </c>
    </row>
    <row r="81" spans="1:23" x14ac:dyDescent="0.35">
      <c r="A81" s="18" t="s">
        <v>15376</v>
      </c>
      <c r="B81" s="19" t="s">
        <v>33</v>
      </c>
      <c r="C81" s="24" t="s">
        <v>27</v>
      </c>
      <c r="D81" s="24" t="s">
        <v>238</v>
      </c>
      <c r="E81" s="19" t="s">
        <v>15319</v>
      </c>
      <c r="F81" s="19" t="s">
        <v>15377</v>
      </c>
      <c r="G81" s="19" t="s">
        <v>15320</v>
      </c>
      <c r="H81" s="20" t="s">
        <v>15420</v>
      </c>
      <c r="I81" s="20" t="s">
        <v>15420</v>
      </c>
      <c r="J81" s="19" t="s">
        <v>15730</v>
      </c>
      <c r="K81" s="19" t="s">
        <v>15731</v>
      </c>
      <c r="L81" s="19"/>
      <c r="M81" s="20" t="s">
        <v>15341</v>
      </c>
      <c r="N81" s="20" t="s">
        <v>15420</v>
      </c>
      <c r="O81" s="20"/>
      <c r="P81" s="20"/>
      <c r="Q81" s="20"/>
      <c r="R81" s="20" t="s">
        <v>15324</v>
      </c>
      <c r="S81" s="20">
        <v>29</v>
      </c>
      <c r="T81" s="20">
        <v>19</v>
      </c>
      <c r="U81" s="20">
        <v>69</v>
      </c>
      <c r="V81" s="24" t="s">
        <v>238</v>
      </c>
      <c r="W81" s="22" t="s">
        <v>15325</v>
      </c>
    </row>
    <row r="82" spans="1:23" x14ac:dyDescent="0.35">
      <c r="A82" s="18" t="s">
        <v>15376</v>
      </c>
      <c r="B82" s="19" t="s">
        <v>33</v>
      </c>
      <c r="C82" s="24" t="s">
        <v>27</v>
      </c>
      <c r="D82" s="24" t="s">
        <v>238</v>
      </c>
      <c r="E82" s="19" t="s">
        <v>15319</v>
      </c>
      <c r="F82" s="19" t="s">
        <v>15377</v>
      </c>
      <c r="G82" s="19" t="s">
        <v>15320</v>
      </c>
      <c r="H82" s="20" t="s">
        <v>15404</v>
      </c>
      <c r="I82" s="20" t="s">
        <v>15404</v>
      </c>
      <c r="J82" s="19" t="s">
        <v>15535</v>
      </c>
      <c r="K82" s="19" t="s">
        <v>15536</v>
      </c>
      <c r="L82" s="19"/>
      <c r="M82" s="20" t="s">
        <v>15341</v>
      </c>
      <c r="N82" s="20" t="s">
        <v>15404</v>
      </c>
      <c r="O82" s="20"/>
      <c r="P82" s="20"/>
      <c r="Q82" s="20"/>
      <c r="R82" s="20" t="s">
        <v>15324</v>
      </c>
      <c r="S82" s="20">
        <v>29</v>
      </c>
      <c r="T82" s="20">
        <v>19</v>
      </c>
      <c r="U82" s="20">
        <v>80</v>
      </c>
      <c r="V82" s="24" t="s">
        <v>238</v>
      </c>
      <c r="W82" s="22" t="s">
        <v>15325</v>
      </c>
    </row>
    <row r="83" spans="1:23" x14ac:dyDescent="0.35">
      <c r="A83" s="18" t="s">
        <v>15376</v>
      </c>
      <c r="B83" s="19" t="s">
        <v>33</v>
      </c>
      <c r="C83" s="24" t="s">
        <v>27</v>
      </c>
      <c r="D83" s="24" t="s">
        <v>238</v>
      </c>
      <c r="E83" s="19" t="s">
        <v>15319</v>
      </c>
      <c r="F83" s="19" t="s">
        <v>15377</v>
      </c>
      <c r="G83" s="19" t="s">
        <v>15320</v>
      </c>
      <c r="H83" s="20" t="s">
        <v>15451</v>
      </c>
      <c r="I83" s="20" t="s">
        <v>15451</v>
      </c>
      <c r="J83" s="19" t="s">
        <v>15545</v>
      </c>
      <c r="K83" s="19" t="s">
        <v>15546</v>
      </c>
      <c r="L83" s="19"/>
      <c r="M83" s="20" t="s">
        <v>15341</v>
      </c>
      <c r="N83" s="20" t="s">
        <v>15451</v>
      </c>
      <c r="O83" s="20"/>
      <c r="P83" s="20"/>
      <c r="Q83" s="20"/>
      <c r="R83" s="20" t="s">
        <v>15324</v>
      </c>
      <c r="S83" s="20">
        <v>29</v>
      </c>
      <c r="T83" s="20">
        <v>19</v>
      </c>
      <c r="U83" s="20">
        <v>80</v>
      </c>
      <c r="V83" s="24" t="s">
        <v>238</v>
      </c>
      <c r="W83" s="22" t="s">
        <v>15325</v>
      </c>
    </row>
    <row r="84" spans="1:23" x14ac:dyDescent="0.35">
      <c r="A84" s="18" t="s">
        <v>15376</v>
      </c>
      <c r="B84" s="19" t="s">
        <v>33</v>
      </c>
      <c r="C84" s="24" t="s">
        <v>27</v>
      </c>
      <c r="D84" s="24" t="s">
        <v>238</v>
      </c>
      <c r="E84" s="19" t="s">
        <v>15319</v>
      </c>
      <c r="F84" s="19" t="s">
        <v>15377</v>
      </c>
      <c r="G84" s="19" t="s">
        <v>15320</v>
      </c>
      <c r="H84" s="20" t="s">
        <v>15363</v>
      </c>
      <c r="I84" s="20" t="s">
        <v>15363</v>
      </c>
      <c r="J84" s="19" t="s">
        <v>15801</v>
      </c>
      <c r="K84" s="19" t="s">
        <v>15802</v>
      </c>
      <c r="L84" s="19"/>
      <c r="M84" s="20" t="s">
        <v>15341</v>
      </c>
      <c r="N84" s="20" t="s">
        <v>15363</v>
      </c>
      <c r="O84" s="20"/>
      <c r="P84" s="20"/>
      <c r="Q84" s="20"/>
      <c r="R84" s="20" t="s">
        <v>15324</v>
      </c>
      <c r="S84" s="20">
        <v>29</v>
      </c>
      <c r="T84" s="20">
        <v>19</v>
      </c>
      <c r="U84" s="20">
        <v>80</v>
      </c>
      <c r="V84" s="24" t="s">
        <v>238</v>
      </c>
      <c r="W84" s="22" t="s">
        <v>15325</v>
      </c>
    </row>
    <row r="85" spans="1:23" x14ac:dyDescent="0.35">
      <c r="A85" s="18" t="s">
        <v>15376</v>
      </c>
      <c r="B85" s="19" t="s">
        <v>33</v>
      </c>
      <c r="C85" s="24" t="s">
        <v>27</v>
      </c>
      <c r="D85" s="24" t="s">
        <v>238</v>
      </c>
      <c r="E85" s="19" t="s">
        <v>15319</v>
      </c>
      <c r="F85" s="19" t="s">
        <v>15377</v>
      </c>
      <c r="G85" s="19" t="s">
        <v>15320</v>
      </c>
      <c r="H85" s="20" t="s">
        <v>15364</v>
      </c>
      <c r="I85" s="20" t="s">
        <v>15364</v>
      </c>
      <c r="J85" s="19" t="s">
        <v>15855</v>
      </c>
      <c r="K85" s="19" t="s">
        <v>15856</v>
      </c>
      <c r="L85" s="19"/>
      <c r="M85" s="20" t="s">
        <v>15362</v>
      </c>
      <c r="N85" s="20" t="s">
        <v>15364</v>
      </c>
      <c r="O85" s="20"/>
      <c r="P85" s="20"/>
      <c r="Q85" s="20"/>
      <c r="R85" s="20" t="s">
        <v>15324</v>
      </c>
      <c r="S85" s="20">
        <v>29</v>
      </c>
      <c r="T85" s="20">
        <v>19</v>
      </c>
      <c r="U85" s="20">
        <v>66</v>
      </c>
      <c r="V85" s="24" t="s">
        <v>238</v>
      </c>
      <c r="W85" s="22" t="s">
        <v>15325</v>
      </c>
    </row>
    <row r="86" spans="1:23" x14ac:dyDescent="0.35">
      <c r="A86" s="18" t="s">
        <v>15376</v>
      </c>
      <c r="B86" s="19" t="s">
        <v>33</v>
      </c>
      <c r="C86" s="24" t="s">
        <v>27</v>
      </c>
      <c r="D86" s="24" t="s">
        <v>238</v>
      </c>
      <c r="E86" s="19" t="s">
        <v>15319</v>
      </c>
      <c r="F86" s="19" t="s">
        <v>15377</v>
      </c>
      <c r="G86" s="19" t="s">
        <v>15320</v>
      </c>
      <c r="H86" s="20" t="s">
        <v>15347</v>
      </c>
      <c r="I86" s="20" t="s">
        <v>15347</v>
      </c>
      <c r="J86" s="19" t="s">
        <v>15571</v>
      </c>
      <c r="K86" s="19" t="s">
        <v>15572</v>
      </c>
      <c r="L86" s="19" t="s">
        <v>15324</v>
      </c>
      <c r="M86" s="20" t="s">
        <v>15341</v>
      </c>
      <c r="N86" s="20" t="s">
        <v>15347</v>
      </c>
      <c r="O86" s="20"/>
      <c r="P86" s="20"/>
      <c r="Q86" s="20"/>
      <c r="R86" s="20" t="s">
        <v>15346</v>
      </c>
      <c r="S86" s="20">
        <v>29</v>
      </c>
      <c r="T86" s="20">
        <v>19</v>
      </c>
      <c r="U86" s="20">
        <v>39</v>
      </c>
      <c r="V86" s="24" t="s">
        <v>238</v>
      </c>
      <c r="W86" s="22" t="s">
        <v>15325</v>
      </c>
    </row>
    <row r="87" spans="1:23" x14ac:dyDescent="0.35">
      <c r="A87" s="18" t="s">
        <v>15376</v>
      </c>
      <c r="B87" s="19" t="s">
        <v>33</v>
      </c>
      <c r="C87" s="24" t="s">
        <v>27</v>
      </c>
      <c r="D87" s="24" t="s">
        <v>238</v>
      </c>
      <c r="E87" s="19" t="s">
        <v>15319</v>
      </c>
      <c r="F87" s="19" t="s">
        <v>15377</v>
      </c>
      <c r="G87" s="19" t="s">
        <v>15320</v>
      </c>
      <c r="H87" s="20" t="s">
        <v>15412</v>
      </c>
      <c r="I87" s="20" t="s">
        <v>15412</v>
      </c>
      <c r="J87" s="19" t="s">
        <v>15413</v>
      </c>
      <c r="K87" s="19" t="s">
        <v>15414</v>
      </c>
      <c r="L87" s="19" t="s">
        <v>15371</v>
      </c>
      <c r="M87" s="20" t="s">
        <v>15350</v>
      </c>
      <c r="N87" s="20" t="s">
        <v>15412</v>
      </c>
      <c r="O87" s="20"/>
      <c r="P87" s="20"/>
      <c r="Q87" s="20"/>
      <c r="R87" s="20" t="s">
        <v>15346</v>
      </c>
      <c r="S87" s="20">
        <v>29</v>
      </c>
      <c r="T87" s="20">
        <v>19</v>
      </c>
      <c r="U87" s="20">
        <v>11</v>
      </c>
      <c r="V87" s="24" t="s">
        <v>238</v>
      </c>
      <c r="W87" s="22" t="s">
        <v>15325</v>
      </c>
    </row>
    <row r="88" spans="1:23" x14ac:dyDescent="0.35">
      <c r="A88" s="18" t="s">
        <v>15376</v>
      </c>
      <c r="B88" s="19" t="s">
        <v>33</v>
      </c>
      <c r="C88" s="24" t="s">
        <v>27</v>
      </c>
      <c r="D88" s="24" t="s">
        <v>238</v>
      </c>
      <c r="E88" s="19" t="s">
        <v>15319</v>
      </c>
      <c r="F88" s="19" t="s">
        <v>15377</v>
      </c>
      <c r="G88" s="19" t="s">
        <v>15320</v>
      </c>
      <c r="H88" s="20" t="s">
        <v>15342</v>
      </c>
      <c r="I88" s="20" t="s">
        <v>15342</v>
      </c>
      <c r="J88" s="19" t="s">
        <v>15592</v>
      </c>
      <c r="K88" s="19" t="s">
        <v>15593</v>
      </c>
      <c r="L88" s="19" t="s">
        <v>15371</v>
      </c>
      <c r="M88" s="20" t="s">
        <v>15341</v>
      </c>
      <c r="N88" s="20" t="s">
        <v>15342</v>
      </c>
      <c r="O88" s="20"/>
      <c r="P88" s="20"/>
      <c r="Q88" s="20"/>
      <c r="R88" s="20" t="s">
        <v>15346</v>
      </c>
      <c r="S88" s="20">
        <v>29</v>
      </c>
      <c r="T88" s="20">
        <v>19</v>
      </c>
      <c r="U88" s="20">
        <v>7</v>
      </c>
      <c r="V88" s="24" t="s">
        <v>238</v>
      </c>
      <c r="W88" s="22" t="s">
        <v>15325</v>
      </c>
    </row>
    <row r="89" spans="1:23" x14ac:dyDescent="0.35">
      <c r="A89" s="18" t="s">
        <v>15376</v>
      </c>
      <c r="B89" s="19" t="s">
        <v>33</v>
      </c>
      <c r="C89" s="24" t="s">
        <v>27</v>
      </c>
      <c r="D89" s="24" t="s">
        <v>238</v>
      </c>
      <c r="E89" s="19" t="s">
        <v>15319</v>
      </c>
      <c r="F89" s="19" t="s">
        <v>15377</v>
      </c>
      <c r="G89" s="19" t="s">
        <v>15320</v>
      </c>
      <c r="H89" s="20" t="s">
        <v>15476</v>
      </c>
      <c r="I89" s="20" t="s">
        <v>15476</v>
      </c>
      <c r="J89" s="19" t="s">
        <v>15569</v>
      </c>
      <c r="K89" s="19" t="s">
        <v>15570</v>
      </c>
      <c r="L89" s="19"/>
      <c r="M89" s="20" t="s">
        <v>15341</v>
      </c>
      <c r="N89" s="20" t="s">
        <v>15476</v>
      </c>
      <c r="O89" s="20"/>
      <c r="P89" s="20"/>
      <c r="Q89" s="20"/>
      <c r="R89" s="20" t="s">
        <v>15346</v>
      </c>
      <c r="S89" s="20">
        <v>29</v>
      </c>
      <c r="T89" s="20">
        <v>19</v>
      </c>
      <c r="U89" s="20">
        <v>39</v>
      </c>
      <c r="V89" s="24" t="s">
        <v>238</v>
      </c>
      <c r="W89" s="22" t="s">
        <v>15325</v>
      </c>
    </row>
    <row r="90" spans="1:23" x14ac:dyDescent="0.35">
      <c r="A90" s="18" t="s">
        <v>15376</v>
      </c>
      <c r="B90" s="19" t="s">
        <v>33</v>
      </c>
      <c r="C90" s="24" t="s">
        <v>27</v>
      </c>
      <c r="D90" s="24" t="s">
        <v>238</v>
      </c>
      <c r="E90" s="19" t="s">
        <v>15319</v>
      </c>
      <c r="F90" s="19" t="s">
        <v>15377</v>
      </c>
      <c r="G90" s="19" t="s">
        <v>15320</v>
      </c>
      <c r="H90" s="20" t="s">
        <v>15392</v>
      </c>
      <c r="I90" s="20" t="s">
        <v>15392</v>
      </c>
      <c r="J90" s="19" t="s">
        <v>15563</v>
      </c>
      <c r="K90" s="19" t="s">
        <v>15564</v>
      </c>
      <c r="L90" s="19"/>
      <c r="M90" s="20" t="s">
        <v>15362</v>
      </c>
      <c r="N90" s="20" t="s">
        <v>15392</v>
      </c>
      <c r="O90" s="20"/>
      <c r="P90" s="20"/>
      <c r="Q90" s="20"/>
      <c r="R90" s="20" t="s">
        <v>15346</v>
      </c>
      <c r="S90" s="20">
        <v>29</v>
      </c>
      <c r="T90" s="20">
        <v>19</v>
      </c>
      <c r="U90" s="20">
        <v>11</v>
      </c>
      <c r="V90" s="24" t="s">
        <v>238</v>
      </c>
      <c r="W90" s="22" t="s">
        <v>15325</v>
      </c>
    </row>
    <row r="91" spans="1:23" x14ac:dyDescent="0.35">
      <c r="A91" s="18" t="s">
        <v>15376</v>
      </c>
      <c r="B91" s="19" t="s">
        <v>33</v>
      </c>
      <c r="C91" s="24" t="s">
        <v>27</v>
      </c>
      <c r="D91" s="24" t="s">
        <v>238</v>
      </c>
      <c r="E91" s="19" t="s">
        <v>15319</v>
      </c>
      <c r="F91" s="19" t="s">
        <v>15377</v>
      </c>
      <c r="G91" s="19" t="s">
        <v>15320</v>
      </c>
      <c r="H91" s="20" t="s">
        <v>15351</v>
      </c>
      <c r="I91" s="20" t="s">
        <v>15351</v>
      </c>
      <c r="J91" s="19" t="s">
        <v>15853</v>
      </c>
      <c r="K91" s="19" t="s">
        <v>15854</v>
      </c>
      <c r="L91" s="19"/>
      <c r="M91" s="20" t="s">
        <v>15357</v>
      </c>
      <c r="N91" s="20" t="s">
        <v>15351</v>
      </c>
      <c r="O91" s="20"/>
      <c r="P91" s="20"/>
      <c r="Q91" s="20"/>
      <c r="R91" s="20" t="s">
        <v>15346</v>
      </c>
      <c r="S91" s="20">
        <v>29</v>
      </c>
      <c r="T91" s="20">
        <v>19</v>
      </c>
      <c r="U91" s="20">
        <v>0</v>
      </c>
      <c r="V91" s="24" t="s">
        <v>238</v>
      </c>
      <c r="W91" s="22" t="s">
        <v>15325</v>
      </c>
    </row>
    <row r="92" spans="1:23" x14ac:dyDescent="0.35">
      <c r="A92" s="18" t="s">
        <v>15376</v>
      </c>
      <c r="B92" s="19" t="s">
        <v>33</v>
      </c>
      <c r="C92" s="24" t="s">
        <v>27</v>
      </c>
      <c r="D92" s="24" t="s">
        <v>238</v>
      </c>
      <c r="E92" s="19" t="s">
        <v>15319</v>
      </c>
      <c r="F92" s="19" t="s">
        <v>15377</v>
      </c>
      <c r="G92" s="19" t="s">
        <v>15320</v>
      </c>
      <c r="H92" s="20" t="s">
        <v>15359</v>
      </c>
      <c r="I92" s="20" t="s">
        <v>15359</v>
      </c>
      <c r="J92" s="19" t="s">
        <v>15775</v>
      </c>
      <c r="K92" s="19" t="s">
        <v>15776</v>
      </c>
      <c r="L92" s="19"/>
      <c r="M92" s="20" t="s">
        <v>15341</v>
      </c>
      <c r="N92" s="20" t="s">
        <v>15359</v>
      </c>
      <c r="O92" s="20"/>
      <c r="P92" s="20"/>
      <c r="Q92" s="20"/>
      <c r="R92" s="20" t="s">
        <v>15346</v>
      </c>
      <c r="S92" s="20">
        <v>29</v>
      </c>
      <c r="T92" s="20">
        <v>19</v>
      </c>
      <c r="U92" s="20">
        <v>11</v>
      </c>
      <c r="V92" s="24" t="s">
        <v>238</v>
      </c>
      <c r="W92" s="22" t="s">
        <v>15325</v>
      </c>
    </row>
    <row r="93" spans="1:23" x14ac:dyDescent="0.35">
      <c r="A93" s="18" t="s">
        <v>15376</v>
      </c>
      <c r="B93" s="19" t="s">
        <v>33</v>
      </c>
      <c r="C93" s="24" t="s">
        <v>27</v>
      </c>
      <c r="D93" s="24" t="s">
        <v>238</v>
      </c>
      <c r="E93" s="19" t="s">
        <v>15319</v>
      </c>
      <c r="F93" s="19" t="s">
        <v>15377</v>
      </c>
      <c r="G93" s="19" t="s">
        <v>15320</v>
      </c>
      <c r="H93" s="20" t="s">
        <v>15423</v>
      </c>
      <c r="I93" s="20" t="s">
        <v>15423</v>
      </c>
      <c r="J93" s="19" t="s">
        <v>15608</v>
      </c>
      <c r="K93" s="19" t="s">
        <v>15609</v>
      </c>
      <c r="L93" s="19"/>
      <c r="M93" s="20" t="s">
        <v>15341</v>
      </c>
      <c r="N93" s="20" t="s">
        <v>15423</v>
      </c>
      <c r="O93" s="20"/>
      <c r="P93" s="20"/>
      <c r="Q93" s="20"/>
      <c r="R93" s="20" t="s">
        <v>15346</v>
      </c>
      <c r="S93" s="20">
        <v>29</v>
      </c>
      <c r="T93" s="20">
        <v>19</v>
      </c>
      <c r="U93" s="20">
        <v>14</v>
      </c>
      <c r="V93" s="24" t="s">
        <v>238</v>
      </c>
      <c r="W93" s="22" t="s">
        <v>15325</v>
      </c>
    </row>
    <row r="94" spans="1:23" x14ac:dyDescent="0.35">
      <c r="A94" s="18" t="s">
        <v>15330</v>
      </c>
      <c r="B94" s="19" t="s">
        <v>33</v>
      </c>
      <c r="C94" s="24" t="s">
        <v>954</v>
      </c>
      <c r="D94" s="24" t="s">
        <v>1090</v>
      </c>
      <c r="E94" s="19" t="s">
        <v>15319</v>
      </c>
      <c r="F94" s="19" t="s">
        <v>950</v>
      </c>
      <c r="G94" s="19" t="s">
        <v>15320</v>
      </c>
      <c r="H94" s="20" t="s">
        <v>15399</v>
      </c>
      <c r="I94" s="20" t="s">
        <v>15399</v>
      </c>
      <c r="J94" s="19" t="s">
        <v>15575</v>
      </c>
      <c r="K94" s="19" t="s">
        <v>15576</v>
      </c>
      <c r="L94" s="19" t="s">
        <v>15466</v>
      </c>
      <c r="M94" s="20" t="s">
        <v>15341</v>
      </c>
      <c r="N94" s="20" t="s">
        <v>15399</v>
      </c>
      <c r="O94" s="20"/>
      <c r="P94" s="20"/>
      <c r="Q94" s="20"/>
      <c r="R94" s="20" t="s">
        <v>15324</v>
      </c>
      <c r="S94" s="20">
        <v>20</v>
      </c>
      <c r="T94" s="20">
        <v>39</v>
      </c>
      <c r="U94" s="20">
        <v>50</v>
      </c>
      <c r="V94" s="24" t="s">
        <v>954</v>
      </c>
      <c r="W94" s="22" t="s">
        <v>15329</v>
      </c>
    </row>
    <row r="95" spans="1:23" x14ac:dyDescent="0.35">
      <c r="A95" s="18" t="s">
        <v>15330</v>
      </c>
      <c r="B95" s="19" t="s">
        <v>33</v>
      </c>
      <c r="C95" s="24" t="s">
        <v>954</v>
      </c>
      <c r="D95" s="24" t="s">
        <v>1090</v>
      </c>
      <c r="E95" s="19" t="s">
        <v>15319</v>
      </c>
      <c r="F95" s="19" t="s">
        <v>950</v>
      </c>
      <c r="G95" s="19" t="s">
        <v>15320</v>
      </c>
      <c r="H95" s="20" t="s">
        <v>15337</v>
      </c>
      <c r="I95" s="20" t="s">
        <v>15337</v>
      </c>
      <c r="J95" s="19" t="s">
        <v>15590</v>
      </c>
      <c r="K95" s="19" t="s">
        <v>15591</v>
      </c>
      <c r="L95" s="19" t="s">
        <v>15340</v>
      </c>
      <c r="M95" s="20" t="s">
        <v>15323</v>
      </c>
      <c r="N95" s="20" t="s">
        <v>15337</v>
      </c>
      <c r="O95" s="20"/>
      <c r="P95" s="20"/>
      <c r="Q95" s="20"/>
      <c r="R95" s="20" t="s">
        <v>15324</v>
      </c>
      <c r="S95" s="20">
        <v>20</v>
      </c>
      <c r="T95" s="20">
        <v>39</v>
      </c>
      <c r="U95" s="20">
        <v>50</v>
      </c>
      <c r="V95" s="24" t="s">
        <v>954</v>
      </c>
      <c r="W95" s="22" t="s">
        <v>15329</v>
      </c>
    </row>
    <row r="96" spans="1:23" x14ac:dyDescent="0.35">
      <c r="A96" s="18" t="s">
        <v>15330</v>
      </c>
      <c r="B96" s="19" t="s">
        <v>33</v>
      </c>
      <c r="C96" s="24" t="s">
        <v>954</v>
      </c>
      <c r="D96" s="24" t="s">
        <v>1090</v>
      </c>
      <c r="E96" s="19" t="s">
        <v>15319</v>
      </c>
      <c r="F96" s="19" t="s">
        <v>950</v>
      </c>
      <c r="G96" s="19" t="s">
        <v>15320</v>
      </c>
      <c r="H96" s="20" t="s">
        <v>15331</v>
      </c>
      <c r="I96" s="20" t="s">
        <v>15331</v>
      </c>
      <c r="J96" s="19" t="s">
        <v>15332</v>
      </c>
      <c r="K96" s="19" t="s">
        <v>15333</v>
      </c>
      <c r="L96" s="19" t="s">
        <v>15334</v>
      </c>
      <c r="M96" s="20" t="s">
        <v>15323</v>
      </c>
      <c r="N96" s="20" t="s">
        <v>15331</v>
      </c>
      <c r="O96" s="20"/>
      <c r="P96" s="20"/>
      <c r="Q96" s="20"/>
      <c r="R96" s="20" t="s">
        <v>15324</v>
      </c>
      <c r="S96" s="20">
        <v>20</v>
      </c>
      <c r="T96" s="20">
        <v>39</v>
      </c>
      <c r="U96" s="20">
        <v>52</v>
      </c>
      <c r="V96" s="24" t="s">
        <v>954</v>
      </c>
      <c r="W96" s="22" t="s">
        <v>15329</v>
      </c>
    </row>
    <row r="97" spans="1:23" x14ac:dyDescent="0.35">
      <c r="A97" s="18" t="s">
        <v>15330</v>
      </c>
      <c r="B97" s="19" t="s">
        <v>33</v>
      </c>
      <c r="C97" s="24" t="s">
        <v>954</v>
      </c>
      <c r="D97" s="24" t="s">
        <v>1090</v>
      </c>
      <c r="E97" s="19" t="s">
        <v>15319</v>
      </c>
      <c r="F97" s="19" t="s">
        <v>950</v>
      </c>
      <c r="G97" s="19" t="s">
        <v>15320</v>
      </c>
      <c r="H97" s="20" t="s">
        <v>2197</v>
      </c>
      <c r="I97" s="20" t="s">
        <v>2197</v>
      </c>
      <c r="J97" s="19" t="s">
        <v>15533</v>
      </c>
      <c r="K97" s="19" t="s">
        <v>15534</v>
      </c>
      <c r="L97" s="19"/>
      <c r="M97" s="20" t="s">
        <v>15350</v>
      </c>
      <c r="N97" s="20" t="s">
        <v>2197</v>
      </c>
      <c r="O97" s="20"/>
      <c r="P97" s="20"/>
      <c r="Q97" s="20"/>
      <c r="R97" s="20" t="s">
        <v>15324</v>
      </c>
      <c r="S97" s="20">
        <v>20</v>
      </c>
      <c r="T97" s="20">
        <v>39</v>
      </c>
      <c r="U97" s="20">
        <v>80</v>
      </c>
      <c r="V97" s="24" t="s">
        <v>954</v>
      </c>
      <c r="W97" s="22" t="s">
        <v>15329</v>
      </c>
    </row>
    <row r="98" spans="1:23" x14ac:dyDescent="0.35">
      <c r="A98" s="18" t="s">
        <v>15330</v>
      </c>
      <c r="B98" s="19" t="s">
        <v>33</v>
      </c>
      <c r="C98" s="24" t="s">
        <v>954</v>
      </c>
      <c r="D98" s="24" t="s">
        <v>1090</v>
      </c>
      <c r="E98" s="19" t="s">
        <v>15319</v>
      </c>
      <c r="F98" s="19" t="s">
        <v>950</v>
      </c>
      <c r="G98" s="19" t="s">
        <v>15320</v>
      </c>
      <c r="H98" s="20" t="s">
        <v>2135</v>
      </c>
      <c r="I98" s="20" t="s">
        <v>2135</v>
      </c>
      <c r="J98" s="19" t="s">
        <v>15799</v>
      </c>
      <c r="K98" s="19" t="s">
        <v>15800</v>
      </c>
      <c r="L98" s="19"/>
      <c r="M98" s="20" t="s">
        <v>15362</v>
      </c>
      <c r="N98" s="20" t="s">
        <v>2135</v>
      </c>
      <c r="O98" s="20"/>
      <c r="P98" s="20"/>
      <c r="Q98" s="20"/>
      <c r="R98" s="20" t="s">
        <v>15324</v>
      </c>
      <c r="S98" s="20">
        <v>20</v>
      </c>
      <c r="T98" s="20">
        <v>39</v>
      </c>
      <c r="U98" s="20">
        <v>65</v>
      </c>
      <c r="V98" s="24" t="s">
        <v>954</v>
      </c>
      <c r="W98" s="22" t="s">
        <v>15329</v>
      </c>
    </row>
    <row r="99" spans="1:23" x14ac:dyDescent="0.35">
      <c r="A99" s="18" t="s">
        <v>15330</v>
      </c>
      <c r="B99" s="19" t="s">
        <v>33</v>
      </c>
      <c r="C99" s="24" t="s">
        <v>954</v>
      </c>
      <c r="D99" s="24" t="s">
        <v>1090</v>
      </c>
      <c r="E99" s="19" t="s">
        <v>15319</v>
      </c>
      <c r="F99" s="19" t="s">
        <v>950</v>
      </c>
      <c r="G99" s="19" t="s">
        <v>15320</v>
      </c>
      <c r="H99" s="20" t="s">
        <v>2151</v>
      </c>
      <c r="I99" s="20" t="s">
        <v>2151</v>
      </c>
      <c r="J99" s="19" t="s">
        <v>15517</v>
      </c>
      <c r="K99" s="19" t="s">
        <v>15518</v>
      </c>
      <c r="L99" s="19"/>
      <c r="M99" s="20" t="s">
        <v>15362</v>
      </c>
      <c r="N99" s="20" t="s">
        <v>2151</v>
      </c>
      <c r="O99" s="20"/>
      <c r="P99" s="20"/>
      <c r="Q99" s="20"/>
      <c r="R99" s="20" t="s">
        <v>15324</v>
      </c>
      <c r="S99" s="20">
        <v>20</v>
      </c>
      <c r="T99" s="20">
        <v>39</v>
      </c>
      <c r="U99" s="20">
        <v>65</v>
      </c>
      <c r="V99" s="24" t="s">
        <v>954</v>
      </c>
      <c r="W99" s="22" t="s">
        <v>15329</v>
      </c>
    </row>
    <row r="100" spans="1:23" x14ac:dyDescent="0.35">
      <c r="A100" s="18" t="s">
        <v>15330</v>
      </c>
      <c r="B100" s="19" t="s">
        <v>33</v>
      </c>
      <c r="C100" s="24" t="s">
        <v>954</v>
      </c>
      <c r="D100" s="24" t="s">
        <v>1090</v>
      </c>
      <c r="E100" s="19" t="s">
        <v>15319</v>
      </c>
      <c r="F100" s="19" t="s">
        <v>950</v>
      </c>
      <c r="G100" s="19" t="s">
        <v>15320</v>
      </c>
      <c r="H100" s="20" t="s">
        <v>15409</v>
      </c>
      <c r="I100" s="20" t="s">
        <v>15409</v>
      </c>
      <c r="J100" s="19" t="s">
        <v>15577</v>
      </c>
      <c r="K100" s="19" t="s">
        <v>15578</v>
      </c>
      <c r="L100" s="19"/>
      <c r="M100" s="20" t="s">
        <v>15323</v>
      </c>
      <c r="N100" s="20" t="s">
        <v>15409</v>
      </c>
      <c r="O100" s="20"/>
      <c r="P100" s="20"/>
      <c r="Q100" s="20"/>
      <c r="R100" s="20" t="s">
        <v>15324</v>
      </c>
      <c r="S100" s="20">
        <v>20</v>
      </c>
      <c r="T100" s="20">
        <v>39</v>
      </c>
      <c r="U100" s="20">
        <v>52</v>
      </c>
      <c r="V100" s="24" t="s">
        <v>954</v>
      </c>
      <c r="W100" s="22" t="s">
        <v>15329</v>
      </c>
    </row>
    <row r="101" spans="1:23" x14ac:dyDescent="0.35">
      <c r="A101" s="18" t="s">
        <v>15330</v>
      </c>
      <c r="B101" s="19" t="s">
        <v>33</v>
      </c>
      <c r="C101" s="24" t="s">
        <v>954</v>
      </c>
      <c r="D101" s="24" t="s">
        <v>1090</v>
      </c>
      <c r="E101" s="19" t="s">
        <v>15319</v>
      </c>
      <c r="F101" s="19" t="s">
        <v>950</v>
      </c>
      <c r="G101" s="19" t="s">
        <v>15320</v>
      </c>
      <c r="H101" s="20" t="s">
        <v>15381</v>
      </c>
      <c r="I101" s="20" t="s">
        <v>15381</v>
      </c>
      <c r="J101" s="19" t="s">
        <v>15601</v>
      </c>
      <c r="K101" s="19" t="s">
        <v>15602</v>
      </c>
      <c r="L101" s="19"/>
      <c r="M101" s="20" t="s">
        <v>15341</v>
      </c>
      <c r="N101" s="20" t="s">
        <v>15381</v>
      </c>
      <c r="O101" s="20"/>
      <c r="P101" s="20"/>
      <c r="Q101" s="20"/>
      <c r="R101" s="20" t="s">
        <v>15324</v>
      </c>
      <c r="S101" s="20">
        <v>20</v>
      </c>
      <c r="T101" s="20">
        <v>39</v>
      </c>
      <c r="U101" s="20">
        <v>80</v>
      </c>
      <c r="V101" s="24" t="s">
        <v>954</v>
      </c>
      <c r="W101" s="22" t="s">
        <v>15329</v>
      </c>
    </row>
    <row r="102" spans="1:23" x14ac:dyDescent="0.35">
      <c r="A102" s="18" t="s">
        <v>15330</v>
      </c>
      <c r="B102" s="19" t="s">
        <v>33</v>
      </c>
      <c r="C102" s="24" t="s">
        <v>954</v>
      </c>
      <c r="D102" s="24" t="s">
        <v>1090</v>
      </c>
      <c r="E102" s="19" t="s">
        <v>15319</v>
      </c>
      <c r="F102" s="19" t="s">
        <v>950</v>
      </c>
      <c r="G102" s="19" t="s">
        <v>15320</v>
      </c>
      <c r="H102" s="20" t="s">
        <v>15354</v>
      </c>
      <c r="I102" s="20" t="s">
        <v>15354</v>
      </c>
      <c r="J102" s="19" t="s">
        <v>15514</v>
      </c>
      <c r="K102" s="19" t="s">
        <v>15515</v>
      </c>
      <c r="L102" s="19"/>
      <c r="M102" s="20" t="s">
        <v>15341</v>
      </c>
      <c r="N102" s="20" t="s">
        <v>15354</v>
      </c>
      <c r="O102" s="20"/>
      <c r="P102" s="20"/>
      <c r="Q102" s="20"/>
      <c r="R102" s="20" t="s">
        <v>15324</v>
      </c>
      <c r="S102" s="20">
        <v>20</v>
      </c>
      <c r="T102" s="20">
        <v>39</v>
      </c>
      <c r="U102" s="20">
        <v>80</v>
      </c>
      <c r="V102" s="24" t="s">
        <v>954</v>
      </c>
      <c r="W102" s="22" t="s">
        <v>15329</v>
      </c>
    </row>
    <row r="103" spans="1:23" x14ac:dyDescent="0.35">
      <c r="A103" s="18" t="s">
        <v>15330</v>
      </c>
      <c r="B103" s="19" t="s">
        <v>33</v>
      </c>
      <c r="C103" s="24" t="s">
        <v>954</v>
      </c>
      <c r="D103" s="24" t="s">
        <v>1090</v>
      </c>
      <c r="E103" s="19" t="s">
        <v>15319</v>
      </c>
      <c r="F103" s="19" t="s">
        <v>950</v>
      </c>
      <c r="G103" s="19" t="s">
        <v>15320</v>
      </c>
      <c r="H103" s="20" t="s">
        <v>15378</v>
      </c>
      <c r="I103" s="20" t="s">
        <v>15378</v>
      </c>
      <c r="J103" s="19" t="s">
        <v>15494</v>
      </c>
      <c r="K103" s="19" t="s">
        <v>15495</v>
      </c>
      <c r="L103" s="19"/>
      <c r="M103" s="20" t="s">
        <v>15341</v>
      </c>
      <c r="N103" s="20" t="s">
        <v>15378</v>
      </c>
      <c r="O103" s="20"/>
      <c r="P103" s="20"/>
      <c r="Q103" s="20"/>
      <c r="R103" s="20" t="s">
        <v>15324</v>
      </c>
      <c r="S103" s="20">
        <v>20</v>
      </c>
      <c r="T103" s="20">
        <v>39</v>
      </c>
      <c r="U103" s="20">
        <v>80</v>
      </c>
      <c r="V103" s="24" t="s">
        <v>954</v>
      </c>
      <c r="W103" s="22" t="s">
        <v>15329</v>
      </c>
    </row>
    <row r="104" spans="1:23" x14ac:dyDescent="0.35">
      <c r="A104" s="18" t="s">
        <v>15330</v>
      </c>
      <c r="B104" s="19" t="s">
        <v>33</v>
      </c>
      <c r="C104" s="24" t="s">
        <v>954</v>
      </c>
      <c r="D104" s="24" t="s">
        <v>1090</v>
      </c>
      <c r="E104" s="19" t="s">
        <v>15319</v>
      </c>
      <c r="F104" s="19" t="s">
        <v>950</v>
      </c>
      <c r="G104" s="19" t="s">
        <v>15320</v>
      </c>
      <c r="H104" s="20" t="s">
        <v>15420</v>
      </c>
      <c r="I104" s="20" t="s">
        <v>15420</v>
      </c>
      <c r="J104" s="19" t="s">
        <v>15502</v>
      </c>
      <c r="K104" s="19" t="s">
        <v>15503</v>
      </c>
      <c r="L104" s="19"/>
      <c r="M104" s="20" t="s">
        <v>15341</v>
      </c>
      <c r="N104" s="20" t="s">
        <v>15420</v>
      </c>
      <c r="O104" s="20"/>
      <c r="P104" s="20"/>
      <c r="Q104" s="20"/>
      <c r="R104" s="20" t="s">
        <v>15324</v>
      </c>
      <c r="S104" s="20">
        <v>20</v>
      </c>
      <c r="T104" s="20">
        <v>39</v>
      </c>
      <c r="U104" s="20">
        <v>80</v>
      </c>
      <c r="V104" s="24" t="s">
        <v>954</v>
      </c>
      <c r="W104" s="22" t="s">
        <v>15329</v>
      </c>
    </row>
    <row r="105" spans="1:23" x14ac:dyDescent="0.35">
      <c r="A105" s="18" t="s">
        <v>15330</v>
      </c>
      <c r="B105" s="19" t="s">
        <v>33</v>
      </c>
      <c r="C105" s="24" t="s">
        <v>954</v>
      </c>
      <c r="D105" s="24" t="s">
        <v>1090</v>
      </c>
      <c r="E105" s="19" t="s">
        <v>15319</v>
      </c>
      <c r="F105" s="19" t="s">
        <v>950</v>
      </c>
      <c r="G105" s="19" t="s">
        <v>15320</v>
      </c>
      <c r="H105" s="20" t="s">
        <v>15404</v>
      </c>
      <c r="I105" s="20" t="s">
        <v>15404</v>
      </c>
      <c r="J105" s="19" t="s">
        <v>15552</v>
      </c>
      <c r="K105" s="19" t="s">
        <v>15553</v>
      </c>
      <c r="L105" s="19"/>
      <c r="M105" s="20" t="s">
        <v>15350</v>
      </c>
      <c r="N105" s="20" t="s">
        <v>15404</v>
      </c>
      <c r="O105" s="20"/>
      <c r="P105" s="20"/>
      <c r="Q105" s="20"/>
      <c r="R105" s="20" t="s">
        <v>15324</v>
      </c>
      <c r="S105" s="20">
        <v>20</v>
      </c>
      <c r="T105" s="20">
        <v>39</v>
      </c>
      <c r="U105" s="20">
        <v>80</v>
      </c>
      <c r="V105" s="24" t="s">
        <v>954</v>
      </c>
      <c r="W105" s="22" t="s">
        <v>15329</v>
      </c>
    </row>
    <row r="106" spans="1:23" x14ac:dyDescent="0.35">
      <c r="A106" s="18" t="s">
        <v>15330</v>
      </c>
      <c r="B106" s="19" t="s">
        <v>33</v>
      </c>
      <c r="C106" s="24" t="s">
        <v>954</v>
      </c>
      <c r="D106" s="24" t="s">
        <v>1090</v>
      </c>
      <c r="E106" s="19" t="s">
        <v>15319</v>
      </c>
      <c r="F106" s="19" t="s">
        <v>950</v>
      </c>
      <c r="G106" s="19" t="s">
        <v>15320</v>
      </c>
      <c r="H106" s="20" t="s">
        <v>15451</v>
      </c>
      <c r="I106" s="20" t="s">
        <v>15451</v>
      </c>
      <c r="J106" s="19" t="s">
        <v>15664</v>
      </c>
      <c r="K106" s="19" t="s">
        <v>15665</v>
      </c>
      <c r="L106" s="19"/>
      <c r="M106" s="20" t="s">
        <v>15341</v>
      </c>
      <c r="N106" s="20" t="s">
        <v>15451</v>
      </c>
      <c r="O106" s="20"/>
      <c r="P106" s="20"/>
      <c r="Q106" s="20"/>
      <c r="R106" s="20" t="s">
        <v>15324</v>
      </c>
      <c r="S106" s="20">
        <v>20</v>
      </c>
      <c r="T106" s="20">
        <v>39</v>
      </c>
      <c r="U106" s="20">
        <v>50</v>
      </c>
      <c r="V106" s="24" t="s">
        <v>954</v>
      </c>
      <c r="W106" s="22" t="s">
        <v>15329</v>
      </c>
    </row>
    <row r="107" spans="1:23" x14ac:dyDescent="0.35">
      <c r="A107" s="18" t="s">
        <v>15330</v>
      </c>
      <c r="B107" s="19" t="s">
        <v>33</v>
      </c>
      <c r="C107" s="24" t="s">
        <v>954</v>
      </c>
      <c r="D107" s="24" t="s">
        <v>1090</v>
      </c>
      <c r="E107" s="19" t="s">
        <v>15319</v>
      </c>
      <c r="F107" s="19" t="s">
        <v>950</v>
      </c>
      <c r="G107" s="19" t="s">
        <v>15320</v>
      </c>
      <c r="H107" s="20" t="s">
        <v>15363</v>
      </c>
      <c r="I107" s="20" t="s">
        <v>15363</v>
      </c>
      <c r="J107" s="19" t="s">
        <v>15395</v>
      </c>
      <c r="K107" s="19" t="s">
        <v>15396</v>
      </c>
      <c r="L107" s="19"/>
      <c r="M107" s="20" t="s">
        <v>15350</v>
      </c>
      <c r="N107" s="20" t="s">
        <v>15363</v>
      </c>
      <c r="O107" s="20"/>
      <c r="P107" s="20"/>
      <c r="Q107" s="20"/>
      <c r="R107" s="20" t="s">
        <v>15324</v>
      </c>
      <c r="S107" s="20">
        <v>20</v>
      </c>
      <c r="T107" s="20">
        <v>39</v>
      </c>
      <c r="U107" s="20">
        <v>80</v>
      </c>
      <c r="V107" s="24" t="s">
        <v>954</v>
      </c>
      <c r="W107" s="22" t="s">
        <v>15329</v>
      </c>
    </row>
    <row r="108" spans="1:23" x14ac:dyDescent="0.35">
      <c r="A108" s="18" t="s">
        <v>15330</v>
      </c>
      <c r="B108" s="19" t="s">
        <v>33</v>
      </c>
      <c r="C108" s="24" t="s">
        <v>954</v>
      </c>
      <c r="D108" s="24" t="s">
        <v>1090</v>
      </c>
      <c r="E108" s="19" t="s">
        <v>15319</v>
      </c>
      <c r="F108" s="19" t="s">
        <v>950</v>
      </c>
      <c r="G108" s="19" t="s">
        <v>15320</v>
      </c>
      <c r="H108" s="20" t="s">
        <v>15364</v>
      </c>
      <c r="I108" s="20" t="s">
        <v>15364</v>
      </c>
      <c r="J108" s="19" t="s">
        <v>15603</v>
      </c>
      <c r="K108" s="19" t="s">
        <v>15604</v>
      </c>
      <c r="L108" s="19"/>
      <c r="M108" s="20" t="s">
        <v>15350</v>
      </c>
      <c r="N108" s="20" t="s">
        <v>15364</v>
      </c>
      <c r="O108" s="20"/>
      <c r="P108" s="20"/>
      <c r="Q108" s="20"/>
      <c r="R108" s="20" t="s">
        <v>15324</v>
      </c>
      <c r="S108" s="20">
        <v>20</v>
      </c>
      <c r="T108" s="20">
        <v>39</v>
      </c>
      <c r="U108" s="20">
        <v>80</v>
      </c>
      <c r="V108" s="24" t="s">
        <v>954</v>
      </c>
      <c r="W108" s="22" t="s">
        <v>15329</v>
      </c>
    </row>
    <row r="109" spans="1:23" x14ac:dyDescent="0.35">
      <c r="A109" s="18" t="s">
        <v>15330</v>
      </c>
      <c r="B109" s="19" t="s">
        <v>33</v>
      </c>
      <c r="C109" s="24" t="s">
        <v>954</v>
      </c>
      <c r="D109" s="24" t="s">
        <v>1090</v>
      </c>
      <c r="E109" s="19" t="s">
        <v>15319</v>
      </c>
      <c r="F109" s="19" t="s">
        <v>950</v>
      </c>
      <c r="G109" s="19" t="s">
        <v>15320</v>
      </c>
      <c r="H109" s="20" t="s">
        <v>15347</v>
      </c>
      <c r="I109" s="20" t="s">
        <v>15347</v>
      </c>
      <c r="J109" s="19" t="s">
        <v>15579</v>
      </c>
      <c r="K109" s="19" t="s">
        <v>15580</v>
      </c>
      <c r="L109" s="19" t="s">
        <v>15340</v>
      </c>
      <c r="M109" s="20" t="s">
        <v>15323</v>
      </c>
      <c r="N109" s="20" t="s">
        <v>15347</v>
      </c>
      <c r="O109" s="20"/>
      <c r="P109" s="20"/>
      <c r="Q109" s="20"/>
      <c r="R109" s="20" t="s">
        <v>15346</v>
      </c>
      <c r="S109" s="20">
        <v>20</v>
      </c>
      <c r="T109" s="20">
        <v>39</v>
      </c>
      <c r="U109" s="20">
        <v>30</v>
      </c>
      <c r="V109" s="24" t="s">
        <v>954</v>
      </c>
      <c r="W109" s="22" t="s">
        <v>15329</v>
      </c>
    </row>
    <row r="110" spans="1:23" x14ac:dyDescent="0.35">
      <c r="A110" s="18" t="s">
        <v>15330</v>
      </c>
      <c r="B110" s="19" t="s">
        <v>33</v>
      </c>
      <c r="C110" s="24" t="s">
        <v>954</v>
      </c>
      <c r="D110" s="24" t="s">
        <v>1090</v>
      </c>
      <c r="E110" s="19" t="s">
        <v>15319</v>
      </c>
      <c r="F110" s="19" t="s">
        <v>950</v>
      </c>
      <c r="G110" s="19" t="s">
        <v>15320</v>
      </c>
      <c r="H110" s="20" t="s">
        <v>15412</v>
      </c>
      <c r="I110" s="20" t="s">
        <v>15412</v>
      </c>
      <c r="J110" s="19" t="s">
        <v>15859</v>
      </c>
      <c r="K110" s="19" t="s">
        <v>15860</v>
      </c>
      <c r="L110" s="19"/>
      <c r="M110" s="20" t="s">
        <v>15323</v>
      </c>
      <c r="N110" s="20" t="s">
        <v>15412</v>
      </c>
      <c r="O110" s="20"/>
      <c r="P110" s="20"/>
      <c r="Q110" s="20"/>
      <c r="R110" s="20" t="s">
        <v>15346</v>
      </c>
      <c r="S110" s="20">
        <v>20</v>
      </c>
      <c r="T110" s="20">
        <v>39</v>
      </c>
      <c r="U110" s="20">
        <v>0</v>
      </c>
      <c r="V110" s="24" t="s">
        <v>954</v>
      </c>
      <c r="W110" s="22" t="s">
        <v>15329</v>
      </c>
    </row>
    <row r="111" spans="1:23" x14ac:dyDescent="0.35">
      <c r="A111" s="18" t="s">
        <v>15330</v>
      </c>
      <c r="B111" s="19" t="s">
        <v>33</v>
      </c>
      <c r="C111" s="24" t="s">
        <v>954</v>
      </c>
      <c r="D111" s="24" t="s">
        <v>1090</v>
      </c>
      <c r="E111" s="19" t="s">
        <v>15319</v>
      </c>
      <c r="F111" s="19" t="s">
        <v>950</v>
      </c>
      <c r="G111" s="19" t="s">
        <v>15320</v>
      </c>
      <c r="H111" s="20" t="s">
        <v>15342</v>
      </c>
      <c r="I111" s="20" t="s">
        <v>15342</v>
      </c>
      <c r="J111" s="19" t="s">
        <v>15529</v>
      </c>
      <c r="K111" s="19" t="s">
        <v>15530</v>
      </c>
      <c r="L111" s="19" t="s">
        <v>15334</v>
      </c>
      <c r="M111" s="20" t="s">
        <v>15323</v>
      </c>
      <c r="N111" s="20" t="s">
        <v>15342</v>
      </c>
      <c r="O111" s="20"/>
      <c r="P111" s="20"/>
      <c r="Q111" s="20"/>
      <c r="R111" s="20" t="s">
        <v>15346</v>
      </c>
      <c r="S111" s="20">
        <v>20</v>
      </c>
      <c r="T111" s="20">
        <v>39</v>
      </c>
      <c r="U111" s="20">
        <v>28</v>
      </c>
      <c r="V111" s="24" t="s">
        <v>954</v>
      </c>
      <c r="W111" s="22" t="s">
        <v>15329</v>
      </c>
    </row>
    <row r="112" spans="1:23" x14ac:dyDescent="0.35">
      <c r="A112" s="18" t="s">
        <v>15330</v>
      </c>
      <c r="B112" s="19" t="s">
        <v>33</v>
      </c>
      <c r="C112" s="24" t="s">
        <v>954</v>
      </c>
      <c r="D112" s="24" t="s">
        <v>1090</v>
      </c>
      <c r="E112" s="19" t="s">
        <v>15319</v>
      </c>
      <c r="F112" s="19" t="s">
        <v>950</v>
      </c>
      <c r="G112" s="19" t="s">
        <v>15320</v>
      </c>
      <c r="H112" s="20" t="s">
        <v>15476</v>
      </c>
      <c r="I112" s="20" t="s">
        <v>15476</v>
      </c>
      <c r="J112" s="19" t="s">
        <v>15711</v>
      </c>
      <c r="K112" s="19" t="s">
        <v>15712</v>
      </c>
      <c r="L112" s="19"/>
      <c r="M112" s="20" t="s">
        <v>15362</v>
      </c>
      <c r="N112" s="20" t="s">
        <v>15476</v>
      </c>
      <c r="O112" s="20"/>
      <c r="P112" s="20"/>
      <c r="Q112" s="20"/>
      <c r="R112" s="20" t="s">
        <v>15346</v>
      </c>
      <c r="S112" s="20">
        <v>20</v>
      </c>
      <c r="T112" s="20">
        <v>39</v>
      </c>
      <c r="U112" s="20">
        <v>28</v>
      </c>
      <c r="V112" s="24" t="s">
        <v>954</v>
      </c>
      <c r="W112" s="22" t="s">
        <v>15329</v>
      </c>
    </row>
    <row r="113" spans="1:23" x14ac:dyDescent="0.35">
      <c r="A113" s="18" t="s">
        <v>15330</v>
      </c>
      <c r="B113" s="19" t="s">
        <v>33</v>
      </c>
      <c r="C113" s="24" t="s">
        <v>954</v>
      </c>
      <c r="D113" s="24" t="s">
        <v>1090</v>
      </c>
      <c r="E113" s="19" t="s">
        <v>15319</v>
      </c>
      <c r="F113" s="19" t="s">
        <v>950</v>
      </c>
      <c r="G113" s="19" t="s">
        <v>15320</v>
      </c>
      <c r="H113" s="20" t="s">
        <v>15392</v>
      </c>
      <c r="I113" s="20" t="s">
        <v>15392</v>
      </c>
      <c r="J113" s="19" t="s">
        <v>15805</v>
      </c>
      <c r="K113" s="19" t="s">
        <v>15806</v>
      </c>
      <c r="L113" s="19"/>
      <c r="M113" s="20" t="s">
        <v>15341</v>
      </c>
      <c r="N113" s="20" t="s">
        <v>15392</v>
      </c>
      <c r="O113" s="20"/>
      <c r="P113" s="20"/>
      <c r="Q113" s="20"/>
      <c r="R113" s="20" t="s">
        <v>15346</v>
      </c>
      <c r="S113" s="20">
        <v>20</v>
      </c>
      <c r="T113" s="20">
        <v>39</v>
      </c>
      <c r="U113" s="20">
        <v>15</v>
      </c>
      <c r="V113" s="24" t="s">
        <v>954</v>
      </c>
      <c r="W113" s="22" t="s">
        <v>15329</v>
      </c>
    </row>
    <row r="114" spans="1:23" x14ac:dyDescent="0.35">
      <c r="A114" s="18" t="s">
        <v>15330</v>
      </c>
      <c r="B114" s="19" t="s">
        <v>33</v>
      </c>
      <c r="C114" s="24" t="s">
        <v>954</v>
      </c>
      <c r="D114" s="24" t="s">
        <v>1090</v>
      </c>
      <c r="E114" s="19" t="s">
        <v>15319</v>
      </c>
      <c r="F114" s="19" t="s">
        <v>950</v>
      </c>
      <c r="G114" s="19" t="s">
        <v>15320</v>
      </c>
      <c r="H114" s="20" t="s">
        <v>15351</v>
      </c>
      <c r="I114" s="20" t="s">
        <v>15351</v>
      </c>
      <c r="J114" s="19" t="s">
        <v>15527</v>
      </c>
      <c r="K114" s="19" t="s">
        <v>15528</v>
      </c>
      <c r="L114" s="19"/>
      <c r="M114" s="20" t="s">
        <v>15341</v>
      </c>
      <c r="N114" s="20" t="s">
        <v>15351</v>
      </c>
      <c r="O114" s="20"/>
      <c r="P114" s="20"/>
      <c r="Q114" s="20"/>
      <c r="R114" s="20" t="s">
        <v>15346</v>
      </c>
      <c r="S114" s="20">
        <v>20</v>
      </c>
      <c r="T114" s="20">
        <v>39</v>
      </c>
      <c r="U114" s="20">
        <v>15</v>
      </c>
      <c r="V114" s="24" t="s">
        <v>954</v>
      </c>
      <c r="W114" s="22" t="s">
        <v>15329</v>
      </c>
    </row>
    <row r="115" spans="1:23" x14ac:dyDescent="0.35">
      <c r="A115" s="18" t="s">
        <v>15330</v>
      </c>
      <c r="B115" s="19" t="s">
        <v>33</v>
      </c>
      <c r="C115" s="24" t="s">
        <v>954</v>
      </c>
      <c r="D115" s="24" t="s">
        <v>1090</v>
      </c>
      <c r="E115" s="19" t="s">
        <v>15319</v>
      </c>
      <c r="F115" s="19" t="s">
        <v>950</v>
      </c>
      <c r="G115" s="19" t="s">
        <v>15320</v>
      </c>
      <c r="H115" s="20" t="s">
        <v>15359</v>
      </c>
      <c r="I115" s="20" t="s">
        <v>15359</v>
      </c>
      <c r="J115" s="19" t="s">
        <v>15430</v>
      </c>
      <c r="K115" s="19" t="s">
        <v>15431</v>
      </c>
      <c r="L115" s="19"/>
      <c r="M115" s="20" t="s">
        <v>15350</v>
      </c>
      <c r="N115" s="20" t="s">
        <v>15359</v>
      </c>
      <c r="O115" s="20"/>
      <c r="P115" s="20"/>
      <c r="Q115" s="20"/>
      <c r="R115" s="20" t="s">
        <v>15346</v>
      </c>
      <c r="S115" s="20">
        <v>20</v>
      </c>
      <c r="T115" s="20">
        <v>39</v>
      </c>
      <c r="U115" s="20">
        <v>30</v>
      </c>
      <c r="V115" s="24" t="s">
        <v>954</v>
      </c>
      <c r="W115" s="22" t="s">
        <v>15329</v>
      </c>
    </row>
    <row r="116" spans="1:23" x14ac:dyDescent="0.35">
      <c r="A116" s="18" t="s">
        <v>15330</v>
      </c>
      <c r="B116" s="19" t="s">
        <v>33</v>
      </c>
      <c r="C116" s="24" t="s">
        <v>954</v>
      </c>
      <c r="D116" s="24" t="s">
        <v>1090</v>
      </c>
      <c r="E116" s="19" t="s">
        <v>15319</v>
      </c>
      <c r="F116" s="19" t="s">
        <v>950</v>
      </c>
      <c r="G116" s="19" t="s">
        <v>15320</v>
      </c>
      <c r="H116" s="20" t="s">
        <v>15423</v>
      </c>
      <c r="I116" s="20" t="s">
        <v>15423</v>
      </c>
      <c r="J116" s="19" t="s">
        <v>15543</v>
      </c>
      <c r="K116" s="19" t="s">
        <v>15544</v>
      </c>
      <c r="L116" s="19" t="s">
        <v>15324</v>
      </c>
      <c r="M116" s="20" t="s">
        <v>15341</v>
      </c>
      <c r="N116" s="20" t="s">
        <v>15423</v>
      </c>
      <c r="O116" s="20"/>
      <c r="P116" s="20"/>
      <c r="Q116" s="20"/>
      <c r="R116" s="20" t="s">
        <v>15346</v>
      </c>
      <c r="S116" s="20">
        <v>20</v>
      </c>
      <c r="T116" s="20">
        <v>39</v>
      </c>
      <c r="U116" s="20">
        <v>30</v>
      </c>
      <c r="V116" s="24" t="s">
        <v>954</v>
      </c>
      <c r="W116" s="22" t="s">
        <v>15329</v>
      </c>
    </row>
    <row r="117" spans="1:23" x14ac:dyDescent="0.35">
      <c r="A117" s="18" t="s">
        <v>15330</v>
      </c>
      <c r="B117" s="19" t="s">
        <v>33</v>
      </c>
      <c r="C117" s="24" t="s">
        <v>954</v>
      </c>
      <c r="D117" s="24" t="s">
        <v>1090</v>
      </c>
      <c r="E117" s="19" t="s">
        <v>15319</v>
      </c>
      <c r="F117" s="19" t="s">
        <v>950</v>
      </c>
      <c r="G117" s="19" t="s">
        <v>15320</v>
      </c>
      <c r="H117" s="20" t="s">
        <v>15399</v>
      </c>
      <c r="I117" s="20" t="s">
        <v>15399</v>
      </c>
      <c r="J117" s="19" t="s">
        <v>15797</v>
      </c>
      <c r="K117" s="19" t="s">
        <v>15798</v>
      </c>
      <c r="L117" s="19" t="s">
        <v>15466</v>
      </c>
      <c r="M117" s="20" t="s">
        <v>15323</v>
      </c>
      <c r="N117" s="20" t="s">
        <v>15399</v>
      </c>
      <c r="O117" s="20"/>
      <c r="P117" s="20"/>
      <c r="Q117" s="20"/>
      <c r="R117" s="20" t="s">
        <v>15324</v>
      </c>
      <c r="S117" s="20">
        <v>20</v>
      </c>
      <c r="T117" s="20">
        <v>39</v>
      </c>
      <c r="U117" s="20">
        <v>1</v>
      </c>
      <c r="V117" s="24" t="s">
        <v>1090</v>
      </c>
      <c r="W117" s="22" t="s">
        <v>15325</v>
      </c>
    </row>
    <row r="118" spans="1:23" x14ac:dyDescent="0.35">
      <c r="A118" s="18" t="s">
        <v>15330</v>
      </c>
      <c r="B118" s="19" t="s">
        <v>33</v>
      </c>
      <c r="C118" s="24" t="s">
        <v>954</v>
      </c>
      <c r="D118" s="24" t="s">
        <v>1090</v>
      </c>
      <c r="E118" s="19" t="s">
        <v>15319</v>
      </c>
      <c r="F118" s="19" t="s">
        <v>950</v>
      </c>
      <c r="G118" s="19" t="s">
        <v>15320</v>
      </c>
      <c r="H118" s="20" t="s">
        <v>15337</v>
      </c>
      <c r="I118" s="20" t="s">
        <v>15337</v>
      </c>
      <c r="J118" s="19" t="s">
        <v>15559</v>
      </c>
      <c r="K118" s="19" t="s">
        <v>15560</v>
      </c>
      <c r="L118" s="19" t="s">
        <v>15324</v>
      </c>
      <c r="M118" s="20" t="s">
        <v>15323</v>
      </c>
      <c r="N118" s="20" t="s">
        <v>15337</v>
      </c>
      <c r="O118" s="20"/>
      <c r="P118" s="20"/>
      <c r="Q118" s="20"/>
      <c r="R118" s="20" t="s">
        <v>15324</v>
      </c>
      <c r="S118" s="20">
        <v>20</v>
      </c>
      <c r="T118" s="20">
        <v>39</v>
      </c>
      <c r="U118" s="20">
        <v>70</v>
      </c>
      <c r="V118" s="24" t="s">
        <v>1090</v>
      </c>
      <c r="W118" s="22" t="s">
        <v>15325</v>
      </c>
    </row>
    <row r="119" spans="1:23" x14ac:dyDescent="0.35">
      <c r="A119" s="18" t="s">
        <v>15330</v>
      </c>
      <c r="B119" s="19" t="s">
        <v>33</v>
      </c>
      <c r="C119" s="24" t="s">
        <v>954</v>
      </c>
      <c r="D119" s="24" t="s">
        <v>1090</v>
      </c>
      <c r="E119" s="19" t="s">
        <v>15319</v>
      </c>
      <c r="F119" s="19" t="s">
        <v>950</v>
      </c>
      <c r="G119" s="19" t="s">
        <v>15320</v>
      </c>
      <c r="H119" s="20" t="s">
        <v>15331</v>
      </c>
      <c r="I119" s="20" t="s">
        <v>15331</v>
      </c>
      <c r="J119" s="19" t="s">
        <v>15387</v>
      </c>
      <c r="K119" s="19" t="s">
        <v>15388</v>
      </c>
      <c r="L119" s="19" t="s">
        <v>15334</v>
      </c>
      <c r="M119" s="20" t="s">
        <v>15357</v>
      </c>
      <c r="N119" s="20" t="s">
        <v>15331</v>
      </c>
      <c r="O119" s="20"/>
      <c r="P119" s="20"/>
      <c r="Q119" s="20"/>
      <c r="R119" s="20" t="s">
        <v>15324</v>
      </c>
      <c r="S119" s="20">
        <v>20</v>
      </c>
      <c r="T119" s="20">
        <v>39</v>
      </c>
      <c r="U119" s="20">
        <v>70</v>
      </c>
      <c r="V119" s="24" t="s">
        <v>1090</v>
      </c>
      <c r="W119" s="22" t="s">
        <v>15325</v>
      </c>
    </row>
    <row r="120" spans="1:23" x14ac:dyDescent="0.35">
      <c r="A120" s="18" t="s">
        <v>15330</v>
      </c>
      <c r="B120" s="19" t="s">
        <v>33</v>
      </c>
      <c r="C120" s="24" t="s">
        <v>954</v>
      </c>
      <c r="D120" s="24" t="s">
        <v>1090</v>
      </c>
      <c r="E120" s="19" t="s">
        <v>15319</v>
      </c>
      <c r="F120" s="19" t="s">
        <v>950</v>
      </c>
      <c r="G120" s="19" t="s">
        <v>15320</v>
      </c>
      <c r="H120" s="20" t="s">
        <v>2197</v>
      </c>
      <c r="I120" s="20" t="s">
        <v>2197</v>
      </c>
      <c r="J120" s="19" t="s">
        <v>15474</v>
      </c>
      <c r="K120" s="19" t="s">
        <v>15475</v>
      </c>
      <c r="L120" s="19"/>
      <c r="M120" s="20" t="s">
        <v>15341</v>
      </c>
      <c r="N120" s="20" t="s">
        <v>2197</v>
      </c>
      <c r="O120" s="20"/>
      <c r="P120" s="20"/>
      <c r="Q120" s="20"/>
      <c r="R120" s="20" t="s">
        <v>15324</v>
      </c>
      <c r="S120" s="20">
        <v>20</v>
      </c>
      <c r="T120" s="20">
        <v>39</v>
      </c>
      <c r="U120" s="20">
        <v>80</v>
      </c>
      <c r="V120" s="24" t="s">
        <v>1090</v>
      </c>
      <c r="W120" s="22" t="s">
        <v>15325</v>
      </c>
    </row>
    <row r="121" spans="1:23" x14ac:dyDescent="0.35">
      <c r="A121" s="18" t="s">
        <v>15330</v>
      </c>
      <c r="B121" s="19" t="s">
        <v>33</v>
      </c>
      <c r="C121" s="24" t="s">
        <v>954</v>
      </c>
      <c r="D121" s="24" t="s">
        <v>1090</v>
      </c>
      <c r="E121" s="19" t="s">
        <v>15319</v>
      </c>
      <c r="F121" s="19" t="s">
        <v>950</v>
      </c>
      <c r="G121" s="19" t="s">
        <v>15320</v>
      </c>
      <c r="H121" s="20" t="s">
        <v>2135</v>
      </c>
      <c r="I121" s="20" t="s">
        <v>2135</v>
      </c>
      <c r="J121" s="19" t="s">
        <v>15857</v>
      </c>
      <c r="K121" s="19" t="s">
        <v>15858</v>
      </c>
      <c r="L121" s="19"/>
      <c r="M121" s="20" t="s">
        <v>15323</v>
      </c>
      <c r="N121" s="20" t="s">
        <v>2135</v>
      </c>
      <c r="O121" s="20"/>
      <c r="P121" s="20"/>
      <c r="Q121" s="20"/>
      <c r="R121" s="20" t="s">
        <v>15324</v>
      </c>
      <c r="S121" s="20">
        <v>20</v>
      </c>
      <c r="T121" s="20">
        <v>39</v>
      </c>
      <c r="U121" s="20">
        <v>80</v>
      </c>
      <c r="V121" s="24" t="s">
        <v>1090</v>
      </c>
      <c r="W121" s="22" t="s">
        <v>15325</v>
      </c>
    </row>
    <row r="122" spans="1:23" x14ac:dyDescent="0.35">
      <c r="A122" s="18" t="s">
        <v>15330</v>
      </c>
      <c r="B122" s="19" t="s">
        <v>33</v>
      </c>
      <c r="C122" s="24" t="s">
        <v>954</v>
      </c>
      <c r="D122" s="24" t="s">
        <v>1090</v>
      </c>
      <c r="E122" s="19" t="s">
        <v>15319</v>
      </c>
      <c r="F122" s="19" t="s">
        <v>950</v>
      </c>
      <c r="G122" s="19" t="s">
        <v>15320</v>
      </c>
      <c r="H122" s="20" t="s">
        <v>2151</v>
      </c>
      <c r="I122" s="20" t="s">
        <v>2151</v>
      </c>
      <c r="J122" s="19" t="s">
        <v>15779</v>
      </c>
      <c r="K122" s="19" t="s">
        <v>15780</v>
      </c>
      <c r="L122" s="19"/>
      <c r="M122" s="20" t="s">
        <v>15341</v>
      </c>
      <c r="N122" s="20" t="s">
        <v>2151</v>
      </c>
      <c r="O122" s="20"/>
      <c r="P122" s="20"/>
      <c r="Q122" s="20"/>
      <c r="R122" s="20" t="s">
        <v>15324</v>
      </c>
      <c r="S122" s="20">
        <v>20</v>
      </c>
      <c r="T122" s="20">
        <v>39</v>
      </c>
      <c r="U122" s="20">
        <v>50</v>
      </c>
      <c r="V122" s="24" t="s">
        <v>1090</v>
      </c>
      <c r="W122" s="22" t="s">
        <v>15325</v>
      </c>
    </row>
    <row r="123" spans="1:23" x14ac:dyDescent="0.35">
      <c r="A123" s="18" t="s">
        <v>15330</v>
      </c>
      <c r="B123" s="19" t="s">
        <v>33</v>
      </c>
      <c r="C123" s="24" t="s">
        <v>954</v>
      </c>
      <c r="D123" s="24" t="s">
        <v>1090</v>
      </c>
      <c r="E123" s="19" t="s">
        <v>15319</v>
      </c>
      <c r="F123" s="19" t="s">
        <v>950</v>
      </c>
      <c r="G123" s="19" t="s">
        <v>15320</v>
      </c>
      <c r="H123" s="20" t="s">
        <v>15409</v>
      </c>
      <c r="I123" s="20" t="s">
        <v>15409</v>
      </c>
      <c r="J123" s="19" t="s">
        <v>15863</v>
      </c>
      <c r="K123" s="19" t="s">
        <v>15864</v>
      </c>
      <c r="L123" s="19"/>
      <c r="M123" s="20" t="s">
        <v>15341</v>
      </c>
      <c r="N123" s="20" t="s">
        <v>15409</v>
      </c>
      <c r="O123" s="20"/>
      <c r="P123" s="20"/>
      <c r="Q123" s="20"/>
      <c r="R123" s="20" t="s">
        <v>15324</v>
      </c>
      <c r="S123" s="20">
        <v>20</v>
      </c>
      <c r="T123" s="20">
        <v>39</v>
      </c>
      <c r="U123" s="20">
        <v>63</v>
      </c>
      <c r="V123" s="24" t="s">
        <v>1090</v>
      </c>
      <c r="W123" s="22" t="s">
        <v>15325</v>
      </c>
    </row>
    <row r="124" spans="1:23" x14ac:dyDescent="0.35">
      <c r="A124" s="18" t="s">
        <v>15330</v>
      </c>
      <c r="B124" s="19" t="s">
        <v>33</v>
      </c>
      <c r="C124" s="24" t="s">
        <v>954</v>
      </c>
      <c r="D124" s="24" t="s">
        <v>1090</v>
      </c>
      <c r="E124" s="19" t="s">
        <v>15319</v>
      </c>
      <c r="F124" s="19" t="s">
        <v>950</v>
      </c>
      <c r="G124" s="19" t="s">
        <v>15320</v>
      </c>
      <c r="H124" s="20" t="s">
        <v>15381</v>
      </c>
      <c r="I124" s="20" t="s">
        <v>15381</v>
      </c>
      <c r="J124" s="19" t="s">
        <v>15432</v>
      </c>
      <c r="K124" s="19" t="s">
        <v>15433</v>
      </c>
      <c r="L124" s="19"/>
      <c r="M124" s="20" t="s">
        <v>15323</v>
      </c>
      <c r="N124" s="20" t="s">
        <v>15381</v>
      </c>
      <c r="O124" s="20"/>
      <c r="P124" s="20"/>
      <c r="Q124" s="20"/>
      <c r="R124" s="20" t="s">
        <v>15324</v>
      </c>
      <c r="S124" s="20">
        <v>20</v>
      </c>
      <c r="T124" s="20">
        <v>39</v>
      </c>
      <c r="U124" s="20">
        <v>80</v>
      </c>
      <c r="V124" s="24" t="s">
        <v>1090</v>
      </c>
      <c r="W124" s="22" t="s">
        <v>15325</v>
      </c>
    </row>
    <row r="125" spans="1:23" x14ac:dyDescent="0.35">
      <c r="A125" s="18" t="s">
        <v>15330</v>
      </c>
      <c r="B125" s="19" t="s">
        <v>33</v>
      </c>
      <c r="C125" s="24" t="s">
        <v>954</v>
      </c>
      <c r="D125" s="24" t="s">
        <v>1090</v>
      </c>
      <c r="E125" s="19" t="s">
        <v>15319</v>
      </c>
      <c r="F125" s="19" t="s">
        <v>950</v>
      </c>
      <c r="G125" s="19" t="s">
        <v>15320</v>
      </c>
      <c r="H125" s="20" t="s">
        <v>15354</v>
      </c>
      <c r="I125" s="20" t="s">
        <v>15354</v>
      </c>
      <c r="J125" s="19" t="s">
        <v>15736</v>
      </c>
      <c r="K125" s="19" t="s">
        <v>15737</v>
      </c>
      <c r="L125" s="19"/>
      <c r="M125" s="20" t="s">
        <v>15341</v>
      </c>
      <c r="N125" s="20" t="s">
        <v>15354</v>
      </c>
      <c r="O125" s="20"/>
      <c r="P125" s="20"/>
      <c r="Q125" s="20"/>
      <c r="R125" s="20" t="s">
        <v>15324</v>
      </c>
      <c r="S125" s="20">
        <v>20</v>
      </c>
      <c r="T125" s="20">
        <v>39</v>
      </c>
      <c r="U125" s="20">
        <v>65</v>
      </c>
      <c r="V125" s="24" t="s">
        <v>1090</v>
      </c>
      <c r="W125" s="22" t="s">
        <v>15325</v>
      </c>
    </row>
    <row r="126" spans="1:23" x14ac:dyDescent="0.35">
      <c r="A126" s="18" t="s">
        <v>15330</v>
      </c>
      <c r="B126" s="19" t="s">
        <v>33</v>
      </c>
      <c r="C126" s="24" t="s">
        <v>954</v>
      </c>
      <c r="D126" s="24" t="s">
        <v>1090</v>
      </c>
      <c r="E126" s="19" t="s">
        <v>15319</v>
      </c>
      <c r="F126" s="19" t="s">
        <v>950</v>
      </c>
      <c r="G126" s="19" t="s">
        <v>15320</v>
      </c>
      <c r="H126" s="20" t="s">
        <v>15378</v>
      </c>
      <c r="I126" s="20" t="s">
        <v>15378</v>
      </c>
      <c r="J126" s="19" t="s">
        <v>15641</v>
      </c>
      <c r="K126" s="19" t="s">
        <v>15642</v>
      </c>
      <c r="L126" s="19"/>
      <c r="M126" s="20" t="s">
        <v>15323</v>
      </c>
      <c r="N126" s="20" t="s">
        <v>15378</v>
      </c>
      <c r="O126" s="20"/>
      <c r="P126" s="20"/>
      <c r="Q126" s="20"/>
      <c r="R126" s="20" t="s">
        <v>15324</v>
      </c>
      <c r="S126" s="20">
        <v>20</v>
      </c>
      <c r="T126" s="20">
        <v>39</v>
      </c>
      <c r="U126" s="20">
        <v>80</v>
      </c>
      <c r="V126" s="24" t="s">
        <v>1090</v>
      </c>
      <c r="W126" s="22" t="s">
        <v>15325</v>
      </c>
    </row>
    <row r="127" spans="1:23" x14ac:dyDescent="0.35">
      <c r="A127" s="18" t="s">
        <v>15330</v>
      </c>
      <c r="B127" s="19" t="s">
        <v>33</v>
      </c>
      <c r="C127" s="24" t="s">
        <v>954</v>
      </c>
      <c r="D127" s="24" t="s">
        <v>1090</v>
      </c>
      <c r="E127" s="19" t="s">
        <v>15319</v>
      </c>
      <c r="F127" s="19" t="s">
        <v>950</v>
      </c>
      <c r="G127" s="19" t="s">
        <v>15320</v>
      </c>
      <c r="H127" s="20" t="s">
        <v>15420</v>
      </c>
      <c r="I127" s="20" t="s">
        <v>15420</v>
      </c>
      <c r="J127" s="19" t="s">
        <v>15441</v>
      </c>
      <c r="K127" s="19" t="s">
        <v>15442</v>
      </c>
      <c r="L127" s="19"/>
      <c r="M127" s="20" t="s">
        <v>15341</v>
      </c>
      <c r="N127" s="20" t="s">
        <v>15420</v>
      </c>
      <c r="O127" s="20"/>
      <c r="P127" s="20"/>
      <c r="Q127" s="20"/>
      <c r="R127" s="20" t="s">
        <v>15324</v>
      </c>
      <c r="S127" s="20">
        <v>20</v>
      </c>
      <c r="T127" s="20">
        <v>39</v>
      </c>
      <c r="U127" s="20">
        <v>80</v>
      </c>
      <c r="V127" s="24" t="s">
        <v>1090</v>
      </c>
      <c r="W127" s="22" t="s">
        <v>15325</v>
      </c>
    </row>
    <row r="128" spans="1:23" x14ac:dyDescent="0.35">
      <c r="A128" s="18" t="s">
        <v>15330</v>
      </c>
      <c r="B128" s="19" t="s">
        <v>33</v>
      </c>
      <c r="C128" s="24" t="s">
        <v>954</v>
      </c>
      <c r="D128" s="24" t="s">
        <v>1090</v>
      </c>
      <c r="E128" s="19" t="s">
        <v>15319</v>
      </c>
      <c r="F128" s="19" t="s">
        <v>950</v>
      </c>
      <c r="G128" s="19" t="s">
        <v>15320</v>
      </c>
      <c r="H128" s="20" t="s">
        <v>15404</v>
      </c>
      <c r="I128" s="20" t="s">
        <v>15404</v>
      </c>
      <c r="J128" s="19" t="s">
        <v>15684</v>
      </c>
      <c r="K128" s="19" t="s">
        <v>15685</v>
      </c>
      <c r="L128" s="19"/>
      <c r="M128" s="20" t="s">
        <v>15350</v>
      </c>
      <c r="N128" s="20" t="s">
        <v>15404</v>
      </c>
      <c r="O128" s="20"/>
      <c r="P128" s="20"/>
      <c r="Q128" s="20"/>
      <c r="R128" s="20" t="s">
        <v>15324</v>
      </c>
      <c r="S128" s="20">
        <v>20</v>
      </c>
      <c r="T128" s="20">
        <v>39</v>
      </c>
      <c r="U128" s="20">
        <v>53</v>
      </c>
      <c r="V128" s="24" t="s">
        <v>1090</v>
      </c>
      <c r="W128" s="22" t="s">
        <v>15325</v>
      </c>
    </row>
    <row r="129" spans="1:23" x14ac:dyDescent="0.35">
      <c r="A129" s="18" t="s">
        <v>15330</v>
      </c>
      <c r="B129" s="19" t="s">
        <v>33</v>
      </c>
      <c r="C129" s="24" t="s">
        <v>954</v>
      </c>
      <c r="D129" s="24" t="s">
        <v>1090</v>
      </c>
      <c r="E129" s="19" t="s">
        <v>15319</v>
      </c>
      <c r="F129" s="19" t="s">
        <v>950</v>
      </c>
      <c r="G129" s="19" t="s">
        <v>15320</v>
      </c>
      <c r="H129" s="20" t="s">
        <v>15451</v>
      </c>
      <c r="I129" s="20" t="s">
        <v>15451</v>
      </c>
      <c r="J129" s="19" t="s">
        <v>15629</v>
      </c>
      <c r="K129" s="19" t="s">
        <v>15630</v>
      </c>
      <c r="L129" s="19"/>
      <c r="M129" s="20" t="s">
        <v>15341</v>
      </c>
      <c r="N129" s="20" t="s">
        <v>15451</v>
      </c>
      <c r="O129" s="20"/>
      <c r="P129" s="20"/>
      <c r="Q129" s="20"/>
      <c r="R129" s="20" t="s">
        <v>15324</v>
      </c>
      <c r="S129" s="20">
        <v>20</v>
      </c>
      <c r="T129" s="20">
        <v>39</v>
      </c>
      <c r="U129" s="20">
        <v>80</v>
      </c>
      <c r="V129" s="24" t="s">
        <v>1090</v>
      </c>
      <c r="W129" s="22" t="s">
        <v>15325</v>
      </c>
    </row>
    <row r="130" spans="1:23" x14ac:dyDescent="0.35">
      <c r="A130" s="18" t="s">
        <v>15330</v>
      </c>
      <c r="B130" s="19" t="s">
        <v>33</v>
      </c>
      <c r="C130" s="24" t="s">
        <v>954</v>
      </c>
      <c r="D130" s="24" t="s">
        <v>1090</v>
      </c>
      <c r="E130" s="19" t="s">
        <v>15319</v>
      </c>
      <c r="F130" s="19" t="s">
        <v>950</v>
      </c>
      <c r="G130" s="19" t="s">
        <v>15320</v>
      </c>
      <c r="H130" s="20" t="s">
        <v>15363</v>
      </c>
      <c r="I130" s="20" t="s">
        <v>15363</v>
      </c>
      <c r="J130" s="19" t="s">
        <v>15565</v>
      </c>
      <c r="K130" s="19" t="s">
        <v>15566</v>
      </c>
      <c r="L130" s="19"/>
      <c r="M130" s="20" t="s">
        <v>15341</v>
      </c>
      <c r="N130" s="20" t="s">
        <v>15363</v>
      </c>
      <c r="O130" s="20"/>
      <c r="P130" s="20"/>
      <c r="Q130" s="20"/>
      <c r="R130" s="20" t="s">
        <v>15324</v>
      </c>
      <c r="S130" s="20">
        <v>20</v>
      </c>
      <c r="T130" s="20">
        <v>39</v>
      </c>
      <c r="U130" s="20">
        <v>80</v>
      </c>
      <c r="V130" s="24" t="s">
        <v>1090</v>
      </c>
      <c r="W130" s="22" t="s">
        <v>15325</v>
      </c>
    </row>
    <row r="131" spans="1:23" x14ac:dyDescent="0.35">
      <c r="A131" s="18" t="s">
        <v>15330</v>
      </c>
      <c r="B131" s="19" t="s">
        <v>33</v>
      </c>
      <c r="C131" s="24" t="s">
        <v>954</v>
      </c>
      <c r="D131" s="24" t="s">
        <v>1090</v>
      </c>
      <c r="E131" s="19" t="s">
        <v>15319</v>
      </c>
      <c r="F131" s="19" t="s">
        <v>950</v>
      </c>
      <c r="G131" s="19" t="s">
        <v>15320</v>
      </c>
      <c r="H131" s="20" t="s">
        <v>15364</v>
      </c>
      <c r="I131" s="20" t="s">
        <v>15364</v>
      </c>
      <c r="J131" s="19" t="s">
        <v>15365</v>
      </c>
      <c r="K131" s="19" t="s">
        <v>15366</v>
      </c>
      <c r="L131" s="19"/>
      <c r="M131" s="20" t="s">
        <v>15323</v>
      </c>
      <c r="N131" s="20" t="s">
        <v>15364</v>
      </c>
      <c r="O131" s="20"/>
      <c r="P131" s="20"/>
      <c r="Q131" s="20"/>
      <c r="R131" s="20" t="s">
        <v>15324</v>
      </c>
      <c r="S131" s="20">
        <v>20</v>
      </c>
      <c r="T131" s="20">
        <v>39</v>
      </c>
      <c r="U131" s="20">
        <v>63</v>
      </c>
      <c r="V131" s="24" t="s">
        <v>1090</v>
      </c>
      <c r="W131" s="22" t="s">
        <v>15325</v>
      </c>
    </row>
    <row r="132" spans="1:23" x14ac:dyDescent="0.35">
      <c r="A132" s="18" t="s">
        <v>15330</v>
      </c>
      <c r="B132" s="19" t="s">
        <v>33</v>
      </c>
      <c r="C132" s="24" t="s">
        <v>954</v>
      </c>
      <c r="D132" s="24" t="s">
        <v>1090</v>
      </c>
      <c r="E132" s="19" t="s">
        <v>15319</v>
      </c>
      <c r="F132" s="19" t="s">
        <v>950</v>
      </c>
      <c r="G132" s="19" t="s">
        <v>15320</v>
      </c>
      <c r="H132" s="20" t="s">
        <v>15347</v>
      </c>
      <c r="I132" s="20" t="s">
        <v>15347</v>
      </c>
      <c r="J132" s="19" t="s">
        <v>15840</v>
      </c>
      <c r="K132" s="19" t="s">
        <v>15841</v>
      </c>
      <c r="L132" s="19" t="s">
        <v>15466</v>
      </c>
      <c r="M132" s="20" t="s">
        <v>15323</v>
      </c>
      <c r="N132" s="20" t="s">
        <v>15347</v>
      </c>
      <c r="O132" s="20"/>
      <c r="P132" s="20"/>
      <c r="Q132" s="20"/>
      <c r="R132" s="20" t="s">
        <v>15346</v>
      </c>
      <c r="S132" s="20">
        <v>20</v>
      </c>
      <c r="T132" s="20">
        <v>39</v>
      </c>
      <c r="U132" s="20">
        <v>27</v>
      </c>
      <c r="V132" s="24" t="s">
        <v>1090</v>
      </c>
      <c r="W132" s="22" t="s">
        <v>15325</v>
      </c>
    </row>
    <row r="133" spans="1:23" x14ac:dyDescent="0.35">
      <c r="A133" s="18" t="s">
        <v>15330</v>
      </c>
      <c r="B133" s="19" t="s">
        <v>33</v>
      </c>
      <c r="C133" s="24" t="s">
        <v>954</v>
      </c>
      <c r="D133" s="24" t="s">
        <v>1090</v>
      </c>
      <c r="E133" s="19" t="s">
        <v>15319</v>
      </c>
      <c r="F133" s="19" t="s">
        <v>950</v>
      </c>
      <c r="G133" s="19" t="s">
        <v>15320</v>
      </c>
      <c r="H133" s="20" t="s">
        <v>15412</v>
      </c>
      <c r="I133" s="20" t="s">
        <v>15412</v>
      </c>
      <c r="J133" s="19" t="s">
        <v>15549</v>
      </c>
      <c r="K133" s="19" t="s">
        <v>15550</v>
      </c>
      <c r="L133" s="19" t="s">
        <v>15324</v>
      </c>
      <c r="M133" s="20" t="s">
        <v>15341</v>
      </c>
      <c r="N133" s="20" t="s">
        <v>15412</v>
      </c>
      <c r="O133" s="20"/>
      <c r="P133" s="20"/>
      <c r="Q133" s="20"/>
      <c r="R133" s="20" t="s">
        <v>15346</v>
      </c>
      <c r="S133" s="20">
        <v>20</v>
      </c>
      <c r="T133" s="20">
        <v>39</v>
      </c>
      <c r="U133" s="20">
        <v>10</v>
      </c>
      <c r="V133" s="24" t="s">
        <v>1090</v>
      </c>
      <c r="W133" s="22" t="s">
        <v>15325</v>
      </c>
    </row>
    <row r="134" spans="1:23" x14ac:dyDescent="0.35">
      <c r="A134" s="18" t="s">
        <v>15330</v>
      </c>
      <c r="B134" s="19" t="s">
        <v>33</v>
      </c>
      <c r="C134" s="24" t="s">
        <v>954</v>
      </c>
      <c r="D134" s="24" t="s">
        <v>1090</v>
      </c>
      <c r="E134" s="19" t="s">
        <v>15319</v>
      </c>
      <c r="F134" s="19" t="s">
        <v>950</v>
      </c>
      <c r="G134" s="19" t="s">
        <v>15320</v>
      </c>
      <c r="H134" s="20" t="s">
        <v>15342</v>
      </c>
      <c r="I134" s="20" t="s">
        <v>15342</v>
      </c>
      <c r="J134" s="19" t="s">
        <v>15825</v>
      </c>
      <c r="K134" s="19" t="s">
        <v>15826</v>
      </c>
      <c r="L134" s="19" t="s">
        <v>15334</v>
      </c>
      <c r="M134" s="20" t="s">
        <v>15350</v>
      </c>
      <c r="N134" s="20" t="s">
        <v>15342</v>
      </c>
      <c r="O134" s="20"/>
      <c r="P134" s="20"/>
      <c r="Q134" s="20"/>
      <c r="R134" s="20" t="s">
        <v>15346</v>
      </c>
      <c r="S134" s="20">
        <v>20</v>
      </c>
      <c r="T134" s="20">
        <v>39</v>
      </c>
      <c r="U134" s="20">
        <v>10</v>
      </c>
      <c r="V134" s="24" t="s">
        <v>1090</v>
      </c>
      <c r="W134" s="22" t="s">
        <v>15325</v>
      </c>
    </row>
    <row r="135" spans="1:23" x14ac:dyDescent="0.35">
      <c r="A135" s="18" t="s">
        <v>15330</v>
      </c>
      <c r="B135" s="19" t="s">
        <v>33</v>
      </c>
      <c r="C135" s="24" t="s">
        <v>954</v>
      </c>
      <c r="D135" s="24" t="s">
        <v>1090</v>
      </c>
      <c r="E135" s="19" t="s">
        <v>15319</v>
      </c>
      <c r="F135" s="19" t="s">
        <v>950</v>
      </c>
      <c r="G135" s="19" t="s">
        <v>15320</v>
      </c>
      <c r="H135" s="20" t="s">
        <v>15476</v>
      </c>
      <c r="I135" s="20" t="s">
        <v>15476</v>
      </c>
      <c r="J135" s="19" t="s">
        <v>15510</v>
      </c>
      <c r="K135" s="19" t="s">
        <v>15511</v>
      </c>
      <c r="L135" s="19"/>
      <c r="M135" s="20" t="s">
        <v>15512</v>
      </c>
      <c r="N135" s="20" t="s">
        <v>15476</v>
      </c>
      <c r="O135" s="20"/>
      <c r="P135" s="20"/>
      <c r="Q135" s="20"/>
      <c r="R135" s="20" t="s">
        <v>15346</v>
      </c>
      <c r="S135" s="20">
        <v>20</v>
      </c>
      <c r="T135" s="20">
        <v>39</v>
      </c>
      <c r="U135" s="20">
        <v>30</v>
      </c>
      <c r="V135" s="24" t="s">
        <v>1090</v>
      </c>
      <c r="W135" s="22" t="s">
        <v>15325</v>
      </c>
    </row>
    <row r="136" spans="1:23" x14ac:dyDescent="0.35">
      <c r="A136" s="18" t="s">
        <v>15330</v>
      </c>
      <c r="B136" s="19" t="s">
        <v>33</v>
      </c>
      <c r="C136" s="24" t="s">
        <v>954</v>
      </c>
      <c r="D136" s="24" t="s">
        <v>1090</v>
      </c>
      <c r="E136" s="19" t="s">
        <v>15319</v>
      </c>
      <c r="F136" s="19" t="s">
        <v>950</v>
      </c>
      <c r="G136" s="19" t="s">
        <v>15320</v>
      </c>
      <c r="H136" s="20" t="s">
        <v>15392</v>
      </c>
      <c r="I136" s="20" t="s">
        <v>15392</v>
      </c>
      <c r="J136" s="19" t="s">
        <v>15682</v>
      </c>
      <c r="K136" s="19" t="s">
        <v>15683</v>
      </c>
      <c r="L136" s="19"/>
      <c r="M136" s="20" t="s">
        <v>15341</v>
      </c>
      <c r="N136" s="20" t="s">
        <v>15392</v>
      </c>
      <c r="O136" s="20"/>
      <c r="P136" s="20"/>
      <c r="Q136" s="20"/>
      <c r="R136" s="20" t="s">
        <v>15346</v>
      </c>
      <c r="S136" s="20">
        <v>20</v>
      </c>
      <c r="T136" s="20">
        <v>39</v>
      </c>
      <c r="U136" s="20">
        <v>17</v>
      </c>
      <c r="V136" s="24" t="s">
        <v>1090</v>
      </c>
      <c r="W136" s="22" t="s">
        <v>15325</v>
      </c>
    </row>
    <row r="137" spans="1:23" x14ac:dyDescent="0.35">
      <c r="A137" s="18" t="s">
        <v>15330</v>
      </c>
      <c r="B137" s="19" t="s">
        <v>33</v>
      </c>
      <c r="C137" s="24" t="s">
        <v>954</v>
      </c>
      <c r="D137" s="24" t="s">
        <v>1090</v>
      </c>
      <c r="E137" s="19" t="s">
        <v>15319</v>
      </c>
      <c r="F137" s="19" t="s">
        <v>950</v>
      </c>
      <c r="G137" s="19" t="s">
        <v>15320</v>
      </c>
      <c r="H137" s="20" t="s">
        <v>15351</v>
      </c>
      <c r="I137" s="20" t="s">
        <v>15351</v>
      </c>
      <c r="J137" s="19" t="s">
        <v>15554</v>
      </c>
      <c r="K137" s="19" t="s">
        <v>15555</v>
      </c>
      <c r="L137" s="19"/>
      <c r="M137" s="20" t="s">
        <v>15341</v>
      </c>
      <c r="N137" s="20" t="s">
        <v>15351</v>
      </c>
      <c r="O137" s="20"/>
      <c r="P137" s="20"/>
      <c r="Q137" s="20"/>
      <c r="R137" s="20" t="s">
        <v>15346</v>
      </c>
      <c r="S137" s="20">
        <v>20</v>
      </c>
      <c r="T137" s="20">
        <v>39</v>
      </c>
      <c r="U137" s="20">
        <v>27</v>
      </c>
      <c r="V137" s="24" t="s">
        <v>1090</v>
      </c>
      <c r="W137" s="22" t="s">
        <v>15325</v>
      </c>
    </row>
    <row r="138" spans="1:23" x14ac:dyDescent="0.35">
      <c r="A138" s="18" t="s">
        <v>15330</v>
      </c>
      <c r="B138" s="19" t="s">
        <v>33</v>
      </c>
      <c r="C138" s="24" t="s">
        <v>954</v>
      </c>
      <c r="D138" s="24" t="s">
        <v>1090</v>
      </c>
      <c r="E138" s="19" t="s">
        <v>15319</v>
      </c>
      <c r="F138" s="19" t="s">
        <v>950</v>
      </c>
      <c r="G138" s="19" t="s">
        <v>15320</v>
      </c>
      <c r="H138" s="20" t="s">
        <v>15359</v>
      </c>
      <c r="I138" s="20" t="s">
        <v>15359</v>
      </c>
      <c r="J138" s="19" t="s">
        <v>15658</v>
      </c>
      <c r="K138" s="19" t="s">
        <v>15659</v>
      </c>
      <c r="L138" s="19"/>
      <c r="M138" s="20" t="s">
        <v>15341</v>
      </c>
      <c r="N138" s="20" t="s">
        <v>15359</v>
      </c>
      <c r="O138" s="20"/>
      <c r="P138" s="20"/>
      <c r="Q138" s="20"/>
      <c r="R138" s="20" t="s">
        <v>15346</v>
      </c>
      <c r="S138" s="20">
        <v>20</v>
      </c>
      <c r="T138" s="20">
        <v>39</v>
      </c>
      <c r="U138" s="20">
        <v>14</v>
      </c>
      <c r="V138" s="24" t="s">
        <v>1090</v>
      </c>
      <c r="W138" s="22" t="s">
        <v>15325</v>
      </c>
    </row>
    <row r="139" spans="1:23" x14ac:dyDescent="0.35">
      <c r="A139" s="18" t="s">
        <v>15330</v>
      </c>
      <c r="B139" s="19" t="s">
        <v>33</v>
      </c>
      <c r="C139" s="24" t="s">
        <v>954</v>
      </c>
      <c r="D139" s="24" t="s">
        <v>1090</v>
      </c>
      <c r="E139" s="19" t="s">
        <v>15319</v>
      </c>
      <c r="F139" s="19" t="s">
        <v>950</v>
      </c>
      <c r="G139" s="19" t="s">
        <v>15320</v>
      </c>
      <c r="H139" s="20" t="s">
        <v>15423</v>
      </c>
      <c r="I139" s="20" t="s">
        <v>15423</v>
      </c>
      <c r="J139" s="19" t="s">
        <v>15479</v>
      </c>
      <c r="K139" s="19" t="s">
        <v>15480</v>
      </c>
      <c r="L139" s="19"/>
      <c r="M139" s="20" t="s">
        <v>15362</v>
      </c>
      <c r="N139" s="20" t="s">
        <v>15423</v>
      </c>
      <c r="O139" s="20"/>
      <c r="P139" s="20"/>
      <c r="Q139" s="20"/>
      <c r="R139" s="20" t="s">
        <v>15346</v>
      </c>
      <c r="S139" s="20">
        <v>20</v>
      </c>
      <c r="T139" s="20">
        <v>39</v>
      </c>
      <c r="U139" s="20">
        <v>17</v>
      </c>
      <c r="V139" s="24" t="s">
        <v>1090</v>
      </c>
      <c r="W139" s="22" t="s">
        <v>15325</v>
      </c>
    </row>
    <row r="140" spans="1:23" x14ac:dyDescent="0.35">
      <c r="A140" s="18" t="s">
        <v>15336</v>
      </c>
      <c r="B140" s="19" t="s">
        <v>33</v>
      </c>
      <c r="C140" s="24" t="s">
        <v>809</v>
      </c>
      <c r="D140" s="24" t="s">
        <v>671</v>
      </c>
      <c r="E140" s="19" t="s">
        <v>15319</v>
      </c>
      <c r="F140" s="19" t="s">
        <v>667</v>
      </c>
      <c r="G140" s="19" t="s">
        <v>15320</v>
      </c>
      <c r="H140" s="20" t="s">
        <v>15399</v>
      </c>
      <c r="I140" s="20" t="s">
        <v>15399</v>
      </c>
      <c r="J140" s="19" t="s">
        <v>15767</v>
      </c>
      <c r="K140" s="19" t="s">
        <v>15769</v>
      </c>
      <c r="L140" s="19" t="s">
        <v>15340</v>
      </c>
      <c r="M140" s="20" t="s">
        <v>15323</v>
      </c>
      <c r="N140" s="20" t="s">
        <v>15399</v>
      </c>
      <c r="O140" s="20"/>
      <c r="P140" s="20"/>
      <c r="Q140" s="20"/>
      <c r="R140" s="20" t="s">
        <v>15324</v>
      </c>
      <c r="S140" s="20">
        <v>25</v>
      </c>
      <c r="T140" s="20">
        <v>15</v>
      </c>
      <c r="U140" s="20">
        <v>46</v>
      </c>
      <c r="V140" s="24" t="s">
        <v>809</v>
      </c>
      <c r="W140" s="22" t="s">
        <v>15329</v>
      </c>
    </row>
    <row r="141" spans="1:23" x14ac:dyDescent="0.35">
      <c r="A141" s="18" t="s">
        <v>15336</v>
      </c>
      <c r="B141" s="19" t="s">
        <v>33</v>
      </c>
      <c r="C141" s="24" t="s">
        <v>809</v>
      </c>
      <c r="D141" s="24" t="s">
        <v>671</v>
      </c>
      <c r="E141" s="19" t="s">
        <v>15319</v>
      </c>
      <c r="F141" s="19" t="s">
        <v>667</v>
      </c>
      <c r="G141" s="19" t="s">
        <v>15320</v>
      </c>
      <c r="H141" s="20" t="s">
        <v>15337</v>
      </c>
      <c r="I141" s="20" t="s">
        <v>15337</v>
      </c>
      <c r="J141" s="19" t="s">
        <v>15627</v>
      </c>
      <c r="K141" s="19" t="s">
        <v>15628</v>
      </c>
      <c r="L141" s="19" t="s">
        <v>15324</v>
      </c>
      <c r="M141" s="20" t="s">
        <v>15341</v>
      </c>
      <c r="N141" s="20" t="s">
        <v>15337</v>
      </c>
      <c r="O141" s="20"/>
      <c r="P141" s="20"/>
      <c r="Q141" s="20"/>
      <c r="R141" s="20" t="s">
        <v>15324</v>
      </c>
      <c r="S141" s="20">
        <v>25</v>
      </c>
      <c r="T141" s="20">
        <v>15</v>
      </c>
      <c r="U141" s="20">
        <v>70</v>
      </c>
      <c r="V141" s="24" t="s">
        <v>809</v>
      </c>
      <c r="W141" s="22" t="s">
        <v>15329</v>
      </c>
    </row>
    <row r="142" spans="1:23" x14ac:dyDescent="0.35">
      <c r="A142" s="18" t="s">
        <v>15336</v>
      </c>
      <c r="B142" s="19" t="s">
        <v>33</v>
      </c>
      <c r="C142" s="24" t="s">
        <v>809</v>
      </c>
      <c r="D142" s="24" t="s">
        <v>671</v>
      </c>
      <c r="E142" s="19" t="s">
        <v>15319</v>
      </c>
      <c r="F142" s="19" t="s">
        <v>667</v>
      </c>
      <c r="G142" s="19" t="s">
        <v>15320</v>
      </c>
      <c r="H142" s="20" t="s">
        <v>15331</v>
      </c>
      <c r="I142" s="20" t="s">
        <v>15331</v>
      </c>
      <c r="J142" s="19" t="s">
        <v>15625</v>
      </c>
      <c r="K142" s="19" t="s">
        <v>15626</v>
      </c>
      <c r="L142" s="19" t="s">
        <v>15371</v>
      </c>
      <c r="M142" s="20" t="s">
        <v>15350</v>
      </c>
      <c r="N142" s="20" t="s">
        <v>15331</v>
      </c>
      <c r="O142" s="20"/>
      <c r="P142" s="20"/>
      <c r="Q142" s="20"/>
      <c r="R142" s="20" t="s">
        <v>15324</v>
      </c>
      <c r="S142" s="20">
        <v>25</v>
      </c>
      <c r="T142" s="20">
        <v>15</v>
      </c>
      <c r="U142" s="20">
        <v>60</v>
      </c>
      <c r="V142" s="24" t="s">
        <v>809</v>
      </c>
      <c r="W142" s="22" t="s">
        <v>15329</v>
      </c>
    </row>
    <row r="143" spans="1:23" x14ac:dyDescent="0.35">
      <c r="A143" s="18" t="s">
        <v>15336</v>
      </c>
      <c r="B143" s="19" t="s">
        <v>33</v>
      </c>
      <c r="C143" s="24" t="s">
        <v>809</v>
      </c>
      <c r="D143" s="24" t="s">
        <v>671</v>
      </c>
      <c r="E143" s="19" t="s">
        <v>15319</v>
      </c>
      <c r="F143" s="19" t="s">
        <v>667</v>
      </c>
      <c r="G143" s="19" t="s">
        <v>15320</v>
      </c>
      <c r="H143" s="20" t="s">
        <v>2197</v>
      </c>
      <c r="I143" s="20" t="s">
        <v>2197</v>
      </c>
      <c r="J143" s="19" t="s">
        <v>15462</v>
      </c>
      <c r="K143" s="19" t="s">
        <v>15463</v>
      </c>
      <c r="L143" s="19"/>
      <c r="M143" s="20" t="s">
        <v>15341</v>
      </c>
      <c r="N143" s="20" t="s">
        <v>2197</v>
      </c>
      <c r="O143" s="20"/>
      <c r="P143" s="20"/>
      <c r="Q143" s="20"/>
      <c r="R143" s="20" t="s">
        <v>15324</v>
      </c>
      <c r="S143" s="20">
        <v>25</v>
      </c>
      <c r="T143" s="20">
        <v>15</v>
      </c>
      <c r="U143" s="20">
        <v>80</v>
      </c>
      <c r="V143" s="24" t="s">
        <v>809</v>
      </c>
      <c r="W143" s="22" t="s">
        <v>15329</v>
      </c>
    </row>
    <row r="144" spans="1:23" x14ac:dyDescent="0.35">
      <c r="A144" s="18" t="s">
        <v>15336</v>
      </c>
      <c r="B144" s="19" t="s">
        <v>33</v>
      </c>
      <c r="C144" s="24" t="s">
        <v>809</v>
      </c>
      <c r="D144" s="24" t="s">
        <v>671</v>
      </c>
      <c r="E144" s="19" t="s">
        <v>15319</v>
      </c>
      <c r="F144" s="19" t="s">
        <v>667</v>
      </c>
      <c r="G144" s="19" t="s">
        <v>15320</v>
      </c>
      <c r="H144" s="20" t="s">
        <v>2135</v>
      </c>
      <c r="I144" s="20" t="s">
        <v>2135</v>
      </c>
      <c r="J144" s="19" t="s">
        <v>15470</v>
      </c>
      <c r="K144" s="19" t="s">
        <v>15471</v>
      </c>
      <c r="L144" s="19"/>
      <c r="M144" s="20" t="s">
        <v>15323</v>
      </c>
      <c r="N144" s="20" t="s">
        <v>2135</v>
      </c>
      <c r="O144" s="20"/>
      <c r="P144" s="20"/>
      <c r="Q144" s="20"/>
      <c r="R144" s="20" t="s">
        <v>15324</v>
      </c>
      <c r="S144" s="20">
        <v>25</v>
      </c>
      <c r="T144" s="20">
        <v>15</v>
      </c>
      <c r="U144" s="20">
        <v>53</v>
      </c>
      <c r="V144" s="24" t="s">
        <v>809</v>
      </c>
      <c r="W144" s="22" t="s">
        <v>15329</v>
      </c>
    </row>
    <row r="145" spans="1:23" x14ac:dyDescent="0.35">
      <c r="A145" s="18" t="s">
        <v>15336</v>
      </c>
      <c r="B145" s="19" t="s">
        <v>33</v>
      </c>
      <c r="C145" s="24" t="s">
        <v>809</v>
      </c>
      <c r="D145" s="24" t="s">
        <v>671</v>
      </c>
      <c r="E145" s="19" t="s">
        <v>15319</v>
      </c>
      <c r="F145" s="19" t="s">
        <v>667</v>
      </c>
      <c r="G145" s="19" t="s">
        <v>15320</v>
      </c>
      <c r="H145" s="20" t="s">
        <v>2151</v>
      </c>
      <c r="I145" s="20" t="s">
        <v>2151</v>
      </c>
      <c r="J145" s="19" t="s">
        <v>15785</v>
      </c>
      <c r="K145" s="19" t="s">
        <v>15786</v>
      </c>
      <c r="L145" s="19"/>
      <c r="M145" s="20" t="s">
        <v>15362</v>
      </c>
      <c r="N145" s="20" t="s">
        <v>2151</v>
      </c>
      <c r="O145" s="20"/>
      <c r="P145" s="20"/>
      <c r="Q145" s="20"/>
      <c r="R145" s="20" t="s">
        <v>15324</v>
      </c>
      <c r="S145" s="20">
        <v>25</v>
      </c>
      <c r="T145" s="20">
        <v>15</v>
      </c>
      <c r="U145" s="20">
        <v>80</v>
      </c>
      <c r="V145" s="24" t="s">
        <v>809</v>
      </c>
      <c r="W145" s="22" t="s">
        <v>15329</v>
      </c>
    </row>
    <row r="146" spans="1:23" x14ac:dyDescent="0.35">
      <c r="A146" s="18" t="s">
        <v>15336</v>
      </c>
      <c r="B146" s="19" t="s">
        <v>33</v>
      </c>
      <c r="C146" s="24" t="s">
        <v>809</v>
      </c>
      <c r="D146" s="24" t="s">
        <v>671</v>
      </c>
      <c r="E146" s="19" t="s">
        <v>15319</v>
      </c>
      <c r="F146" s="19" t="s">
        <v>667</v>
      </c>
      <c r="G146" s="19" t="s">
        <v>15320</v>
      </c>
      <c r="H146" s="20" t="s">
        <v>15409</v>
      </c>
      <c r="I146" s="20" t="s">
        <v>15409</v>
      </c>
      <c r="J146" s="19" t="s">
        <v>15686</v>
      </c>
      <c r="K146" s="19" t="s">
        <v>15687</v>
      </c>
      <c r="L146" s="19"/>
      <c r="M146" s="20" t="s">
        <v>15323</v>
      </c>
      <c r="N146" s="20" t="s">
        <v>15409</v>
      </c>
      <c r="O146" s="20"/>
      <c r="P146" s="20"/>
      <c r="Q146" s="20"/>
      <c r="R146" s="20" t="s">
        <v>15324</v>
      </c>
      <c r="S146" s="20">
        <v>25</v>
      </c>
      <c r="T146" s="20">
        <v>15</v>
      </c>
      <c r="U146" s="20">
        <v>27</v>
      </c>
      <c r="V146" s="24" t="s">
        <v>809</v>
      </c>
      <c r="W146" s="22" t="s">
        <v>15329</v>
      </c>
    </row>
    <row r="147" spans="1:23" x14ac:dyDescent="0.35">
      <c r="A147" s="18" t="s">
        <v>15336</v>
      </c>
      <c r="B147" s="19" t="s">
        <v>33</v>
      </c>
      <c r="C147" s="24" t="s">
        <v>809</v>
      </c>
      <c r="D147" s="24" t="s">
        <v>671</v>
      </c>
      <c r="E147" s="19" t="s">
        <v>15319</v>
      </c>
      <c r="F147" s="19" t="s">
        <v>667</v>
      </c>
      <c r="G147" s="19" t="s">
        <v>15320</v>
      </c>
      <c r="H147" s="20" t="s">
        <v>15381</v>
      </c>
      <c r="I147" s="20" t="s">
        <v>15381</v>
      </c>
      <c r="J147" s="19" t="s">
        <v>15407</v>
      </c>
      <c r="K147" s="19" t="s">
        <v>15408</v>
      </c>
      <c r="L147" s="19"/>
      <c r="M147" s="20" t="s">
        <v>15341</v>
      </c>
      <c r="N147" s="20" t="s">
        <v>15381</v>
      </c>
      <c r="O147" s="20"/>
      <c r="P147" s="20"/>
      <c r="Q147" s="20"/>
      <c r="R147" s="20" t="s">
        <v>15324</v>
      </c>
      <c r="S147" s="20">
        <v>25</v>
      </c>
      <c r="T147" s="20">
        <v>15</v>
      </c>
      <c r="U147" s="20">
        <v>80</v>
      </c>
      <c r="V147" s="24" t="s">
        <v>809</v>
      </c>
      <c r="W147" s="22" t="s">
        <v>15329</v>
      </c>
    </row>
    <row r="148" spans="1:23" x14ac:dyDescent="0.35">
      <c r="A148" s="18" t="s">
        <v>15336</v>
      </c>
      <c r="B148" s="19" t="s">
        <v>33</v>
      </c>
      <c r="C148" s="24" t="s">
        <v>809</v>
      </c>
      <c r="D148" s="24" t="s">
        <v>671</v>
      </c>
      <c r="E148" s="19" t="s">
        <v>15319</v>
      </c>
      <c r="F148" s="19" t="s">
        <v>667</v>
      </c>
      <c r="G148" s="19" t="s">
        <v>15320</v>
      </c>
      <c r="H148" s="20" t="s">
        <v>15354</v>
      </c>
      <c r="I148" s="20" t="s">
        <v>15354</v>
      </c>
      <c r="J148" s="19" t="s">
        <v>15743</v>
      </c>
      <c r="K148" s="19" t="s">
        <v>15744</v>
      </c>
      <c r="L148" s="19"/>
      <c r="M148" s="20" t="s">
        <v>15341</v>
      </c>
      <c r="N148" s="20" t="s">
        <v>15354</v>
      </c>
      <c r="O148" s="20"/>
      <c r="P148" s="20"/>
      <c r="Q148" s="20"/>
      <c r="R148" s="20" t="s">
        <v>15324</v>
      </c>
      <c r="S148" s="20">
        <v>25</v>
      </c>
      <c r="T148" s="20">
        <v>15</v>
      </c>
      <c r="U148" s="20">
        <v>65</v>
      </c>
      <c r="V148" s="24" t="s">
        <v>809</v>
      </c>
      <c r="W148" s="22" t="s">
        <v>15329</v>
      </c>
    </row>
    <row r="149" spans="1:23" x14ac:dyDescent="0.35">
      <c r="A149" s="18" t="s">
        <v>15336</v>
      </c>
      <c r="B149" s="19" t="s">
        <v>33</v>
      </c>
      <c r="C149" s="24" t="s">
        <v>809</v>
      </c>
      <c r="D149" s="24" t="s">
        <v>671</v>
      </c>
      <c r="E149" s="19" t="s">
        <v>15319</v>
      </c>
      <c r="F149" s="19" t="s">
        <v>667</v>
      </c>
      <c r="G149" s="19" t="s">
        <v>15320</v>
      </c>
      <c r="H149" s="20" t="s">
        <v>15378</v>
      </c>
      <c r="I149" s="20" t="s">
        <v>15378</v>
      </c>
      <c r="J149" s="19" t="s">
        <v>15390</v>
      </c>
      <c r="K149" s="19" t="s">
        <v>15391</v>
      </c>
      <c r="L149" s="19"/>
      <c r="M149" s="20" t="s">
        <v>15341</v>
      </c>
      <c r="N149" s="20" t="s">
        <v>15378</v>
      </c>
      <c r="O149" s="20"/>
      <c r="P149" s="20"/>
      <c r="Q149" s="20"/>
      <c r="R149" s="20" t="s">
        <v>15324</v>
      </c>
      <c r="S149" s="20">
        <v>25</v>
      </c>
      <c r="T149" s="20">
        <v>15</v>
      </c>
      <c r="U149" s="20">
        <v>80</v>
      </c>
      <c r="V149" s="24" t="s">
        <v>809</v>
      </c>
      <c r="W149" s="22" t="s">
        <v>15329</v>
      </c>
    </row>
    <row r="150" spans="1:23" x14ac:dyDescent="0.35">
      <c r="A150" s="18" t="s">
        <v>15336</v>
      </c>
      <c r="B150" s="19" t="s">
        <v>33</v>
      </c>
      <c r="C150" s="24" t="s">
        <v>809</v>
      </c>
      <c r="D150" s="24" t="s">
        <v>671</v>
      </c>
      <c r="E150" s="19" t="s">
        <v>15319</v>
      </c>
      <c r="F150" s="19" t="s">
        <v>667</v>
      </c>
      <c r="G150" s="19" t="s">
        <v>15320</v>
      </c>
      <c r="H150" s="20" t="s">
        <v>15420</v>
      </c>
      <c r="I150" s="20" t="s">
        <v>15420</v>
      </c>
      <c r="J150" s="19" t="s">
        <v>15815</v>
      </c>
      <c r="K150" s="19" t="s">
        <v>15816</v>
      </c>
      <c r="L150" s="19"/>
      <c r="M150" s="20" t="s">
        <v>15323</v>
      </c>
      <c r="N150" s="20" t="s">
        <v>15420</v>
      </c>
      <c r="O150" s="20"/>
      <c r="P150" s="20"/>
      <c r="Q150" s="20"/>
      <c r="R150" s="20" t="s">
        <v>15324</v>
      </c>
      <c r="S150" s="20">
        <v>25</v>
      </c>
      <c r="T150" s="20">
        <v>15</v>
      </c>
      <c r="U150" s="20">
        <v>80</v>
      </c>
      <c r="V150" s="24" t="s">
        <v>809</v>
      </c>
      <c r="W150" s="22" t="s">
        <v>15329</v>
      </c>
    </row>
    <row r="151" spans="1:23" x14ac:dyDescent="0.35">
      <c r="A151" s="18" t="s">
        <v>15336</v>
      </c>
      <c r="B151" s="19" t="s">
        <v>33</v>
      </c>
      <c r="C151" s="24" t="s">
        <v>809</v>
      </c>
      <c r="D151" s="24" t="s">
        <v>671</v>
      </c>
      <c r="E151" s="19" t="s">
        <v>15319</v>
      </c>
      <c r="F151" s="19" t="s">
        <v>667</v>
      </c>
      <c r="G151" s="19" t="s">
        <v>15320</v>
      </c>
      <c r="H151" s="20" t="s">
        <v>15404</v>
      </c>
      <c r="I151" s="20" t="s">
        <v>15404</v>
      </c>
      <c r="J151" s="19" t="s">
        <v>15405</v>
      </c>
      <c r="K151" s="19" t="s">
        <v>15406</v>
      </c>
      <c r="L151" s="19"/>
      <c r="M151" s="20" t="s">
        <v>15341</v>
      </c>
      <c r="N151" s="20" t="s">
        <v>15404</v>
      </c>
      <c r="O151" s="20"/>
      <c r="P151" s="20"/>
      <c r="Q151" s="20"/>
      <c r="R151" s="20" t="s">
        <v>15324</v>
      </c>
      <c r="S151" s="20">
        <v>25</v>
      </c>
      <c r="T151" s="20">
        <v>15</v>
      </c>
      <c r="U151" s="20">
        <v>80</v>
      </c>
      <c r="V151" s="24" t="s">
        <v>809</v>
      </c>
      <c r="W151" s="22" t="s">
        <v>15329</v>
      </c>
    </row>
    <row r="152" spans="1:23" x14ac:dyDescent="0.35">
      <c r="A152" s="18" t="s">
        <v>15336</v>
      </c>
      <c r="B152" s="19" t="s">
        <v>33</v>
      </c>
      <c r="C152" s="24" t="s">
        <v>809</v>
      </c>
      <c r="D152" s="24" t="s">
        <v>671</v>
      </c>
      <c r="E152" s="19" t="s">
        <v>15319</v>
      </c>
      <c r="F152" s="19" t="s">
        <v>667</v>
      </c>
      <c r="G152" s="19" t="s">
        <v>15320</v>
      </c>
      <c r="H152" s="20" t="s">
        <v>15451</v>
      </c>
      <c r="I152" s="20" t="s">
        <v>15451</v>
      </c>
      <c r="J152" s="19" t="s">
        <v>15452</v>
      </c>
      <c r="K152" s="19" t="s">
        <v>15453</v>
      </c>
      <c r="L152" s="19"/>
      <c r="M152" s="20" t="s">
        <v>15341</v>
      </c>
      <c r="N152" s="20" t="s">
        <v>15451</v>
      </c>
      <c r="O152" s="20"/>
      <c r="P152" s="20"/>
      <c r="Q152" s="20"/>
      <c r="R152" s="20" t="s">
        <v>15324</v>
      </c>
      <c r="S152" s="20">
        <v>25</v>
      </c>
      <c r="T152" s="20">
        <v>15</v>
      </c>
      <c r="U152" s="20">
        <v>78</v>
      </c>
      <c r="V152" s="24" t="s">
        <v>809</v>
      </c>
      <c r="W152" s="22" t="s">
        <v>15329</v>
      </c>
    </row>
    <row r="153" spans="1:23" x14ac:dyDescent="0.35">
      <c r="A153" s="18" t="s">
        <v>15336</v>
      </c>
      <c r="B153" s="19" t="s">
        <v>33</v>
      </c>
      <c r="C153" s="24" t="s">
        <v>809</v>
      </c>
      <c r="D153" s="24" t="s">
        <v>671</v>
      </c>
      <c r="E153" s="19" t="s">
        <v>15319</v>
      </c>
      <c r="F153" s="19" t="s">
        <v>667</v>
      </c>
      <c r="G153" s="19" t="s">
        <v>15320</v>
      </c>
      <c r="H153" s="20" t="s">
        <v>15363</v>
      </c>
      <c r="I153" s="20" t="s">
        <v>15363</v>
      </c>
      <c r="J153" s="19" t="s">
        <v>15537</v>
      </c>
      <c r="K153" s="19" t="s">
        <v>15538</v>
      </c>
      <c r="L153" s="19"/>
      <c r="M153" s="20" t="s">
        <v>15341</v>
      </c>
      <c r="N153" s="20" t="s">
        <v>15363</v>
      </c>
      <c r="O153" s="20"/>
      <c r="P153" s="20"/>
      <c r="Q153" s="20"/>
      <c r="R153" s="20" t="s">
        <v>15324</v>
      </c>
      <c r="S153" s="20">
        <v>25</v>
      </c>
      <c r="T153" s="20">
        <v>15</v>
      </c>
      <c r="U153" s="20">
        <v>56</v>
      </c>
      <c r="V153" s="24" t="s">
        <v>809</v>
      </c>
      <c r="W153" s="22" t="s">
        <v>15329</v>
      </c>
    </row>
    <row r="154" spans="1:23" x14ac:dyDescent="0.35">
      <c r="A154" s="18" t="s">
        <v>15336</v>
      </c>
      <c r="B154" s="19" t="s">
        <v>33</v>
      </c>
      <c r="C154" s="24" t="s">
        <v>809</v>
      </c>
      <c r="D154" s="24" t="s">
        <v>671</v>
      </c>
      <c r="E154" s="19" t="s">
        <v>15319</v>
      </c>
      <c r="F154" s="19" t="s">
        <v>667</v>
      </c>
      <c r="G154" s="19" t="s">
        <v>15320</v>
      </c>
      <c r="H154" s="20" t="s">
        <v>15364</v>
      </c>
      <c r="I154" s="20" t="s">
        <v>15364</v>
      </c>
      <c r="J154" s="19" t="s">
        <v>15807</v>
      </c>
      <c r="K154" s="19" t="s">
        <v>15808</v>
      </c>
      <c r="L154" s="19"/>
      <c r="M154" s="20" t="s">
        <v>15323</v>
      </c>
      <c r="N154" s="20" t="s">
        <v>15364</v>
      </c>
      <c r="O154" s="20"/>
      <c r="P154" s="20"/>
      <c r="Q154" s="20"/>
      <c r="R154" s="20" t="s">
        <v>15324</v>
      </c>
      <c r="S154" s="20">
        <v>25</v>
      </c>
      <c r="T154" s="20">
        <v>15</v>
      </c>
      <c r="U154" s="20">
        <v>80</v>
      </c>
      <c r="V154" s="24" t="s">
        <v>809</v>
      </c>
      <c r="W154" s="22" t="s">
        <v>15329</v>
      </c>
    </row>
    <row r="155" spans="1:23" x14ac:dyDescent="0.35">
      <c r="A155" s="18" t="s">
        <v>15336</v>
      </c>
      <c r="B155" s="19" t="s">
        <v>33</v>
      </c>
      <c r="C155" s="24" t="s">
        <v>809</v>
      </c>
      <c r="D155" s="24" t="s">
        <v>671</v>
      </c>
      <c r="E155" s="19" t="s">
        <v>15319</v>
      </c>
      <c r="F155" s="19" t="s">
        <v>667</v>
      </c>
      <c r="G155" s="19" t="s">
        <v>15320</v>
      </c>
      <c r="H155" s="20" t="s">
        <v>15347</v>
      </c>
      <c r="I155" s="20" t="s">
        <v>15347</v>
      </c>
      <c r="J155" s="19" t="s">
        <v>15519</v>
      </c>
      <c r="K155" s="19" t="s">
        <v>15520</v>
      </c>
      <c r="L155" s="19" t="s">
        <v>15334</v>
      </c>
      <c r="M155" s="20" t="s">
        <v>15350</v>
      </c>
      <c r="N155" s="20" t="s">
        <v>15347</v>
      </c>
      <c r="O155" s="20"/>
      <c r="P155" s="20"/>
      <c r="Q155" s="20"/>
      <c r="R155" s="20" t="s">
        <v>15346</v>
      </c>
      <c r="S155" s="20">
        <v>25</v>
      </c>
      <c r="T155" s="20">
        <v>15</v>
      </c>
      <c r="U155" s="20">
        <v>10</v>
      </c>
      <c r="V155" s="24" t="s">
        <v>809</v>
      </c>
      <c r="W155" s="22" t="s">
        <v>15329</v>
      </c>
    </row>
    <row r="156" spans="1:23" x14ac:dyDescent="0.35">
      <c r="A156" s="18" t="s">
        <v>15336</v>
      </c>
      <c r="B156" s="19" t="s">
        <v>33</v>
      </c>
      <c r="C156" s="24" t="s">
        <v>809</v>
      </c>
      <c r="D156" s="24" t="s">
        <v>671</v>
      </c>
      <c r="E156" s="19" t="s">
        <v>15319</v>
      </c>
      <c r="F156" s="19" t="s">
        <v>667</v>
      </c>
      <c r="G156" s="19" t="s">
        <v>15320</v>
      </c>
      <c r="H156" s="20" t="s">
        <v>15412</v>
      </c>
      <c r="I156" s="20" t="s">
        <v>15412</v>
      </c>
      <c r="J156" s="19" t="s">
        <v>15594</v>
      </c>
      <c r="K156" s="19" t="s">
        <v>15597</v>
      </c>
      <c r="L156" s="19" t="s">
        <v>15340</v>
      </c>
      <c r="M156" s="20" t="s">
        <v>15323</v>
      </c>
      <c r="N156" s="20" t="s">
        <v>15412</v>
      </c>
      <c r="O156" s="20"/>
      <c r="P156" s="20"/>
      <c r="Q156" s="20"/>
      <c r="R156" s="20" t="s">
        <v>15346</v>
      </c>
      <c r="S156" s="20">
        <v>25</v>
      </c>
      <c r="T156" s="20">
        <v>15</v>
      </c>
      <c r="U156" s="20">
        <v>34</v>
      </c>
      <c r="V156" s="24" t="s">
        <v>809</v>
      </c>
      <c r="W156" s="22" t="s">
        <v>15329</v>
      </c>
    </row>
    <row r="157" spans="1:23" x14ac:dyDescent="0.35">
      <c r="A157" s="18" t="s">
        <v>15336</v>
      </c>
      <c r="B157" s="19" t="s">
        <v>33</v>
      </c>
      <c r="C157" s="24" t="s">
        <v>809</v>
      </c>
      <c r="D157" s="24" t="s">
        <v>671</v>
      </c>
      <c r="E157" s="19" t="s">
        <v>15319</v>
      </c>
      <c r="F157" s="19" t="s">
        <v>667</v>
      </c>
      <c r="G157" s="19" t="s">
        <v>15320</v>
      </c>
      <c r="H157" s="20" t="s">
        <v>15342</v>
      </c>
      <c r="I157" s="20" t="s">
        <v>15342</v>
      </c>
      <c r="J157" s="19" t="s">
        <v>15498</v>
      </c>
      <c r="K157" s="19" t="s">
        <v>15499</v>
      </c>
      <c r="L157" s="19" t="s">
        <v>15371</v>
      </c>
      <c r="M157" s="20" t="s">
        <v>15341</v>
      </c>
      <c r="N157" s="20" t="s">
        <v>15342</v>
      </c>
      <c r="O157" s="20"/>
      <c r="P157" s="20"/>
      <c r="Q157" s="20"/>
      <c r="R157" s="20" t="s">
        <v>15346</v>
      </c>
      <c r="S157" s="20">
        <v>25</v>
      </c>
      <c r="T157" s="20">
        <v>15</v>
      </c>
      <c r="U157" s="20">
        <v>20</v>
      </c>
      <c r="V157" s="24" t="s">
        <v>809</v>
      </c>
      <c r="W157" s="22" t="s">
        <v>15329</v>
      </c>
    </row>
    <row r="158" spans="1:23" x14ac:dyDescent="0.35">
      <c r="A158" s="18" t="s">
        <v>15336</v>
      </c>
      <c r="B158" s="19" t="s">
        <v>33</v>
      </c>
      <c r="C158" s="24" t="s">
        <v>809</v>
      </c>
      <c r="D158" s="24" t="s">
        <v>671</v>
      </c>
      <c r="E158" s="19" t="s">
        <v>15319</v>
      </c>
      <c r="F158" s="19" t="s">
        <v>667</v>
      </c>
      <c r="G158" s="19" t="s">
        <v>15320</v>
      </c>
      <c r="H158" s="20" t="s">
        <v>15476</v>
      </c>
      <c r="I158" s="20" t="s">
        <v>15476</v>
      </c>
      <c r="J158" s="19" t="s">
        <v>15698</v>
      </c>
      <c r="K158" s="19" t="s">
        <v>15699</v>
      </c>
      <c r="L158" s="19"/>
      <c r="M158" s="20" t="s">
        <v>15350</v>
      </c>
      <c r="N158" s="20" t="s">
        <v>15476</v>
      </c>
      <c r="O158" s="20"/>
      <c r="P158" s="20"/>
      <c r="Q158" s="20"/>
      <c r="R158" s="20" t="s">
        <v>15346</v>
      </c>
      <c r="S158" s="20">
        <v>25</v>
      </c>
      <c r="T158" s="20">
        <v>15</v>
      </c>
      <c r="U158" s="20">
        <v>53</v>
      </c>
      <c r="V158" s="24" t="s">
        <v>809</v>
      </c>
      <c r="W158" s="22" t="s">
        <v>15329</v>
      </c>
    </row>
    <row r="159" spans="1:23" x14ac:dyDescent="0.35">
      <c r="A159" s="18" t="s">
        <v>15336</v>
      </c>
      <c r="B159" s="19" t="s">
        <v>33</v>
      </c>
      <c r="C159" s="24" t="s">
        <v>809</v>
      </c>
      <c r="D159" s="24" t="s">
        <v>671</v>
      </c>
      <c r="E159" s="19" t="s">
        <v>15319</v>
      </c>
      <c r="F159" s="19" t="s">
        <v>667</v>
      </c>
      <c r="G159" s="19" t="s">
        <v>15320</v>
      </c>
      <c r="H159" s="20" t="s">
        <v>15392</v>
      </c>
      <c r="I159" s="20" t="s">
        <v>15392</v>
      </c>
      <c r="J159" s="19" t="s">
        <v>15809</v>
      </c>
      <c r="K159" s="19" t="s">
        <v>15810</v>
      </c>
      <c r="L159" s="19"/>
      <c r="M159" s="20" t="s">
        <v>15362</v>
      </c>
      <c r="N159" s="20" t="s">
        <v>15392</v>
      </c>
      <c r="O159" s="20"/>
      <c r="P159" s="20"/>
      <c r="Q159" s="20"/>
      <c r="R159" s="20" t="s">
        <v>15346</v>
      </c>
      <c r="S159" s="20">
        <v>25</v>
      </c>
      <c r="T159" s="20">
        <v>15</v>
      </c>
      <c r="U159" s="20">
        <v>2</v>
      </c>
      <c r="V159" s="24" t="s">
        <v>809</v>
      </c>
      <c r="W159" s="22" t="s">
        <v>15329</v>
      </c>
    </row>
    <row r="160" spans="1:23" x14ac:dyDescent="0.35">
      <c r="A160" s="18" t="s">
        <v>15336</v>
      </c>
      <c r="B160" s="19" t="s">
        <v>33</v>
      </c>
      <c r="C160" s="24" t="s">
        <v>809</v>
      </c>
      <c r="D160" s="24" t="s">
        <v>671</v>
      </c>
      <c r="E160" s="19" t="s">
        <v>15319</v>
      </c>
      <c r="F160" s="19" t="s">
        <v>667</v>
      </c>
      <c r="G160" s="19" t="s">
        <v>15320</v>
      </c>
      <c r="H160" s="20" t="s">
        <v>15351</v>
      </c>
      <c r="I160" s="20" t="s">
        <v>15351</v>
      </c>
      <c r="J160" s="19" t="s">
        <v>15508</v>
      </c>
      <c r="K160" s="19" t="s">
        <v>15509</v>
      </c>
      <c r="L160" s="19"/>
      <c r="M160" s="20" t="s">
        <v>15341</v>
      </c>
      <c r="N160" s="20" t="s">
        <v>15351</v>
      </c>
      <c r="O160" s="20"/>
      <c r="P160" s="20"/>
      <c r="Q160" s="20"/>
      <c r="R160" s="20" t="s">
        <v>15346</v>
      </c>
      <c r="S160" s="20">
        <v>25</v>
      </c>
      <c r="T160" s="20">
        <v>15</v>
      </c>
      <c r="U160" s="20">
        <v>27</v>
      </c>
      <c r="V160" s="24" t="s">
        <v>809</v>
      </c>
      <c r="W160" s="22" t="s">
        <v>15329</v>
      </c>
    </row>
    <row r="161" spans="1:23" x14ac:dyDescent="0.35">
      <c r="A161" s="18" t="s">
        <v>15336</v>
      </c>
      <c r="B161" s="19" t="s">
        <v>33</v>
      </c>
      <c r="C161" s="24" t="s">
        <v>809</v>
      </c>
      <c r="D161" s="24" t="s">
        <v>671</v>
      </c>
      <c r="E161" s="19" t="s">
        <v>15319</v>
      </c>
      <c r="F161" s="19" t="s">
        <v>667</v>
      </c>
      <c r="G161" s="19" t="s">
        <v>15320</v>
      </c>
      <c r="H161" s="20" t="s">
        <v>15359</v>
      </c>
      <c r="I161" s="20" t="s">
        <v>15359</v>
      </c>
      <c r="J161" s="19" t="s">
        <v>15821</v>
      </c>
      <c r="K161" s="19" t="s">
        <v>15822</v>
      </c>
      <c r="L161" s="19"/>
      <c r="M161" s="20" t="s">
        <v>15341</v>
      </c>
      <c r="N161" s="20" t="s">
        <v>15359</v>
      </c>
      <c r="O161" s="20"/>
      <c r="P161" s="20"/>
      <c r="Q161" s="20"/>
      <c r="R161" s="20" t="s">
        <v>15346</v>
      </c>
      <c r="S161" s="20">
        <v>25</v>
      </c>
      <c r="T161" s="20">
        <v>15</v>
      </c>
      <c r="U161" s="20">
        <v>15</v>
      </c>
      <c r="V161" s="24" t="s">
        <v>809</v>
      </c>
      <c r="W161" s="22" t="s">
        <v>15329</v>
      </c>
    </row>
    <row r="162" spans="1:23" x14ac:dyDescent="0.35">
      <c r="A162" s="18" t="s">
        <v>15336</v>
      </c>
      <c r="B162" s="19" t="s">
        <v>33</v>
      </c>
      <c r="C162" s="24" t="s">
        <v>809</v>
      </c>
      <c r="D162" s="24" t="s">
        <v>671</v>
      </c>
      <c r="E162" s="19" t="s">
        <v>15319</v>
      </c>
      <c r="F162" s="19" t="s">
        <v>667</v>
      </c>
      <c r="G162" s="19" t="s">
        <v>15320</v>
      </c>
      <c r="H162" s="20" t="s">
        <v>15423</v>
      </c>
      <c r="I162" s="20" t="s">
        <v>15423</v>
      </c>
      <c r="J162" s="19" t="s">
        <v>15676</v>
      </c>
      <c r="K162" s="19" t="s">
        <v>15677</v>
      </c>
      <c r="L162" s="19"/>
      <c r="M162" s="20" t="s">
        <v>15419</v>
      </c>
      <c r="N162" s="20" t="s">
        <v>15423</v>
      </c>
      <c r="O162" s="20"/>
      <c r="P162" s="20"/>
      <c r="Q162" s="20"/>
      <c r="R162" s="20" t="s">
        <v>15346</v>
      </c>
      <c r="S162" s="20">
        <v>25</v>
      </c>
      <c r="T162" s="20">
        <v>15</v>
      </c>
      <c r="U162" s="20">
        <v>24</v>
      </c>
      <c r="V162" s="24" t="s">
        <v>809</v>
      </c>
      <c r="W162" s="22" t="s">
        <v>15329</v>
      </c>
    </row>
    <row r="163" spans="1:23" x14ac:dyDescent="0.35">
      <c r="A163" s="18" t="s">
        <v>15336</v>
      </c>
      <c r="B163" s="19" t="s">
        <v>33</v>
      </c>
      <c r="C163" s="24" t="s">
        <v>809</v>
      </c>
      <c r="D163" s="24" t="s">
        <v>671</v>
      </c>
      <c r="E163" s="19" t="s">
        <v>15319</v>
      </c>
      <c r="F163" s="19" t="s">
        <v>667</v>
      </c>
      <c r="G163" s="19" t="s">
        <v>15320</v>
      </c>
      <c r="H163" s="20" t="s">
        <v>15399</v>
      </c>
      <c r="I163" s="20" t="s">
        <v>15399</v>
      </c>
      <c r="J163" s="19" t="s">
        <v>15803</v>
      </c>
      <c r="K163" s="19" t="s">
        <v>15804</v>
      </c>
      <c r="L163" s="19" t="s">
        <v>15466</v>
      </c>
      <c r="M163" s="20" t="s">
        <v>15323</v>
      </c>
      <c r="N163" s="20" t="s">
        <v>15399</v>
      </c>
      <c r="O163" s="20"/>
      <c r="P163" s="20"/>
      <c r="Q163" s="20"/>
      <c r="R163" s="20" t="s">
        <v>15324</v>
      </c>
      <c r="S163" s="20">
        <v>25</v>
      </c>
      <c r="T163" s="20">
        <v>15</v>
      </c>
      <c r="U163" s="20">
        <v>24</v>
      </c>
      <c r="V163" s="24" t="s">
        <v>671</v>
      </c>
      <c r="W163" s="22" t="s">
        <v>15325</v>
      </c>
    </row>
    <row r="164" spans="1:23" x14ac:dyDescent="0.35">
      <c r="A164" s="18" t="s">
        <v>15336</v>
      </c>
      <c r="B164" s="19" t="s">
        <v>33</v>
      </c>
      <c r="C164" s="24" t="s">
        <v>809</v>
      </c>
      <c r="D164" s="24" t="s">
        <v>671</v>
      </c>
      <c r="E164" s="19" t="s">
        <v>15319</v>
      </c>
      <c r="F164" s="19" t="s">
        <v>667</v>
      </c>
      <c r="G164" s="19" t="s">
        <v>15320</v>
      </c>
      <c r="H164" s="20" t="s">
        <v>15337</v>
      </c>
      <c r="I164" s="20" t="s">
        <v>15337</v>
      </c>
      <c r="J164" s="19" t="s">
        <v>15338</v>
      </c>
      <c r="K164" s="19" t="s">
        <v>15339</v>
      </c>
      <c r="L164" s="19" t="s">
        <v>15340</v>
      </c>
      <c r="M164" s="20" t="s">
        <v>15341</v>
      </c>
      <c r="N164" s="20" t="s">
        <v>15337</v>
      </c>
      <c r="O164" s="20"/>
      <c r="P164" s="20"/>
      <c r="Q164" s="20"/>
      <c r="R164" s="20" t="s">
        <v>15324</v>
      </c>
      <c r="S164" s="20">
        <v>25</v>
      </c>
      <c r="T164" s="20">
        <v>15</v>
      </c>
      <c r="U164" s="20">
        <v>48</v>
      </c>
      <c r="V164" s="24" t="s">
        <v>671</v>
      </c>
      <c r="W164" s="22" t="s">
        <v>15325</v>
      </c>
    </row>
    <row r="165" spans="1:23" x14ac:dyDescent="0.35">
      <c r="A165" s="18" t="s">
        <v>15336</v>
      </c>
      <c r="B165" s="19" t="s">
        <v>33</v>
      </c>
      <c r="C165" s="24" t="s">
        <v>809</v>
      </c>
      <c r="D165" s="24" t="s">
        <v>671</v>
      </c>
      <c r="E165" s="19" t="s">
        <v>15319</v>
      </c>
      <c r="F165" s="19" t="s">
        <v>667</v>
      </c>
      <c r="G165" s="19" t="s">
        <v>15320</v>
      </c>
      <c r="H165" s="20" t="s">
        <v>15331</v>
      </c>
      <c r="I165" s="20" t="s">
        <v>15331</v>
      </c>
      <c r="J165" s="19" t="s">
        <v>15637</v>
      </c>
      <c r="K165" s="19" t="s">
        <v>15638</v>
      </c>
      <c r="L165" s="19" t="s">
        <v>15371</v>
      </c>
      <c r="M165" s="20" t="s">
        <v>15341</v>
      </c>
      <c r="N165" s="20" t="s">
        <v>15331</v>
      </c>
      <c r="O165" s="20"/>
      <c r="P165" s="20"/>
      <c r="Q165" s="20"/>
      <c r="R165" s="20" t="s">
        <v>15324</v>
      </c>
      <c r="S165" s="20">
        <v>25</v>
      </c>
      <c r="T165" s="20">
        <v>15</v>
      </c>
      <c r="U165" s="20">
        <v>80</v>
      </c>
      <c r="V165" s="24" t="s">
        <v>671</v>
      </c>
      <c r="W165" s="22" t="s">
        <v>15325</v>
      </c>
    </row>
    <row r="166" spans="1:23" x14ac:dyDescent="0.35">
      <c r="A166" s="18" t="s">
        <v>15336</v>
      </c>
      <c r="B166" s="19" t="s">
        <v>33</v>
      </c>
      <c r="C166" s="24" t="s">
        <v>809</v>
      </c>
      <c r="D166" s="24" t="s">
        <v>671</v>
      </c>
      <c r="E166" s="19" t="s">
        <v>15319</v>
      </c>
      <c r="F166" s="19" t="s">
        <v>667</v>
      </c>
      <c r="G166" s="19" t="s">
        <v>15320</v>
      </c>
      <c r="H166" s="20" t="s">
        <v>2197</v>
      </c>
      <c r="I166" s="20" t="s">
        <v>2197</v>
      </c>
      <c r="J166" s="19" t="s">
        <v>15374</v>
      </c>
      <c r="K166" s="19" t="s">
        <v>15375</v>
      </c>
      <c r="L166" s="19"/>
      <c r="M166" s="20" t="s">
        <v>15341</v>
      </c>
      <c r="N166" s="20" t="s">
        <v>2197</v>
      </c>
      <c r="O166" s="20"/>
      <c r="P166" s="20"/>
      <c r="Q166" s="20"/>
      <c r="R166" s="20" t="s">
        <v>15324</v>
      </c>
      <c r="S166" s="20">
        <v>25</v>
      </c>
      <c r="T166" s="20">
        <v>15</v>
      </c>
      <c r="U166" s="20">
        <v>60</v>
      </c>
      <c r="V166" s="24" t="s">
        <v>671</v>
      </c>
      <c r="W166" s="22" t="s">
        <v>15325</v>
      </c>
    </row>
    <row r="167" spans="1:23" x14ac:dyDescent="0.35">
      <c r="A167" s="18" t="s">
        <v>15336</v>
      </c>
      <c r="B167" s="19" t="s">
        <v>33</v>
      </c>
      <c r="C167" s="24" t="s">
        <v>809</v>
      </c>
      <c r="D167" s="24" t="s">
        <v>671</v>
      </c>
      <c r="E167" s="19" t="s">
        <v>15319</v>
      </c>
      <c r="F167" s="19" t="s">
        <v>667</v>
      </c>
      <c r="G167" s="19" t="s">
        <v>15320</v>
      </c>
      <c r="H167" s="20" t="s">
        <v>2135</v>
      </c>
      <c r="I167" s="20" t="s">
        <v>2135</v>
      </c>
      <c r="J167" s="19" t="s">
        <v>15703</v>
      </c>
      <c r="K167" s="19" t="s">
        <v>15704</v>
      </c>
      <c r="L167" s="19"/>
      <c r="M167" s="20" t="s">
        <v>15341</v>
      </c>
      <c r="N167" s="20" t="s">
        <v>2135</v>
      </c>
      <c r="O167" s="20"/>
      <c r="P167" s="20"/>
      <c r="Q167" s="20"/>
      <c r="R167" s="20" t="s">
        <v>15324</v>
      </c>
      <c r="S167" s="20">
        <v>25</v>
      </c>
      <c r="T167" s="20">
        <v>15</v>
      </c>
      <c r="U167" s="20">
        <v>80</v>
      </c>
      <c r="V167" s="24" t="s">
        <v>671</v>
      </c>
      <c r="W167" s="22" t="s">
        <v>15325</v>
      </c>
    </row>
    <row r="168" spans="1:23" x14ac:dyDescent="0.35">
      <c r="A168" s="18" t="s">
        <v>15336</v>
      </c>
      <c r="B168" s="19" t="s">
        <v>33</v>
      </c>
      <c r="C168" s="24" t="s">
        <v>809</v>
      </c>
      <c r="D168" s="24" t="s">
        <v>671</v>
      </c>
      <c r="E168" s="19" t="s">
        <v>15319</v>
      </c>
      <c r="F168" s="19" t="s">
        <v>667</v>
      </c>
      <c r="G168" s="19" t="s">
        <v>15320</v>
      </c>
      <c r="H168" s="20" t="s">
        <v>2151</v>
      </c>
      <c r="I168" s="20" t="s">
        <v>2151</v>
      </c>
      <c r="J168" s="19" t="s">
        <v>15705</v>
      </c>
      <c r="K168" s="19" t="s">
        <v>15706</v>
      </c>
      <c r="L168" s="19"/>
      <c r="M168" s="20" t="s">
        <v>15341</v>
      </c>
      <c r="N168" s="20" t="s">
        <v>2151</v>
      </c>
      <c r="O168" s="20"/>
      <c r="P168" s="20"/>
      <c r="Q168" s="20"/>
      <c r="R168" s="20" t="s">
        <v>15324</v>
      </c>
      <c r="S168" s="20">
        <v>25</v>
      </c>
      <c r="T168" s="20">
        <v>15</v>
      </c>
      <c r="U168" s="20">
        <v>80</v>
      </c>
      <c r="V168" s="24" t="s">
        <v>671</v>
      </c>
      <c r="W168" s="22" t="s">
        <v>15325</v>
      </c>
    </row>
    <row r="169" spans="1:23" x14ac:dyDescent="0.35">
      <c r="A169" s="18" t="s">
        <v>15336</v>
      </c>
      <c r="B169" s="19" t="s">
        <v>33</v>
      </c>
      <c r="C169" s="24" t="s">
        <v>809</v>
      </c>
      <c r="D169" s="24" t="s">
        <v>671</v>
      </c>
      <c r="E169" s="19" t="s">
        <v>15319</v>
      </c>
      <c r="F169" s="19" t="s">
        <v>667</v>
      </c>
      <c r="G169" s="19" t="s">
        <v>15320</v>
      </c>
      <c r="H169" s="20" t="s">
        <v>15409</v>
      </c>
      <c r="I169" s="20" t="s">
        <v>15409</v>
      </c>
      <c r="J169" s="19" t="s">
        <v>15410</v>
      </c>
      <c r="K169" s="19" t="s">
        <v>15411</v>
      </c>
      <c r="L169" s="19"/>
      <c r="M169" s="20" t="s">
        <v>15357</v>
      </c>
      <c r="N169" s="20" t="s">
        <v>15409</v>
      </c>
      <c r="O169" s="20"/>
      <c r="P169" s="20"/>
      <c r="Q169" s="20"/>
      <c r="R169" s="20" t="s">
        <v>15324</v>
      </c>
      <c r="S169" s="20">
        <v>25</v>
      </c>
      <c r="T169" s="20">
        <v>15</v>
      </c>
      <c r="U169" s="20">
        <v>60</v>
      </c>
      <c r="V169" s="24" t="s">
        <v>671</v>
      </c>
      <c r="W169" s="22" t="s">
        <v>15325</v>
      </c>
    </row>
    <row r="170" spans="1:23" x14ac:dyDescent="0.35">
      <c r="A170" s="18" t="s">
        <v>15336</v>
      </c>
      <c r="B170" s="19" t="s">
        <v>33</v>
      </c>
      <c r="C170" s="24" t="s">
        <v>809</v>
      </c>
      <c r="D170" s="24" t="s">
        <v>671</v>
      </c>
      <c r="E170" s="19" t="s">
        <v>15319</v>
      </c>
      <c r="F170" s="19" t="s">
        <v>667</v>
      </c>
      <c r="G170" s="19" t="s">
        <v>15320</v>
      </c>
      <c r="H170" s="20" t="s">
        <v>15381</v>
      </c>
      <c r="I170" s="20" t="s">
        <v>15381</v>
      </c>
      <c r="J170" s="19" t="s">
        <v>15561</v>
      </c>
      <c r="K170" s="19" t="s">
        <v>15562</v>
      </c>
      <c r="L170" s="19"/>
      <c r="M170" s="20" t="s">
        <v>15341</v>
      </c>
      <c r="N170" s="20" t="s">
        <v>15381</v>
      </c>
      <c r="O170" s="20"/>
      <c r="P170" s="20"/>
      <c r="Q170" s="20"/>
      <c r="R170" s="20" t="s">
        <v>15324</v>
      </c>
      <c r="S170" s="20">
        <v>25</v>
      </c>
      <c r="T170" s="20">
        <v>15</v>
      </c>
      <c r="U170" s="20">
        <v>80</v>
      </c>
      <c r="V170" s="24" t="s">
        <v>671</v>
      </c>
      <c r="W170" s="22" t="s">
        <v>15325</v>
      </c>
    </row>
    <row r="171" spans="1:23" x14ac:dyDescent="0.35">
      <c r="A171" s="18" t="s">
        <v>15336</v>
      </c>
      <c r="B171" s="19" t="s">
        <v>33</v>
      </c>
      <c r="C171" s="24" t="s">
        <v>809</v>
      </c>
      <c r="D171" s="24" t="s">
        <v>671</v>
      </c>
      <c r="E171" s="19" t="s">
        <v>15319</v>
      </c>
      <c r="F171" s="19" t="s">
        <v>667</v>
      </c>
      <c r="G171" s="19" t="s">
        <v>15320</v>
      </c>
      <c r="H171" s="20" t="s">
        <v>15354</v>
      </c>
      <c r="I171" s="20" t="s">
        <v>15354</v>
      </c>
      <c r="J171" s="19" t="s">
        <v>15385</v>
      </c>
      <c r="K171" s="19" t="s">
        <v>15386</v>
      </c>
      <c r="L171" s="19"/>
      <c r="M171" s="20" t="s">
        <v>15341</v>
      </c>
      <c r="N171" s="20" t="s">
        <v>15354</v>
      </c>
      <c r="O171" s="20"/>
      <c r="P171" s="20"/>
      <c r="Q171" s="20"/>
      <c r="R171" s="20" t="s">
        <v>15324</v>
      </c>
      <c r="S171" s="20">
        <v>25</v>
      </c>
      <c r="T171" s="20">
        <v>15</v>
      </c>
      <c r="U171" s="20">
        <v>80</v>
      </c>
      <c r="V171" s="24" t="s">
        <v>671</v>
      </c>
      <c r="W171" s="22" t="s">
        <v>15325</v>
      </c>
    </row>
    <row r="172" spans="1:23" x14ac:dyDescent="0.35">
      <c r="A172" s="18" t="s">
        <v>15336</v>
      </c>
      <c r="B172" s="19" t="s">
        <v>33</v>
      </c>
      <c r="C172" s="24" t="s">
        <v>809</v>
      </c>
      <c r="D172" s="24" t="s">
        <v>671</v>
      </c>
      <c r="E172" s="19" t="s">
        <v>15319</v>
      </c>
      <c r="F172" s="19" t="s">
        <v>667</v>
      </c>
      <c r="G172" s="19" t="s">
        <v>15320</v>
      </c>
      <c r="H172" s="20" t="s">
        <v>15378</v>
      </c>
      <c r="I172" s="20" t="s">
        <v>15378</v>
      </c>
      <c r="J172" s="19" t="s">
        <v>15722</v>
      </c>
      <c r="K172" s="19" t="s">
        <v>15723</v>
      </c>
      <c r="L172" s="19"/>
      <c r="M172" s="20" t="s">
        <v>15323</v>
      </c>
      <c r="N172" s="20" t="s">
        <v>15378</v>
      </c>
      <c r="O172" s="20"/>
      <c r="P172" s="20"/>
      <c r="Q172" s="20"/>
      <c r="R172" s="20" t="s">
        <v>15324</v>
      </c>
      <c r="S172" s="20">
        <v>25</v>
      </c>
      <c r="T172" s="20">
        <v>15</v>
      </c>
      <c r="U172" s="20">
        <v>80</v>
      </c>
      <c r="V172" s="24" t="s">
        <v>671</v>
      </c>
      <c r="W172" s="22" t="s">
        <v>15325</v>
      </c>
    </row>
    <row r="173" spans="1:23" x14ac:dyDescent="0.35">
      <c r="A173" s="18" t="s">
        <v>15336</v>
      </c>
      <c r="B173" s="19" t="s">
        <v>33</v>
      </c>
      <c r="C173" s="24" t="s">
        <v>809</v>
      </c>
      <c r="D173" s="24" t="s">
        <v>671</v>
      </c>
      <c r="E173" s="19" t="s">
        <v>15319</v>
      </c>
      <c r="F173" s="19" t="s">
        <v>667</v>
      </c>
      <c r="G173" s="19" t="s">
        <v>15320</v>
      </c>
      <c r="H173" s="20" t="s">
        <v>15420</v>
      </c>
      <c r="I173" s="20" t="s">
        <v>15420</v>
      </c>
      <c r="J173" s="19" t="s">
        <v>15701</v>
      </c>
      <c r="K173" s="19" t="s">
        <v>15702</v>
      </c>
      <c r="L173" s="19"/>
      <c r="M173" s="20" t="s">
        <v>15341</v>
      </c>
      <c r="N173" s="20" t="s">
        <v>15420</v>
      </c>
      <c r="O173" s="20"/>
      <c r="P173" s="20"/>
      <c r="Q173" s="20"/>
      <c r="R173" s="20" t="s">
        <v>15324</v>
      </c>
      <c r="S173" s="20">
        <v>25</v>
      </c>
      <c r="T173" s="20">
        <v>15</v>
      </c>
      <c r="U173" s="20">
        <v>80</v>
      </c>
      <c r="V173" s="24" t="s">
        <v>671</v>
      </c>
      <c r="W173" s="22" t="s">
        <v>15325</v>
      </c>
    </row>
    <row r="174" spans="1:23" x14ac:dyDescent="0.35">
      <c r="A174" s="18" t="s">
        <v>15336</v>
      </c>
      <c r="B174" s="19" t="s">
        <v>33</v>
      </c>
      <c r="C174" s="24" t="s">
        <v>809</v>
      </c>
      <c r="D174" s="24" t="s">
        <v>671</v>
      </c>
      <c r="E174" s="19" t="s">
        <v>15319</v>
      </c>
      <c r="F174" s="19" t="s">
        <v>667</v>
      </c>
      <c r="G174" s="19" t="s">
        <v>15320</v>
      </c>
      <c r="H174" s="20" t="s">
        <v>15404</v>
      </c>
      <c r="I174" s="20" t="s">
        <v>15404</v>
      </c>
      <c r="J174" s="19" t="s">
        <v>15715</v>
      </c>
      <c r="K174" s="19" t="s">
        <v>15716</v>
      </c>
      <c r="L174" s="19"/>
      <c r="M174" s="20" t="s">
        <v>15357</v>
      </c>
      <c r="N174" s="20" t="s">
        <v>15404</v>
      </c>
      <c r="O174" s="20"/>
      <c r="P174" s="20"/>
      <c r="Q174" s="20"/>
      <c r="R174" s="20" t="s">
        <v>15324</v>
      </c>
      <c r="S174" s="20">
        <v>25</v>
      </c>
      <c r="T174" s="20">
        <v>15</v>
      </c>
      <c r="U174" s="20">
        <v>80</v>
      </c>
      <c r="V174" s="24" t="s">
        <v>671</v>
      </c>
      <c r="W174" s="22" t="s">
        <v>15325</v>
      </c>
    </row>
    <row r="175" spans="1:23" x14ac:dyDescent="0.35">
      <c r="A175" s="18" t="s">
        <v>15336</v>
      </c>
      <c r="B175" s="19" t="s">
        <v>33</v>
      </c>
      <c r="C175" s="24" t="s">
        <v>809</v>
      </c>
      <c r="D175" s="24" t="s">
        <v>671</v>
      </c>
      <c r="E175" s="19" t="s">
        <v>15319</v>
      </c>
      <c r="F175" s="19" t="s">
        <v>667</v>
      </c>
      <c r="G175" s="19" t="s">
        <v>15320</v>
      </c>
      <c r="H175" s="20" t="s">
        <v>15451</v>
      </c>
      <c r="I175" s="20" t="s">
        <v>15451</v>
      </c>
      <c r="J175" s="19" t="s">
        <v>15845</v>
      </c>
      <c r="K175" s="19" t="s">
        <v>15846</v>
      </c>
      <c r="L175" s="19"/>
      <c r="M175" s="20" t="s">
        <v>15323</v>
      </c>
      <c r="N175" s="20" t="s">
        <v>15451</v>
      </c>
      <c r="O175" s="20"/>
      <c r="P175" s="20"/>
      <c r="Q175" s="20"/>
      <c r="R175" s="20" t="s">
        <v>15324</v>
      </c>
      <c r="S175" s="20">
        <v>25</v>
      </c>
      <c r="T175" s="20">
        <v>15</v>
      </c>
      <c r="U175" s="20">
        <v>68</v>
      </c>
      <c r="V175" s="24" t="s">
        <v>671</v>
      </c>
      <c r="W175" s="22" t="s">
        <v>15325</v>
      </c>
    </row>
    <row r="176" spans="1:23" x14ac:dyDescent="0.35">
      <c r="A176" s="18" t="s">
        <v>15336</v>
      </c>
      <c r="B176" s="19" t="s">
        <v>33</v>
      </c>
      <c r="C176" s="24" t="s">
        <v>809</v>
      </c>
      <c r="D176" s="24" t="s">
        <v>671</v>
      </c>
      <c r="E176" s="19" t="s">
        <v>15319</v>
      </c>
      <c r="F176" s="19" t="s">
        <v>667</v>
      </c>
      <c r="G176" s="19" t="s">
        <v>15320</v>
      </c>
      <c r="H176" s="20" t="s">
        <v>15363</v>
      </c>
      <c r="I176" s="20" t="s">
        <v>15363</v>
      </c>
      <c r="J176" s="19" t="s">
        <v>15541</v>
      </c>
      <c r="K176" s="19" t="s">
        <v>15542</v>
      </c>
      <c r="L176" s="19"/>
      <c r="M176" s="20" t="s">
        <v>15341</v>
      </c>
      <c r="N176" s="20" t="s">
        <v>15363</v>
      </c>
      <c r="O176" s="20"/>
      <c r="P176" s="20"/>
      <c r="Q176" s="20"/>
      <c r="R176" s="20" t="s">
        <v>15324</v>
      </c>
      <c r="S176" s="20">
        <v>25</v>
      </c>
      <c r="T176" s="20">
        <v>15</v>
      </c>
      <c r="U176" s="20">
        <v>80</v>
      </c>
      <c r="V176" s="24" t="s">
        <v>671</v>
      </c>
      <c r="W176" s="22" t="s">
        <v>15325</v>
      </c>
    </row>
    <row r="177" spans="1:23" x14ac:dyDescent="0.35">
      <c r="A177" s="18" t="s">
        <v>15336</v>
      </c>
      <c r="B177" s="19" t="s">
        <v>33</v>
      </c>
      <c r="C177" s="24" t="s">
        <v>809</v>
      </c>
      <c r="D177" s="24" t="s">
        <v>671</v>
      </c>
      <c r="E177" s="19" t="s">
        <v>15319</v>
      </c>
      <c r="F177" s="19" t="s">
        <v>667</v>
      </c>
      <c r="G177" s="19" t="s">
        <v>15320</v>
      </c>
      <c r="H177" s="20" t="s">
        <v>15364</v>
      </c>
      <c r="I177" s="20" t="s">
        <v>15364</v>
      </c>
      <c r="J177" s="19" t="s">
        <v>15456</v>
      </c>
      <c r="K177" s="19" t="s">
        <v>15457</v>
      </c>
      <c r="L177" s="19"/>
      <c r="M177" s="20" t="s">
        <v>15341</v>
      </c>
      <c r="N177" s="20" t="s">
        <v>15364</v>
      </c>
      <c r="O177" s="20"/>
      <c r="P177" s="20"/>
      <c r="Q177" s="20"/>
      <c r="R177" s="20" t="s">
        <v>15324</v>
      </c>
      <c r="S177" s="20">
        <v>25</v>
      </c>
      <c r="T177" s="20">
        <v>15</v>
      </c>
      <c r="U177" s="20">
        <v>80</v>
      </c>
      <c r="V177" s="24" t="s">
        <v>671</v>
      </c>
      <c r="W177" s="22" t="s">
        <v>15325</v>
      </c>
    </row>
    <row r="178" spans="1:23" x14ac:dyDescent="0.35">
      <c r="A178" s="18" t="s">
        <v>15336</v>
      </c>
      <c r="B178" s="19" t="s">
        <v>33</v>
      </c>
      <c r="C178" s="24" t="s">
        <v>809</v>
      </c>
      <c r="D178" s="24" t="s">
        <v>671</v>
      </c>
      <c r="E178" s="19" t="s">
        <v>15319</v>
      </c>
      <c r="F178" s="19" t="s">
        <v>667</v>
      </c>
      <c r="G178" s="19" t="s">
        <v>15320</v>
      </c>
      <c r="H178" s="20" t="s">
        <v>15347</v>
      </c>
      <c r="I178" s="20" t="s">
        <v>15347</v>
      </c>
      <c r="J178" s="19" t="s">
        <v>15621</v>
      </c>
      <c r="K178" s="19" t="s">
        <v>15622</v>
      </c>
      <c r="L178" s="19" t="s">
        <v>15371</v>
      </c>
      <c r="M178" s="20" t="s">
        <v>15341</v>
      </c>
      <c r="N178" s="20" t="s">
        <v>15347</v>
      </c>
      <c r="O178" s="20"/>
      <c r="P178" s="20"/>
      <c r="Q178" s="20"/>
      <c r="R178" s="20" t="s">
        <v>15346</v>
      </c>
      <c r="S178" s="20">
        <v>25</v>
      </c>
      <c r="T178" s="20">
        <v>15</v>
      </c>
      <c r="U178" s="20">
        <v>56</v>
      </c>
      <c r="V178" s="24" t="s">
        <v>671</v>
      </c>
      <c r="W178" s="22" t="s">
        <v>15325</v>
      </c>
    </row>
    <row r="179" spans="1:23" x14ac:dyDescent="0.35">
      <c r="A179" s="18" t="s">
        <v>15336</v>
      </c>
      <c r="B179" s="19" t="s">
        <v>33</v>
      </c>
      <c r="C179" s="24" t="s">
        <v>809</v>
      </c>
      <c r="D179" s="24" t="s">
        <v>671</v>
      </c>
      <c r="E179" s="19" t="s">
        <v>15319</v>
      </c>
      <c r="F179" s="19" t="s">
        <v>667</v>
      </c>
      <c r="G179" s="19" t="s">
        <v>15320</v>
      </c>
      <c r="H179" s="20" t="s">
        <v>15412</v>
      </c>
      <c r="I179" s="20" t="s">
        <v>15412</v>
      </c>
      <c r="J179" s="19" t="s">
        <v>15588</v>
      </c>
      <c r="K179" s="19" t="s">
        <v>15589</v>
      </c>
      <c r="L179" s="19" t="s">
        <v>15334</v>
      </c>
      <c r="M179" s="20" t="s">
        <v>15350</v>
      </c>
      <c r="N179" s="20" t="s">
        <v>15412</v>
      </c>
      <c r="O179" s="20"/>
      <c r="P179" s="20"/>
      <c r="Q179" s="20"/>
      <c r="R179" s="20" t="s">
        <v>15346</v>
      </c>
      <c r="S179" s="20">
        <v>25</v>
      </c>
      <c r="T179" s="20">
        <v>15</v>
      </c>
      <c r="U179" s="20">
        <v>0</v>
      </c>
      <c r="V179" s="24" t="s">
        <v>671</v>
      </c>
      <c r="W179" s="22" t="s">
        <v>15325</v>
      </c>
    </row>
    <row r="180" spans="1:23" x14ac:dyDescent="0.35">
      <c r="A180" s="18" t="s">
        <v>15336</v>
      </c>
      <c r="B180" s="19" t="s">
        <v>33</v>
      </c>
      <c r="C180" s="24" t="s">
        <v>809</v>
      </c>
      <c r="D180" s="24" t="s">
        <v>671</v>
      </c>
      <c r="E180" s="19" t="s">
        <v>15319</v>
      </c>
      <c r="F180" s="19" t="s">
        <v>667</v>
      </c>
      <c r="G180" s="19" t="s">
        <v>15320</v>
      </c>
      <c r="H180" s="20" t="s">
        <v>15342</v>
      </c>
      <c r="I180" s="20" t="s">
        <v>15342</v>
      </c>
      <c r="J180" s="19" t="s">
        <v>15343</v>
      </c>
      <c r="K180" s="19" t="s">
        <v>15344</v>
      </c>
      <c r="L180" s="19" t="s">
        <v>15345</v>
      </c>
      <c r="M180" s="20" t="s">
        <v>15341</v>
      </c>
      <c r="N180" s="20" t="s">
        <v>15342</v>
      </c>
      <c r="O180" s="20"/>
      <c r="P180" s="20"/>
      <c r="Q180" s="20"/>
      <c r="R180" s="20" t="s">
        <v>15346</v>
      </c>
      <c r="S180" s="20">
        <v>25</v>
      </c>
      <c r="T180" s="20">
        <v>15</v>
      </c>
      <c r="U180" s="20">
        <v>32</v>
      </c>
      <c r="V180" s="24" t="s">
        <v>671</v>
      </c>
      <c r="W180" s="22" t="s">
        <v>15325</v>
      </c>
    </row>
    <row r="181" spans="1:23" x14ac:dyDescent="0.35">
      <c r="A181" s="18" t="s">
        <v>15336</v>
      </c>
      <c r="B181" s="19" t="s">
        <v>33</v>
      </c>
      <c r="C181" s="24" t="s">
        <v>809</v>
      </c>
      <c r="D181" s="24" t="s">
        <v>671</v>
      </c>
      <c r="E181" s="19" t="s">
        <v>15319</v>
      </c>
      <c r="F181" s="19" t="s">
        <v>667</v>
      </c>
      <c r="G181" s="19" t="s">
        <v>15320</v>
      </c>
      <c r="H181" s="20" t="s">
        <v>15476</v>
      </c>
      <c r="I181" s="20" t="s">
        <v>15476</v>
      </c>
      <c r="J181" s="19" t="s">
        <v>15581</v>
      </c>
      <c r="K181" s="19" t="s">
        <v>15582</v>
      </c>
      <c r="L181" s="19"/>
      <c r="M181" s="20" t="s">
        <v>15341</v>
      </c>
      <c r="N181" s="20" t="s">
        <v>15476</v>
      </c>
      <c r="O181" s="20"/>
      <c r="P181" s="20"/>
      <c r="Q181" s="20"/>
      <c r="R181" s="20" t="s">
        <v>15346</v>
      </c>
      <c r="S181" s="20">
        <v>25</v>
      </c>
      <c r="T181" s="20">
        <v>15</v>
      </c>
      <c r="U181" s="20">
        <v>20</v>
      </c>
      <c r="V181" s="24" t="s">
        <v>671</v>
      </c>
      <c r="W181" s="22" t="s">
        <v>15325</v>
      </c>
    </row>
    <row r="182" spans="1:23" x14ac:dyDescent="0.35">
      <c r="A182" s="18" t="s">
        <v>15336</v>
      </c>
      <c r="B182" s="19" t="s">
        <v>33</v>
      </c>
      <c r="C182" s="24" t="s">
        <v>809</v>
      </c>
      <c r="D182" s="24" t="s">
        <v>671</v>
      </c>
      <c r="E182" s="19" t="s">
        <v>15319</v>
      </c>
      <c r="F182" s="19" t="s">
        <v>667</v>
      </c>
      <c r="G182" s="19" t="s">
        <v>15320</v>
      </c>
      <c r="H182" s="20" t="s">
        <v>15392</v>
      </c>
      <c r="I182" s="20" t="s">
        <v>15392</v>
      </c>
      <c r="J182" s="19" t="s">
        <v>15402</v>
      </c>
      <c r="K182" s="19" t="s">
        <v>15403</v>
      </c>
      <c r="L182" s="19"/>
      <c r="M182" s="20" t="s">
        <v>15341</v>
      </c>
      <c r="N182" s="20" t="s">
        <v>15392</v>
      </c>
      <c r="O182" s="20"/>
      <c r="P182" s="20"/>
      <c r="Q182" s="20"/>
      <c r="R182" s="20" t="s">
        <v>15346</v>
      </c>
      <c r="S182" s="20">
        <v>25</v>
      </c>
      <c r="T182" s="20">
        <v>15</v>
      </c>
      <c r="U182" s="20">
        <v>20</v>
      </c>
      <c r="V182" s="24" t="s">
        <v>671</v>
      </c>
      <c r="W182" s="22" t="s">
        <v>15325</v>
      </c>
    </row>
    <row r="183" spans="1:23" x14ac:dyDescent="0.35">
      <c r="A183" s="18" t="s">
        <v>15336</v>
      </c>
      <c r="B183" s="19" t="s">
        <v>33</v>
      </c>
      <c r="C183" s="24" t="s">
        <v>809</v>
      </c>
      <c r="D183" s="24" t="s">
        <v>671</v>
      </c>
      <c r="E183" s="19" t="s">
        <v>15319</v>
      </c>
      <c r="F183" s="19" t="s">
        <v>667</v>
      </c>
      <c r="G183" s="19" t="s">
        <v>15320</v>
      </c>
      <c r="H183" s="20" t="s">
        <v>15351</v>
      </c>
      <c r="I183" s="20" t="s">
        <v>15351</v>
      </c>
      <c r="J183" s="19" t="s">
        <v>15694</v>
      </c>
      <c r="K183" s="19" t="s">
        <v>15695</v>
      </c>
      <c r="L183" s="19"/>
      <c r="M183" s="20" t="s">
        <v>15350</v>
      </c>
      <c r="N183" s="20" t="s">
        <v>15351</v>
      </c>
      <c r="O183" s="20"/>
      <c r="P183" s="20"/>
      <c r="Q183" s="20"/>
      <c r="R183" s="20" t="s">
        <v>15346</v>
      </c>
      <c r="S183" s="20">
        <v>25</v>
      </c>
      <c r="T183" s="20">
        <v>15</v>
      </c>
      <c r="U183" s="20">
        <v>0</v>
      </c>
      <c r="V183" s="24" t="s">
        <v>671</v>
      </c>
      <c r="W183" s="22" t="s">
        <v>15325</v>
      </c>
    </row>
    <row r="184" spans="1:23" x14ac:dyDescent="0.35">
      <c r="A184" s="18" t="s">
        <v>15336</v>
      </c>
      <c r="B184" s="19" t="s">
        <v>33</v>
      </c>
      <c r="C184" s="24" t="s">
        <v>809</v>
      </c>
      <c r="D184" s="24" t="s">
        <v>671</v>
      </c>
      <c r="E184" s="19" t="s">
        <v>15319</v>
      </c>
      <c r="F184" s="19" t="s">
        <v>667</v>
      </c>
      <c r="G184" s="19" t="s">
        <v>15320</v>
      </c>
      <c r="H184" s="20" t="s">
        <v>15359</v>
      </c>
      <c r="I184" s="20" t="s">
        <v>15359</v>
      </c>
      <c r="J184" s="19" t="s">
        <v>15415</v>
      </c>
      <c r="K184" s="19" t="s">
        <v>15416</v>
      </c>
      <c r="L184" s="19" t="s">
        <v>15324</v>
      </c>
      <c r="M184" s="20" t="s">
        <v>15350</v>
      </c>
      <c r="N184" s="20" t="s">
        <v>15359</v>
      </c>
      <c r="O184" s="20"/>
      <c r="P184" s="20"/>
      <c r="Q184" s="20"/>
      <c r="R184" s="20" t="s">
        <v>15346</v>
      </c>
      <c r="S184" s="20">
        <v>25</v>
      </c>
      <c r="T184" s="20">
        <v>15</v>
      </c>
      <c r="U184" s="20">
        <v>0</v>
      </c>
      <c r="V184" s="24" t="s">
        <v>671</v>
      </c>
      <c r="W184" s="22" t="s">
        <v>15325</v>
      </c>
    </row>
    <row r="185" spans="1:23" x14ac:dyDescent="0.35">
      <c r="A185" s="18" t="s">
        <v>15336</v>
      </c>
      <c r="B185" s="19" t="s">
        <v>33</v>
      </c>
      <c r="C185" s="24" t="s">
        <v>809</v>
      </c>
      <c r="D185" s="24" t="s">
        <v>671</v>
      </c>
      <c r="E185" s="19" t="s">
        <v>15319</v>
      </c>
      <c r="F185" s="19" t="s">
        <v>667</v>
      </c>
      <c r="G185" s="19" t="s">
        <v>15320</v>
      </c>
      <c r="H185" s="20" t="s">
        <v>15423</v>
      </c>
      <c r="I185" s="20" t="s">
        <v>15423</v>
      </c>
      <c r="J185" s="19" t="s">
        <v>15645</v>
      </c>
      <c r="K185" s="19" t="s">
        <v>15646</v>
      </c>
      <c r="L185" s="19"/>
      <c r="M185" s="20" t="s">
        <v>15341</v>
      </c>
      <c r="N185" s="20" t="s">
        <v>15423</v>
      </c>
      <c r="O185" s="20"/>
      <c r="P185" s="20"/>
      <c r="Q185" s="20"/>
      <c r="R185" s="20" t="s">
        <v>15346</v>
      </c>
      <c r="S185" s="20">
        <v>25</v>
      </c>
      <c r="T185" s="20">
        <v>15</v>
      </c>
      <c r="U185" s="20">
        <v>12</v>
      </c>
      <c r="V185" s="24" t="s">
        <v>671</v>
      </c>
      <c r="W185" s="22" t="s">
        <v>15325</v>
      </c>
    </row>
    <row r="186" spans="1:23" x14ac:dyDescent="0.35">
      <c r="A186" s="18" t="s">
        <v>15318</v>
      </c>
      <c r="B186" s="19" t="s">
        <v>33</v>
      </c>
      <c r="C186" s="24" t="s">
        <v>1257</v>
      </c>
      <c r="D186" s="24" t="s">
        <v>1395</v>
      </c>
      <c r="E186" s="19" t="s">
        <v>15319</v>
      </c>
      <c r="F186" s="19" t="s">
        <v>1253</v>
      </c>
      <c r="G186" s="19" t="s">
        <v>15320</v>
      </c>
      <c r="H186" s="20" t="s">
        <v>15399</v>
      </c>
      <c r="I186" s="20" t="s">
        <v>15399</v>
      </c>
      <c r="J186" s="19" t="s">
        <v>15464</v>
      </c>
      <c r="K186" s="19" t="s">
        <v>15465</v>
      </c>
      <c r="L186" s="19" t="s">
        <v>15466</v>
      </c>
      <c r="M186" s="20" t="s">
        <v>15350</v>
      </c>
      <c r="N186" s="20" t="s">
        <v>15399</v>
      </c>
      <c r="O186" s="20"/>
      <c r="P186" s="20"/>
      <c r="Q186" s="20"/>
      <c r="R186" s="20" t="s">
        <v>15324</v>
      </c>
      <c r="S186" s="20">
        <v>30</v>
      </c>
      <c r="T186" s="20">
        <v>22</v>
      </c>
      <c r="U186" s="20">
        <v>42</v>
      </c>
      <c r="V186" s="24" t="s">
        <v>1257</v>
      </c>
      <c r="W186" s="22" t="s">
        <v>15325</v>
      </c>
    </row>
    <row r="187" spans="1:23" x14ac:dyDescent="0.35">
      <c r="A187" s="18" t="s">
        <v>15318</v>
      </c>
      <c r="B187" s="19" t="s">
        <v>33</v>
      </c>
      <c r="C187" s="24" t="s">
        <v>1257</v>
      </c>
      <c r="D187" s="24" t="s">
        <v>1395</v>
      </c>
      <c r="E187" s="19" t="s">
        <v>15319</v>
      </c>
      <c r="F187" s="19" t="s">
        <v>1253</v>
      </c>
      <c r="G187" s="19" t="s">
        <v>15320</v>
      </c>
      <c r="H187" s="20" t="s">
        <v>15399</v>
      </c>
      <c r="I187" s="20" t="s">
        <v>15399</v>
      </c>
      <c r="J187" s="19" t="s">
        <v>15623</v>
      </c>
      <c r="K187" s="19" t="s">
        <v>15624</v>
      </c>
      <c r="L187" s="19" t="s">
        <v>15466</v>
      </c>
      <c r="M187" s="20" t="s">
        <v>15323</v>
      </c>
      <c r="N187" s="20" t="s">
        <v>15399</v>
      </c>
      <c r="O187" s="20"/>
      <c r="P187" s="20"/>
      <c r="Q187" s="20"/>
      <c r="R187" s="20" t="s">
        <v>15324</v>
      </c>
      <c r="S187" s="20">
        <v>30</v>
      </c>
      <c r="T187" s="20">
        <v>22</v>
      </c>
      <c r="U187" s="20">
        <v>70</v>
      </c>
      <c r="V187" s="24" t="s">
        <v>1257</v>
      </c>
      <c r="W187" s="22" t="s">
        <v>15329</v>
      </c>
    </row>
    <row r="188" spans="1:23" x14ac:dyDescent="0.35">
      <c r="A188" s="18" t="s">
        <v>15318</v>
      </c>
      <c r="B188" s="19" t="s">
        <v>33</v>
      </c>
      <c r="C188" s="24" t="s">
        <v>1257</v>
      </c>
      <c r="D188" s="24" t="s">
        <v>1395</v>
      </c>
      <c r="E188" s="19" t="s">
        <v>15319</v>
      </c>
      <c r="F188" s="19" t="s">
        <v>1253</v>
      </c>
      <c r="G188" s="19" t="s">
        <v>15320</v>
      </c>
      <c r="H188" s="20" t="s">
        <v>15337</v>
      </c>
      <c r="I188" s="20" t="s">
        <v>15337</v>
      </c>
      <c r="J188" s="19" t="s">
        <v>15654</v>
      </c>
      <c r="K188" s="19" t="s">
        <v>15655</v>
      </c>
      <c r="L188" s="19" t="s">
        <v>15324</v>
      </c>
      <c r="M188" s="20" t="s">
        <v>15350</v>
      </c>
      <c r="N188" s="20" t="s">
        <v>15337</v>
      </c>
      <c r="O188" s="20"/>
      <c r="P188" s="20"/>
      <c r="Q188" s="20"/>
      <c r="R188" s="20" t="s">
        <v>15324</v>
      </c>
      <c r="S188" s="20">
        <v>30</v>
      </c>
      <c r="T188" s="20">
        <v>22</v>
      </c>
      <c r="U188" s="20">
        <v>80</v>
      </c>
      <c r="V188" s="24" t="s">
        <v>1257</v>
      </c>
      <c r="W188" s="22" t="s">
        <v>15329</v>
      </c>
    </row>
    <row r="189" spans="1:23" x14ac:dyDescent="0.35">
      <c r="A189" s="18" t="s">
        <v>15318</v>
      </c>
      <c r="B189" s="19" t="s">
        <v>33</v>
      </c>
      <c r="C189" s="24" t="s">
        <v>1257</v>
      </c>
      <c r="D189" s="24" t="s">
        <v>1395</v>
      </c>
      <c r="E189" s="19" t="s">
        <v>15319</v>
      </c>
      <c r="F189" s="19" t="s">
        <v>1253</v>
      </c>
      <c r="G189" s="19" t="s">
        <v>15320</v>
      </c>
      <c r="H189" s="20" t="s">
        <v>15331</v>
      </c>
      <c r="I189" s="20" t="s">
        <v>15331</v>
      </c>
      <c r="J189" s="19" t="s">
        <v>15615</v>
      </c>
      <c r="K189" s="19" t="s">
        <v>15616</v>
      </c>
      <c r="L189" s="19" t="s">
        <v>15371</v>
      </c>
      <c r="M189" s="20" t="s">
        <v>15323</v>
      </c>
      <c r="N189" s="20" t="s">
        <v>15331</v>
      </c>
      <c r="O189" s="20"/>
      <c r="P189" s="20"/>
      <c r="Q189" s="20"/>
      <c r="R189" s="20" t="s">
        <v>15324</v>
      </c>
      <c r="S189" s="20">
        <v>30</v>
      </c>
      <c r="T189" s="20">
        <v>22</v>
      </c>
      <c r="U189" s="20">
        <v>62</v>
      </c>
      <c r="V189" s="24" t="s">
        <v>1257</v>
      </c>
      <c r="W189" s="22" t="s">
        <v>15329</v>
      </c>
    </row>
    <row r="190" spans="1:23" x14ac:dyDescent="0.35">
      <c r="A190" s="18" t="s">
        <v>15318</v>
      </c>
      <c r="B190" s="19" t="s">
        <v>33</v>
      </c>
      <c r="C190" s="24" t="s">
        <v>1257</v>
      </c>
      <c r="D190" s="24" t="s">
        <v>1395</v>
      </c>
      <c r="E190" s="19" t="s">
        <v>15319</v>
      </c>
      <c r="F190" s="19" t="s">
        <v>1253</v>
      </c>
      <c r="G190" s="19" t="s">
        <v>15320</v>
      </c>
      <c r="H190" s="20" t="s">
        <v>2197</v>
      </c>
      <c r="I190" s="20" t="s">
        <v>2197</v>
      </c>
      <c r="J190" s="19" t="s">
        <v>15718</v>
      </c>
      <c r="K190" s="19" t="s">
        <v>15719</v>
      </c>
      <c r="L190" s="19"/>
      <c r="M190" s="20" t="s">
        <v>15341</v>
      </c>
      <c r="N190" s="20" t="s">
        <v>2197</v>
      </c>
      <c r="O190" s="20"/>
      <c r="P190" s="20"/>
      <c r="Q190" s="20"/>
      <c r="R190" s="20" t="s">
        <v>15324</v>
      </c>
      <c r="S190" s="20">
        <v>30</v>
      </c>
      <c r="T190" s="20">
        <v>22</v>
      </c>
      <c r="U190" s="20">
        <v>65</v>
      </c>
      <c r="V190" s="24" t="s">
        <v>1257</v>
      </c>
      <c r="W190" s="22" t="s">
        <v>15329</v>
      </c>
    </row>
    <row r="191" spans="1:23" x14ac:dyDescent="0.35">
      <c r="A191" s="18" t="s">
        <v>15318</v>
      </c>
      <c r="B191" s="19" t="s">
        <v>33</v>
      </c>
      <c r="C191" s="24" t="s">
        <v>1257</v>
      </c>
      <c r="D191" s="24" t="s">
        <v>1395</v>
      </c>
      <c r="E191" s="19" t="s">
        <v>15319</v>
      </c>
      <c r="F191" s="19" t="s">
        <v>1253</v>
      </c>
      <c r="G191" s="19" t="s">
        <v>15320</v>
      </c>
      <c r="H191" s="20" t="s">
        <v>2135</v>
      </c>
      <c r="I191" s="20" t="s">
        <v>2135</v>
      </c>
      <c r="J191" s="19" t="s">
        <v>15447</v>
      </c>
      <c r="K191" s="19" t="s">
        <v>15448</v>
      </c>
      <c r="L191" s="19"/>
      <c r="M191" s="20" t="s">
        <v>15341</v>
      </c>
      <c r="N191" s="20" t="s">
        <v>2135</v>
      </c>
      <c r="O191" s="20"/>
      <c r="P191" s="20"/>
      <c r="Q191" s="20"/>
      <c r="R191" s="20" t="s">
        <v>15324</v>
      </c>
      <c r="S191" s="20">
        <v>30</v>
      </c>
      <c r="T191" s="20">
        <v>22</v>
      </c>
      <c r="U191" s="20">
        <v>80</v>
      </c>
      <c r="V191" s="24" t="s">
        <v>1257</v>
      </c>
      <c r="W191" s="22" t="s">
        <v>15329</v>
      </c>
    </row>
    <row r="192" spans="1:23" x14ac:dyDescent="0.35">
      <c r="A192" s="18" t="s">
        <v>15318</v>
      </c>
      <c r="B192" s="19" t="s">
        <v>33</v>
      </c>
      <c r="C192" s="24" t="s">
        <v>1257</v>
      </c>
      <c r="D192" s="24" t="s">
        <v>1395</v>
      </c>
      <c r="E192" s="19" t="s">
        <v>15319</v>
      </c>
      <c r="F192" s="19" t="s">
        <v>1253</v>
      </c>
      <c r="G192" s="19" t="s">
        <v>15320</v>
      </c>
      <c r="H192" s="20" t="s">
        <v>2151</v>
      </c>
      <c r="I192" s="20" t="s">
        <v>2151</v>
      </c>
      <c r="J192" s="19" t="s">
        <v>15837</v>
      </c>
      <c r="K192" s="19" t="s">
        <v>15839</v>
      </c>
      <c r="L192" s="19"/>
      <c r="M192" s="20" t="s">
        <v>15323</v>
      </c>
      <c r="N192" s="20" t="s">
        <v>2151</v>
      </c>
      <c r="O192" s="20"/>
      <c r="P192" s="20"/>
      <c r="Q192" s="20"/>
      <c r="R192" s="20" t="s">
        <v>15324</v>
      </c>
      <c r="S192" s="20">
        <v>30</v>
      </c>
      <c r="T192" s="20">
        <v>22</v>
      </c>
      <c r="U192" s="20">
        <v>80</v>
      </c>
      <c r="V192" s="24" t="s">
        <v>1257</v>
      </c>
      <c r="W192" s="22" t="s">
        <v>15329</v>
      </c>
    </row>
    <row r="193" spans="1:23" x14ac:dyDescent="0.35">
      <c r="A193" s="18" t="s">
        <v>15318</v>
      </c>
      <c r="B193" s="19" t="s">
        <v>33</v>
      </c>
      <c r="C193" s="24" t="s">
        <v>1257</v>
      </c>
      <c r="D193" s="24" t="s">
        <v>1395</v>
      </c>
      <c r="E193" s="19" t="s">
        <v>15319</v>
      </c>
      <c r="F193" s="19" t="s">
        <v>1253</v>
      </c>
      <c r="G193" s="19" t="s">
        <v>15320</v>
      </c>
      <c r="H193" s="20" t="s">
        <v>15409</v>
      </c>
      <c r="I193" s="20" t="s">
        <v>15409</v>
      </c>
      <c r="J193" s="19" t="s">
        <v>15680</v>
      </c>
      <c r="K193" s="19" t="s">
        <v>15681</v>
      </c>
      <c r="L193" s="19"/>
      <c r="M193" s="20" t="s">
        <v>15350</v>
      </c>
      <c r="N193" s="20" t="s">
        <v>15409</v>
      </c>
      <c r="O193" s="20"/>
      <c r="P193" s="20"/>
      <c r="Q193" s="20"/>
      <c r="R193" s="20" t="s">
        <v>15324</v>
      </c>
      <c r="S193" s="20">
        <v>30</v>
      </c>
      <c r="T193" s="20">
        <v>22</v>
      </c>
      <c r="U193" s="20">
        <v>80</v>
      </c>
      <c r="V193" s="24" t="s">
        <v>1257</v>
      </c>
      <c r="W193" s="22" t="s">
        <v>15329</v>
      </c>
    </row>
    <row r="194" spans="1:23" x14ac:dyDescent="0.35">
      <c r="A194" s="18" t="s">
        <v>15318</v>
      </c>
      <c r="B194" s="19" t="s">
        <v>33</v>
      </c>
      <c r="C194" s="24" t="s">
        <v>1257</v>
      </c>
      <c r="D194" s="24" t="s">
        <v>1395</v>
      </c>
      <c r="E194" s="19" t="s">
        <v>15319</v>
      </c>
      <c r="F194" s="19" t="s">
        <v>1253</v>
      </c>
      <c r="G194" s="19" t="s">
        <v>15320</v>
      </c>
      <c r="H194" s="20" t="s">
        <v>15381</v>
      </c>
      <c r="I194" s="20" t="s">
        <v>15381</v>
      </c>
      <c r="J194" s="19" t="s">
        <v>15449</v>
      </c>
      <c r="K194" s="19" t="s">
        <v>15450</v>
      </c>
      <c r="L194" s="19"/>
      <c r="M194" s="20" t="s">
        <v>15350</v>
      </c>
      <c r="N194" s="20" t="s">
        <v>15381</v>
      </c>
      <c r="O194" s="20"/>
      <c r="P194" s="20"/>
      <c r="Q194" s="20"/>
      <c r="R194" s="20" t="s">
        <v>15324</v>
      </c>
      <c r="S194" s="20">
        <v>30</v>
      </c>
      <c r="T194" s="20">
        <v>22</v>
      </c>
      <c r="U194" s="20">
        <v>80</v>
      </c>
      <c r="V194" s="24" t="s">
        <v>1257</v>
      </c>
      <c r="W194" s="22" t="s">
        <v>15329</v>
      </c>
    </row>
    <row r="195" spans="1:23" x14ac:dyDescent="0.35">
      <c r="A195" s="18" t="s">
        <v>15318</v>
      </c>
      <c r="B195" s="19" t="s">
        <v>33</v>
      </c>
      <c r="C195" s="24" t="s">
        <v>1257</v>
      </c>
      <c r="D195" s="24" t="s">
        <v>1395</v>
      </c>
      <c r="E195" s="19" t="s">
        <v>15319</v>
      </c>
      <c r="F195" s="19" t="s">
        <v>1253</v>
      </c>
      <c r="G195" s="19" t="s">
        <v>15320</v>
      </c>
      <c r="H195" s="20" t="s">
        <v>15354</v>
      </c>
      <c r="I195" s="20" t="s">
        <v>15354</v>
      </c>
      <c r="J195" s="19" t="s">
        <v>15678</v>
      </c>
      <c r="K195" s="19" t="s">
        <v>15679</v>
      </c>
      <c r="L195" s="19"/>
      <c r="M195" s="20" t="s">
        <v>15341</v>
      </c>
      <c r="N195" s="20" t="s">
        <v>15354</v>
      </c>
      <c r="O195" s="20"/>
      <c r="P195" s="20"/>
      <c r="Q195" s="20"/>
      <c r="R195" s="20" t="s">
        <v>15324</v>
      </c>
      <c r="S195" s="20">
        <v>30</v>
      </c>
      <c r="T195" s="20">
        <v>22</v>
      </c>
      <c r="U195" s="20">
        <v>60</v>
      </c>
      <c r="V195" s="24" t="s">
        <v>1257</v>
      </c>
      <c r="W195" s="22" t="s">
        <v>15329</v>
      </c>
    </row>
    <row r="196" spans="1:23" x14ac:dyDescent="0.35">
      <c r="A196" s="18" t="s">
        <v>15318</v>
      </c>
      <c r="B196" s="19" t="s">
        <v>33</v>
      </c>
      <c r="C196" s="24" t="s">
        <v>1257</v>
      </c>
      <c r="D196" s="24" t="s">
        <v>1395</v>
      </c>
      <c r="E196" s="19" t="s">
        <v>15319</v>
      </c>
      <c r="F196" s="19" t="s">
        <v>1253</v>
      </c>
      <c r="G196" s="19" t="s">
        <v>15320</v>
      </c>
      <c r="H196" s="20" t="s">
        <v>15378</v>
      </c>
      <c r="I196" s="20" t="s">
        <v>15378</v>
      </c>
      <c r="J196" s="19" t="s">
        <v>15795</v>
      </c>
      <c r="K196" s="19" t="s">
        <v>15796</v>
      </c>
      <c r="L196" s="19"/>
      <c r="M196" s="20" t="s">
        <v>15341</v>
      </c>
      <c r="N196" s="20" t="s">
        <v>15378</v>
      </c>
      <c r="O196" s="20"/>
      <c r="P196" s="20"/>
      <c r="Q196" s="20"/>
      <c r="R196" s="20" t="s">
        <v>15324</v>
      </c>
      <c r="S196" s="20">
        <v>30</v>
      </c>
      <c r="T196" s="20">
        <v>22</v>
      </c>
      <c r="U196" s="20">
        <v>80</v>
      </c>
      <c r="V196" s="24" t="s">
        <v>1257</v>
      </c>
      <c r="W196" s="22" t="s">
        <v>15329</v>
      </c>
    </row>
    <row r="197" spans="1:23" x14ac:dyDescent="0.35">
      <c r="A197" s="18" t="s">
        <v>15318</v>
      </c>
      <c r="B197" s="19" t="s">
        <v>33</v>
      </c>
      <c r="C197" s="24" t="s">
        <v>1257</v>
      </c>
      <c r="D197" s="24" t="s">
        <v>1395</v>
      </c>
      <c r="E197" s="19" t="s">
        <v>15319</v>
      </c>
      <c r="F197" s="19" t="s">
        <v>1253</v>
      </c>
      <c r="G197" s="19" t="s">
        <v>15320</v>
      </c>
      <c r="H197" s="20" t="s">
        <v>15420</v>
      </c>
      <c r="I197" s="20" t="s">
        <v>15420</v>
      </c>
      <c r="J197" s="19" t="s">
        <v>15692</v>
      </c>
      <c r="K197" s="19" t="s">
        <v>15693</v>
      </c>
      <c r="L197" s="19"/>
      <c r="M197" s="20" t="s">
        <v>15323</v>
      </c>
      <c r="N197" s="20" t="s">
        <v>15420</v>
      </c>
      <c r="O197" s="20"/>
      <c r="P197" s="20"/>
      <c r="Q197" s="20"/>
      <c r="R197" s="20" t="s">
        <v>15324</v>
      </c>
      <c r="S197" s="20">
        <v>30</v>
      </c>
      <c r="T197" s="20">
        <v>22</v>
      </c>
      <c r="U197" s="20">
        <v>75</v>
      </c>
      <c r="V197" s="24" t="s">
        <v>1257</v>
      </c>
      <c r="W197" s="22" t="s">
        <v>15329</v>
      </c>
    </row>
    <row r="198" spans="1:23" x14ac:dyDescent="0.35">
      <c r="A198" s="18" t="s">
        <v>15318</v>
      </c>
      <c r="B198" s="19" t="s">
        <v>33</v>
      </c>
      <c r="C198" s="24" t="s">
        <v>1257</v>
      </c>
      <c r="D198" s="24" t="s">
        <v>1395</v>
      </c>
      <c r="E198" s="19" t="s">
        <v>15319</v>
      </c>
      <c r="F198" s="19" t="s">
        <v>1253</v>
      </c>
      <c r="G198" s="19" t="s">
        <v>15320</v>
      </c>
      <c r="H198" s="20" t="s">
        <v>15404</v>
      </c>
      <c r="I198" s="20" t="s">
        <v>15404</v>
      </c>
      <c r="J198" s="19" t="s">
        <v>15525</v>
      </c>
      <c r="K198" s="19" t="s">
        <v>15526</v>
      </c>
      <c r="L198" s="19"/>
      <c r="M198" s="20" t="s">
        <v>15350</v>
      </c>
      <c r="N198" s="20" t="s">
        <v>15404</v>
      </c>
      <c r="O198" s="20"/>
      <c r="P198" s="20"/>
      <c r="Q198" s="20"/>
      <c r="R198" s="20" t="s">
        <v>15324</v>
      </c>
      <c r="S198" s="20">
        <v>30</v>
      </c>
      <c r="T198" s="20">
        <v>22</v>
      </c>
      <c r="U198" s="20">
        <v>80</v>
      </c>
      <c r="V198" s="24" t="s">
        <v>1257</v>
      </c>
      <c r="W198" s="22" t="s">
        <v>15329</v>
      </c>
    </row>
    <row r="199" spans="1:23" x14ac:dyDescent="0.35">
      <c r="A199" s="18" t="s">
        <v>15318</v>
      </c>
      <c r="B199" s="19" t="s">
        <v>33</v>
      </c>
      <c r="C199" s="24" t="s">
        <v>1257</v>
      </c>
      <c r="D199" s="24" t="s">
        <v>1395</v>
      </c>
      <c r="E199" s="19" t="s">
        <v>15319</v>
      </c>
      <c r="F199" s="19" t="s">
        <v>1253</v>
      </c>
      <c r="G199" s="19" t="s">
        <v>15320</v>
      </c>
      <c r="H199" s="20" t="s">
        <v>15451</v>
      </c>
      <c r="I199" s="20" t="s">
        <v>15451</v>
      </c>
      <c r="J199" s="19" t="s">
        <v>15481</v>
      </c>
      <c r="K199" s="19" t="s">
        <v>15482</v>
      </c>
      <c r="L199" s="19"/>
      <c r="M199" s="20" t="s">
        <v>15350</v>
      </c>
      <c r="N199" s="20" t="s">
        <v>15451</v>
      </c>
      <c r="O199" s="20"/>
      <c r="P199" s="20"/>
      <c r="Q199" s="20"/>
      <c r="R199" s="20" t="s">
        <v>15324</v>
      </c>
      <c r="S199" s="20">
        <v>30</v>
      </c>
      <c r="T199" s="20">
        <v>22</v>
      </c>
      <c r="U199" s="20">
        <v>80</v>
      </c>
      <c r="V199" s="24" t="s">
        <v>1257</v>
      </c>
      <c r="W199" s="22" t="s">
        <v>15329</v>
      </c>
    </row>
    <row r="200" spans="1:23" x14ac:dyDescent="0.35">
      <c r="A200" s="18" t="s">
        <v>15318</v>
      </c>
      <c r="B200" s="19" t="s">
        <v>33</v>
      </c>
      <c r="C200" s="24" t="s">
        <v>1257</v>
      </c>
      <c r="D200" s="24" t="s">
        <v>1395</v>
      </c>
      <c r="E200" s="19" t="s">
        <v>15319</v>
      </c>
      <c r="F200" s="19" t="s">
        <v>1253</v>
      </c>
      <c r="G200" s="19" t="s">
        <v>15320</v>
      </c>
      <c r="H200" s="20" t="s">
        <v>15363</v>
      </c>
      <c r="I200" s="20" t="s">
        <v>15363</v>
      </c>
      <c r="J200" s="19" t="s">
        <v>15372</v>
      </c>
      <c r="K200" s="19" t="s">
        <v>15373</v>
      </c>
      <c r="L200" s="19"/>
      <c r="M200" s="20" t="s">
        <v>15341</v>
      </c>
      <c r="N200" s="20" t="s">
        <v>15363</v>
      </c>
      <c r="O200" s="20"/>
      <c r="P200" s="20"/>
      <c r="Q200" s="20"/>
      <c r="R200" s="20" t="s">
        <v>15324</v>
      </c>
      <c r="S200" s="20">
        <v>30</v>
      </c>
      <c r="T200" s="20">
        <v>22</v>
      </c>
      <c r="U200" s="20">
        <v>80</v>
      </c>
      <c r="V200" s="24" t="s">
        <v>1257</v>
      </c>
      <c r="W200" s="22" t="s">
        <v>15329</v>
      </c>
    </row>
    <row r="201" spans="1:23" x14ac:dyDescent="0.35">
      <c r="A201" s="18" t="s">
        <v>15318</v>
      </c>
      <c r="B201" s="19" t="s">
        <v>33</v>
      </c>
      <c r="C201" s="24" t="s">
        <v>1257</v>
      </c>
      <c r="D201" s="24" t="s">
        <v>1395</v>
      </c>
      <c r="E201" s="19" t="s">
        <v>15319</v>
      </c>
      <c r="F201" s="19" t="s">
        <v>1253</v>
      </c>
      <c r="G201" s="19" t="s">
        <v>15320</v>
      </c>
      <c r="H201" s="20" t="s">
        <v>15364</v>
      </c>
      <c r="I201" s="20" t="s">
        <v>15364</v>
      </c>
      <c r="J201" s="19" t="s">
        <v>15585</v>
      </c>
      <c r="K201" s="19" t="s">
        <v>15586</v>
      </c>
      <c r="L201" s="19"/>
      <c r="M201" s="20" t="s">
        <v>15357</v>
      </c>
      <c r="N201" s="20" t="s">
        <v>15364</v>
      </c>
      <c r="O201" s="20"/>
      <c r="P201" s="20"/>
      <c r="Q201" s="20"/>
      <c r="R201" s="20" t="s">
        <v>15324</v>
      </c>
      <c r="S201" s="20">
        <v>30</v>
      </c>
      <c r="T201" s="20">
        <v>22</v>
      </c>
      <c r="U201" s="20">
        <v>80</v>
      </c>
      <c r="V201" s="24" t="s">
        <v>1257</v>
      </c>
      <c r="W201" s="22" t="s">
        <v>15329</v>
      </c>
    </row>
    <row r="202" spans="1:23" x14ac:dyDescent="0.35">
      <c r="A202" s="18" t="s">
        <v>15318</v>
      </c>
      <c r="B202" s="19" t="s">
        <v>33</v>
      </c>
      <c r="C202" s="24" t="s">
        <v>1257</v>
      </c>
      <c r="D202" s="24" t="s">
        <v>1395</v>
      </c>
      <c r="E202" s="19" t="s">
        <v>15319</v>
      </c>
      <c r="F202" s="19" t="s">
        <v>1253</v>
      </c>
      <c r="G202" s="19" t="s">
        <v>15320</v>
      </c>
      <c r="H202" s="20" t="s">
        <v>15347</v>
      </c>
      <c r="I202" s="20" t="s">
        <v>15347</v>
      </c>
      <c r="J202" s="19" t="s">
        <v>15633</v>
      </c>
      <c r="K202" s="19" t="s">
        <v>15634</v>
      </c>
      <c r="L202" s="19" t="s">
        <v>15340</v>
      </c>
      <c r="M202" s="20" t="s">
        <v>15341</v>
      </c>
      <c r="N202" s="20" t="s">
        <v>15347</v>
      </c>
      <c r="O202" s="20"/>
      <c r="P202" s="20"/>
      <c r="Q202" s="20"/>
      <c r="R202" s="20" t="s">
        <v>15346</v>
      </c>
      <c r="S202" s="20">
        <v>30</v>
      </c>
      <c r="T202" s="20">
        <v>22</v>
      </c>
      <c r="U202" s="20">
        <v>10</v>
      </c>
      <c r="V202" s="24" t="s">
        <v>1257</v>
      </c>
      <c r="W202" s="22" t="s">
        <v>15329</v>
      </c>
    </row>
    <row r="203" spans="1:23" x14ac:dyDescent="0.35">
      <c r="A203" s="18" t="s">
        <v>15318</v>
      </c>
      <c r="B203" s="19" t="s">
        <v>33</v>
      </c>
      <c r="C203" s="24" t="s">
        <v>1257</v>
      </c>
      <c r="D203" s="24" t="s">
        <v>1395</v>
      </c>
      <c r="E203" s="19" t="s">
        <v>15319</v>
      </c>
      <c r="F203" s="19" t="s">
        <v>1253</v>
      </c>
      <c r="G203" s="19" t="s">
        <v>15320</v>
      </c>
      <c r="H203" s="20" t="s">
        <v>15412</v>
      </c>
      <c r="I203" s="20" t="s">
        <v>15412</v>
      </c>
      <c r="J203" s="19" t="s">
        <v>15445</v>
      </c>
      <c r="K203" s="19" t="s">
        <v>15446</v>
      </c>
      <c r="L203" s="19"/>
      <c r="M203" s="20" t="s">
        <v>15341</v>
      </c>
      <c r="N203" s="20" t="s">
        <v>15412</v>
      </c>
      <c r="O203" s="20"/>
      <c r="P203" s="20"/>
      <c r="Q203" s="20"/>
      <c r="R203" s="20" t="s">
        <v>15346</v>
      </c>
      <c r="S203" s="20">
        <v>30</v>
      </c>
      <c r="T203" s="20">
        <v>22</v>
      </c>
      <c r="U203" s="20">
        <v>15</v>
      </c>
      <c r="V203" s="24" t="s">
        <v>1257</v>
      </c>
      <c r="W203" s="22" t="s">
        <v>15329</v>
      </c>
    </row>
    <row r="204" spans="1:23" x14ac:dyDescent="0.35">
      <c r="A204" s="18" t="s">
        <v>15318</v>
      </c>
      <c r="B204" s="19" t="s">
        <v>33</v>
      </c>
      <c r="C204" s="24" t="s">
        <v>1257</v>
      </c>
      <c r="D204" s="24" t="s">
        <v>1395</v>
      </c>
      <c r="E204" s="19" t="s">
        <v>15319</v>
      </c>
      <c r="F204" s="19" t="s">
        <v>1253</v>
      </c>
      <c r="G204" s="19" t="s">
        <v>15320</v>
      </c>
      <c r="H204" s="20" t="s">
        <v>15342</v>
      </c>
      <c r="I204" s="20" t="s">
        <v>15342</v>
      </c>
      <c r="J204" s="19" t="s">
        <v>15639</v>
      </c>
      <c r="K204" s="19" t="s">
        <v>15640</v>
      </c>
      <c r="L204" s="19" t="s">
        <v>15334</v>
      </c>
      <c r="M204" s="20" t="s">
        <v>15341</v>
      </c>
      <c r="N204" s="20" t="s">
        <v>15342</v>
      </c>
      <c r="O204" s="20"/>
      <c r="P204" s="20"/>
      <c r="Q204" s="20"/>
      <c r="R204" s="20" t="s">
        <v>15346</v>
      </c>
      <c r="S204" s="20">
        <v>30</v>
      </c>
      <c r="T204" s="20">
        <v>22</v>
      </c>
      <c r="U204" s="20">
        <v>18</v>
      </c>
      <c r="V204" s="24" t="s">
        <v>1257</v>
      </c>
      <c r="W204" s="22" t="s">
        <v>15329</v>
      </c>
    </row>
    <row r="205" spans="1:23" x14ac:dyDescent="0.35">
      <c r="A205" s="18" t="s">
        <v>15318</v>
      </c>
      <c r="B205" s="19" t="s">
        <v>33</v>
      </c>
      <c r="C205" s="24" t="s">
        <v>1257</v>
      </c>
      <c r="D205" s="24" t="s">
        <v>1395</v>
      </c>
      <c r="E205" s="19" t="s">
        <v>15319</v>
      </c>
      <c r="F205" s="19" t="s">
        <v>1253</v>
      </c>
      <c r="G205" s="19" t="s">
        <v>15320</v>
      </c>
      <c r="H205" s="20" t="s">
        <v>15476</v>
      </c>
      <c r="I205" s="20" t="s">
        <v>15476</v>
      </c>
      <c r="J205" s="19" t="s">
        <v>15477</v>
      </c>
      <c r="K205" s="19" t="s">
        <v>15478</v>
      </c>
      <c r="L205" s="19" t="s">
        <v>15466</v>
      </c>
      <c r="M205" s="20" t="s">
        <v>15362</v>
      </c>
      <c r="N205" s="20" t="s">
        <v>15476</v>
      </c>
      <c r="O205" s="20"/>
      <c r="P205" s="20"/>
      <c r="Q205" s="20"/>
      <c r="R205" s="20" t="s">
        <v>15346</v>
      </c>
      <c r="S205" s="20">
        <v>30</v>
      </c>
      <c r="T205" s="20">
        <v>22</v>
      </c>
      <c r="U205" s="20">
        <v>0</v>
      </c>
      <c r="V205" s="24" t="s">
        <v>1257</v>
      </c>
      <c r="W205" s="22" t="s">
        <v>15329</v>
      </c>
    </row>
    <row r="206" spans="1:23" x14ac:dyDescent="0.35">
      <c r="A206" s="18" t="s">
        <v>15318</v>
      </c>
      <c r="B206" s="19" t="s">
        <v>33</v>
      </c>
      <c r="C206" s="24" t="s">
        <v>1257</v>
      </c>
      <c r="D206" s="24" t="s">
        <v>1395</v>
      </c>
      <c r="E206" s="19" t="s">
        <v>15319</v>
      </c>
      <c r="F206" s="19" t="s">
        <v>1253</v>
      </c>
      <c r="G206" s="19" t="s">
        <v>15320</v>
      </c>
      <c r="H206" s="20" t="s">
        <v>15392</v>
      </c>
      <c r="I206" s="20" t="s">
        <v>15392</v>
      </c>
      <c r="J206" s="19" t="s">
        <v>15747</v>
      </c>
      <c r="K206" s="19" t="s">
        <v>15748</v>
      </c>
      <c r="L206" s="19"/>
      <c r="M206" s="20" t="s">
        <v>15350</v>
      </c>
      <c r="N206" s="20" t="s">
        <v>15392</v>
      </c>
      <c r="O206" s="20"/>
      <c r="P206" s="20"/>
      <c r="Q206" s="20"/>
      <c r="R206" s="20" t="s">
        <v>15346</v>
      </c>
      <c r="S206" s="20">
        <v>30</v>
      </c>
      <c r="T206" s="20">
        <v>22</v>
      </c>
      <c r="U206" s="20">
        <v>0</v>
      </c>
      <c r="V206" s="24" t="s">
        <v>1257</v>
      </c>
      <c r="W206" s="22" t="s">
        <v>15329</v>
      </c>
    </row>
    <row r="207" spans="1:23" x14ac:dyDescent="0.35">
      <c r="A207" s="18" t="s">
        <v>15318</v>
      </c>
      <c r="B207" s="19" t="s">
        <v>33</v>
      </c>
      <c r="C207" s="24" t="s">
        <v>1257</v>
      </c>
      <c r="D207" s="24" t="s">
        <v>1395</v>
      </c>
      <c r="E207" s="19" t="s">
        <v>15319</v>
      </c>
      <c r="F207" s="19" t="s">
        <v>1253</v>
      </c>
      <c r="G207" s="19" t="s">
        <v>15320</v>
      </c>
      <c r="H207" s="20" t="s">
        <v>15351</v>
      </c>
      <c r="I207" s="20" t="s">
        <v>15351</v>
      </c>
      <c r="J207" s="19" t="s">
        <v>15521</v>
      </c>
      <c r="K207" s="19" t="s">
        <v>15522</v>
      </c>
      <c r="L207" s="19"/>
      <c r="M207" s="20" t="s">
        <v>15362</v>
      </c>
      <c r="N207" s="20" t="s">
        <v>15351</v>
      </c>
      <c r="O207" s="20"/>
      <c r="P207" s="20"/>
      <c r="Q207" s="20"/>
      <c r="R207" s="20" t="s">
        <v>15346</v>
      </c>
      <c r="S207" s="20">
        <v>30</v>
      </c>
      <c r="T207" s="20">
        <v>22</v>
      </c>
      <c r="U207" s="20">
        <v>20</v>
      </c>
      <c r="V207" s="24" t="s">
        <v>1257</v>
      </c>
      <c r="W207" s="22" t="s">
        <v>15329</v>
      </c>
    </row>
    <row r="208" spans="1:23" x14ac:dyDescent="0.35">
      <c r="A208" s="18" t="s">
        <v>15318</v>
      </c>
      <c r="B208" s="19" t="s">
        <v>33</v>
      </c>
      <c r="C208" s="24" t="s">
        <v>1257</v>
      </c>
      <c r="D208" s="24" t="s">
        <v>1395</v>
      </c>
      <c r="E208" s="19" t="s">
        <v>15319</v>
      </c>
      <c r="F208" s="19" t="s">
        <v>1253</v>
      </c>
      <c r="G208" s="19" t="s">
        <v>15320</v>
      </c>
      <c r="H208" s="20" t="s">
        <v>15359</v>
      </c>
      <c r="I208" s="20" t="s">
        <v>15359</v>
      </c>
      <c r="J208" s="19" t="s">
        <v>15672</v>
      </c>
      <c r="K208" s="19" t="s">
        <v>15673</v>
      </c>
      <c r="L208" s="19"/>
      <c r="M208" s="20" t="s">
        <v>15362</v>
      </c>
      <c r="N208" s="20" t="s">
        <v>15359</v>
      </c>
      <c r="O208" s="20"/>
      <c r="P208" s="20"/>
      <c r="Q208" s="20"/>
      <c r="R208" s="20" t="s">
        <v>15346</v>
      </c>
      <c r="S208" s="20">
        <v>30</v>
      </c>
      <c r="T208" s="20">
        <v>22</v>
      </c>
      <c r="U208" s="20">
        <v>5</v>
      </c>
      <c r="V208" s="24" t="s">
        <v>1257</v>
      </c>
      <c r="W208" s="22" t="s">
        <v>15329</v>
      </c>
    </row>
    <row r="209" spans="1:23" x14ac:dyDescent="0.35">
      <c r="A209" s="18" t="s">
        <v>15318</v>
      </c>
      <c r="B209" s="19" t="s">
        <v>33</v>
      </c>
      <c r="C209" s="24" t="s">
        <v>1257</v>
      </c>
      <c r="D209" s="24" t="s">
        <v>1395</v>
      </c>
      <c r="E209" s="19" t="s">
        <v>15319</v>
      </c>
      <c r="F209" s="19" t="s">
        <v>1253</v>
      </c>
      <c r="G209" s="19" t="s">
        <v>15320</v>
      </c>
      <c r="H209" s="20" t="s">
        <v>15423</v>
      </c>
      <c r="I209" s="20" t="s">
        <v>15423</v>
      </c>
      <c r="J209" s="19" t="s">
        <v>15734</v>
      </c>
      <c r="K209" s="19" t="s">
        <v>15735</v>
      </c>
      <c r="L209" s="19"/>
      <c r="M209" s="20" t="s">
        <v>15350</v>
      </c>
      <c r="N209" s="20" t="s">
        <v>15423</v>
      </c>
      <c r="O209" s="20"/>
      <c r="P209" s="20"/>
      <c r="Q209" s="20"/>
      <c r="R209" s="20" t="s">
        <v>15346</v>
      </c>
      <c r="S209" s="20">
        <v>30</v>
      </c>
      <c r="T209" s="20">
        <v>22</v>
      </c>
      <c r="U209" s="20">
        <v>0</v>
      </c>
      <c r="V209" s="24" t="s">
        <v>1257</v>
      </c>
      <c r="W209" s="22" t="s">
        <v>15329</v>
      </c>
    </row>
    <row r="210" spans="1:23" x14ac:dyDescent="0.35">
      <c r="A210" s="18" t="s">
        <v>15318</v>
      </c>
      <c r="B210" s="19" t="s">
        <v>33</v>
      </c>
      <c r="C210" s="24" t="s">
        <v>1257</v>
      </c>
      <c r="D210" s="24" t="s">
        <v>1395</v>
      </c>
      <c r="E210" s="19" t="s">
        <v>15319</v>
      </c>
      <c r="F210" s="19" t="s">
        <v>1253</v>
      </c>
      <c r="G210" s="19" t="s">
        <v>15320</v>
      </c>
      <c r="H210" s="20" t="s">
        <v>15337</v>
      </c>
      <c r="I210" s="20" t="s">
        <v>15337</v>
      </c>
      <c r="J210" s="19" t="s">
        <v>15764</v>
      </c>
      <c r="K210" s="19" t="s">
        <v>15765</v>
      </c>
      <c r="L210" s="19" t="s">
        <v>15324</v>
      </c>
      <c r="M210" s="20" t="s">
        <v>15341</v>
      </c>
      <c r="N210" s="20" t="s">
        <v>15337</v>
      </c>
      <c r="O210" s="20"/>
      <c r="P210" s="20"/>
      <c r="Q210" s="20"/>
      <c r="R210" s="20" t="s">
        <v>15324</v>
      </c>
      <c r="S210" s="20">
        <v>30</v>
      </c>
      <c r="T210" s="20">
        <v>22</v>
      </c>
      <c r="U210" s="20">
        <v>51</v>
      </c>
      <c r="V210" s="24" t="s">
        <v>1395</v>
      </c>
      <c r="W210" s="22" t="s">
        <v>15325</v>
      </c>
    </row>
    <row r="211" spans="1:23" x14ac:dyDescent="0.35">
      <c r="A211" s="18" t="s">
        <v>15318</v>
      </c>
      <c r="B211" s="19" t="s">
        <v>33</v>
      </c>
      <c r="C211" s="24" t="s">
        <v>1257</v>
      </c>
      <c r="D211" s="24" t="s">
        <v>1395</v>
      </c>
      <c r="E211" s="19" t="s">
        <v>15319</v>
      </c>
      <c r="F211" s="19" t="s">
        <v>1253</v>
      </c>
      <c r="G211" s="19" t="s">
        <v>15320</v>
      </c>
      <c r="H211" s="20" t="s">
        <v>15331</v>
      </c>
      <c r="I211" s="20" t="s">
        <v>15331</v>
      </c>
      <c r="J211" s="19" t="s">
        <v>15472</v>
      </c>
      <c r="K211" s="19" t="s">
        <v>15473</v>
      </c>
      <c r="L211" s="19" t="s">
        <v>15371</v>
      </c>
      <c r="M211" s="20" t="s">
        <v>15357</v>
      </c>
      <c r="N211" s="20" t="s">
        <v>15331</v>
      </c>
      <c r="O211" s="20"/>
      <c r="P211" s="20"/>
      <c r="Q211" s="20"/>
      <c r="R211" s="20" t="s">
        <v>15324</v>
      </c>
      <c r="S211" s="20">
        <v>30</v>
      </c>
      <c r="T211" s="20">
        <v>22</v>
      </c>
      <c r="U211" s="20">
        <v>51</v>
      </c>
      <c r="V211" s="24" t="s">
        <v>1395</v>
      </c>
      <c r="W211" s="22" t="s">
        <v>15325</v>
      </c>
    </row>
    <row r="212" spans="1:23" x14ac:dyDescent="0.35">
      <c r="A212" s="18" t="s">
        <v>15318</v>
      </c>
      <c r="B212" s="19" t="s">
        <v>33</v>
      </c>
      <c r="C212" s="24" t="s">
        <v>1257</v>
      </c>
      <c r="D212" s="24" t="s">
        <v>1395</v>
      </c>
      <c r="E212" s="19" t="s">
        <v>15319</v>
      </c>
      <c r="F212" s="19" t="s">
        <v>1253</v>
      </c>
      <c r="G212" s="19" t="s">
        <v>15320</v>
      </c>
      <c r="H212" s="20" t="s">
        <v>2197</v>
      </c>
      <c r="I212" s="20" t="s">
        <v>2197</v>
      </c>
      <c r="J212" s="19" t="s">
        <v>15321</v>
      </c>
      <c r="K212" s="19" t="s">
        <v>15322</v>
      </c>
      <c r="L212" s="19"/>
      <c r="M212" s="20" t="s">
        <v>15323</v>
      </c>
      <c r="N212" s="20" t="s">
        <v>2197</v>
      </c>
      <c r="O212" s="20"/>
      <c r="P212" s="20"/>
      <c r="Q212" s="20"/>
      <c r="R212" s="20" t="s">
        <v>15324</v>
      </c>
      <c r="S212" s="20">
        <v>30</v>
      </c>
      <c r="T212" s="20">
        <v>22</v>
      </c>
      <c r="U212" s="20">
        <v>80</v>
      </c>
      <c r="V212" s="24" t="s">
        <v>1395</v>
      </c>
      <c r="W212" s="22" t="s">
        <v>15325</v>
      </c>
    </row>
    <row r="213" spans="1:23" x14ac:dyDescent="0.35">
      <c r="A213" s="18" t="s">
        <v>15318</v>
      </c>
      <c r="B213" s="19" t="s">
        <v>33</v>
      </c>
      <c r="C213" s="24" t="s">
        <v>1257</v>
      </c>
      <c r="D213" s="24" t="s">
        <v>1395</v>
      </c>
      <c r="E213" s="19" t="s">
        <v>15319</v>
      </c>
      <c r="F213" s="19" t="s">
        <v>1253</v>
      </c>
      <c r="G213" s="19" t="s">
        <v>15320</v>
      </c>
      <c r="H213" s="20" t="s">
        <v>2135</v>
      </c>
      <c r="I213" s="20" t="s">
        <v>2135</v>
      </c>
      <c r="J213" s="19" t="s">
        <v>15781</v>
      </c>
      <c r="K213" s="19" t="s">
        <v>15782</v>
      </c>
      <c r="L213" s="19"/>
      <c r="M213" s="20" t="s">
        <v>15323</v>
      </c>
      <c r="N213" s="20" t="s">
        <v>2135</v>
      </c>
      <c r="O213" s="20"/>
      <c r="P213" s="20"/>
      <c r="Q213" s="20"/>
      <c r="R213" s="20" t="s">
        <v>15324</v>
      </c>
      <c r="S213" s="20">
        <v>30</v>
      </c>
      <c r="T213" s="20">
        <v>22</v>
      </c>
      <c r="U213" s="20">
        <v>80</v>
      </c>
      <c r="V213" s="24" t="s">
        <v>1395</v>
      </c>
      <c r="W213" s="22" t="s">
        <v>15325</v>
      </c>
    </row>
    <row r="214" spans="1:23" x14ac:dyDescent="0.35">
      <c r="A214" s="18" t="s">
        <v>15318</v>
      </c>
      <c r="B214" s="19" t="s">
        <v>33</v>
      </c>
      <c r="C214" s="24" t="s">
        <v>1257</v>
      </c>
      <c r="D214" s="24" t="s">
        <v>1395</v>
      </c>
      <c r="E214" s="19" t="s">
        <v>15319</v>
      </c>
      <c r="F214" s="19" t="s">
        <v>1253</v>
      </c>
      <c r="G214" s="19" t="s">
        <v>15320</v>
      </c>
      <c r="H214" s="20" t="s">
        <v>2151</v>
      </c>
      <c r="I214" s="20" t="s">
        <v>2151</v>
      </c>
      <c r="J214" s="19" t="s">
        <v>15843</v>
      </c>
      <c r="K214" s="19" t="s">
        <v>15844</v>
      </c>
      <c r="L214" s="19"/>
      <c r="M214" s="20" t="s">
        <v>15341</v>
      </c>
      <c r="N214" s="20" t="s">
        <v>2151</v>
      </c>
      <c r="O214" s="20"/>
      <c r="P214" s="20"/>
      <c r="Q214" s="20"/>
      <c r="R214" s="20" t="s">
        <v>15324</v>
      </c>
      <c r="S214" s="20">
        <v>30</v>
      </c>
      <c r="T214" s="20">
        <v>22</v>
      </c>
      <c r="U214" s="20">
        <v>51</v>
      </c>
      <c r="V214" s="24" t="s">
        <v>1395</v>
      </c>
      <c r="W214" s="22" t="s">
        <v>15325</v>
      </c>
    </row>
    <row r="215" spans="1:23" x14ac:dyDescent="0.35">
      <c r="A215" s="18" t="s">
        <v>15318</v>
      </c>
      <c r="B215" s="19" t="s">
        <v>33</v>
      </c>
      <c r="C215" s="24" t="s">
        <v>1257</v>
      </c>
      <c r="D215" s="24" t="s">
        <v>1395</v>
      </c>
      <c r="E215" s="19" t="s">
        <v>15319</v>
      </c>
      <c r="F215" s="19" t="s">
        <v>1253</v>
      </c>
      <c r="G215" s="19" t="s">
        <v>15320</v>
      </c>
      <c r="H215" s="20" t="s">
        <v>15409</v>
      </c>
      <c r="I215" s="20" t="s">
        <v>15409</v>
      </c>
      <c r="J215" s="19" t="s">
        <v>15827</v>
      </c>
      <c r="K215" s="19" t="s">
        <v>15828</v>
      </c>
      <c r="L215" s="19"/>
      <c r="M215" s="20" t="s">
        <v>15341</v>
      </c>
      <c r="N215" s="20" t="s">
        <v>15409</v>
      </c>
      <c r="O215" s="20"/>
      <c r="P215" s="20"/>
      <c r="Q215" s="20"/>
      <c r="R215" s="20" t="s">
        <v>15324</v>
      </c>
      <c r="S215" s="20">
        <v>30</v>
      </c>
      <c r="T215" s="20">
        <v>22</v>
      </c>
      <c r="U215" s="20">
        <v>80</v>
      </c>
      <c r="V215" s="24" t="s">
        <v>1395</v>
      </c>
      <c r="W215" s="22" t="s">
        <v>15325</v>
      </c>
    </row>
    <row r="216" spans="1:23" x14ac:dyDescent="0.35">
      <c r="A216" s="18" t="s">
        <v>15318</v>
      </c>
      <c r="B216" s="19" t="s">
        <v>33</v>
      </c>
      <c r="C216" s="24" t="s">
        <v>1257</v>
      </c>
      <c r="D216" s="24" t="s">
        <v>1395</v>
      </c>
      <c r="E216" s="19" t="s">
        <v>15319</v>
      </c>
      <c r="F216" s="19" t="s">
        <v>1253</v>
      </c>
      <c r="G216" s="19" t="s">
        <v>15320</v>
      </c>
      <c r="H216" s="20" t="s">
        <v>15381</v>
      </c>
      <c r="I216" s="20" t="s">
        <v>15381</v>
      </c>
      <c r="J216" s="19" t="s">
        <v>15397</v>
      </c>
      <c r="K216" s="19" t="s">
        <v>15398</v>
      </c>
      <c r="L216" s="19"/>
      <c r="M216" s="20" t="s">
        <v>15323</v>
      </c>
      <c r="N216" s="20" t="s">
        <v>15381</v>
      </c>
      <c r="O216" s="20"/>
      <c r="P216" s="20"/>
      <c r="Q216" s="20"/>
      <c r="R216" s="20" t="s">
        <v>15324</v>
      </c>
      <c r="S216" s="20">
        <v>30</v>
      </c>
      <c r="T216" s="20">
        <v>22</v>
      </c>
      <c r="U216" s="20">
        <v>50</v>
      </c>
      <c r="V216" s="24" t="s">
        <v>1395</v>
      </c>
      <c r="W216" s="22" t="s">
        <v>15325</v>
      </c>
    </row>
    <row r="217" spans="1:23" x14ac:dyDescent="0.35">
      <c r="A217" s="18" t="s">
        <v>15318</v>
      </c>
      <c r="B217" s="19" t="s">
        <v>33</v>
      </c>
      <c r="C217" s="24" t="s">
        <v>1257</v>
      </c>
      <c r="D217" s="24" t="s">
        <v>1395</v>
      </c>
      <c r="E217" s="19" t="s">
        <v>15319</v>
      </c>
      <c r="F217" s="19" t="s">
        <v>1253</v>
      </c>
      <c r="G217" s="19" t="s">
        <v>15320</v>
      </c>
      <c r="H217" s="20" t="s">
        <v>15354</v>
      </c>
      <c r="I217" s="20" t="s">
        <v>15354</v>
      </c>
      <c r="J217" s="19" t="s">
        <v>15696</v>
      </c>
      <c r="K217" s="19" t="s">
        <v>15697</v>
      </c>
      <c r="L217" s="19"/>
      <c r="M217" s="20" t="s">
        <v>15341</v>
      </c>
      <c r="N217" s="20" t="s">
        <v>15354</v>
      </c>
      <c r="O217" s="20"/>
      <c r="P217" s="20"/>
      <c r="Q217" s="20"/>
      <c r="R217" s="20" t="s">
        <v>15324</v>
      </c>
      <c r="S217" s="20">
        <v>30</v>
      </c>
      <c r="T217" s="20">
        <v>22</v>
      </c>
      <c r="U217" s="20">
        <v>72</v>
      </c>
      <c r="V217" s="24" t="s">
        <v>1395</v>
      </c>
      <c r="W217" s="22" t="s">
        <v>15325</v>
      </c>
    </row>
    <row r="218" spans="1:23" x14ac:dyDescent="0.35">
      <c r="A218" s="18" t="s">
        <v>15318</v>
      </c>
      <c r="B218" s="19" t="s">
        <v>33</v>
      </c>
      <c r="C218" s="24" t="s">
        <v>1257</v>
      </c>
      <c r="D218" s="24" t="s">
        <v>1395</v>
      </c>
      <c r="E218" s="19" t="s">
        <v>15319</v>
      </c>
      <c r="F218" s="19" t="s">
        <v>1253</v>
      </c>
      <c r="G218" s="19" t="s">
        <v>15320</v>
      </c>
      <c r="H218" s="20" t="s">
        <v>15378</v>
      </c>
      <c r="I218" s="20" t="s">
        <v>15378</v>
      </c>
      <c r="J218" s="19" t="s">
        <v>15504</v>
      </c>
      <c r="K218" s="19" t="s">
        <v>15505</v>
      </c>
      <c r="L218" s="19"/>
      <c r="M218" s="20" t="s">
        <v>15362</v>
      </c>
      <c r="N218" s="20" t="s">
        <v>15378</v>
      </c>
      <c r="O218" s="20"/>
      <c r="P218" s="20"/>
      <c r="Q218" s="20"/>
      <c r="R218" s="20" t="s">
        <v>15324</v>
      </c>
      <c r="S218" s="20">
        <v>30</v>
      </c>
      <c r="T218" s="20">
        <v>22</v>
      </c>
      <c r="U218" s="20">
        <v>80</v>
      </c>
      <c r="V218" s="24" t="s">
        <v>1395</v>
      </c>
      <c r="W218" s="22" t="s">
        <v>15325</v>
      </c>
    </row>
    <row r="219" spans="1:23" x14ac:dyDescent="0.35">
      <c r="A219" s="18" t="s">
        <v>15318</v>
      </c>
      <c r="B219" s="19" t="s">
        <v>33</v>
      </c>
      <c r="C219" s="24" t="s">
        <v>1257</v>
      </c>
      <c r="D219" s="24" t="s">
        <v>1395</v>
      </c>
      <c r="E219" s="19" t="s">
        <v>15319</v>
      </c>
      <c r="F219" s="19" t="s">
        <v>1253</v>
      </c>
      <c r="G219" s="19" t="s">
        <v>15320</v>
      </c>
      <c r="H219" s="20" t="s">
        <v>15420</v>
      </c>
      <c r="I219" s="20" t="s">
        <v>15420</v>
      </c>
      <c r="J219" s="19" t="s">
        <v>15421</v>
      </c>
      <c r="K219" s="19" t="s">
        <v>15422</v>
      </c>
      <c r="L219" s="19"/>
      <c r="M219" s="20" t="s">
        <v>15341</v>
      </c>
      <c r="N219" s="20" t="s">
        <v>15420</v>
      </c>
      <c r="O219" s="20"/>
      <c r="P219" s="20"/>
      <c r="Q219" s="20"/>
      <c r="R219" s="20" t="s">
        <v>15324</v>
      </c>
      <c r="S219" s="20">
        <v>30</v>
      </c>
      <c r="T219" s="20">
        <v>22</v>
      </c>
      <c r="U219" s="20">
        <v>80</v>
      </c>
      <c r="V219" s="24" t="s">
        <v>1395</v>
      </c>
      <c r="W219" s="22" t="s">
        <v>15325</v>
      </c>
    </row>
    <row r="220" spans="1:23" x14ac:dyDescent="0.35">
      <c r="A220" s="18" t="s">
        <v>15318</v>
      </c>
      <c r="B220" s="19" t="s">
        <v>33</v>
      </c>
      <c r="C220" s="24" t="s">
        <v>1257</v>
      </c>
      <c r="D220" s="24" t="s">
        <v>1395</v>
      </c>
      <c r="E220" s="19" t="s">
        <v>15319</v>
      </c>
      <c r="F220" s="19" t="s">
        <v>1253</v>
      </c>
      <c r="G220" s="19" t="s">
        <v>15320</v>
      </c>
      <c r="H220" s="20" t="s">
        <v>15404</v>
      </c>
      <c r="I220" s="20" t="s">
        <v>15404</v>
      </c>
      <c r="J220" s="19" t="s">
        <v>15531</v>
      </c>
      <c r="K220" s="19" t="s">
        <v>15532</v>
      </c>
      <c r="L220" s="19"/>
      <c r="M220" s="20" t="s">
        <v>15357</v>
      </c>
      <c r="N220" s="20" t="s">
        <v>15404</v>
      </c>
      <c r="O220" s="20"/>
      <c r="P220" s="20"/>
      <c r="Q220" s="20"/>
      <c r="R220" s="20" t="s">
        <v>15324</v>
      </c>
      <c r="S220" s="20">
        <v>30</v>
      </c>
      <c r="T220" s="20">
        <v>22</v>
      </c>
      <c r="U220" s="20">
        <v>57</v>
      </c>
      <c r="V220" s="24" t="s">
        <v>1395</v>
      </c>
      <c r="W220" s="22" t="s">
        <v>15325</v>
      </c>
    </row>
    <row r="221" spans="1:23" x14ac:dyDescent="0.35">
      <c r="A221" s="18" t="s">
        <v>15318</v>
      </c>
      <c r="B221" s="19" t="s">
        <v>33</v>
      </c>
      <c r="C221" s="24" t="s">
        <v>1257</v>
      </c>
      <c r="D221" s="24" t="s">
        <v>1395</v>
      </c>
      <c r="E221" s="19" t="s">
        <v>15319</v>
      </c>
      <c r="F221" s="19" t="s">
        <v>1253</v>
      </c>
      <c r="G221" s="19" t="s">
        <v>15320</v>
      </c>
      <c r="H221" s="20" t="s">
        <v>15451</v>
      </c>
      <c r="I221" s="20" t="s">
        <v>15451</v>
      </c>
      <c r="J221" s="19" t="s">
        <v>15865</v>
      </c>
      <c r="K221" s="19" t="s">
        <v>15866</v>
      </c>
      <c r="L221" s="19"/>
      <c r="M221" s="20" t="s">
        <v>15350</v>
      </c>
      <c r="N221" s="20" t="s">
        <v>15451</v>
      </c>
      <c r="O221" s="20"/>
      <c r="P221" s="20"/>
      <c r="Q221" s="20"/>
      <c r="R221" s="20" t="s">
        <v>15324</v>
      </c>
      <c r="S221" s="20">
        <v>30</v>
      </c>
      <c r="T221" s="20">
        <v>22</v>
      </c>
      <c r="U221" s="20">
        <v>80</v>
      </c>
      <c r="V221" s="24" t="s">
        <v>1395</v>
      </c>
      <c r="W221" s="22" t="s">
        <v>15325</v>
      </c>
    </row>
    <row r="222" spans="1:23" x14ac:dyDescent="0.35">
      <c r="A222" s="18" t="s">
        <v>15318</v>
      </c>
      <c r="B222" s="19" t="s">
        <v>33</v>
      </c>
      <c r="C222" s="24" t="s">
        <v>1257</v>
      </c>
      <c r="D222" s="24" t="s">
        <v>1395</v>
      </c>
      <c r="E222" s="19" t="s">
        <v>15319</v>
      </c>
      <c r="F222" s="19" t="s">
        <v>1253</v>
      </c>
      <c r="G222" s="19" t="s">
        <v>15320</v>
      </c>
      <c r="H222" s="20" t="s">
        <v>15363</v>
      </c>
      <c r="I222" s="20" t="s">
        <v>15363</v>
      </c>
      <c r="J222" s="19" t="s">
        <v>15783</v>
      </c>
      <c r="K222" s="19" t="s">
        <v>15784</v>
      </c>
      <c r="L222" s="19"/>
      <c r="M222" s="20" t="s">
        <v>15350</v>
      </c>
      <c r="N222" s="20" t="s">
        <v>15363</v>
      </c>
      <c r="O222" s="20"/>
      <c r="P222" s="20"/>
      <c r="Q222" s="20"/>
      <c r="R222" s="20" t="s">
        <v>15324</v>
      </c>
      <c r="S222" s="20">
        <v>30</v>
      </c>
      <c r="T222" s="20">
        <v>22</v>
      </c>
      <c r="U222" s="20">
        <v>54</v>
      </c>
      <c r="V222" s="24" t="s">
        <v>1395</v>
      </c>
      <c r="W222" s="22" t="s">
        <v>15325</v>
      </c>
    </row>
    <row r="223" spans="1:23" x14ac:dyDescent="0.35">
      <c r="A223" s="18" t="s">
        <v>15318</v>
      </c>
      <c r="B223" s="19" t="s">
        <v>33</v>
      </c>
      <c r="C223" s="24" t="s">
        <v>1257</v>
      </c>
      <c r="D223" s="24" t="s">
        <v>1395</v>
      </c>
      <c r="E223" s="19" t="s">
        <v>15319</v>
      </c>
      <c r="F223" s="19" t="s">
        <v>1253</v>
      </c>
      <c r="G223" s="19" t="s">
        <v>15320</v>
      </c>
      <c r="H223" s="20" t="s">
        <v>15364</v>
      </c>
      <c r="I223" s="20" t="s">
        <v>15364</v>
      </c>
      <c r="J223" s="19" t="s">
        <v>15709</v>
      </c>
      <c r="K223" s="19" t="s">
        <v>15710</v>
      </c>
      <c r="L223" s="19"/>
      <c r="M223" s="20" t="s">
        <v>15323</v>
      </c>
      <c r="N223" s="20" t="s">
        <v>15364</v>
      </c>
      <c r="O223" s="20"/>
      <c r="P223" s="20"/>
      <c r="Q223" s="20"/>
      <c r="R223" s="20" t="s">
        <v>15324</v>
      </c>
      <c r="S223" s="20">
        <v>30</v>
      </c>
      <c r="T223" s="20">
        <v>22</v>
      </c>
      <c r="U223" s="20">
        <v>80</v>
      </c>
      <c r="V223" s="24" t="s">
        <v>1395</v>
      </c>
      <c r="W223" s="22" t="s">
        <v>15325</v>
      </c>
    </row>
    <row r="224" spans="1:23" x14ac:dyDescent="0.35">
      <c r="A224" s="18" t="s">
        <v>15318</v>
      </c>
      <c r="B224" s="19" t="s">
        <v>33</v>
      </c>
      <c r="C224" s="24" t="s">
        <v>1257</v>
      </c>
      <c r="D224" s="24" t="s">
        <v>1395</v>
      </c>
      <c r="E224" s="19" t="s">
        <v>15319</v>
      </c>
      <c r="F224" s="19" t="s">
        <v>1253</v>
      </c>
      <c r="G224" s="19" t="s">
        <v>15320</v>
      </c>
      <c r="H224" s="20" t="s">
        <v>15347</v>
      </c>
      <c r="I224" s="20" t="s">
        <v>15347</v>
      </c>
      <c r="J224" s="19" t="s">
        <v>15348</v>
      </c>
      <c r="K224" s="19" t="s">
        <v>15349</v>
      </c>
      <c r="L224" s="19" t="s">
        <v>15324</v>
      </c>
      <c r="M224" s="20" t="s">
        <v>15350</v>
      </c>
      <c r="N224" s="20" t="s">
        <v>15347</v>
      </c>
      <c r="O224" s="20"/>
      <c r="P224" s="20"/>
      <c r="Q224" s="20"/>
      <c r="R224" s="20" t="s">
        <v>15346</v>
      </c>
      <c r="S224" s="20">
        <v>30</v>
      </c>
      <c r="T224" s="20">
        <v>22</v>
      </c>
      <c r="U224" s="20">
        <v>29</v>
      </c>
      <c r="V224" s="24" t="s">
        <v>1395</v>
      </c>
      <c r="W224" s="22" t="s">
        <v>15325</v>
      </c>
    </row>
    <row r="225" spans="1:23" x14ac:dyDescent="0.35">
      <c r="A225" s="18" t="s">
        <v>15318</v>
      </c>
      <c r="B225" s="19" t="s">
        <v>33</v>
      </c>
      <c r="C225" s="24" t="s">
        <v>1257</v>
      </c>
      <c r="D225" s="24" t="s">
        <v>1395</v>
      </c>
      <c r="E225" s="19" t="s">
        <v>15319</v>
      </c>
      <c r="F225" s="19" t="s">
        <v>1253</v>
      </c>
      <c r="G225" s="19" t="s">
        <v>15320</v>
      </c>
      <c r="H225" s="20" t="s">
        <v>15412</v>
      </c>
      <c r="I225" s="20" t="s">
        <v>15412</v>
      </c>
      <c r="J225" s="19" t="s">
        <v>15724</v>
      </c>
      <c r="K225" s="19" t="s">
        <v>15725</v>
      </c>
      <c r="L225" s="19" t="s">
        <v>15371</v>
      </c>
      <c r="M225" s="20" t="s">
        <v>15341</v>
      </c>
      <c r="N225" s="20" t="s">
        <v>15412</v>
      </c>
      <c r="O225" s="20"/>
      <c r="P225" s="20"/>
      <c r="Q225" s="20"/>
      <c r="R225" s="20" t="s">
        <v>15346</v>
      </c>
      <c r="S225" s="20">
        <v>30</v>
      </c>
      <c r="T225" s="20">
        <v>22</v>
      </c>
      <c r="U225" s="20">
        <v>8</v>
      </c>
      <c r="V225" s="24" t="s">
        <v>1395</v>
      </c>
      <c r="W225" s="22" t="s">
        <v>15325</v>
      </c>
    </row>
    <row r="226" spans="1:23" x14ac:dyDescent="0.35">
      <c r="A226" s="18" t="s">
        <v>15318</v>
      </c>
      <c r="B226" s="19" t="s">
        <v>33</v>
      </c>
      <c r="C226" s="24" t="s">
        <v>1257</v>
      </c>
      <c r="D226" s="24" t="s">
        <v>1395</v>
      </c>
      <c r="E226" s="19" t="s">
        <v>15319</v>
      </c>
      <c r="F226" s="19" t="s">
        <v>1253</v>
      </c>
      <c r="G226" s="19" t="s">
        <v>15320</v>
      </c>
      <c r="H226" s="20" t="s">
        <v>15342</v>
      </c>
      <c r="I226" s="20" t="s">
        <v>15342</v>
      </c>
      <c r="J226" s="19" t="s">
        <v>15771</v>
      </c>
      <c r="K226" s="19" t="s">
        <v>15772</v>
      </c>
      <c r="L226" s="19" t="s">
        <v>15596</v>
      </c>
      <c r="M226" s="20" t="s">
        <v>15341</v>
      </c>
      <c r="N226" s="20" t="s">
        <v>15342</v>
      </c>
      <c r="O226" s="20"/>
      <c r="P226" s="20"/>
      <c r="Q226" s="20"/>
      <c r="R226" s="20" t="s">
        <v>15346</v>
      </c>
      <c r="S226" s="20">
        <v>30</v>
      </c>
      <c r="T226" s="20">
        <v>22</v>
      </c>
      <c r="U226" s="20">
        <v>29</v>
      </c>
      <c r="V226" s="24" t="s">
        <v>1395</v>
      </c>
      <c r="W226" s="22" t="s">
        <v>15325</v>
      </c>
    </row>
    <row r="227" spans="1:23" x14ac:dyDescent="0.35">
      <c r="A227" s="18" t="s">
        <v>15318</v>
      </c>
      <c r="B227" s="19" t="s">
        <v>33</v>
      </c>
      <c r="C227" s="24" t="s">
        <v>1257</v>
      </c>
      <c r="D227" s="24" t="s">
        <v>1395</v>
      </c>
      <c r="E227" s="19" t="s">
        <v>15319</v>
      </c>
      <c r="F227" s="19" t="s">
        <v>1253</v>
      </c>
      <c r="G227" s="19" t="s">
        <v>15320</v>
      </c>
      <c r="H227" s="20" t="s">
        <v>15476</v>
      </c>
      <c r="I227" s="20" t="s">
        <v>15476</v>
      </c>
      <c r="J227" s="19" t="s">
        <v>15617</v>
      </c>
      <c r="K227" s="19" t="s">
        <v>15618</v>
      </c>
      <c r="L227" s="19"/>
      <c r="M227" s="20" t="s">
        <v>15362</v>
      </c>
      <c r="N227" s="20" t="s">
        <v>15476</v>
      </c>
      <c r="O227" s="20"/>
      <c r="P227" s="20"/>
      <c r="Q227" s="20"/>
      <c r="R227" s="20" t="s">
        <v>15346</v>
      </c>
      <c r="S227" s="20">
        <v>30</v>
      </c>
      <c r="T227" s="20">
        <v>22</v>
      </c>
      <c r="U227" s="20">
        <v>29</v>
      </c>
      <c r="V227" s="24" t="s">
        <v>1395</v>
      </c>
      <c r="W227" s="22" t="s">
        <v>15325</v>
      </c>
    </row>
    <row r="228" spans="1:23" x14ac:dyDescent="0.35">
      <c r="A228" s="18" t="s">
        <v>15318</v>
      </c>
      <c r="B228" s="19" t="s">
        <v>33</v>
      </c>
      <c r="C228" s="24" t="s">
        <v>1257</v>
      </c>
      <c r="D228" s="24" t="s">
        <v>1395</v>
      </c>
      <c r="E228" s="19" t="s">
        <v>15319</v>
      </c>
      <c r="F228" s="19" t="s">
        <v>1253</v>
      </c>
      <c r="G228" s="19" t="s">
        <v>15320</v>
      </c>
      <c r="H228" s="20" t="s">
        <v>15392</v>
      </c>
      <c r="I228" s="20" t="s">
        <v>15392</v>
      </c>
      <c r="J228" s="19" t="s">
        <v>15393</v>
      </c>
      <c r="K228" s="19" t="s">
        <v>15394</v>
      </c>
      <c r="L228" s="19"/>
      <c r="M228" s="20" t="s">
        <v>15362</v>
      </c>
      <c r="N228" s="20" t="s">
        <v>15392</v>
      </c>
      <c r="O228" s="20"/>
      <c r="P228" s="20"/>
      <c r="Q228" s="20"/>
      <c r="R228" s="20" t="s">
        <v>15346</v>
      </c>
      <c r="S228" s="20">
        <v>30</v>
      </c>
      <c r="T228" s="20">
        <v>22</v>
      </c>
      <c r="U228" s="20">
        <v>30</v>
      </c>
      <c r="V228" s="24" t="s">
        <v>1395</v>
      </c>
      <c r="W228" s="22" t="s">
        <v>15325</v>
      </c>
    </row>
    <row r="229" spans="1:23" x14ac:dyDescent="0.35">
      <c r="A229" s="18" t="s">
        <v>15318</v>
      </c>
      <c r="B229" s="19" t="s">
        <v>33</v>
      </c>
      <c r="C229" s="24" t="s">
        <v>1257</v>
      </c>
      <c r="D229" s="24" t="s">
        <v>1395</v>
      </c>
      <c r="E229" s="19" t="s">
        <v>15319</v>
      </c>
      <c r="F229" s="19" t="s">
        <v>1253</v>
      </c>
      <c r="G229" s="19" t="s">
        <v>15320</v>
      </c>
      <c r="H229" s="20" t="s">
        <v>15351</v>
      </c>
      <c r="I229" s="20" t="s">
        <v>15351</v>
      </c>
      <c r="J229" s="19" t="s">
        <v>15352</v>
      </c>
      <c r="K229" s="19" t="s">
        <v>15353</v>
      </c>
      <c r="L229" s="19"/>
      <c r="M229" s="20" t="s">
        <v>15341</v>
      </c>
      <c r="N229" s="20" t="s">
        <v>15351</v>
      </c>
      <c r="O229" s="20"/>
      <c r="P229" s="20"/>
      <c r="Q229" s="20"/>
      <c r="R229" s="20" t="s">
        <v>15346</v>
      </c>
      <c r="S229" s="20">
        <v>30</v>
      </c>
      <c r="T229" s="20">
        <v>22</v>
      </c>
      <c r="U229" s="20">
        <v>8</v>
      </c>
      <c r="V229" s="24" t="s">
        <v>1395</v>
      </c>
      <c r="W229" s="22" t="s">
        <v>15325</v>
      </c>
    </row>
    <row r="230" spans="1:23" x14ac:dyDescent="0.35">
      <c r="A230" s="18" t="s">
        <v>15318</v>
      </c>
      <c r="B230" s="19" t="s">
        <v>33</v>
      </c>
      <c r="C230" s="24" t="s">
        <v>1257</v>
      </c>
      <c r="D230" s="24" t="s">
        <v>1395</v>
      </c>
      <c r="E230" s="19" t="s">
        <v>15319</v>
      </c>
      <c r="F230" s="19" t="s">
        <v>1253</v>
      </c>
      <c r="G230" s="19" t="s">
        <v>15320</v>
      </c>
      <c r="H230" s="20" t="s">
        <v>15359</v>
      </c>
      <c r="I230" s="20" t="s">
        <v>15359</v>
      </c>
      <c r="J230" s="19" t="s">
        <v>15360</v>
      </c>
      <c r="K230" s="19" t="s">
        <v>15361</v>
      </c>
      <c r="L230" s="19"/>
      <c r="M230" s="20" t="s">
        <v>15362</v>
      </c>
      <c r="N230" s="20" t="s">
        <v>15359</v>
      </c>
      <c r="O230" s="20"/>
      <c r="P230" s="20"/>
      <c r="Q230" s="20"/>
      <c r="R230" s="20" t="s">
        <v>15346</v>
      </c>
      <c r="S230" s="20">
        <v>30</v>
      </c>
      <c r="T230" s="20">
        <v>22</v>
      </c>
      <c r="U230" s="20">
        <v>26</v>
      </c>
      <c r="V230" s="24" t="s">
        <v>1395</v>
      </c>
      <c r="W230" s="22" t="s">
        <v>15325</v>
      </c>
    </row>
    <row r="231" spans="1:23" x14ac:dyDescent="0.35">
      <c r="A231" s="18" t="s">
        <v>15318</v>
      </c>
      <c r="B231" s="19" t="s">
        <v>33</v>
      </c>
      <c r="C231" s="24" t="s">
        <v>1257</v>
      </c>
      <c r="D231" s="24" t="s">
        <v>1395</v>
      </c>
      <c r="E231" s="19" t="s">
        <v>15319</v>
      </c>
      <c r="F231" s="19" t="s">
        <v>1253</v>
      </c>
      <c r="G231" s="19" t="s">
        <v>15320</v>
      </c>
      <c r="H231" s="20" t="s">
        <v>15423</v>
      </c>
      <c r="I231" s="20" t="s">
        <v>15423</v>
      </c>
      <c r="J231" s="19" t="s">
        <v>15753</v>
      </c>
      <c r="K231" s="19" t="s">
        <v>15754</v>
      </c>
      <c r="L231" s="19"/>
      <c r="M231" s="20" t="s">
        <v>15350</v>
      </c>
      <c r="N231" s="20" t="s">
        <v>15423</v>
      </c>
      <c r="O231" s="20"/>
      <c r="P231" s="20"/>
      <c r="Q231" s="20"/>
      <c r="R231" s="20" t="s">
        <v>15346</v>
      </c>
      <c r="S231" s="20">
        <v>30</v>
      </c>
      <c r="T231" s="20">
        <v>22</v>
      </c>
      <c r="U231" s="20">
        <v>23</v>
      </c>
      <c r="V231" s="24" t="s">
        <v>1395</v>
      </c>
      <c r="W231" s="22" t="s">
        <v>15325</v>
      </c>
    </row>
    <row r="232" spans="1:23" x14ac:dyDescent="0.35">
      <c r="A232" s="18">
        <v>17648</v>
      </c>
      <c r="B232" s="19" t="s">
        <v>15277</v>
      </c>
      <c r="C232" s="24" t="s">
        <v>431</v>
      </c>
      <c r="D232" s="24" t="s">
        <v>1257</v>
      </c>
      <c r="E232" s="19" t="s">
        <v>15327</v>
      </c>
      <c r="F232" s="19" t="s">
        <v>15355</v>
      </c>
      <c r="G232" s="19" t="s">
        <v>15320</v>
      </c>
      <c r="H232" s="20">
        <v>1</v>
      </c>
      <c r="I232" s="20">
        <v>1</v>
      </c>
      <c r="J232" s="19" t="s">
        <v>15623</v>
      </c>
      <c r="K232" s="19" t="s">
        <v>15624</v>
      </c>
      <c r="L232" s="19" t="s">
        <v>15466</v>
      </c>
      <c r="M232" s="20" t="s">
        <v>15323</v>
      </c>
      <c r="N232" s="20">
        <v>1</v>
      </c>
      <c r="O232" s="20"/>
      <c r="P232" s="20"/>
      <c r="Q232" s="20"/>
      <c r="R232" s="20" t="s">
        <v>15324</v>
      </c>
      <c r="S232" s="20">
        <v>36</v>
      </c>
      <c r="T232" s="20">
        <v>33</v>
      </c>
      <c r="U232" s="20">
        <v>80</v>
      </c>
      <c r="V232" s="24" t="s">
        <v>1257</v>
      </c>
      <c r="W232" s="22" t="s">
        <v>15325</v>
      </c>
    </row>
    <row r="233" spans="1:23" x14ac:dyDescent="0.35">
      <c r="A233" s="18">
        <v>17648</v>
      </c>
      <c r="B233" s="19" t="s">
        <v>15277</v>
      </c>
      <c r="C233" s="24" t="s">
        <v>431</v>
      </c>
      <c r="D233" s="24" t="s">
        <v>1257</v>
      </c>
      <c r="E233" s="19" t="s">
        <v>15327</v>
      </c>
      <c r="F233" s="19" t="s">
        <v>15355</v>
      </c>
      <c r="G233" s="19" t="s">
        <v>15320</v>
      </c>
      <c r="H233" s="20">
        <v>2</v>
      </c>
      <c r="I233" s="20">
        <v>2</v>
      </c>
      <c r="J233" s="19" t="s">
        <v>15654</v>
      </c>
      <c r="K233" s="19" t="s">
        <v>15655</v>
      </c>
      <c r="L233" s="19" t="s">
        <v>15324</v>
      </c>
      <c r="M233" s="20" t="s">
        <v>15350</v>
      </c>
      <c r="N233" s="20">
        <v>2</v>
      </c>
      <c r="O233" s="20"/>
      <c r="P233" s="20"/>
      <c r="Q233" s="20"/>
      <c r="R233" s="20" t="s">
        <v>15324</v>
      </c>
      <c r="S233" s="20">
        <v>36</v>
      </c>
      <c r="T233" s="20">
        <v>33</v>
      </c>
      <c r="U233" s="20">
        <v>80</v>
      </c>
      <c r="V233" s="24" t="s">
        <v>1257</v>
      </c>
      <c r="W233" s="22" t="s">
        <v>15325</v>
      </c>
    </row>
    <row r="234" spans="1:23" x14ac:dyDescent="0.35">
      <c r="A234" s="18">
        <v>17648</v>
      </c>
      <c r="B234" s="19" t="s">
        <v>15277</v>
      </c>
      <c r="C234" s="24" t="s">
        <v>431</v>
      </c>
      <c r="D234" s="24" t="s">
        <v>1257</v>
      </c>
      <c r="E234" s="19" t="s">
        <v>15327</v>
      </c>
      <c r="F234" s="19" t="s">
        <v>15355</v>
      </c>
      <c r="G234" s="19" t="s">
        <v>15320</v>
      </c>
      <c r="H234" s="20">
        <v>3</v>
      </c>
      <c r="I234" s="20">
        <v>3</v>
      </c>
      <c r="J234" s="19" t="s">
        <v>15615</v>
      </c>
      <c r="K234" s="19" t="s">
        <v>15616</v>
      </c>
      <c r="L234" s="19" t="s">
        <v>15371</v>
      </c>
      <c r="M234" s="20" t="s">
        <v>15323</v>
      </c>
      <c r="N234" s="20">
        <v>3</v>
      </c>
      <c r="O234" s="20"/>
      <c r="P234" s="20"/>
      <c r="Q234" s="20"/>
      <c r="R234" s="20" t="s">
        <v>15324</v>
      </c>
      <c r="S234" s="20">
        <v>36</v>
      </c>
      <c r="T234" s="20">
        <v>33</v>
      </c>
      <c r="U234" s="20">
        <v>62</v>
      </c>
      <c r="V234" s="24" t="s">
        <v>1257</v>
      </c>
      <c r="W234" s="22" t="s">
        <v>15325</v>
      </c>
    </row>
    <row r="235" spans="1:23" x14ac:dyDescent="0.35">
      <c r="A235" s="18">
        <v>17648</v>
      </c>
      <c r="B235" s="19" t="s">
        <v>15277</v>
      </c>
      <c r="C235" s="24" t="s">
        <v>431</v>
      </c>
      <c r="D235" s="24" t="s">
        <v>1257</v>
      </c>
      <c r="E235" s="19" t="s">
        <v>15327</v>
      </c>
      <c r="F235" s="19" t="s">
        <v>15355</v>
      </c>
      <c r="G235" s="19" t="s">
        <v>15320</v>
      </c>
      <c r="H235" s="20">
        <v>4</v>
      </c>
      <c r="I235" s="20">
        <v>4</v>
      </c>
      <c r="J235" s="19" t="s">
        <v>15447</v>
      </c>
      <c r="K235" s="19" t="s">
        <v>15448</v>
      </c>
      <c r="L235" s="19"/>
      <c r="M235" s="20" t="s">
        <v>15341</v>
      </c>
      <c r="N235" s="20">
        <v>4</v>
      </c>
      <c r="O235" s="20"/>
      <c r="P235" s="20"/>
      <c r="Q235" s="20"/>
      <c r="R235" s="20" t="s">
        <v>15324</v>
      </c>
      <c r="S235" s="20">
        <v>36</v>
      </c>
      <c r="T235" s="20">
        <v>33</v>
      </c>
      <c r="U235" s="20">
        <v>17</v>
      </c>
      <c r="V235" s="24" t="s">
        <v>1257</v>
      </c>
      <c r="W235" s="22" t="s">
        <v>15325</v>
      </c>
    </row>
    <row r="236" spans="1:23" x14ac:dyDescent="0.35">
      <c r="A236" s="18">
        <v>17648</v>
      </c>
      <c r="B236" s="19" t="s">
        <v>15277</v>
      </c>
      <c r="C236" s="24" t="s">
        <v>431</v>
      </c>
      <c r="D236" s="24" t="s">
        <v>1257</v>
      </c>
      <c r="E236" s="19" t="s">
        <v>15327</v>
      </c>
      <c r="F236" s="19" t="s">
        <v>15355</v>
      </c>
      <c r="G236" s="19" t="s">
        <v>15320</v>
      </c>
      <c r="H236" s="20">
        <v>5</v>
      </c>
      <c r="I236" s="20">
        <v>5</v>
      </c>
      <c r="J236" s="19" t="s">
        <v>15445</v>
      </c>
      <c r="K236" s="19" t="s">
        <v>15446</v>
      </c>
      <c r="L236" s="19"/>
      <c r="M236" s="20" t="s">
        <v>15341</v>
      </c>
      <c r="N236" s="20">
        <v>5</v>
      </c>
      <c r="O236" s="20"/>
      <c r="P236" s="20"/>
      <c r="Q236" s="20"/>
      <c r="R236" s="20" t="s">
        <v>15324</v>
      </c>
      <c r="S236" s="20">
        <v>36</v>
      </c>
      <c r="T236" s="20">
        <v>33</v>
      </c>
      <c r="U236" s="20">
        <v>80</v>
      </c>
      <c r="V236" s="24" t="s">
        <v>1257</v>
      </c>
      <c r="W236" s="22" t="s">
        <v>15325</v>
      </c>
    </row>
    <row r="237" spans="1:23" x14ac:dyDescent="0.35">
      <c r="A237" s="18">
        <v>17648</v>
      </c>
      <c r="B237" s="19" t="s">
        <v>15277</v>
      </c>
      <c r="C237" s="24" t="s">
        <v>431</v>
      </c>
      <c r="D237" s="24" t="s">
        <v>1257</v>
      </c>
      <c r="E237" s="19" t="s">
        <v>15327</v>
      </c>
      <c r="F237" s="19" t="s">
        <v>15355</v>
      </c>
      <c r="G237" s="19" t="s">
        <v>15320</v>
      </c>
      <c r="H237" s="20">
        <v>6</v>
      </c>
      <c r="I237" s="20">
        <v>6</v>
      </c>
      <c r="J237" s="19" t="s">
        <v>15837</v>
      </c>
      <c r="K237" s="19" t="s">
        <v>15838</v>
      </c>
      <c r="L237" s="19"/>
      <c r="M237" s="20" t="s">
        <v>15323</v>
      </c>
      <c r="N237" s="20">
        <v>6</v>
      </c>
      <c r="O237" s="20"/>
      <c r="P237" s="20"/>
      <c r="Q237" s="20"/>
      <c r="R237" s="20" t="s">
        <v>15324</v>
      </c>
      <c r="S237" s="20">
        <v>36</v>
      </c>
      <c r="T237" s="20">
        <v>33</v>
      </c>
      <c r="U237" s="20">
        <v>80</v>
      </c>
      <c r="V237" s="24" t="s">
        <v>1257</v>
      </c>
      <c r="W237" s="22" t="s">
        <v>15325</v>
      </c>
    </row>
    <row r="238" spans="1:23" x14ac:dyDescent="0.35">
      <c r="A238" s="18">
        <v>17648</v>
      </c>
      <c r="B238" s="19" t="s">
        <v>15277</v>
      </c>
      <c r="C238" s="24" t="s">
        <v>431</v>
      </c>
      <c r="D238" s="24" t="s">
        <v>1257</v>
      </c>
      <c r="E238" s="19" t="s">
        <v>15327</v>
      </c>
      <c r="F238" s="19" t="s">
        <v>15355</v>
      </c>
      <c r="G238" s="19" t="s">
        <v>15320</v>
      </c>
      <c r="H238" s="20">
        <v>7</v>
      </c>
      <c r="I238" s="20">
        <v>7</v>
      </c>
      <c r="J238" s="19" t="s">
        <v>15680</v>
      </c>
      <c r="K238" s="19" t="s">
        <v>15681</v>
      </c>
      <c r="L238" s="19"/>
      <c r="M238" s="20" t="s">
        <v>15350</v>
      </c>
      <c r="N238" s="20">
        <v>7</v>
      </c>
      <c r="O238" s="20"/>
      <c r="P238" s="20"/>
      <c r="Q238" s="20"/>
      <c r="R238" s="20" t="s">
        <v>15324</v>
      </c>
      <c r="S238" s="20">
        <v>36</v>
      </c>
      <c r="T238" s="20">
        <v>33</v>
      </c>
      <c r="U238" s="20">
        <v>28</v>
      </c>
      <c r="V238" s="24" t="s">
        <v>1257</v>
      </c>
      <c r="W238" s="22" t="s">
        <v>15325</v>
      </c>
    </row>
    <row r="239" spans="1:23" x14ac:dyDescent="0.35">
      <c r="A239" s="18">
        <v>17648</v>
      </c>
      <c r="B239" s="19" t="s">
        <v>15277</v>
      </c>
      <c r="C239" s="24" t="s">
        <v>431</v>
      </c>
      <c r="D239" s="24" t="s">
        <v>1257</v>
      </c>
      <c r="E239" s="19" t="s">
        <v>15327</v>
      </c>
      <c r="F239" s="19" t="s">
        <v>15355</v>
      </c>
      <c r="G239" s="19" t="s">
        <v>15320</v>
      </c>
      <c r="H239" s="20">
        <v>8</v>
      </c>
      <c r="I239" s="20">
        <v>8</v>
      </c>
      <c r="J239" s="19" t="s">
        <v>15449</v>
      </c>
      <c r="K239" s="19" t="s">
        <v>15450</v>
      </c>
      <c r="L239" s="19"/>
      <c r="M239" s="20" t="s">
        <v>15350</v>
      </c>
      <c r="N239" s="20">
        <v>8</v>
      </c>
      <c r="O239" s="20"/>
      <c r="P239" s="20"/>
      <c r="Q239" s="20"/>
      <c r="R239" s="20" t="s">
        <v>15324</v>
      </c>
      <c r="S239" s="20">
        <v>36</v>
      </c>
      <c r="T239" s="20">
        <v>33</v>
      </c>
      <c r="U239" s="20">
        <v>80</v>
      </c>
      <c r="V239" s="24" t="s">
        <v>1257</v>
      </c>
      <c r="W239" s="22" t="s">
        <v>15325</v>
      </c>
    </row>
    <row r="240" spans="1:23" x14ac:dyDescent="0.35">
      <c r="A240" s="18">
        <v>17648</v>
      </c>
      <c r="B240" s="19" t="s">
        <v>15277</v>
      </c>
      <c r="C240" s="24" t="s">
        <v>431</v>
      </c>
      <c r="D240" s="24" t="s">
        <v>1257</v>
      </c>
      <c r="E240" s="19" t="s">
        <v>15327</v>
      </c>
      <c r="F240" s="19" t="s">
        <v>15355</v>
      </c>
      <c r="G240" s="19" t="s">
        <v>15320</v>
      </c>
      <c r="H240" s="20">
        <v>9</v>
      </c>
      <c r="I240" s="20">
        <v>9</v>
      </c>
      <c r="J240" s="19" t="s">
        <v>15678</v>
      </c>
      <c r="K240" s="19" t="s">
        <v>15679</v>
      </c>
      <c r="L240" s="19"/>
      <c r="M240" s="20" t="s">
        <v>15341</v>
      </c>
      <c r="N240" s="20">
        <v>9</v>
      </c>
      <c r="O240" s="20"/>
      <c r="P240" s="20"/>
      <c r="Q240" s="20"/>
      <c r="R240" s="20" t="s">
        <v>15324</v>
      </c>
      <c r="S240" s="20">
        <v>36</v>
      </c>
      <c r="T240" s="20">
        <v>33</v>
      </c>
      <c r="U240" s="20">
        <v>20</v>
      </c>
      <c r="V240" s="24" t="s">
        <v>1257</v>
      </c>
      <c r="W240" s="22" t="s">
        <v>15325</v>
      </c>
    </row>
    <row r="241" spans="1:23" x14ac:dyDescent="0.35">
      <c r="A241" s="18">
        <v>17648</v>
      </c>
      <c r="B241" s="19" t="s">
        <v>15277</v>
      </c>
      <c r="C241" s="24" t="s">
        <v>431</v>
      </c>
      <c r="D241" s="24" t="s">
        <v>1257</v>
      </c>
      <c r="E241" s="19" t="s">
        <v>15327</v>
      </c>
      <c r="F241" s="19" t="s">
        <v>15355</v>
      </c>
      <c r="G241" s="19" t="s">
        <v>15320</v>
      </c>
      <c r="H241" s="20">
        <v>10</v>
      </c>
      <c r="I241" s="20">
        <v>10</v>
      </c>
      <c r="J241" s="19" t="s">
        <v>15795</v>
      </c>
      <c r="K241" s="19" t="s">
        <v>15796</v>
      </c>
      <c r="L241" s="19"/>
      <c r="M241" s="20" t="s">
        <v>15341</v>
      </c>
      <c r="N241" s="20">
        <v>10</v>
      </c>
      <c r="O241" s="20"/>
      <c r="P241" s="20"/>
      <c r="Q241" s="20"/>
      <c r="R241" s="20" t="s">
        <v>15324</v>
      </c>
      <c r="S241" s="20">
        <v>36</v>
      </c>
      <c r="T241" s="20">
        <v>33</v>
      </c>
      <c r="U241" s="20">
        <v>80</v>
      </c>
      <c r="V241" s="24" t="s">
        <v>1257</v>
      </c>
      <c r="W241" s="22" t="s">
        <v>15325</v>
      </c>
    </row>
    <row r="242" spans="1:23" x14ac:dyDescent="0.35">
      <c r="A242" s="18">
        <v>17648</v>
      </c>
      <c r="B242" s="19" t="s">
        <v>15277</v>
      </c>
      <c r="C242" s="24" t="s">
        <v>431</v>
      </c>
      <c r="D242" s="24" t="s">
        <v>1257</v>
      </c>
      <c r="E242" s="19" t="s">
        <v>15327</v>
      </c>
      <c r="F242" s="19" t="s">
        <v>15355</v>
      </c>
      <c r="G242" s="19" t="s">
        <v>15320</v>
      </c>
      <c r="H242" s="20">
        <v>11</v>
      </c>
      <c r="I242" s="20">
        <v>11</v>
      </c>
      <c r="J242" s="19" t="s">
        <v>15672</v>
      </c>
      <c r="K242" s="19" t="s">
        <v>15673</v>
      </c>
      <c r="L242" s="19"/>
      <c r="M242" s="20" t="s">
        <v>15362</v>
      </c>
      <c r="N242" s="20">
        <v>11</v>
      </c>
      <c r="O242" s="20"/>
      <c r="P242" s="20"/>
      <c r="Q242" s="20"/>
      <c r="R242" s="20" t="s">
        <v>15324</v>
      </c>
      <c r="S242" s="20">
        <v>36</v>
      </c>
      <c r="T242" s="20">
        <v>33</v>
      </c>
      <c r="U242" s="20">
        <v>55</v>
      </c>
      <c r="V242" s="24" t="s">
        <v>1257</v>
      </c>
      <c r="W242" s="22" t="s">
        <v>15325</v>
      </c>
    </row>
    <row r="243" spans="1:23" x14ac:dyDescent="0.35">
      <c r="A243" s="18">
        <v>17648</v>
      </c>
      <c r="B243" s="19" t="s">
        <v>15277</v>
      </c>
      <c r="C243" s="24" t="s">
        <v>431</v>
      </c>
      <c r="D243" s="24" t="s">
        <v>1257</v>
      </c>
      <c r="E243" s="19" t="s">
        <v>15327</v>
      </c>
      <c r="F243" s="19" t="s">
        <v>15355</v>
      </c>
      <c r="G243" s="19" t="s">
        <v>15320</v>
      </c>
      <c r="H243" s="20">
        <v>12</v>
      </c>
      <c r="I243" s="20">
        <v>12</v>
      </c>
      <c r="J243" s="19" t="s">
        <v>15481</v>
      </c>
      <c r="K243" s="19" t="s">
        <v>15482</v>
      </c>
      <c r="L243" s="19"/>
      <c r="M243" s="20" t="s">
        <v>15350</v>
      </c>
      <c r="N243" s="20">
        <v>12</v>
      </c>
      <c r="O243" s="20"/>
      <c r="P243" s="20"/>
      <c r="Q243" s="20"/>
      <c r="R243" s="20" t="s">
        <v>15324</v>
      </c>
      <c r="S243" s="20">
        <v>36</v>
      </c>
      <c r="T243" s="20">
        <v>33</v>
      </c>
      <c r="U243" s="20">
        <v>80</v>
      </c>
      <c r="V243" s="24" t="s">
        <v>1257</v>
      </c>
      <c r="W243" s="22" t="s">
        <v>15325</v>
      </c>
    </row>
    <row r="244" spans="1:23" x14ac:dyDescent="0.35">
      <c r="A244" s="18">
        <v>17648</v>
      </c>
      <c r="B244" s="19" t="s">
        <v>15277</v>
      </c>
      <c r="C244" s="24" t="s">
        <v>431</v>
      </c>
      <c r="D244" s="24" t="s">
        <v>1257</v>
      </c>
      <c r="E244" s="19" t="s">
        <v>15327</v>
      </c>
      <c r="F244" s="19" t="s">
        <v>15355</v>
      </c>
      <c r="G244" s="19" t="s">
        <v>15320</v>
      </c>
      <c r="H244" s="20">
        <v>13</v>
      </c>
      <c r="I244" s="20">
        <v>13</v>
      </c>
      <c r="J244" s="19" t="s">
        <v>15372</v>
      </c>
      <c r="K244" s="19" t="s">
        <v>15373</v>
      </c>
      <c r="L244" s="19"/>
      <c r="M244" s="20" t="s">
        <v>15341</v>
      </c>
      <c r="N244" s="20">
        <v>13</v>
      </c>
      <c r="O244" s="20"/>
      <c r="P244" s="20"/>
      <c r="Q244" s="20"/>
      <c r="R244" s="20" t="s">
        <v>15324</v>
      </c>
      <c r="S244" s="20">
        <v>36</v>
      </c>
      <c r="T244" s="20">
        <v>33</v>
      </c>
      <c r="U244" s="20">
        <v>80</v>
      </c>
      <c r="V244" s="24" t="s">
        <v>1257</v>
      </c>
      <c r="W244" s="22" t="s">
        <v>15325</v>
      </c>
    </row>
    <row r="245" spans="1:23" x14ac:dyDescent="0.35">
      <c r="A245" s="18">
        <v>17648</v>
      </c>
      <c r="B245" s="19" t="s">
        <v>15277</v>
      </c>
      <c r="C245" s="24" t="s">
        <v>431</v>
      </c>
      <c r="D245" s="24" t="s">
        <v>1257</v>
      </c>
      <c r="E245" s="19" t="s">
        <v>15327</v>
      </c>
      <c r="F245" s="19" t="s">
        <v>15355</v>
      </c>
      <c r="G245" s="19" t="s">
        <v>15320</v>
      </c>
      <c r="H245" s="20">
        <v>14</v>
      </c>
      <c r="I245" s="20">
        <v>14</v>
      </c>
      <c r="J245" s="19" t="s">
        <v>15734</v>
      </c>
      <c r="K245" s="19" t="s">
        <v>15735</v>
      </c>
      <c r="L245" s="19"/>
      <c r="M245" s="20" t="s">
        <v>15350</v>
      </c>
      <c r="N245" s="20">
        <v>14</v>
      </c>
      <c r="O245" s="20"/>
      <c r="P245" s="20"/>
      <c r="Q245" s="20"/>
      <c r="R245" s="20" t="s">
        <v>15324</v>
      </c>
      <c r="S245" s="20">
        <v>36</v>
      </c>
      <c r="T245" s="20">
        <v>33</v>
      </c>
      <c r="U245" s="20">
        <v>6</v>
      </c>
      <c r="V245" s="24" t="s">
        <v>1257</v>
      </c>
      <c r="W245" s="22" t="s">
        <v>15325</v>
      </c>
    </row>
    <row r="246" spans="1:23" x14ac:dyDescent="0.35">
      <c r="A246" s="18">
        <v>17648</v>
      </c>
      <c r="B246" s="19" t="s">
        <v>15277</v>
      </c>
      <c r="C246" s="24" t="s">
        <v>431</v>
      </c>
      <c r="D246" s="24" t="s">
        <v>1257</v>
      </c>
      <c r="E246" s="19" t="s">
        <v>15327</v>
      </c>
      <c r="F246" s="19" t="s">
        <v>15355</v>
      </c>
      <c r="G246" s="19" t="s">
        <v>15320</v>
      </c>
      <c r="H246" s="20">
        <v>15</v>
      </c>
      <c r="I246" s="20">
        <v>15</v>
      </c>
      <c r="J246" s="19" t="s">
        <v>15585</v>
      </c>
      <c r="K246" s="19" t="s">
        <v>15586</v>
      </c>
      <c r="L246" s="19"/>
      <c r="M246" s="20" t="s">
        <v>15357</v>
      </c>
      <c r="N246" s="20">
        <v>15</v>
      </c>
      <c r="O246" s="20"/>
      <c r="P246" s="20"/>
      <c r="Q246" s="20"/>
      <c r="R246" s="20" t="s">
        <v>15324</v>
      </c>
      <c r="S246" s="20">
        <v>36</v>
      </c>
      <c r="T246" s="20">
        <v>33</v>
      </c>
      <c r="U246" s="20">
        <v>28</v>
      </c>
      <c r="V246" s="24" t="s">
        <v>1257</v>
      </c>
      <c r="W246" s="22" t="s">
        <v>15325</v>
      </c>
    </row>
    <row r="247" spans="1:23" x14ac:dyDescent="0.35">
      <c r="A247" s="18">
        <v>17648</v>
      </c>
      <c r="B247" s="19" t="s">
        <v>15277</v>
      </c>
      <c r="C247" s="24" t="s">
        <v>431</v>
      </c>
      <c r="D247" s="24" t="s">
        <v>1257</v>
      </c>
      <c r="E247" s="19" t="s">
        <v>15327</v>
      </c>
      <c r="F247" s="19" t="s">
        <v>15355</v>
      </c>
      <c r="G247" s="19" t="s">
        <v>15320</v>
      </c>
      <c r="H247" s="20">
        <v>16</v>
      </c>
      <c r="I247" s="20">
        <v>16</v>
      </c>
      <c r="J247" s="19" t="s">
        <v>15633</v>
      </c>
      <c r="K247" s="19" t="s">
        <v>15634</v>
      </c>
      <c r="L247" s="19" t="s">
        <v>15340</v>
      </c>
      <c r="M247" s="20" t="s">
        <v>15341</v>
      </c>
      <c r="N247" s="20">
        <v>16</v>
      </c>
      <c r="O247" s="20"/>
      <c r="P247" s="20"/>
      <c r="Q247" s="20"/>
      <c r="R247" s="20" t="s">
        <v>15346</v>
      </c>
      <c r="S247" s="20">
        <v>36</v>
      </c>
      <c r="T247" s="20">
        <v>33</v>
      </c>
      <c r="U247" s="20">
        <v>0</v>
      </c>
      <c r="V247" s="24" t="s">
        <v>1257</v>
      </c>
      <c r="W247" s="22" t="s">
        <v>15325</v>
      </c>
    </row>
    <row r="248" spans="1:23" x14ac:dyDescent="0.35">
      <c r="A248" s="18">
        <v>17648</v>
      </c>
      <c r="B248" s="19" t="s">
        <v>15277</v>
      </c>
      <c r="C248" s="24" t="s">
        <v>431</v>
      </c>
      <c r="D248" s="24" t="s">
        <v>1257</v>
      </c>
      <c r="E248" s="19" t="s">
        <v>15327</v>
      </c>
      <c r="F248" s="19" t="s">
        <v>15355</v>
      </c>
      <c r="G248" s="19" t="s">
        <v>15320</v>
      </c>
      <c r="H248" s="20">
        <v>17</v>
      </c>
      <c r="I248" s="20">
        <v>17</v>
      </c>
      <c r="J248" s="2" t="s">
        <v>15978</v>
      </c>
      <c r="K248" s="19" t="s">
        <v>15847</v>
      </c>
      <c r="L248" s="19"/>
      <c r="M248" s="20" t="s">
        <v>15357</v>
      </c>
      <c r="N248" s="20">
        <v>17</v>
      </c>
      <c r="O248" s="20"/>
      <c r="P248" s="20"/>
      <c r="Q248" s="20"/>
      <c r="R248" s="20" t="s">
        <v>15346</v>
      </c>
      <c r="S248" s="20">
        <v>36</v>
      </c>
      <c r="T248" s="20">
        <v>33</v>
      </c>
      <c r="U248" s="20">
        <v>52</v>
      </c>
      <c r="V248" s="24" t="s">
        <v>1257</v>
      </c>
      <c r="W248" s="22" t="s">
        <v>15325</v>
      </c>
    </row>
    <row r="249" spans="1:23" x14ac:dyDescent="0.35">
      <c r="A249" s="18">
        <v>17648</v>
      </c>
      <c r="B249" s="19" t="s">
        <v>15277</v>
      </c>
      <c r="C249" s="24" t="s">
        <v>431</v>
      </c>
      <c r="D249" s="24" t="s">
        <v>1257</v>
      </c>
      <c r="E249" s="19" t="s">
        <v>15327</v>
      </c>
      <c r="F249" s="19" t="s">
        <v>15355</v>
      </c>
      <c r="G249" s="19" t="s">
        <v>15320</v>
      </c>
      <c r="H249" s="20">
        <v>18</v>
      </c>
      <c r="I249" s="20">
        <v>18</v>
      </c>
      <c r="J249" s="19" t="s">
        <v>15477</v>
      </c>
      <c r="K249" s="19" t="s">
        <v>15478</v>
      </c>
      <c r="L249" s="19" t="s">
        <v>15466</v>
      </c>
      <c r="M249" s="20" t="s">
        <v>15362</v>
      </c>
      <c r="N249" s="20">
        <v>18</v>
      </c>
      <c r="O249" s="20"/>
      <c r="P249" s="20"/>
      <c r="Q249" s="20"/>
      <c r="R249" s="20" t="s">
        <v>15346</v>
      </c>
      <c r="S249" s="20">
        <v>36</v>
      </c>
      <c r="T249" s="20">
        <v>33</v>
      </c>
      <c r="U249" s="20">
        <v>0</v>
      </c>
      <c r="V249" s="24" t="s">
        <v>1257</v>
      </c>
      <c r="W249" s="22" t="s">
        <v>15325</v>
      </c>
    </row>
    <row r="250" spans="1:23" x14ac:dyDescent="0.35">
      <c r="A250" s="18">
        <v>17648</v>
      </c>
      <c r="B250" s="19" t="s">
        <v>15277</v>
      </c>
      <c r="C250" s="24" t="s">
        <v>431</v>
      </c>
      <c r="D250" s="24" t="s">
        <v>1257</v>
      </c>
      <c r="E250" s="19" t="s">
        <v>15327</v>
      </c>
      <c r="F250" s="19" t="s">
        <v>15355</v>
      </c>
      <c r="G250" s="19" t="s">
        <v>15320</v>
      </c>
      <c r="H250" s="20">
        <v>19</v>
      </c>
      <c r="I250" s="20">
        <v>19</v>
      </c>
      <c r="J250" s="19" t="s">
        <v>15639</v>
      </c>
      <c r="K250" s="19" t="s">
        <v>15640</v>
      </c>
      <c r="L250" s="19" t="s">
        <v>15334</v>
      </c>
      <c r="M250" s="20" t="s">
        <v>15341</v>
      </c>
      <c r="N250" s="20">
        <v>19</v>
      </c>
      <c r="O250" s="20"/>
      <c r="P250" s="20"/>
      <c r="Q250" s="20"/>
      <c r="R250" s="20" t="s">
        <v>15346</v>
      </c>
      <c r="S250" s="20">
        <v>36</v>
      </c>
      <c r="T250" s="20">
        <v>33</v>
      </c>
      <c r="U250" s="20">
        <v>80</v>
      </c>
      <c r="V250" s="24" t="s">
        <v>1257</v>
      </c>
      <c r="W250" s="22" t="s">
        <v>15325</v>
      </c>
    </row>
    <row r="251" spans="1:23" x14ac:dyDescent="0.35">
      <c r="A251" s="18">
        <v>17648</v>
      </c>
      <c r="B251" s="19" t="s">
        <v>15277</v>
      </c>
      <c r="C251" s="24" t="s">
        <v>431</v>
      </c>
      <c r="D251" s="24" t="s">
        <v>1257</v>
      </c>
      <c r="E251" s="19" t="s">
        <v>15327</v>
      </c>
      <c r="F251" s="19" t="s">
        <v>15355</v>
      </c>
      <c r="G251" s="19" t="s">
        <v>15320</v>
      </c>
      <c r="H251" s="20">
        <v>20</v>
      </c>
      <c r="I251" s="20">
        <v>20</v>
      </c>
      <c r="J251" s="2" t="s">
        <v>15979</v>
      </c>
      <c r="K251" s="19" t="s">
        <v>15850</v>
      </c>
      <c r="L251" s="19"/>
      <c r="M251" s="20" t="s">
        <v>15362</v>
      </c>
      <c r="N251" s="20">
        <v>20</v>
      </c>
      <c r="O251" s="20"/>
      <c r="P251" s="20"/>
      <c r="Q251" s="20"/>
      <c r="R251" s="20" t="s">
        <v>15346</v>
      </c>
      <c r="S251" s="20">
        <v>36</v>
      </c>
      <c r="T251" s="20">
        <v>33</v>
      </c>
      <c r="U251" s="20">
        <v>63</v>
      </c>
      <c r="V251" s="24" t="s">
        <v>1257</v>
      </c>
      <c r="W251" s="22" t="s">
        <v>15325</v>
      </c>
    </row>
    <row r="252" spans="1:23" x14ac:dyDescent="0.35">
      <c r="A252" s="18">
        <v>17648</v>
      </c>
      <c r="B252" s="19" t="s">
        <v>15277</v>
      </c>
      <c r="C252" s="24" t="s">
        <v>431</v>
      </c>
      <c r="D252" s="24" t="s">
        <v>1257</v>
      </c>
      <c r="E252" s="19" t="s">
        <v>15327</v>
      </c>
      <c r="F252" s="19" t="s">
        <v>15355</v>
      </c>
      <c r="G252" s="19" t="s">
        <v>15320</v>
      </c>
      <c r="H252" s="20">
        <v>21</v>
      </c>
      <c r="I252" s="20">
        <v>21</v>
      </c>
      <c r="J252" s="19" t="s">
        <v>15521</v>
      </c>
      <c r="K252" s="19" t="s">
        <v>15522</v>
      </c>
      <c r="L252" s="19"/>
      <c r="M252" s="20" t="s">
        <v>15362</v>
      </c>
      <c r="N252" s="20">
        <v>21</v>
      </c>
      <c r="O252" s="20"/>
      <c r="P252" s="20"/>
      <c r="Q252" s="20"/>
      <c r="R252" s="20" t="s">
        <v>15346</v>
      </c>
      <c r="S252" s="20">
        <v>36</v>
      </c>
      <c r="T252" s="20">
        <v>33</v>
      </c>
      <c r="U252" s="20">
        <v>60</v>
      </c>
      <c r="V252" s="24" t="s">
        <v>1257</v>
      </c>
      <c r="W252" s="22" t="s">
        <v>15325</v>
      </c>
    </row>
    <row r="253" spans="1:23" x14ac:dyDescent="0.35">
      <c r="A253" s="18">
        <v>17648</v>
      </c>
      <c r="B253" s="19" t="s">
        <v>15277</v>
      </c>
      <c r="C253" s="24" t="s">
        <v>431</v>
      </c>
      <c r="D253" s="24" t="s">
        <v>1257</v>
      </c>
      <c r="E253" s="19" t="s">
        <v>15327</v>
      </c>
      <c r="F253" s="19" t="s">
        <v>15355</v>
      </c>
      <c r="G253" s="19" t="s">
        <v>15320</v>
      </c>
      <c r="H253" s="20">
        <v>22</v>
      </c>
      <c r="I253" s="20">
        <v>22</v>
      </c>
      <c r="J253" s="2" t="s">
        <v>15975</v>
      </c>
      <c r="K253" s="19" t="s">
        <v>15833</v>
      </c>
      <c r="L253" s="19"/>
      <c r="M253" s="20" t="s">
        <v>15362</v>
      </c>
      <c r="N253" s="20">
        <v>22</v>
      </c>
      <c r="O253" s="20"/>
      <c r="P253" s="20"/>
      <c r="Q253" s="20"/>
      <c r="R253" s="20" t="s">
        <v>15346</v>
      </c>
      <c r="S253" s="20">
        <v>36</v>
      </c>
      <c r="T253" s="20">
        <v>33</v>
      </c>
      <c r="U253" s="20">
        <v>74</v>
      </c>
      <c r="V253" s="24" t="s">
        <v>1257</v>
      </c>
      <c r="W253" s="22" t="s">
        <v>15325</v>
      </c>
    </row>
    <row r="254" spans="1:23" x14ac:dyDescent="0.35">
      <c r="A254" s="18">
        <v>17648</v>
      </c>
      <c r="B254" s="19" t="s">
        <v>15277</v>
      </c>
      <c r="C254" s="24" t="s">
        <v>431</v>
      </c>
      <c r="D254" s="24" t="s">
        <v>1257</v>
      </c>
      <c r="E254" s="19" t="s">
        <v>15327</v>
      </c>
      <c r="F254" s="19" t="s">
        <v>15355</v>
      </c>
      <c r="G254" s="19" t="s">
        <v>15320</v>
      </c>
      <c r="H254" s="20">
        <v>23</v>
      </c>
      <c r="I254" s="20">
        <v>23</v>
      </c>
      <c r="J254" s="2" t="s">
        <v>15957</v>
      </c>
      <c r="K254" s="19" t="s">
        <v>15489</v>
      </c>
      <c r="L254" s="19"/>
      <c r="M254" s="20" t="s">
        <v>15362</v>
      </c>
      <c r="N254" s="20">
        <v>23</v>
      </c>
      <c r="O254" s="20"/>
      <c r="P254" s="20"/>
      <c r="Q254" s="20"/>
      <c r="R254" s="20" t="s">
        <v>15346</v>
      </c>
      <c r="S254" s="20">
        <v>36</v>
      </c>
      <c r="T254" s="20">
        <v>33</v>
      </c>
      <c r="U254" s="20">
        <v>52</v>
      </c>
      <c r="V254" s="24" t="s">
        <v>1257</v>
      </c>
      <c r="W254" s="22" t="s">
        <v>15325</v>
      </c>
    </row>
    <row r="255" spans="1:23" x14ac:dyDescent="0.35">
      <c r="A255" s="18">
        <v>17648</v>
      </c>
      <c r="B255" s="19" t="s">
        <v>15277</v>
      </c>
      <c r="C255" s="24" t="s">
        <v>431</v>
      </c>
      <c r="D255" s="24" t="s">
        <v>1257</v>
      </c>
      <c r="E255" s="19" t="s">
        <v>15327</v>
      </c>
      <c r="F255" s="19" t="s">
        <v>15355</v>
      </c>
      <c r="G255" s="19" t="s">
        <v>15320</v>
      </c>
      <c r="H255" s="20">
        <v>1</v>
      </c>
      <c r="I255" s="20">
        <v>1</v>
      </c>
      <c r="J255" s="19" t="s">
        <v>15547</v>
      </c>
      <c r="K255" s="19" t="s">
        <v>15548</v>
      </c>
      <c r="L255" s="19" t="s">
        <v>15371</v>
      </c>
      <c r="M255" s="20" t="s">
        <v>15357</v>
      </c>
      <c r="N255" s="20">
        <v>1</v>
      </c>
      <c r="O255" s="20"/>
      <c r="P255" s="20"/>
      <c r="Q255" s="20"/>
      <c r="R255" s="20" t="s">
        <v>15324</v>
      </c>
      <c r="S255" s="20">
        <v>36</v>
      </c>
      <c r="T255" s="20">
        <v>33</v>
      </c>
      <c r="U255" s="20">
        <v>80</v>
      </c>
      <c r="V255" s="24" t="s">
        <v>431</v>
      </c>
      <c r="W255" s="22" t="s">
        <v>15329</v>
      </c>
    </row>
    <row r="256" spans="1:23" x14ac:dyDescent="0.35">
      <c r="A256" s="18">
        <v>17648</v>
      </c>
      <c r="B256" s="19" t="s">
        <v>15277</v>
      </c>
      <c r="C256" s="24" t="s">
        <v>431</v>
      </c>
      <c r="D256" s="24" t="s">
        <v>1257</v>
      </c>
      <c r="E256" s="19" t="s">
        <v>15327</v>
      </c>
      <c r="F256" s="19" t="s">
        <v>15355</v>
      </c>
      <c r="G256" s="19" t="s">
        <v>15320</v>
      </c>
      <c r="H256" s="20">
        <v>2</v>
      </c>
      <c r="I256" s="20">
        <v>2</v>
      </c>
      <c r="J256" s="19" t="s">
        <v>15437</v>
      </c>
      <c r="K256" s="19" t="s">
        <v>15438</v>
      </c>
      <c r="L256" s="19" t="s">
        <v>15340</v>
      </c>
      <c r="M256" s="20" t="s">
        <v>15341</v>
      </c>
      <c r="N256" s="20">
        <v>2</v>
      </c>
      <c r="O256" s="20"/>
      <c r="P256" s="20"/>
      <c r="Q256" s="20"/>
      <c r="R256" s="20" t="s">
        <v>15324</v>
      </c>
      <c r="S256" s="20">
        <v>36</v>
      </c>
      <c r="T256" s="20">
        <v>33</v>
      </c>
      <c r="U256" s="20">
        <v>75</v>
      </c>
      <c r="V256" s="24" t="s">
        <v>431</v>
      </c>
      <c r="W256" s="22" t="s">
        <v>15329</v>
      </c>
    </row>
    <row r="257" spans="1:23" x14ac:dyDescent="0.35">
      <c r="A257" s="18">
        <v>17648</v>
      </c>
      <c r="B257" s="19" t="s">
        <v>15277</v>
      </c>
      <c r="C257" s="24" t="s">
        <v>431</v>
      </c>
      <c r="D257" s="24" t="s">
        <v>1257</v>
      </c>
      <c r="E257" s="19" t="s">
        <v>15327</v>
      </c>
      <c r="F257" s="19" t="s">
        <v>15355</v>
      </c>
      <c r="G257" s="19" t="s">
        <v>15320</v>
      </c>
      <c r="H257" s="20">
        <v>3</v>
      </c>
      <c r="I257" s="20">
        <v>3</v>
      </c>
      <c r="J257" s="19" t="s">
        <v>15369</v>
      </c>
      <c r="K257" s="19" t="s">
        <v>15370</v>
      </c>
      <c r="L257" s="19" t="s">
        <v>15371</v>
      </c>
      <c r="M257" s="20" t="s">
        <v>15323</v>
      </c>
      <c r="N257" s="20">
        <v>3</v>
      </c>
      <c r="O257" s="20"/>
      <c r="P257" s="20"/>
      <c r="Q257" s="20"/>
      <c r="R257" s="20" t="s">
        <v>15324</v>
      </c>
      <c r="S257" s="20">
        <v>36</v>
      </c>
      <c r="T257" s="20">
        <v>33</v>
      </c>
      <c r="U257" s="20">
        <v>28</v>
      </c>
      <c r="V257" s="24" t="s">
        <v>431</v>
      </c>
      <c r="W257" s="22" t="s">
        <v>15329</v>
      </c>
    </row>
    <row r="258" spans="1:23" x14ac:dyDescent="0.35">
      <c r="A258" s="18">
        <v>17648</v>
      </c>
      <c r="B258" s="19" t="s">
        <v>15277</v>
      </c>
      <c r="C258" s="24" t="s">
        <v>431</v>
      </c>
      <c r="D258" s="24" t="s">
        <v>1257</v>
      </c>
      <c r="E258" s="19" t="s">
        <v>15327</v>
      </c>
      <c r="F258" s="19" t="s">
        <v>15355</v>
      </c>
      <c r="G258" s="19" t="s">
        <v>15320</v>
      </c>
      <c r="H258" s="20">
        <v>4</v>
      </c>
      <c r="I258" s="20">
        <v>4</v>
      </c>
      <c r="J258" s="19" t="s">
        <v>15648</v>
      </c>
      <c r="K258" s="19" t="s">
        <v>15650</v>
      </c>
      <c r="L258" s="19"/>
      <c r="M258" s="20" t="s">
        <v>15341</v>
      </c>
      <c r="N258" s="20">
        <v>4</v>
      </c>
      <c r="O258" s="20"/>
      <c r="P258" s="20"/>
      <c r="Q258" s="20"/>
      <c r="R258" s="20" t="s">
        <v>15324</v>
      </c>
      <c r="S258" s="20">
        <v>36</v>
      </c>
      <c r="T258" s="20">
        <v>33</v>
      </c>
      <c r="U258" s="20">
        <v>80</v>
      </c>
      <c r="V258" s="24" t="s">
        <v>431</v>
      </c>
      <c r="W258" s="22" t="s">
        <v>15329</v>
      </c>
    </row>
    <row r="259" spans="1:23" x14ac:dyDescent="0.35">
      <c r="A259" s="18">
        <v>17648</v>
      </c>
      <c r="B259" s="19" t="s">
        <v>15277</v>
      </c>
      <c r="C259" s="24" t="s">
        <v>431</v>
      </c>
      <c r="D259" s="24" t="s">
        <v>1257</v>
      </c>
      <c r="E259" s="19" t="s">
        <v>15327</v>
      </c>
      <c r="F259" s="19" t="s">
        <v>15355</v>
      </c>
      <c r="G259" s="19" t="s">
        <v>15320</v>
      </c>
      <c r="H259" s="20">
        <v>5</v>
      </c>
      <c r="I259" s="20">
        <v>5</v>
      </c>
      <c r="J259" s="19" t="s">
        <v>15660</v>
      </c>
      <c r="K259" s="19" t="s">
        <v>15661</v>
      </c>
      <c r="L259" s="19"/>
      <c r="M259" s="20" t="s">
        <v>15341</v>
      </c>
      <c r="N259" s="20">
        <v>5</v>
      </c>
      <c r="O259" s="20"/>
      <c r="P259" s="20"/>
      <c r="Q259" s="20"/>
      <c r="R259" s="20" t="s">
        <v>15324</v>
      </c>
      <c r="S259" s="20">
        <v>36</v>
      </c>
      <c r="T259" s="20">
        <v>33</v>
      </c>
      <c r="U259" s="20">
        <v>80</v>
      </c>
      <c r="V259" s="24" t="s">
        <v>431</v>
      </c>
      <c r="W259" s="22" t="s">
        <v>15329</v>
      </c>
    </row>
    <row r="260" spans="1:23" x14ac:dyDescent="0.35">
      <c r="A260" s="18">
        <v>17648</v>
      </c>
      <c r="B260" s="19" t="s">
        <v>15277</v>
      </c>
      <c r="C260" s="24" t="s">
        <v>431</v>
      </c>
      <c r="D260" s="24" t="s">
        <v>1257</v>
      </c>
      <c r="E260" s="19" t="s">
        <v>15327</v>
      </c>
      <c r="F260" s="19" t="s">
        <v>15355</v>
      </c>
      <c r="G260" s="19" t="s">
        <v>15320</v>
      </c>
      <c r="H260" s="20">
        <v>6</v>
      </c>
      <c r="I260" s="20">
        <v>6</v>
      </c>
      <c r="J260" s="19" t="s">
        <v>15707</v>
      </c>
      <c r="K260" s="19" t="s">
        <v>15708</v>
      </c>
      <c r="L260" s="19"/>
      <c r="M260" s="20" t="s">
        <v>15341</v>
      </c>
      <c r="N260" s="20">
        <v>6</v>
      </c>
      <c r="O260" s="20"/>
      <c r="P260" s="20"/>
      <c r="Q260" s="20"/>
      <c r="R260" s="20" t="s">
        <v>15324</v>
      </c>
      <c r="S260" s="20">
        <v>36</v>
      </c>
      <c r="T260" s="20">
        <v>33</v>
      </c>
      <c r="U260" s="20">
        <v>62</v>
      </c>
      <c r="V260" s="24" t="s">
        <v>431</v>
      </c>
      <c r="W260" s="22" t="s">
        <v>15329</v>
      </c>
    </row>
    <row r="261" spans="1:23" x14ac:dyDescent="0.35">
      <c r="A261" s="18">
        <v>17648</v>
      </c>
      <c r="B261" s="19" t="s">
        <v>15277</v>
      </c>
      <c r="C261" s="24" t="s">
        <v>431</v>
      </c>
      <c r="D261" s="24" t="s">
        <v>1257</v>
      </c>
      <c r="E261" s="19" t="s">
        <v>15327</v>
      </c>
      <c r="F261" s="19" t="s">
        <v>15355</v>
      </c>
      <c r="G261" s="19" t="s">
        <v>15320</v>
      </c>
      <c r="H261" s="20">
        <v>7</v>
      </c>
      <c r="I261" s="20">
        <v>7</v>
      </c>
      <c r="J261" s="19" t="s">
        <v>15829</v>
      </c>
      <c r="K261" s="19" t="s">
        <v>15830</v>
      </c>
      <c r="L261" s="19"/>
      <c r="M261" s="20" t="s">
        <v>15341</v>
      </c>
      <c r="N261" s="20">
        <v>7</v>
      </c>
      <c r="O261" s="20"/>
      <c r="P261" s="20"/>
      <c r="Q261" s="20"/>
      <c r="R261" s="20" t="s">
        <v>15324</v>
      </c>
      <c r="S261" s="20">
        <v>36</v>
      </c>
      <c r="T261" s="20">
        <v>33</v>
      </c>
      <c r="U261" s="20">
        <v>42</v>
      </c>
      <c r="V261" s="24" t="s">
        <v>431</v>
      </c>
      <c r="W261" s="22" t="s">
        <v>15329</v>
      </c>
    </row>
    <row r="262" spans="1:23" x14ac:dyDescent="0.35">
      <c r="A262" s="18">
        <v>17648</v>
      </c>
      <c r="B262" s="19" t="s">
        <v>15277</v>
      </c>
      <c r="C262" s="24" t="s">
        <v>431</v>
      </c>
      <c r="D262" s="24" t="s">
        <v>1257</v>
      </c>
      <c r="E262" s="19" t="s">
        <v>15327</v>
      </c>
      <c r="F262" s="19" t="s">
        <v>15355</v>
      </c>
      <c r="G262" s="19" t="s">
        <v>15320</v>
      </c>
      <c r="H262" s="20">
        <v>8</v>
      </c>
      <c r="I262" s="20">
        <v>8</v>
      </c>
      <c r="J262" s="19" t="s">
        <v>15668</v>
      </c>
      <c r="K262" s="19" t="s">
        <v>15669</v>
      </c>
      <c r="L262" s="19"/>
      <c r="M262" s="20" t="s">
        <v>15323</v>
      </c>
      <c r="N262" s="20">
        <v>8</v>
      </c>
      <c r="O262" s="20"/>
      <c r="P262" s="20"/>
      <c r="Q262" s="20"/>
      <c r="R262" s="20" t="s">
        <v>15324</v>
      </c>
      <c r="S262" s="20">
        <v>36</v>
      </c>
      <c r="T262" s="20">
        <v>33</v>
      </c>
      <c r="U262" s="20">
        <v>80</v>
      </c>
      <c r="V262" s="24" t="s">
        <v>431</v>
      </c>
      <c r="W262" s="22" t="s">
        <v>15329</v>
      </c>
    </row>
    <row r="263" spans="1:23" x14ac:dyDescent="0.35">
      <c r="A263" s="18">
        <v>17648</v>
      </c>
      <c r="B263" s="19" t="s">
        <v>15277</v>
      </c>
      <c r="C263" s="24" t="s">
        <v>431</v>
      </c>
      <c r="D263" s="24" t="s">
        <v>1257</v>
      </c>
      <c r="E263" s="19" t="s">
        <v>15327</v>
      </c>
      <c r="F263" s="19" t="s">
        <v>15355</v>
      </c>
      <c r="G263" s="19" t="s">
        <v>15320</v>
      </c>
      <c r="H263" s="20">
        <v>9</v>
      </c>
      <c r="I263" s="20">
        <v>9</v>
      </c>
      <c r="J263" s="19" t="s">
        <v>15851</v>
      </c>
      <c r="K263" s="19" t="s">
        <v>15852</v>
      </c>
      <c r="L263" s="19"/>
      <c r="M263" s="20" t="s">
        <v>15341</v>
      </c>
      <c r="N263" s="20">
        <v>9</v>
      </c>
      <c r="O263" s="20"/>
      <c r="P263" s="20"/>
      <c r="Q263" s="20"/>
      <c r="R263" s="20" t="s">
        <v>15324</v>
      </c>
      <c r="S263" s="20">
        <v>36</v>
      </c>
      <c r="T263" s="20">
        <v>33</v>
      </c>
      <c r="U263" s="20">
        <v>80</v>
      </c>
      <c r="V263" s="24" t="s">
        <v>431</v>
      </c>
      <c r="W263" s="22" t="s">
        <v>15329</v>
      </c>
    </row>
    <row r="264" spans="1:23" x14ac:dyDescent="0.35">
      <c r="A264" s="18">
        <v>17648</v>
      </c>
      <c r="B264" s="19" t="s">
        <v>15277</v>
      </c>
      <c r="C264" s="24" t="s">
        <v>431</v>
      </c>
      <c r="D264" s="24" t="s">
        <v>1257</v>
      </c>
      <c r="E264" s="19" t="s">
        <v>15327</v>
      </c>
      <c r="F264" s="19" t="s">
        <v>15355</v>
      </c>
      <c r="G264" s="19" t="s">
        <v>15320</v>
      </c>
      <c r="H264" s="20">
        <v>10</v>
      </c>
      <c r="I264" s="20">
        <v>10</v>
      </c>
      <c r="J264" s="2" t="s">
        <v>15980</v>
      </c>
      <c r="K264" s="19" t="s">
        <v>15356</v>
      </c>
      <c r="L264" s="19"/>
      <c r="M264" s="20" t="s">
        <v>15357</v>
      </c>
      <c r="N264" s="20">
        <v>10</v>
      </c>
      <c r="O264" s="20"/>
      <c r="P264" s="20"/>
      <c r="Q264" s="20"/>
      <c r="R264" s="20" t="s">
        <v>15324</v>
      </c>
      <c r="S264" s="20">
        <v>36</v>
      </c>
      <c r="T264" s="20">
        <v>33</v>
      </c>
      <c r="U264" s="20">
        <v>80</v>
      </c>
      <c r="V264" s="24" t="s">
        <v>431</v>
      </c>
      <c r="W264" s="22" t="s">
        <v>15329</v>
      </c>
    </row>
    <row r="265" spans="1:23" x14ac:dyDescent="0.35">
      <c r="A265" s="18">
        <v>17648</v>
      </c>
      <c r="B265" s="19" t="s">
        <v>15277</v>
      </c>
      <c r="C265" s="24" t="s">
        <v>431</v>
      </c>
      <c r="D265" s="24" t="s">
        <v>1257</v>
      </c>
      <c r="E265" s="19" t="s">
        <v>15327</v>
      </c>
      <c r="F265" s="19" t="s">
        <v>15355</v>
      </c>
      <c r="G265" s="19" t="s">
        <v>15320</v>
      </c>
      <c r="H265" s="20">
        <v>11</v>
      </c>
      <c r="I265" s="20">
        <v>11</v>
      </c>
      <c r="J265" s="19" t="s">
        <v>15759</v>
      </c>
      <c r="K265" s="19" t="s">
        <v>15760</v>
      </c>
      <c r="L265" s="19"/>
      <c r="M265" s="20" t="s">
        <v>15350</v>
      </c>
      <c r="N265" s="20">
        <v>11</v>
      </c>
      <c r="O265" s="20"/>
      <c r="P265" s="20"/>
      <c r="Q265" s="20"/>
      <c r="R265" s="20" t="s">
        <v>15324</v>
      </c>
      <c r="S265" s="20">
        <v>36</v>
      </c>
      <c r="T265" s="20">
        <v>33</v>
      </c>
      <c r="U265" s="20">
        <v>80</v>
      </c>
      <c r="V265" s="24" t="s">
        <v>431</v>
      </c>
      <c r="W265" s="22" t="s">
        <v>15329</v>
      </c>
    </row>
    <row r="266" spans="1:23" x14ac:dyDescent="0.35">
      <c r="A266" s="18">
        <v>17648</v>
      </c>
      <c r="B266" s="19" t="s">
        <v>15277</v>
      </c>
      <c r="C266" s="24" t="s">
        <v>431</v>
      </c>
      <c r="D266" s="24" t="s">
        <v>1257</v>
      </c>
      <c r="E266" s="19" t="s">
        <v>15327</v>
      </c>
      <c r="F266" s="19" t="s">
        <v>15355</v>
      </c>
      <c r="G266" s="19" t="s">
        <v>15320</v>
      </c>
      <c r="H266" s="20">
        <v>12</v>
      </c>
      <c r="I266" s="20">
        <v>12</v>
      </c>
      <c r="J266" s="19" t="s">
        <v>15720</v>
      </c>
      <c r="K266" s="19" t="s">
        <v>15721</v>
      </c>
      <c r="L266" s="19"/>
      <c r="M266" s="20" t="s">
        <v>15323</v>
      </c>
      <c r="N266" s="20">
        <v>12</v>
      </c>
      <c r="O266" s="20"/>
      <c r="P266" s="20"/>
      <c r="Q266" s="20"/>
      <c r="R266" s="20" t="s">
        <v>15324</v>
      </c>
      <c r="S266" s="20">
        <v>36</v>
      </c>
      <c r="T266" s="20">
        <v>33</v>
      </c>
      <c r="U266" s="20">
        <v>69</v>
      </c>
      <c r="V266" s="24" t="s">
        <v>431</v>
      </c>
      <c r="W266" s="22" t="s">
        <v>15329</v>
      </c>
    </row>
    <row r="267" spans="1:23" x14ac:dyDescent="0.35">
      <c r="A267" s="18">
        <v>17648</v>
      </c>
      <c r="B267" s="19" t="s">
        <v>15277</v>
      </c>
      <c r="C267" s="24" t="s">
        <v>431</v>
      </c>
      <c r="D267" s="24" t="s">
        <v>1257</v>
      </c>
      <c r="E267" s="19" t="s">
        <v>15327</v>
      </c>
      <c r="F267" s="19" t="s">
        <v>15355</v>
      </c>
      <c r="G267" s="19" t="s">
        <v>15320</v>
      </c>
      <c r="H267" s="20">
        <v>13</v>
      </c>
      <c r="I267" s="20">
        <v>13</v>
      </c>
      <c r="J267" s="19" t="s">
        <v>15485</v>
      </c>
      <c r="K267" s="19" t="s">
        <v>15486</v>
      </c>
      <c r="L267" s="19"/>
      <c r="M267" s="20" t="s">
        <v>15362</v>
      </c>
      <c r="N267" s="20">
        <v>13</v>
      </c>
      <c r="O267" s="20"/>
      <c r="P267" s="20"/>
      <c r="Q267" s="20"/>
      <c r="R267" s="20" t="s">
        <v>15324</v>
      </c>
      <c r="S267" s="20">
        <v>36</v>
      </c>
      <c r="T267" s="20">
        <v>33</v>
      </c>
      <c r="U267" s="20">
        <v>50</v>
      </c>
      <c r="V267" s="24" t="s">
        <v>431</v>
      </c>
      <c r="W267" s="22" t="s">
        <v>15329</v>
      </c>
    </row>
    <row r="268" spans="1:23" x14ac:dyDescent="0.35">
      <c r="A268" s="18">
        <v>17648</v>
      </c>
      <c r="B268" s="19" t="s">
        <v>15277</v>
      </c>
      <c r="C268" s="24" t="s">
        <v>431</v>
      </c>
      <c r="D268" s="24" t="s">
        <v>1257</v>
      </c>
      <c r="E268" s="19" t="s">
        <v>15327</v>
      </c>
      <c r="F268" s="19" t="s">
        <v>15355</v>
      </c>
      <c r="G268" s="19" t="s">
        <v>15320</v>
      </c>
      <c r="H268" s="20">
        <v>14</v>
      </c>
      <c r="I268" s="20">
        <v>14</v>
      </c>
      <c r="J268" s="19" t="s">
        <v>15487</v>
      </c>
      <c r="K268" s="19" t="s">
        <v>15488</v>
      </c>
      <c r="L268" s="19"/>
      <c r="M268" s="20" t="s">
        <v>15350</v>
      </c>
      <c r="N268" s="20">
        <v>14</v>
      </c>
      <c r="O268" s="20"/>
      <c r="P268" s="20"/>
      <c r="Q268" s="20"/>
      <c r="R268" s="20" t="s">
        <v>15324</v>
      </c>
      <c r="S268" s="20">
        <v>36</v>
      </c>
      <c r="T268" s="20">
        <v>33</v>
      </c>
      <c r="U268" s="20">
        <v>64</v>
      </c>
      <c r="V268" s="24" t="s">
        <v>431</v>
      </c>
      <c r="W268" s="22" t="s">
        <v>15329</v>
      </c>
    </row>
    <row r="269" spans="1:23" x14ac:dyDescent="0.35">
      <c r="A269" s="18">
        <v>17648</v>
      </c>
      <c r="B269" s="19" t="s">
        <v>15277</v>
      </c>
      <c r="C269" s="24" t="s">
        <v>431</v>
      </c>
      <c r="D269" s="24" t="s">
        <v>1257</v>
      </c>
      <c r="E269" s="19" t="s">
        <v>15327</v>
      </c>
      <c r="F269" s="19" t="s">
        <v>15355</v>
      </c>
      <c r="G269" s="19" t="s">
        <v>15320</v>
      </c>
      <c r="H269" s="20">
        <v>15</v>
      </c>
      <c r="I269" s="20">
        <v>15</v>
      </c>
      <c r="J269" s="19" t="s">
        <v>15690</v>
      </c>
      <c r="K269" s="19" t="s">
        <v>15691</v>
      </c>
      <c r="L269" s="19"/>
      <c r="M269" s="20" t="s">
        <v>15323</v>
      </c>
      <c r="N269" s="20">
        <v>15</v>
      </c>
      <c r="O269" s="20"/>
      <c r="P269" s="20"/>
      <c r="Q269" s="20"/>
      <c r="R269" s="20" t="s">
        <v>15324</v>
      </c>
      <c r="S269" s="20">
        <v>36</v>
      </c>
      <c r="T269" s="20">
        <v>33</v>
      </c>
      <c r="U269" s="20">
        <v>80</v>
      </c>
      <c r="V269" s="24" t="s">
        <v>431</v>
      </c>
      <c r="W269" s="22" t="s">
        <v>15329</v>
      </c>
    </row>
    <row r="270" spans="1:23" x14ac:dyDescent="0.35">
      <c r="A270" s="18">
        <v>17648</v>
      </c>
      <c r="B270" s="19" t="s">
        <v>15277</v>
      </c>
      <c r="C270" s="24" t="s">
        <v>431</v>
      </c>
      <c r="D270" s="24" t="s">
        <v>1257</v>
      </c>
      <c r="E270" s="19" t="s">
        <v>15327</v>
      </c>
      <c r="F270" s="19" t="s">
        <v>15355</v>
      </c>
      <c r="G270" s="19" t="s">
        <v>15320</v>
      </c>
      <c r="H270" s="20">
        <v>16</v>
      </c>
      <c r="I270" s="20">
        <v>16</v>
      </c>
      <c r="J270" s="19" t="s">
        <v>15443</v>
      </c>
      <c r="K270" s="19" t="s">
        <v>15444</v>
      </c>
      <c r="L270" s="19" t="s">
        <v>15371</v>
      </c>
      <c r="M270" s="20" t="s">
        <v>15357</v>
      </c>
      <c r="N270" s="20">
        <v>16</v>
      </c>
      <c r="O270" s="20"/>
      <c r="P270" s="20"/>
      <c r="Q270" s="20"/>
      <c r="R270" s="20" t="s">
        <v>15346</v>
      </c>
      <c r="S270" s="20">
        <v>36</v>
      </c>
      <c r="T270" s="20">
        <v>33</v>
      </c>
      <c r="U270" s="20">
        <v>52</v>
      </c>
      <c r="V270" s="24" t="s">
        <v>431</v>
      </c>
      <c r="W270" s="22" t="s">
        <v>15329</v>
      </c>
    </row>
    <row r="271" spans="1:23" x14ac:dyDescent="0.35">
      <c r="A271" s="18">
        <v>17648</v>
      </c>
      <c r="B271" s="19" t="s">
        <v>15277</v>
      </c>
      <c r="C271" s="24" t="s">
        <v>431</v>
      </c>
      <c r="D271" s="24" t="s">
        <v>1257</v>
      </c>
      <c r="E271" s="19" t="s">
        <v>15327</v>
      </c>
      <c r="F271" s="19" t="s">
        <v>15355</v>
      </c>
      <c r="G271" s="19" t="s">
        <v>15320</v>
      </c>
      <c r="H271" s="20">
        <v>17</v>
      </c>
      <c r="I271" s="20">
        <v>17</v>
      </c>
      <c r="J271" s="19" t="s">
        <v>15523</v>
      </c>
      <c r="K271" s="19" t="s">
        <v>15524</v>
      </c>
      <c r="L271" s="19" t="s">
        <v>15345</v>
      </c>
      <c r="M271" s="20" t="s">
        <v>15341</v>
      </c>
      <c r="N271" s="20">
        <v>17</v>
      </c>
      <c r="O271" s="20"/>
      <c r="P271" s="20"/>
      <c r="Q271" s="20"/>
      <c r="R271" s="20" t="s">
        <v>15346</v>
      </c>
      <c r="S271" s="20">
        <v>36</v>
      </c>
      <c r="T271" s="20">
        <v>33</v>
      </c>
      <c r="U271" s="20">
        <v>5</v>
      </c>
      <c r="V271" s="24" t="s">
        <v>431</v>
      </c>
      <c r="W271" s="22" t="s">
        <v>15329</v>
      </c>
    </row>
    <row r="272" spans="1:23" x14ac:dyDescent="0.35">
      <c r="A272" s="18">
        <v>17648</v>
      </c>
      <c r="B272" s="19" t="s">
        <v>15277</v>
      </c>
      <c r="C272" s="24" t="s">
        <v>431</v>
      </c>
      <c r="D272" s="24" t="s">
        <v>1257</v>
      </c>
      <c r="E272" s="19" t="s">
        <v>15327</v>
      </c>
      <c r="F272" s="19" t="s">
        <v>15355</v>
      </c>
      <c r="G272" s="19" t="s">
        <v>15320</v>
      </c>
      <c r="H272" s="20">
        <v>18</v>
      </c>
      <c r="I272" s="20">
        <v>18</v>
      </c>
      <c r="J272" s="19" t="s">
        <v>15789</v>
      </c>
      <c r="K272" s="19" t="s">
        <v>15790</v>
      </c>
      <c r="L272" s="19" t="s">
        <v>15371</v>
      </c>
      <c r="M272" s="20" t="s">
        <v>15323</v>
      </c>
      <c r="N272" s="20">
        <v>18</v>
      </c>
      <c r="O272" s="20"/>
      <c r="P272" s="20"/>
      <c r="Q272" s="20"/>
      <c r="R272" s="20" t="s">
        <v>15346</v>
      </c>
      <c r="S272" s="20">
        <v>36</v>
      </c>
      <c r="T272" s="20">
        <v>33</v>
      </c>
      <c r="U272" s="20">
        <v>0</v>
      </c>
      <c r="V272" s="24" t="s">
        <v>431</v>
      </c>
      <c r="W272" s="22" t="s">
        <v>15329</v>
      </c>
    </row>
    <row r="273" spans="1:23" x14ac:dyDescent="0.35">
      <c r="A273" s="18">
        <v>17648</v>
      </c>
      <c r="B273" s="19" t="s">
        <v>15277</v>
      </c>
      <c r="C273" s="24" t="s">
        <v>431</v>
      </c>
      <c r="D273" s="24" t="s">
        <v>1257</v>
      </c>
      <c r="E273" s="19" t="s">
        <v>15327</v>
      </c>
      <c r="F273" s="19" t="s">
        <v>15355</v>
      </c>
      <c r="G273" s="19" t="s">
        <v>15320</v>
      </c>
      <c r="H273" s="20">
        <v>19</v>
      </c>
      <c r="I273" s="20">
        <v>19</v>
      </c>
      <c r="J273" s="2" t="s">
        <v>15973</v>
      </c>
      <c r="K273" s="19" t="s">
        <v>15763</v>
      </c>
      <c r="L273" s="19"/>
      <c r="M273" s="20" t="s">
        <v>15341</v>
      </c>
      <c r="N273" s="20">
        <v>19</v>
      </c>
      <c r="O273" s="20"/>
      <c r="P273" s="20"/>
      <c r="Q273" s="20"/>
      <c r="R273" s="20" t="s">
        <v>15346</v>
      </c>
      <c r="S273" s="20">
        <v>36</v>
      </c>
      <c r="T273" s="20">
        <v>33</v>
      </c>
      <c r="U273" s="20">
        <v>0</v>
      </c>
      <c r="V273" s="24" t="s">
        <v>431</v>
      </c>
      <c r="W273" s="22" t="s">
        <v>15329</v>
      </c>
    </row>
    <row r="274" spans="1:23" x14ac:dyDescent="0.35">
      <c r="A274" s="18">
        <v>17648</v>
      </c>
      <c r="B274" s="19" t="s">
        <v>15277</v>
      </c>
      <c r="C274" s="24" t="s">
        <v>431</v>
      </c>
      <c r="D274" s="24" t="s">
        <v>1257</v>
      </c>
      <c r="E274" s="19" t="s">
        <v>15327</v>
      </c>
      <c r="F274" s="19" t="s">
        <v>15355</v>
      </c>
      <c r="G274" s="19" t="s">
        <v>15320</v>
      </c>
      <c r="H274" s="20">
        <v>20</v>
      </c>
      <c r="I274" s="20">
        <v>20</v>
      </c>
      <c r="J274" s="19" t="s">
        <v>15651</v>
      </c>
      <c r="K274" s="19" t="s">
        <v>15652</v>
      </c>
      <c r="L274" s="19"/>
      <c r="M274" s="20" t="s">
        <v>15350</v>
      </c>
      <c r="N274" s="20">
        <v>20</v>
      </c>
      <c r="O274" s="20"/>
      <c r="P274" s="20"/>
      <c r="Q274" s="20"/>
      <c r="R274" s="20" t="s">
        <v>15346</v>
      </c>
      <c r="S274" s="20">
        <v>36</v>
      </c>
      <c r="T274" s="20">
        <v>33</v>
      </c>
      <c r="U274" s="20">
        <v>18</v>
      </c>
      <c r="V274" s="24" t="s">
        <v>431</v>
      </c>
      <c r="W274" s="22" t="s">
        <v>15329</v>
      </c>
    </row>
    <row r="275" spans="1:23" x14ac:dyDescent="0.35">
      <c r="A275" s="18">
        <v>17648</v>
      </c>
      <c r="B275" s="19" t="s">
        <v>15277</v>
      </c>
      <c r="C275" s="24" t="s">
        <v>431</v>
      </c>
      <c r="D275" s="24" t="s">
        <v>1257</v>
      </c>
      <c r="E275" s="19" t="s">
        <v>15327</v>
      </c>
      <c r="F275" s="19" t="s">
        <v>15355</v>
      </c>
      <c r="G275" s="19" t="s">
        <v>15320</v>
      </c>
      <c r="H275" s="20">
        <v>21</v>
      </c>
      <c r="I275" s="20">
        <v>21</v>
      </c>
      <c r="J275" s="19" t="s">
        <v>15732</v>
      </c>
      <c r="K275" s="19" t="s">
        <v>15733</v>
      </c>
      <c r="L275" s="19"/>
      <c r="M275" s="20" t="s">
        <v>15350</v>
      </c>
      <c r="N275" s="20">
        <v>21</v>
      </c>
      <c r="O275" s="20"/>
      <c r="P275" s="20"/>
      <c r="Q275" s="20"/>
      <c r="R275" s="20" t="s">
        <v>15346</v>
      </c>
      <c r="S275" s="20">
        <v>36</v>
      </c>
      <c r="T275" s="20">
        <v>33</v>
      </c>
      <c r="U275" s="20">
        <v>38</v>
      </c>
      <c r="V275" s="24" t="s">
        <v>431</v>
      </c>
      <c r="W275" s="22" t="s">
        <v>15329</v>
      </c>
    </row>
    <row r="276" spans="1:23" x14ac:dyDescent="0.35">
      <c r="A276" s="18">
        <v>17648</v>
      </c>
      <c r="B276" s="19" t="s">
        <v>15277</v>
      </c>
      <c r="C276" s="24" t="s">
        <v>431</v>
      </c>
      <c r="D276" s="24" t="s">
        <v>1257</v>
      </c>
      <c r="E276" s="19" t="s">
        <v>15327</v>
      </c>
      <c r="F276" s="19" t="s">
        <v>15355</v>
      </c>
      <c r="G276" s="19" t="s">
        <v>15320</v>
      </c>
      <c r="H276" s="20">
        <v>22</v>
      </c>
      <c r="I276" s="20">
        <v>22</v>
      </c>
      <c r="J276" s="19" t="s">
        <v>15460</v>
      </c>
      <c r="K276" s="19" t="s">
        <v>15461</v>
      </c>
      <c r="L276" s="19"/>
      <c r="M276" s="20" t="s">
        <v>15341</v>
      </c>
      <c r="N276" s="20">
        <v>22</v>
      </c>
      <c r="O276" s="20"/>
      <c r="P276" s="20"/>
      <c r="Q276" s="20"/>
      <c r="R276" s="20" t="s">
        <v>15346</v>
      </c>
      <c r="S276" s="20">
        <v>36</v>
      </c>
      <c r="T276" s="20">
        <v>33</v>
      </c>
      <c r="U276" s="20">
        <v>9</v>
      </c>
      <c r="V276" s="24" t="s">
        <v>431</v>
      </c>
      <c r="W276" s="22" t="s">
        <v>15329</v>
      </c>
    </row>
    <row r="277" spans="1:23" x14ac:dyDescent="0.35">
      <c r="A277" s="18">
        <v>17648</v>
      </c>
      <c r="B277" s="19" t="s">
        <v>15277</v>
      </c>
      <c r="C277" s="24" t="s">
        <v>431</v>
      </c>
      <c r="D277" s="24" t="s">
        <v>1257</v>
      </c>
      <c r="E277" s="19" t="s">
        <v>15327</v>
      </c>
      <c r="F277" s="19" t="s">
        <v>15355</v>
      </c>
      <c r="G277" s="19" t="s">
        <v>15320</v>
      </c>
      <c r="H277" s="20">
        <v>23</v>
      </c>
      <c r="I277" s="20">
        <v>23</v>
      </c>
      <c r="J277" s="19" t="s">
        <v>15468</v>
      </c>
      <c r="K277" s="19" t="s">
        <v>15469</v>
      </c>
      <c r="L277" s="19"/>
      <c r="M277" s="20" t="s">
        <v>15362</v>
      </c>
      <c r="N277" s="20">
        <v>23</v>
      </c>
      <c r="O277" s="20"/>
      <c r="P277" s="20"/>
      <c r="Q277" s="20"/>
      <c r="R277" s="20" t="s">
        <v>15346</v>
      </c>
      <c r="S277" s="20">
        <v>36</v>
      </c>
      <c r="T277" s="20">
        <v>33</v>
      </c>
      <c r="U277" s="20">
        <v>11</v>
      </c>
      <c r="V277" s="24" t="s">
        <v>431</v>
      </c>
      <c r="W277" s="22" t="s">
        <v>15329</v>
      </c>
    </row>
    <row r="278" spans="1:23" x14ac:dyDescent="0.35">
      <c r="A278" s="18">
        <v>17649</v>
      </c>
      <c r="B278" s="19" t="s">
        <v>15277</v>
      </c>
      <c r="C278" s="24" t="s">
        <v>238</v>
      </c>
      <c r="D278" s="24" t="s">
        <v>557</v>
      </c>
      <c r="E278" s="19" t="s">
        <v>15327</v>
      </c>
      <c r="F278" s="19" t="s">
        <v>15384</v>
      </c>
      <c r="G278" s="19" t="s">
        <v>15320</v>
      </c>
      <c r="H278" s="20">
        <v>1</v>
      </c>
      <c r="I278" s="20">
        <v>1</v>
      </c>
      <c r="J278" s="19" t="s">
        <v>15400</v>
      </c>
      <c r="K278" s="19" t="s">
        <v>15401</v>
      </c>
      <c r="L278" s="19" t="s">
        <v>15371</v>
      </c>
      <c r="M278" s="20" t="s">
        <v>15323</v>
      </c>
      <c r="N278" s="20">
        <v>1</v>
      </c>
      <c r="O278" s="20"/>
      <c r="P278" s="20"/>
      <c r="Q278" s="20"/>
      <c r="R278" s="20" t="s">
        <v>15324</v>
      </c>
      <c r="S278" s="20">
        <v>12</v>
      </c>
      <c r="T278" s="20">
        <v>22</v>
      </c>
      <c r="U278" s="20">
        <v>80</v>
      </c>
      <c r="V278" s="24" t="s">
        <v>238</v>
      </c>
      <c r="W278" s="22" t="s">
        <v>15329</v>
      </c>
    </row>
    <row r="279" spans="1:23" x14ac:dyDescent="0.35">
      <c r="A279" s="18">
        <v>17649</v>
      </c>
      <c r="B279" s="19" t="s">
        <v>15277</v>
      </c>
      <c r="C279" s="24" t="s">
        <v>238</v>
      </c>
      <c r="D279" s="24" t="s">
        <v>557</v>
      </c>
      <c r="E279" s="19" t="s">
        <v>15327</v>
      </c>
      <c r="F279" s="19" t="s">
        <v>15384</v>
      </c>
      <c r="G279" s="19" t="s">
        <v>15320</v>
      </c>
      <c r="H279" s="20">
        <v>2</v>
      </c>
      <c r="I279" s="20">
        <v>2</v>
      </c>
      <c r="J279" s="19" t="s">
        <v>15571</v>
      </c>
      <c r="K279" s="19" t="s">
        <v>15572</v>
      </c>
      <c r="L279" s="19" t="s">
        <v>15324</v>
      </c>
      <c r="M279" s="20" t="s">
        <v>15341</v>
      </c>
      <c r="N279" s="20">
        <v>2</v>
      </c>
      <c r="O279" s="20"/>
      <c r="P279" s="20"/>
      <c r="Q279" s="20"/>
      <c r="R279" s="20" t="s">
        <v>15324</v>
      </c>
      <c r="S279" s="20">
        <v>12</v>
      </c>
      <c r="T279" s="20">
        <v>22</v>
      </c>
      <c r="U279" s="20">
        <v>41</v>
      </c>
      <c r="V279" s="24" t="s">
        <v>238</v>
      </c>
      <c r="W279" s="22" t="s">
        <v>15329</v>
      </c>
    </row>
    <row r="280" spans="1:23" x14ac:dyDescent="0.35">
      <c r="A280" s="18">
        <v>17649</v>
      </c>
      <c r="B280" s="19" t="s">
        <v>15277</v>
      </c>
      <c r="C280" s="24" t="s">
        <v>238</v>
      </c>
      <c r="D280" s="24" t="s">
        <v>557</v>
      </c>
      <c r="E280" s="19" t="s">
        <v>15327</v>
      </c>
      <c r="F280" s="19" t="s">
        <v>15384</v>
      </c>
      <c r="G280" s="19" t="s">
        <v>15320</v>
      </c>
      <c r="H280" s="20">
        <v>3</v>
      </c>
      <c r="I280" s="20">
        <v>3</v>
      </c>
      <c r="J280" s="19" t="s">
        <v>15835</v>
      </c>
      <c r="K280" s="19" t="s">
        <v>15836</v>
      </c>
      <c r="L280" s="19" t="s">
        <v>15596</v>
      </c>
      <c r="M280" s="20" t="s">
        <v>15341</v>
      </c>
      <c r="N280" s="20">
        <v>3</v>
      </c>
      <c r="O280" s="20"/>
      <c r="P280" s="20"/>
      <c r="Q280" s="20"/>
      <c r="R280" s="20" t="s">
        <v>15324</v>
      </c>
      <c r="S280" s="20">
        <v>12</v>
      </c>
      <c r="T280" s="20">
        <v>22</v>
      </c>
      <c r="U280" s="20">
        <v>67</v>
      </c>
      <c r="V280" s="24" t="s">
        <v>238</v>
      </c>
      <c r="W280" s="22" t="s">
        <v>15329</v>
      </c>
    </row>
    <row r="281" spans="1:23" x14ac:dyDescent="0.35">
      <c r="A281" s="18">
        <v>17649</v>
      </c>
      <c r="B281" s="19" t="s">
        <v>15277</v>
      </c>
      <c r="C281" s="24" t="s">
        <v>238</v>
      </c>
      <c r="D281" s="24" t="s">
        <v>557</v>
      </c>
      <c r="E281" s="19" t="s">
        <v>15327</v>
      </c>
      <c r="F281" s="19" t="s">
        <v>15384</v>
      </c>
      <c r="G281" s="19" t="s">
        <v>15320</v>
      </c>
      <c r="H281" s="20">
        <v>4</v>
      </c>
      <c r="I281" s="20">
        <v>4</v>
      </c>
      <c r="J281" s="19" t="s">
        <v>15382</v>
      </c>
      <c r="K281" s="19" t="s">
        <v>15383</v>
      </c>
      <c r="L281" s="19"/>
      <c r="M281" s="20" t="s">
        <v>15323</v>
      </c>
      <c r="N281" s="20">
        <v>4</v>
      </c>
      <c r="O281" s="20"/>
      <c r="P281" s="20"/>
      <c r="Q281" s="20"/>
      <c r="R281" s="20" t="s">
        <v>15324</v>
      </c>
      <c r="S281" s="20">
        <v>12</v>
      </c>
      <c r="T281" s="20">
        <v>22</v>
      </c>
      <c r="U281" s="20">
        <v>80</v>
      </c>
      <c r="V281" s="24" t="s">
        <v>238</v>
      </c>
      <c r="W281" s="22" t="s">
        <v>15329</v>
      </c>
    </row>
    <row r="282" spans="1:23" x14ac:dyDescent="0.35">
      <c r="A282" s="18">
        <v>17649</v>
      </c>
      <c r="B282" s="19" t="s">
        <v>15277</v>
      </c>
      <c r="C282" s="24" t="s">
        <v>238</v>
      </c>
      <c r="D282" s="24" t="s">
        <v>557</v>
      </c>
      <c r="E282" s="19" t="s">
        <v>15327</v>
      </c>
      <c r="F282" s="19" t="s">
        <v>15384</v>
      </c>
      <c r="G282" s="19" t="s">
        <v>15320</v>
      </c>
      <c r="H282" s="20">
        <v>5</v>
      </c>
      <c r="I282" s="20">
        <v>5</v>
      </c>
      <c r="J282" s="19" t="s">
        <v>15610</v>
      </c>
      <c r="K282" s="19" t="s">
        <v>15611</v>
      </c>
      <c r="L282" s="19"/>
      <c r="M282" s="20" t="s">
        <v>15357</v>
      </c>
      <c r="N282" s="20">
        <v>5</v>
      </c>
      <c r="O282" s="20"/>
      <c r="P282" s="20"/>
      <c r="Q282" s="20"/>
      <c r="R282" s="20" t="s">
        <v>15324</v>
      </c>
      <c r="S282" s="20">
        <v>12</v>
      </c>
      <c r="T282" s="20">
        <v>22</v>
      </c>
      <c r="U282" s="20">
        <v>80</v>
      </c>
      <c r="V282" s="24" t="s">
        <v>238</v>
      </c>
      <c r="W282" s="22" t="s">
        <v>15329</v>
      </c>
    </row>
    <row r="283" spans="1:23" x14ac:dyDescent="0.35">
      <c r="A283" s="18">
        <v>17649</v>
      </c>
      <c r="B283" s="19" t="s">
        <v>15277</v>
      </c>
      <c r="C283" s="24" t="s">
        <v>238</v>
      </c>
      <c r="D283" s="24" t="s">
        <v>557</v>
      </c>
      <c r="E283" s="19" t="s">
        <v>15327</v>
      </c>
      <c r="F283" s="19" t="s">
        <v>15384</v>
      </c>
      <c r="G283" s="19" t="s">
        <v>15320</v>
      </c>
      <c r="H283" s="20">
        <v>6</v>
      </c>
      <c r="I283" s="20">
        <v>6</v>
      </c>
      <c r="J283" s="19" t="s">
        <v>15713</v>
      </c>
      <c r="K283" s="19" t="s">
        <v>15714</v>
      </c>
      <c r="L283" s="19"/>
      <c r="M283" s="20" t="s">
        <v>15341</v>
      </c>
      <c r="N283" s="20">
        <v>6</v>
      </c>
      <c r="O283" s="20"/>
      <c r="P283" s="20"/>
      <c r="Q283" s="20"/>
      <c r="R283" s="20" t="s">
        <v>15324</v>
      </c>
      <c r="S283" s="20">
        <v>12</v>
      </c>
      <c r="T283" s="20">
        <v>22</v>
      </c>
      <c r="U283" s="20">
        <v>51</v>
      </c>
      <c r="V283" s="24" t="s">
        <v>238</v>
      </c>
      <c r="W283" s="22" t="s">
        <v>15329</v>
      </c>
    </row>
    <row r="284" spans="1:23" x14ac:dyDescent="0.35">
      <c r="A284" s="18">
        <v>17649</v>
      </c>
      <c r="B284" s="19" t="s">
        <v>15277</v>
      </c>
      <c r="C284" s="24" t="s">
        <v>238</v>
      </c>
      <c r="D284" s="24" t="s">
        <v>557</v>
      </c>
      <c r="E284" s="19" t="s">
        <v>15327</v>
      </c>
      <c r="F284" s="19" t="s">
        <v>15384</v>
      </c>
      <c r="G284" s="19" t="s">
        <v>15320</v>
      </c>
      <c r="H284" s="20">
        <v>7</v>
      </c>
      <c r="I284" s="20">
        <v>7</v>
      </c>
      <c r="J284" s="19" t="s">
        <v>15428</v>
      </c>
      <c r="K284" s="19" t="s">
        <v>15429</v>
      </c>
      <c r="L284" s="19"/>
      <c r="M284" s="20" t="s">
        <v>15341</v>
      </c>
      <c r="N284" s="20">
        <v>7</v>
      </c>
      <c r="O284" s="20"/>
      <c r="P284" s="20"/>
      <c r="Q284" s="20"/>
      <c r="R284" s="20" t="s">
        <v>15324</v>
      </c>
      <c r="S284" s="20">
        <v>12</v>
      </c>
      <c r="T284" s="20">
        <v>22</v>
      </c>
      <c r="U284" s="20">
        <v>80</v>
      </c>
      <c r="V284" s="24" t="s">
        <v>238</v>
      </c>
      <c r="W284" s="22" t="s">
        <v>15329</v>
      </c>
    </row>
    <row r="285" spans="1:23" x14ac:dyDescent="0.35">
      <c r="A285" s="18">
        <v>17649</v>
      </c>
      <c r="B285" s="19" t="s">
        <v>15277</v>
      </c>
      <c r="C285" s="24" t="s">
        <v>238</v>
      </c>
      <c r="D285" s="24" t="s">
        <v>557</v>
      </c>
      <c r="E285" s="19" t="s">
        <v>15327</v>
      </c>
      <c r="F285" s="19" t="s">
        <v>15384</v>
      </c>
      <c r="G285" s="19" t="s">
        <v>15320</v>
      </c>
      <c r="H285" s="20">
        <v>8</v>
      </c>
      <c r="I285" s="20">
        <v>8</v>
      </c>
      <c r="J285" s="2" t="s">
        <v>15972</v>
      </c>
      <c r="K285" s="19" t="s">
        <v>15756</v>
      </c>
      <c r="L285" s="19"/>
      <c r="M285" s="20" t="s">
        <v>15350</v>
      </c>
      <c r="N285" s="20">
        <v>8</v>
      </c>
      <c r="O285" s="20"/>
      <c r="P285" s="20"/>
      <c r="Q285" s="20"/>
      <c r="R285" s="20" t="s">
        <v>15324</v>
      </c>
      <c r="S285" s="20">
        <v>12</v>
      </c>
      <c r="T285" s="20">
        <v>22</v>
      </c>
      <c r="U285" s="20">
        <v>80</v>
      </c>
      <c r="V285" s="24" t="s">
        <v>238</v>
      </c>
      <c r="W285" s="22" t="s">
        <v>15329</v>
      </c>
    </row>
    <row r="286" spans="1:23" x14ac:dyDescent="0.35">
      <c r="A286" s="18">
        <v>17649</v>
      </c>
      <c r="B286" s="19" t="s">
        <v>15277</v>
      </c>
      <c r="C286" s="24" t="s">
        <v>238</v>
      </c>
      <c r="D286" s="24" t="s">
        <v>557</v>
      </c>
      <c r="E286" s="19" t="s">
        <v>15327</v>
      </c>
      <c r="F286" s="19" t="s">
        <v>15384</v>
      </c>
      <c r="G286" s="19" t="s">
        <v>15320</v>
      </c>
      <c r="H286" s="20">
        <v>9</v>
      </c>
      <c r="I286" s="20">
        <v>9</v>
      </c>
      <c r="J286" s="19" t="s">
        <v>15606</v>
      </c>
      <c r="K286" s="19" t="s">
        <v>15607</v>
      </c>
      <c r="L286" s="19"/>
      <c r="M286" s="20" t="s">
        <v>15341</v>
      </c>
      <c r="N286" s="20">
        <v>9</v>
      </c>
      <c r="O286" s="20"/>
      <c r="P286" s="20"/>
      <c r="Q286" s="20"/>
      <c r="R286" s="20" t="s">
        <v>15324</v>
      </c>
      <c r="S286" s="20">
        <v>12</v>
      </c>
      <c r="T286" s="20">
        <v>22</v>
      </c>
      <c r="U286" s="20">
        <v>80</v>
      </c>
      <c r="V286" s="24" t="s">
        <v>238</v>
      </c>
      <c r="W286" s="22" t="s">
        <v>15329</v>
      </c>
    </row>
    <row r="287" spans="1:23" x14ac:dyDescent="0.35">
      <c r="A287" s="18">
        <v>17649</v>
      </c>
      <c r="B287" s="19" t="s">
        <v>15277</v>
      </c>
      <c r="C287" s="24" t="s">
        <v>238</v>
      </c>
      <c r="D287" s="24" t="s">
        <v>557</v>
      </c>
      <c r="E287" s="19" t="s">
        <v>15327</v>
      </c>
      <c r="F287" s="19" t="s">
        <v>15384</v>
      </c>
      <c r="G287" s="19" t="s">
        <v>15320</v>
      </c>
      <c r="H287" s="20">
        <v>10</v>
      </c>
      <c r="I287" s="20">
        <v>10</v>
      </c>
      <c r="J287" s="19" t="s">
        <v>15434</v>
      </c>
      <c r="K287" s="19" t="s">
        <v>15436</v>
      </c>
      <c r="L287" s="19"/>
      <c r="M287" s="20" t="s">
        <v>15323</v>
      </c>
      <c r="N287" s="20">
        <v>10</v>
      </c>
      <c r="O287" s="20"/>
      <c r="P287" s="20"/>
      <c r="Q287" s="20"/>
      <c r="R287" s="20" t="s">
        <v>15324</v>
      </c>
      <c r="S287" s="20">
        <v>12</v>
      </c>
      <c r="T287" s="20">
        <v>22</v>
      </c>
      <c r="U287" s="20">
        <v>37</v>
      </c>
      <c r="V287" s="24" t="s">
        <v>238</v>
      </c>
      <c r="W287" s="22" t="s">
        <v>15329</v>
      </c>
    </row>
    <row r="288" spans="1:23" x14ac:dyDescent="0.35">
      <c r="A288" s="18">
        <v>17649</v>
      </c>
      <c r="B288" s="19" t="s">
        <v>15277</v>
      </c>
      <c r="C288" s="24" t="s">
        <v>238</v>
      </c>
      <c r="D288" s="24" t="s">
        <v>557</v>
      </c>
      <c r="E288" s="19" t="s">
        <v>15327</v>
      </c>
      <c r="F288" s="19" t="s">
        <v>15384</v>
      </c>
      <c r="G288" s="19" t="s">
        <v>15320</v>
      </c>
      <c r="H288" s="20">
        <v>11</v>
      </c>
      <c r="I288" s="20">
        <v>11</v>
      </c>
      <c r="J288" s="19" t="s">
        <v>15730</v>
      </c>
      <c r="K288" s="19" t="s">
        <v>15731</v>
      </c>
      <c r="L288" s="19"/>
      <c r="M288" s="20" t="s">
        <v>15341</v>
      </c>
      <c r="N288" s="20">
        <v>11</v>
      </c>
      <c r="O288" s="20"/>
      <c r="P288" s="20"/>
      <c r="Q288" s="20"/>
      <c r="R288" s="20" t="s">
        <v>15324</v>
      </c>
      <c r="S288" s="20">
        <v>12</v>
      </c>
      <c r="T288" s="20">
        <v>22</v>
      </c>
      <c r="U288" s="20">
        <v>80</v>
      </c>
      <c r="V288" s="24" t="s">
        <v>238</v>
      </c>
      <c r="W288" s="22" t="s">
        <v>15329</v>
      </c>
    </row>
    <row r="289" spans="1:23" x14ac:dyDescent="0.35">
      <c r="A289" s="18">
        <v>17649</v>
      </c>
      <c r="B289" s="19" t="s">
        <v>15277</v>
      </c>
      <c r="C289" s="24" t="s">
        <v>238</v>
      </c>
      <c r="D289" s="24" t="s">
        <v>557</v>
      </c>
      <c r="E289" s="19" t="s">
        <v>15327</v>
      </c>
      <c r="F289" s="19" t="s">
        <v>15384</v>
      </c>
      <c r="G289" s="19" t="s">
        <v>15320</v>
      </c>
      <c r="H289" s="20">
        <v>12</v>
      </c>
      <c r="I289" s="20">
        <v>12</v>
      </c>
      <c r="J289" s="2" t="s">
        <v>15969</v>
      </c>
      <c r="K289" s="19" t="s">
        <v>15742</v>
      </c>
      <c r="L289" s="19"/>
      <c r="M289" s="20" t="s">
        <v>15341</v>
      </c>
      <c r="N289" s="20">
        <v>12</v>
      </c>
      <c r="O289" s="20"/>
      <c r="P289" s="20"/>
      <c r="Q289" s="20"/>
      <c r="R289" s="20" t="s">
        <v>15324</v>
      </c>
      <c r="S289" s="20">
        <v>12</v>
      </c>
      <c r="T289" s="20">
        <v>22</v>
      </c>
      <c r="U289" s="20">
        <v>57</v>
      </c>
      <c r="V289" s="24" t="s">
        <v>238</v>
      </c>
      <c r="W289" s="22" t="s">
        <v>15329</v>
      </c>
    </row>
    <row r="290" spans="1:23" x14ac:dyDescent="0.35">
      <c r="A290" s="18">
        <v>17649</v>
      </c>
      <c r="B290" s="19" t="s">
        <v>15277</v>
      </c>
      <c r="C290" s="24" t="s">
        <v>238</v>
      </c>
      <c r="D290" s="24" t="s">
        <v>557</v>
      </c>
      <c r="E290" s="19" t="s">
        <v>15327</v>
      </c>
      <c r="F290" s="19" t="s">
        <v>15384</v>
      </c>
      <c r="G290" s="19" t="s">
        <v>15320</v>
      </c>
      <c r="H290" s="20">
        <v>13</v>
      </c>
      <c r="I290" s="20">
        <v>13</v>
      </c>
      <c r="J290" s="19" t="s">
        <v>15545</v>
      </c>
      <c r="K290" s="19" t="s">
        <v>15546</v>
      </c>
      <c r="L290" s="19"/>
      <c r="M290" s="20" t="s">
        <v>15341</v>
      </c>
      <c r="N290" s="20">
        <v>13</v>
      </c>
      <c r="O290" s="20"/>
      <c r="P290" s="20"/>
      <c r="Q290" s="20"/>
      <c r="R290" s="20" t="s">
        <v>15324</v>
      </c>
      <c r="S290" s="20">
        <v>12</v>
      </c>
      <c r="T290" s="20">
        <v>22</v>
      </c>
      <c r="U290" s="20">
        <v>27</v>
      </c>
      <c r="V290" s="24" t="s">
        <v>238</v>
      </c>
      <c r="W290" s="22" t="s">
        <v>15329</v>
      </c>
    </row>
    <row r="291" spans="1:23" x14ac:dyDescent="0.35">
      <c r="A291" s="18">
        <v>17649</v>
      </c>
      <c r="B291" s="19" t="s">
        <v>15277</v>
      </c>
      <c r="C291" s="24" t="s">
        <v>238</v>
      </c>
      <c r="D291" s="24" t="s">
        <v>557</v>
      </c>
      <c r="E291" s="19" t="s">
        <v>15327</v>
      </c>
      <c r="F291" s="19" t="s">
        <v>15384</v>
      </c>
      <c r="G291" s="19" t="s">
        <v>15320</v>
      </c>
      <c r="H291" s="20">
        <v>14</v>
      </c>
      <c r="I291" s="20">
        <v>14</v>
      </c>
      <c r="J291" s="19" t="s">
        <v>15535</v>
      </c>
      <c r="K291" s="19" t="s">
        <v>15536</v>
      </c>
      <c r="L291" s="19"/>
      <c r="M291" s="20" t="s">
        <v>15341</v>
      </c>
      <c r="N291" s="20">
        <v>14</v>
      </c>
      <c r="O291" s="20"/>
      <c r="P291" s="20"/>
      <c r="Q291" s="20"/>
      <c r="R291" s="20" t="s">
        <v>15324</v>
      </c>
      <c r="S291" s="20">
        <v>12</v>
      </c>
      <c r="T291" s="20">
        <v>22</v>
      </c>
      <c r="U291" s="20">
        <v>80</v>
      </c>
      <c r="V291" s="24" t="s">
        <v>238</v>
      </c>
      <c r="W291" s="22" t="s">
        <v>15329</v>
      </c>
    </row>
    <row r="292" spans="1:23" x14ac:dyDescent="0.35">
      <c r="A292" s="18">
        <v>17649</v>
      </c>
      <c r="B292" s="19" t="s">
        <v>15277</v>
      </c>
      <c r="C292" s="24" t="s">
        <v>238</v>
      </c>
      <c r="D292" s="24" t="s">
        <v>557</v>
      </c>
      <c r="E292" s="19" t="s">
        <v>15327</v>
      </c>
      <c r="F292" s="19" t="s">
        <v>15384</v>
      </c>
      <c r="G292" s="19" t="s">
        <v>15320</v>
      </c>
      <c r="H292" s="20">
        <v>15</v>
      </c>
      <c r="I292" s="20">
        <v>15</v>
      </c>
      <c r="J292" s="19" t="s">
        <v>15801</v>
      </c>
      <c r="K292" s="19" t="s">
        <v>15802</v>
      </c>
      <c r="L292" s="19"/>
      <c r="M292" s="20" t="s">
        <v>15341</v>
      </c>
      <c r="N292" s="20">
        <v>15</v>
      </c>
      <c r="O292" s="20"/>
      <c r="P292" s="20"/>
      <c r="Q292" s="20"/>
      <c r="R292" s="20" t="s">
        <v>15324</v>
      </c>
      <c r="S292" s="20">
        <v>12</v>
      </c>
      <c r="T292" s="20">
        <v>22</v>
      </c>
      <c r="U292" s="20">
        <v>80</v>
      </c>
      <c r="V292" s="24" t="s">
        <v>238</v>
      </c>
      <c r="W292" s="22" t="s">
        <v>15329</v>
      </c>
    </row>
    <row r="293" spans="1:23" x14ac:dyDescent="0.35">
      <c r="A293" s="18">
        <v>17649</v>
      </c>
      <c r="B293" s="19" t="s">
        <v>15277</v>
      </c>
      <c r="C293" s="24" t="s">
        <v>238</v>
      </c>
      <c r="D293" s="24" t="s">
        <v>557</v>
      </c>
      <c r="E293" s="19" t="s">
        <v>15327</v>
      </c>
      <c r="F293" s="19" t="s">
        <v>15384</v>
      </c>
      <c r="G293" s="19" t="s">
        <v>15320</v>
      </c>
      <c r="H293" s="20">
        <v>16</v>
      </c>
      <c r="I293" s="20">
        <v>16</v>
      </c>
      <c r="J293" s="19" t="s">
        <v>15740</v>
      </c>
      <c r="K293" s="19" t="s">
        <v>15741</v>
      </c>
      <c r="L293" s="19" t="s">
        <v>15340</v>
      </c>
      <c r="M293" s="20" t="s">
        <v>15341</v>
      </c>
      <c r="N293" s="20">
        <v>16</v>
      </c>
      <c r="O293" s="20"/>
      <c r="P293" s="20"/>
      <c r="Q293" s="20"/>
      <c r="R293" s="20" t="s">
        <v>15346</v>
      </c>
      <c r="S293" s="20">
        <v>12</v>
      </c>
      <c r="T293" s="20">
        <v>22</v>
      </c>
      <c r="U293" s="20">
        <v>39</v>
      </c>
      <c r="V293" s="24" t="s">
        <v>238</v>
      </c>
      <c r="W293" s="22" t="s">
        <v>15329</v>
      </c>
    </row>
    <row r="294" spans="1:23" x14ac:dyDescent="0.35">
      <c r="A294" s="18">
        <v>17649</v>
      </c>
      <c r="B294" s="19" t="s">
        <v>15277</v>
      </c>
      <c r="C294" s="24" t="s">
        <v>238</v>
      </c>
      <c r="D294" s="24" t="s">
        <v>557</v>
      </c>
      <c r="E294" s="19" t="s">
        <v>15327</v>
      </c>
      <c r="F294" s="19" t="s">
        <v>15384</v>
      </c>
      <c r="G294" s="19" t="s">
        <v>15320</v>
      </c>
      <c r="H294" s="20">
        <v>17</v>
      </c>
      <c r="I294" s="20">
        <v>17</v>
      </c>
      <c r="J294" s="19" t="s">
        <v>15413</v>
      </c>
      <c r="K294" s="19" t="s">
        <v>15414</v>
      </c>
      <c r="L294" s="19" t="s">
        <v>15371</v>
      </c>
      <c r="M294" s="20" t="s">
        <v>15350</v>
      </c>
      <c r="N294" s="20">
        <v>17</v>
      </c>
      <c r="O294" s="20"/>
      <c r="P294" s="20"/>
      <c r="Q294" s="20"/>
      <c r="R294" s="20" t="s">
        <v>15346</v>
      </c>
      <c r="S294" s="20">
        <v>12</v>
      </c>
      <c r="T294" s="20">
        <v>22</v>
      </c>
      <c r="U294" s="20">
        <v>13</v>
      </c>
      <c r="V294" s="24" t="s">
        <v>238</v>
      </c>
      <c r="W294" s="22" t="s">
        <v>15329</v>
      </c>
    </row>
    <row r="295" spans="1:23" x14ac:dyDescent="0.35">
      <c r="A295" s="18">
        <v>17649</v>
      </c>
      <c r="B295" s="19" t="s">
        <v>15277</v>
      </c>
      <c r="C295" s="24" t="s">
        <v>238</v>
      </c>
      <c r="D295" s="24" t="s">
        <v>557</v>
      </c>
      <c r="E295" s="19" t="s">
        <v>15327</v>
      </c>
      <c r="F295" s="19" t="s">
        <v>15384</v>
      </c>
      <c r="G295" s="19" t="s">
        <v>15320</v>
      </c>
      <c r="H295" s="20">
        <v>18</v>
      </c>
      <c r="I295" s="20">
        <v>18</v>
      </c>
      <c r="J295" s="19" t="s">
        <v>15592</v>
      </c>
      <c r="K295" s="19" t="s">
        <v>15593</v>
      </c>
      <c r="L295" s="19" t="s">
        <v>15371</v>
      </c>
      <c r="M295" s="20" t="s">
        <v>15341</v>
      </c>
      <c r="N295" s="20">
        <v>18</v>
      </c>
      <c r="O295" s="20"/>
      <c r="P295" s="20"/>
      <c r="Q295" s="20"/>
      <c r="R295" s="20" t="s">
        <v>15346</v>
      </c>
      <c r="S295" s="20">
        <v>12</v>
      </c>
      <c r="T295" s="20">
        <v>22</v>
      </c>
      <c r="U295" s="20">
        <v>0</v>
      </c>
      <c r="V295" s="24" t="s">
        <v>238</v>
      </c>
      <c r="W295" s="22" t="s">
        <v>15329</v>
      </c>
    </row>
    <row r="296" spans="1:23" x14ac:dyDescent="0.35">
      <c r="A296" s="18">
        <v>17649</v>
      </c>
      <c r="B296" s="19" t="s">
        <v>15277</v>
      </c>
      <c r="C296" s="24" t="s">
        <v>238</v>
      </c>
      <c r="D296" s="24" t="s">
        <v>557</v>
      </c>
      <c r="E296" s="19" t="s">
        <v>15327</v>
      </c>
      <c r="F296" s="19" t="s">
        <v>15384</v>
      </c>
      <c r="G296" s="19" t="s">
        <v>15320</v>
      </c>
      <c r="H296" s="20">
        <v>19</v>
      </c>
      <c r="I296" s="20">
        <v>19</v>
      </c>
      <c r="J296" s="19" t="s">
        <v>15569</v>
      </c>
      <c r="K296" s="19" t="s">
        <v>15570</v>
      </c>
      <c r="L296" s="19"/>
      <c r="M296" s="20" t="s">
        <v>15341</v>
      </c>
      <c r="N296" s="20">
        <v>19</v>
      </c>
      <c r="O296" s="20"/>
      <c r="P296" s="20"/>
      <c r="Q296" s="20"/>
      <c r="R296" s="20" t="s">
        <v>15346</v>
      </c>
      <c r="S296" s="20">
        <v>12</v>
      </c>
      <c r="T296" s="20">
        <v>22</v>
      </c>
      <c r="U296" s="20">
        <v>0</v>
      </c>
      <c r="V296" s="24" t="s">
        <v>238</v>
      </c>
      <c r="W296" s="22" t="s">
        <v>15329</v>
      </c>
    </row>
    <row r="297" spans="1:23" x14ac:dyDescent="0.35">
      <c r="A297" s="18">
        <v>17649</v>
      </c>
      <c r="B297" s="19" t="s">
        <v>15277</v>
      </c>
      <c r="C297" s="24" t="s">
        <v>238</v>
      </c>
      <c r="D297" s="24" t="s">
        <v>557</v>
      </c>
      <c r="E297" s="19" t="s">
        <v>15327</v>
      </c>
      <c r="F297" s="19" t="s">
        <v>15384</v>
      </c>
      <c r="G297" s="19" t="s">
        <v>15320</v>
      </c>
      <c r="H297" s="20">
        <v>20</v>
      </c>
      <c r="I297" s="20">
        <v>20</v>
      </c>
      <c r="J297" s="19" t="s">
        <v>15563</v>
      </c>
      <c r="K297" s="19" t="s">
        <v>15564</v>
      </c>
      <c r="L297" s="19"/>
      <c r="M297" s="20" t="s">
        <v>15362</v>
      </c>
      <c r="N297" s="20">
        <v>20</v>
      </c>
      <c r="O297" s="20"/>
      <c r="P297" s="20"/>
      <c r="Q297" s="20"/>
      <c r="R297" s="20" t="s">
        <v>15346</v>
      </c>
      <c r="S297" s="20">
        <v>12</v>
      </c>
      <c r="T297" s="20">
        <v>22</v>
      </c>
      <c r="U297" s="20">
        <v>29</v>
      </c>
      <c r="V297" s="24" t="s">
        <v>238</v>
      </c>
      <c r="W297" s="22" t="s">
        <v>15329</v>
      </c>
    </row>
    <row r="298" spans="1:23" x14ac:dyDescent="0.35">
      <c r="A298" s="18">
        <v>17649</v>
      </c>
      <c r="B298" s="19" t="s">
        <v>15277</v>
      </c>
      <c r="C298" s="24" t="s">
        <v>238</v>
      </c>
      <c r="D298" s="24" t="s">
        <v>557</v>
      </c>
      <c r="E298" s="19" t="s">
        <v>15327</v>
      </c>
      <c r="F298" s="19" t="s">
        <v>15384</v>
      </c>
      <c r="G298" s="19" t="s">
        <v>15320</v>
      </c>
      <c r="H298" s="20">
        <v>21</v>
      </c>
      <c r="I298" s="20">
        <v>21</v>
      </c>
      <c r="J298" s="19" t="s">
        <v>15853</v>
      </c>
      <c r="K298" s="19" t="s">
        <v>15854</v>
      </c>
      <c r="L298" s="19"/>
      <c r="M298" s="20" t="s">
        <v>15357</v>
      </c>
      <c r="N298" s="20">
        <v>21</v>
      </c>
      <c r="O298" s="20"/>
      <c r="P298" s="20"/>
      <c r="Q298" s="20"/>
      <c r="R298" s="20" t="s">
        <v>15346</v>
      </c>
      <c r="S298" s="20">
        <v>12</v>
      </c>
      <c r="T298" s="20">
        <v>22</v>
      </c>
      <c r="U298" s="20">
        <v>23</v>
      </c>
      <c r="V298" s="24" t="s">
        <v>238</v>
      </c>
      <c r="W298" s="22" t="s">
        <v>15329</v>
      </c>
    </row>
    <row r="299" spans="1:23" x14ac:dyDescent="0.35">
      <c r="A299" s="18">
        <v>17649</v>
      </c>
      <c r="B299" s="19" t="s">
        <v>15277</v>
      </c>
      <c r="C299" s="24" t="s">
        <v>238</v>
      </c>
      <c r="D299" s="24" t="s">
        <v>557</v>
      </c>
      <c r="E299" s="19" t="s">
        <v>15327</v>
      </c>
      <c r="F299" s="19" t="s">
        <v>15384</v>
      </c>
      <c r="G299" s="19" t="s">
        <v>15320</v>
      </c>
      <c r="H299" s="20">
        <v>22</v>
      </c>
      <c r="I299" s="20">
        <v>22</v>
      </c>
      <c r="J299" s="19" t="s">
        <v>15775</v>
      </c>
      <c r="K299" s="19" t="s">
        <v>15776</v>
      </c>
      <c r="L299" s="19"/>
      <c r="M299" s="20" t="s">
        <v>15341</v>
      </c>
      <c r="N299" s="20">
        <v>22</v>
      </c>
      <c r="O299" s="20"/>
      <c r="P299" s="20"/>
      <c r="Q299" s="20"/>
      <c r="R299" s="20" t="s">
        <v>15346</v>
      </c>
      <c r="S299" s="20">
        <v>12</v>
      </c>
      <c r="T299" s="20">
        <v>22</v>
      </c>
      <c r="U299" s="20">
        <v>43</v>
      </c>
      <c r="V299" s="24" t="s">
        <v>238</v>
      </c>
      <c r="W299" s="22" t="s">
        <v>15329</v>
      </c>
    </row>
    <row r="300" spans="1:23" x14ac:dyDescent="0.35">
      <c r="A300" s="18">
        <v>17649</v>
      </c>
      <c r="B300" s="19" t="s">
        <v>15277</v>
      </c>
      <c r="C300" s="24" t="s">
        <v>238</v>
      </c>
      <c r="D300" s="24" t="s">
        <v>557</v>
      </c>
      <c r="E300" s="19" t="s">
        <v>15327</v>
      </c>
      <c r="F300" s="19" t="s">
        <v>15384</v>
      </c>
      <c r="G300" s="19" t="s">
        <v>15320</v>
      </c>
      <c r="H300" s="20">
        <v>23</v>
      </c>
      <c r="I300" s="20">
        <v>23</v>
      </c>
      <c r="J300" s="19" t="s">
        <v>15608</v>
      </c>
      <c r="K300" s="19" t="s">
        <v>15609</v>
      </c>
      <c r="L300" s="19"/>
      <c r="M300" s="20" t="s">
        <v>15341</v>
      </c>
      <c r="N300" s="20">
        <v>23</v>
      </c>
      <c r="O300" s="20"/>
      <c r="P300" s="20"/>
      <c r="Q300" s="20"/>
      <c r="R300" s="20" t="s">
        <v>15346</v>
      </c>
      <c r="S300" s="20">
        <v>12</v>
      </c>
      <c r="T300" s="20">
        <v>22</v>
      </c>
      <c r="U300" s="20">
        <v>53</v>
      </c>
      <c r="V300" s="24" t="s">
        <v>238</v>
      </c>
      <c r="W300" s="22" t="s">
        <v>15329</v>
      </c>
    </row>
    <row r="301" spans="1:23" x14ac:dyDescent="0.35">
      <c r="A301" s="18">
        <v>17649</v>
      </c>
      <c r="B301" s="19" t="s">
        <v>15277</v>
      </c>
      <c r="C301" s="24" t="s">
        <v>238</v>
      </c>
      <c r="D301" s="24" t="s">
        <v>557</v>
      </c>
      <c r="E301" s="19" t="s">
        <v>15327</v>
      </c>
      <c r="F301" s="19" t="s">
        <v>15384</v>
      </c>
      <c r="G301" s="19" t="s">
        <v>15320</v>
      </c>
      <c r="H301" s="20">
        <v>1</v>
      </c>
      <c r="I301" s="20">
        <v>1</v>
      </c>
      <c r="J301" s="19" t="s">
        <v>15492</v>
      </c>
      <c r="K301" s="19" t="s">
        <v>15493</v>
      </c>
      <c r="L301" s="19" t="s">
        <v>15466</v>
      </c>
      <c r="M301" s="20" t="s">
        <v>15350</v>
      </c>
      <c r="N301" s="20">
        <v>1</v>
      </c>
      <c r="O301" s="20"/>
      <c r="P301" s="20"/>
      <c r="Q301" s="20"/>
      <c r="R301" s="20" t="s">
        <v>15324</v>
      </c>
      <c r="S301" s="20">
        <v>12</v>
      </c>
      <c r="T301" s="20">
        <v>22</v>
      </c>
      <c r="U301" s="20">
        <v>48</v>
      </c>
      <c r="V301" s="24" t="s">
        <v>557</v>
      </c>
      <c r="W301" s="22" t="s">
        <v>15325</v>
      </c>
    </row>
    <row r="302" spans="1:23" x14ac:dyDescent="0.35">
      <c r="A302" s="18">
        <v>17649</v>
      </c>
      <c r="B302" s="19" t="s">
        <v>15277</v>
      </c>
      <c r="C302" s="24" t="s">
        <v>238</v>
      </c>
      <c r="D302" s="24" t="s">
        <v>557</v>
      </c>
      <c r="E302" s="19" t="s">
        <v>15327</v>
      </c>
      <c r="F302" s="19" t="s">
        <v>15384</v>
      </c>
      <c r="G302" s="19" t="s">
        <v>15320</v>
      </c>
      <c r="H302" s="20">
        <v>2</v>
      </c>
      <c r="I302" s="20">
        <v>2</v>
      </c>
      <c r="J302" s="19" t="s">
        <v>15817</v>
      </c>
      <c r="K302" s="19" t="s">
        <v>15818</v>
      </c>
      <c r="L302" s="19" t="s">
        <v>15345</v>
      </c>
      <c r="M302" s="20" t="s">
        <v>15323</v>
      </c>
      <c r="N302" s="20">
        <v>2</v>
      </c>
      <c r="O302" s="20"/>
      <c r="P302" s="20"/>
      <c r="Q302" s="20"/>
      <c r="R302" s="20" t="s">
        <v>15324</v>
      </c>
      <c r="S302" s="20">
        <v>12</v>
      </c>
      <c r="T302" s="20">
        <v>22</v>
      </c>
      <c r="U302" s="20">
        <v>42</v>
      </c>
      <c r="V302" s="24" t="s">
        <v>557</v>
      </c>
      <c r="W302" s="22" t="s">
        <v>15325</v>
      </c>
    </row>
    <row r="303" spans="1:23" x14ac:dyDescent="0.35">
      <c r="A303" s="18">
        <v>17649</v>
      </c>
      <c r="B303" s="19" t="s">
        <v>15277</v>
      </c>
      <c r="C303" s="24" t="s">
        <v>238</v>
      </c>
      <c r="D303" s="24" t="s">
        <v>557</v>
      </c>
      <c r="E303" s="19" t="s">
        <v>15327</v>
      </c>
      <c r="F303" s="19" t="s">
        <v>15384</v>
      </c>
      <c r="G303" s="19" t="s">
        <v>15320</v>
      </c>
      <c r="H303" s="20">
        <v>3</v>
      </c>
      <c r="I303" s="20">
        <v>3</v>
      </c>
      <c r="J303" s="19" t="s">
        <v>15831</v>
      </c>
      <c r="K303" s="19" t="s">
        <v>15832</v>
      </c>
      <c r="L303" s="19" t="s">
        <v>15334</v>
      </c>
      <c r="M303" s="20" t="s">
        <v>15323</v>
      </c>
      <c r="N303" s="20">
        <v>3</v>
      </c>
      <c r="O303" s="20"/>
      <c r="P303" s="20"/>
      <c r="Q303" s="20"/>
      <c r="R303" s="20" t="s">
        <v>15324</v>
      </c>
      <c r="S303" s="20">
        <v>12</v>
      </c>
      <c r="T303" s="20">
        <v>22</v>
      </c>
      <c r="U303" s="20">
        <v>48</v>
      </c>
      <c r="V303" s="24" t="s">
        <v>557</v>
      </c>
      <c r="W303" s="22" t="s">
        <v>15325</v>
      </c>
    </row>
    <row r="304" spans="1:23" x14ac:dyDescent="0.35">
      <c r="A304" s="18">
        <v>17649</v>
      </c>
      <c r="B304" s="19" t="s">
        <v>15277</v>
      </c>
      <c r="C304" s="24" t="s">
        <v>238</v>
      </c>
      <c r="D304" s="24" t="s">
        <v>557</v>
      </c>
      <c r="E304" s="19" t="s">
        <v>15327</v>
      </c>
      <c r="F304" s="19" t="s">
        <v>15384</v>
      </c>
      <c r="G304" s="19" t="s">
        <v>15320</v>
      </c>
      <c r="H304" s="20">
        <v>4</v>
      </c>
      <c r="I304" s="20">
        <v>4</v>
      </c>
      <c r="J304" s="19" t="s">
        <v>15496</v>
      </c>
      <c r="K304" s="19" t="s">
        <v>15497</v>
      </c>
      <c r="L304" s="19"/>
      <c r="M304" s="20" t="s">
        <v>15323</v>
      </c>
      <c r="N304" s="20">
        <v>4</v>
      </c>
      <c r="O304" s="20"/>
      <c r="P304" s="20"/>
      <c r="Q304" s="20"/>
      <c r="R304" s="20" t="s">
        <v>15324</v>
      </c>
      <c r="S304" s="20">
        <v>12</v>
      </c>
      <c r="T304" s="20">
        <v>22</v>
      </c>
      <c r="U304" s="20">
        <v>80</v>
      </c>
      <c r="V304" s="24" t="s">
        <v>557</v>
      </c>
      <c r="W304" s="22" t="s">
        <v>15325</v>
      </c>
    </row>
    <row r="305" spans="1:23" x14ac:dyDescent="0.35">
      <c r="A305" s="18">
        <v>17649</v>
      </c>
      <c r="B305" s="19" t="s">
        <v>15277</v>
      </c>
      <c r="C305" s="24" t="s">
        <v>238</v>
      </c>
      <c r="D305" s="24" t="s">
        <v>557</v>
      </c>
      <c r="E305" s="19" t="s">
        <v>15327</v>
      </c>
      <c r="F305" s="19" t="s">
        <v>15384</v>
      </c>
      <c r="G305" s="19" t="s">
        <v>15320</v>
      </c>
      <c r="H305" s="20">
        <v>5</v>
      </c>
      <c r="I305" s="20">
        <v>5</v>
      </c>
      <c r="J305" s="19" t="s">
        <v>15426</v>
      </c>
      <c r="K305" s="19" t="s">
        <v>15427</v>
      </c>
      <c r="L305" s="19"/>
      <c r="M305" s="20" t="s">
        <v>15341</v>
      </c>
      <c r="N305" s="20">
        <v>5</v>
      </c>
      <c r="O305" s="20"/>
      <c r="P305" s="20"/>
      <c r="Q305" s="20"/>
      <c r="R305" s="20" t="s">
        <v>15324</v>
      </c>
      <c r="S305" s="20">
        <v>12</v>
      </c>
      <c r="T305" s="20">
        <v>22</v>
      </c>
      <c r="U305" s="20">
        <v>67</v>
      </c>
      <c r="V305" s="24" t="s">
        <v>557</v>
      </c>
      <c r="W305" s="22" t="s">
        <v>15325</v>
      </c>
    </row>
    <row r="306" spans="1:23" x14ac:dyDescent="0.35">
      <c r="A306" s="18">
        <v>17649</v>
      </c>
      <c r="B306" s="19" t="s">
        <v>15277</v>
      </c>
      <c r="C306" s="24" t="s">
        <v>238</v>
      </c>
      <c r="D306" s="24" t="s">
        <v>557</v>
      </c>
      <c r="E306" s="19" t="s">
        <v>15327</v>
      </c>
      <c r="F306" s="19" t="s">
        <v>15384</v>
      </c>
      <c r="G306" s="19" t="s">
        <v>15320</v>
      </c>
      <c r="H306" s="20">
        <v>6</v>
      </c>
      <c r="I306" s="20">
        <v>6</v>
      </c>
      <c r="J306" s="19" t="s">
        <v>15791</v>
      </c>
      <c r="K306" s="19" t="s">
        <v>15792</v>
      </c>
      <c r="L306" s="19"/>
      <c r="M306" s="20" t="s">
        <v>15350</v>
      </c>
      <c r="N306" s="20">
        <v>6</v>
      </c>
      <c r="O306" s="20"/>
      <c r="P306" s="20"/>
      <c r="Q306" s="20"/>
      <c r="R306" s="20" t="s">
        <v>15324</v>
      </c>
      <c r="S306" s="20">
        <v>12</v>
      </c>
      <c r="T306" s="20">
        <v>22</v>
      </c>
      <c r="U306" s="20">
        <v>80</v>
      </c>
      <c r="V306" s="24" t="s">
        <v>557</v>
      </c>
      <c r="W306" s="22" t="s">
        <v>15325</v>
      </c>
    </row>
    <row r="307" spans="1:23" x14ac:dyDescent="0.35">
      <c r="A307" s="18">
        <v>17649</v>
      </c>
      <c r="B307" s="19" t="s">
        <v>15277</v>
      </c>
      <c r="C307" s="24" t="s">
        <v>238</v>
      </c>
      <c r="D307" s="24" t="s">
        <v>557</v>
      </c>
      <c r="E307" s="19" t="s">
        <v>15327</v>
      </c>
      <c r="F307" s="19" t="s">
        <v>15384</v>
      </c>
      <c r="G307" s="19" t="s">
        <v>15320</v>
      </c>
      <c r="H307" s="20">
        <v>7</v>
      </c>
      <c r="I307" s="20">
        <v>7</v>
      </c>
      <c r="J307" s="19" t="s">
        <v>15506</v>
      </c>
      <c r="K307" s="19" t="s">
        <v>15507</v>
      </c>
      <c r="L307" s="19"/>
      <c r="M307" s="20" t="s">
        <v>15341</v>
      </c>
      <c r="N307" s="20">
        <v>7</v>
      </c>
      <c r="O307" s="20"/>
      <c r="P307" s="20"/>
      <c r="Q307" s="20"/>
      <c r="R307" s="20" t="s">
        <v>15324</v>
      </c>
      <c r="S307" s="20">
        <v>12</v>
      </c>
      <c r="T307" s="20">
        <v>22</v>
      </c>
      <c r="U307" s="20">
        <v>57</v>
      </c>
      <c r="V307" s="24" t="s">
        <v>557</v>
      </c>
      <c r="W307" s="22" t="s">
        <v>15325</v>
      </c>
    </row>
    <row r="308" spans="1:23" x14ac:dyDescent="0.35">
      <c r="A308" s="18">
        <v>17649</v>
      </c>
      <c r="B308" s="19" t="s">
        <v>15277</v>
      </c>
      <c r="C308" s="24" t="s">
        <v>238</v>
      </c>
      <c r="D308" s="24" t="s">
        <v>557</v>
      </c>
      <c r="E308" s="19" t="s">
        <v>15327</v>
      </c>
      <c r="F308" s="19" t="s">
        <v>15384</v>
      </c>
      <c r="G308" s="19" t="s">
        <v>15320</v>
      </c>
      <c r="H308" s="20">
        <v>8</v>
      </c>
      <c r="I308" s="20">
        <v>8</v>
      </c>
      <c r="J308" s="19" t="s">
        <v>15656</v>
      </c>
      <c r="K308" s="19" t="s">
        <v>15657</v>
      </c>
      <c r="L308" s="19"/>
      <c r="M308" s="20" t="s">
        <v>15341</v>
      </c>
      <c r="N308" s="20">
        <v>8</v>
      </c>
      <c r="O308" s="20"/>
      <c r="P308" s="20"/>
      <c r="Q308" s="20"/>
      <c r="R308" s="20" t="s">
        <v>15324</v>
      </c>
      <c r="S308" s="20">
        <v>12</v>
      </c>
      <c r="T308" s="20">
        <v>22</v>
      </c>
      <c r="U308" s="20">
        <v>80</v>
      </c>
      <c r="V308" s="24" t="s">
        <v>557</v>
      </c>
      <c r="W308" s="22" t="s">
        <v>15325</v>
      </c>
    </row>
    <row r="309" spans="1:23" x14ac:dyDescent="0.35">
      <c r="A309" s="18">
        <v>17649</v>
      </c>
      <c r="B309" s="19" t="s">
        <v>15277</v>
      </c>
      <c r="C309" s="24" t="s">
        <v>238</v>
      </c>
      <c r="D309" s="24" t="s">
        <v>557</v>
      </c>
      <c r="E309" s="19" t="s">
        <v>15327</v>
      </c>
      <c r="F309" s="19" t="s">
        <v>15384</v>
      </c>
      <c r="G309" s="19" t="s">
        <v>15320</v>
      </c>
      <c r="H309" s="20">
        <v>9</v>
      </c>
      <c r="I309" s="20">
        <v>9</v>
      </c>
      <c r="J309" s="19" t="s">
        <v>15439</v>
      </c>
      <c r="K309" s="19" t="s">
        <v>15440</v>
      </c>
      <c r="L309" s="19"/>
      <c r="M309" s="20" t="s">
        <v>15323</v>
      </c>
      <c r="N309" s="20">
        <v>9</v>
      </c>
      <c r="O309" s="20"/>
      <c r="P309" s="20"/>
      <c r="Q309" s="20"/>
      <c r="R309" s="20" t="s">
        <v>15324</v>
      </c>
      <c r="S309" s="20">
        <v>12</v>
      </c>
      <c r="T309" s="20">
        <v>22</v>
      </c>
      <c r="U309" s="20">
        <v>59</v>
      </c>
      <c r="V309" s="24" t="s">
        <v>557</v>
      </c>
      <c r="W309" s="22" t="s">
        <v>15325</v>
      </c>
    </row>
    <row r="310" spans="1:23" x14ac:dyDescent="0.35">
      <c r="A310" s="18">
        <v>17649</v>
      </c>
      <c r="B310" s="19" t="s">
        <v>15277</v>
      </c>
      <c r="C310" s="24" t="s">
        <v>238</v>
      </c>
      <c r="D310" s="24" t="s">
        <v>557</v>
      </c>
      <c r="E310" s="19" t="s">
        <v>15327</v>
      </c>
      <c r="F310" s="19" t="s">
        <v>15384</v>
      </c>
      <c r="G310" s="19" t="s">
        <v>15320</v>
      </c>
      <c r="H310" s="20">
        <v>10</v>
      </c>
      <c r="I310" s="20">
        <v>10</v>
      </c>
      <c r="J310" s="2" t="s">
        <v>15970</v>
      </c>
      <c r="K310" s="19" t="s">
        <v>15745</v>
      </c>
      <c r="L310" s="19"/>
      <c r="M310" s="20" t="s">
        <v>15746</v>
      </c>
      <c r="N310" s="20">
        <v>10</v>
      </c>
      <c r="O310" s="20"/>
      <c r="P310" s="20"/>
      <c r="Q310" s="20"/>
      <c r="R310" s="20" t="s">
        <v>15324</v>
      </c>
      <c r="S310" s="20">
        <v>12</v>
      </c>
      <c r="T310" s="20">
        <v>22</v>
      </c>
      <c r="U310" s="20">
        <v>46</v>
      </c>
      <c r="V310" s="24" t="s">
        <v>557</v>
      </c>
      <c r="W310" s="22" t="s">
        <v>15325</v>
      </c>
    </row>
    <row r="311" spans="1:23" x14ac:dyDescent="0.35">
      <c r="A311" s="18">
        <v>17649</v>
      </c>
      <c r="B311" s="19" t="s">
        <v>15277</v>
      </c>
      <c r="C311" s="24" t="s">
        <v>238</v>
      </c>
      <c r="D311" s="24" t="s">
        <v>557</v>
      </c>
      <c r="E311" s="19" t="s">
        <v>15327</v>
      </c>
      <c r="F311" s="19" t="s">
        <v>15384</v>
      </c>
      <c r="G311" s="19" t="s">
        <v>15320</v>
      </c>
      <c r="H311" s="20">
        <v>11</v>
      </c>
      <c r="I311" s="20">
        <v>11</v>
      </c>
      <c r="J311" s="19" t="s">
        <v>15662</v>
      </c>
      <c r="K311" s="19" t="s">
        <v>15663</v>
      </c>
      <c r="L311" s="19"/>
      <c r="M311" s="20" t="s">
        <v>15350</v>
      </c>
      <c r="N311" s="20">
        <v>11</v>
      </c>
      <c r="O311" s="20"/>
      <c r="P311" s="20"/>
      <c r="Q311" s="20"/>
      <c r="R311" s="20" t="s">
        <v>15324</v>
      </c>
      <c r="S311" s="20">
        <v>12</v>
      </c>
      <c r="T311" s="20">
        <v>22</v>
      </c>
      <c r="U311" s="20">
        <v>41</v>
      </c>
      <c r="V311" s="24" t="s">
        <v>557</v>
      </c>
      <c r="W311" s="22" t="s">
        <v>15325</v>
      </c>
    </row>
    <row r="312" spans="1:23" x14ac:dyDescent="0.35">
      <c r="A312" s="18">
        <v>17649</v>
      </c>
      <c r="B312" s="19" t="s">
        <v>15277</v>
      </c>
      <c r="C312" s="24" t="s">
        <v>238</v>
      </c>
      <c r="D312" s="24" t="s">
        <v>557</v>
      </c>
      <c r="E312" s="19" t="s">
        <v>15327</v>
      </c>
      <c r="F312" s="19" t="s">
        <v>15384</v>
      </c>
      <c r="G312" s="19" t="s">
        <v>15320</v>
      </c>
      <c r="H312" s="20">
        <v>12</v>
      </c>
      <c r="I312" s="20">
        <v>12</v>
      </c>
      <c r="J312" s="19" t="s">
        <v>15573</v>
      </c>
      <c r="K312" s="19" t="s">
        <v>15574</v>
      </c>
      <c r="L312" s="19"/>
      <c r="M312" s="20" t="s">
        <v>15323</v>
      </c>
      <c r="N312" s="20">
        <v>12</v>
      </c>
      <c r="O312" s="20"/>
      <c r="P312" s="20"/>
      <c r="Q312" s="20"/>
      <c r="R312" s="20" t="s">
        <v>15324</v>
      </c>
      <c r="S312" s="20">
        <v>12</v>
      </c>
      <c r="T312" s="20">
        <v>22</v>
      </c>
      <c r="U312" s="20">
        <v>80</v>
      </c>
      <c r="V312" s="24" t="s">
        <v>557</v>
      </c>
      <c r="W312" s="22" t="s">
        <v>15325</v>
      </c>
    </row>
    <row r="313" spans="1:23" x14ac:dyDescent="0.35">
      <c r="A313" s="18">
        <v>17649</v>
      </c>
      <c r="B313" s="19" t="s">
        <v>15277</v>
      </c>
      <c r="C313" s="24" t="s">
        <v>238</v>
      </c>
      <c r="D313" s="24" t="s">
        <v>557</v>
      </c>
      <c r="E313" s="19" t="s">
        <v>15327</v>
      </c>
      <c r="F313" s="19" t="s">
        <v>15384</v>
      </c>
      <c r="G313" s="19" t="s">
        <v>15320</v>
      </c>
      <c r="H313" s="20">
        <v>13</v>
      </c>
      <c r="I313" s="20">
        <v>13</v>
      </c>
      <c r="J313" s="19" t="s">
        <v>15823</v>
      </c>
      <c r="K313" s="19" t="s">
        <v>15824</v>
      </c>
      <c r="L313" s="19"/>
      <c r="M313" s="20" t="s">
        <v>15341</v>
      </c>
      <c r="N313" s="20">
        <v>13</v>
      </c>
      <c r="O313" s="20"/>
      <c r="P313" s="20"/>
      <c r="Q313" s="20"/>
      <c r="R313" s="20" t="s">
        <v>15324</v>
      </c>
      <c r="S313" s="20">
        <v>12</v>
      </c>
      <c r="T313" s="20">
        <v>22</v>
      </c>
      <c r="U313" s="20">
        <v>80</v>
      </c>
      <c r="V313" s="24" t="s">
        <v>557</v>
      </c>
      <c r="W313" s="22" t="s">
        <v>15325</v>
      </c>
    </row>
    <row r="314" spans="1:23" x14ac:dyDescent="0.35">
      <c r="A314" s="18">
        <v>17649</v>
      </c>
      <c r="B314" s="19" t="s">
        <v>15277</v>
      </c>
      <c r="C314" s="24" t="s">
        <v>238</v>
      </c>
      <c r="D314" s="24" t="s">
        <v>557</v>
      </c>
      <c r="E314" s="19" t="s">
        <v>15327</v>
      </c>
      <c r="F314" s="19" t="s">
        <v>15384</v>
      </c>
      <c r="G314" s="19" t="s">
        <v>15320</v>
      </c>
      <c r="H314" s="20">
        <v>14</v>
      </c>
      <c r="I314" s="20">
        <v>14</v>
      </c>
      <c r="J314" s="2" t="s">
        <v>15964</v>
      </c>
      <c r="K314" s="19" t="s">
        <v>15614</v>
      </c>
      <c r="L314" s="19"/>
      <c r="M314" s="20" t="s">
        <v>15341</v>
      </c>
      <c r="N314" s="20">
        <v>14</v>
      </c>
      <c r="O314" s="20"/>
      <c r="P314" s="20"/>
      <c r="Q314" s="20"/>
      <c r="R314" s="20" t="s">
        <v>15324</v>
      </c>
      <c r="S314" s="20">
        <v>12</v>
      </c>
      <c r="T314" s="20">
        <v>22</v>
      </c>
      <c r="U314" s="20">
        <v>80</v>
      </c>
      <c r="V314" s="24" t="s">
        <v>557</v>
      </c>
      <c r="W314" s="22" t="s">
        <v>15325</v>
      </c>
    </row>
    <row r="315" spans="1:23" x14ac:dyDescent="0.35">
      <c r="A315" s="18">
        <v>17649</v>
      </c>
      <c r="B315" s="19" t="s">
        <v>15277</v>
      </c>
      <c r="C315" s="24" t="s">
        <v>238</v>
      </c>
      <c r="D315" s="24" t="s">
        <v>557</v>
      </c>
      <c r="E315" s="19" t="s">
        <v>15327</v>
      </c>
      <c r="F315" s="19" t="s">
        <v>15384</v>
      </c>
      <c r="G315" s="19" t="s">
        <v>15320</v>
      </c>
      <c r="H315" s="20">
        <v>15</v>
      </c>
      <c r="I315" s="20">
        <v>15</v>
      </c>
      <c r="J315" s="19" t="s">
        <v>15813</v>
      </c>
      <c r="K315" s="19" t="s">
        <v>15814</v>
      </c>
      <c r="L315" s="19"/>
      <c r="M315" s="20" t="s">
        <v>15323</v>
      </c>
      <c r="N315" s="20">
        <v>15</v>
      </c>
      <c r="O315" s="20"/>
      <c r="P315" s="20"/>
      <c r="Q315" s="20"/>
      <c r="R315" s="20" t="s">
        <v>15324</v>
      </c>
      <c r="S315" s="20">
        <v>12</v>
      </c>
      <c r="T315" s="20">
        <v>22</v>
      </c>
      <c r="U315" s="20">
        <v>80</v>
      </c>
      <c r="V315" s="24" t="s">
        <v>557</v>
      </c>
      <c r="W315" s="22" t="s">
        <v>15325</v>
      </c>
    </row>
    <row r="316" spans="1:23" x14ac:dyDescent="0.35">
      <c r="A316" s="18">
        <v>17649</v>
      </c>
      <c r="B316" s="19" t="s">
        <v>15277</v>
      </c>
      <c r="C316" s="24" t="s">
        <v>238</v>
      </c>
      <c r="D316" s="24" t="s">
        <v>557</v>
      </c>
      <c r="E316" s="19" t="s">
        <v>15327</v>
      </c>
      <c r="F316" s="19" t="s">
        <v>15384</v>
      </c>
      <c r="G316" s="19" t="s">
        <v>15320</v>
      </c>
      <c r="H316" s="20">
        <v>16</v>
      </c>
      <c r="I316" s="20">
        <v>16</v>
      </c>
      <c r="J316" s="19" t="s">
        <v>15567</v>
      </c>
      <c r="K316" s="19" t="s">
        <v>15568</v>
      </c>
      <c r="L316" s="19" t="s">
        <v>15466</v>
      </c>
      <c r="M316" s="20" t="s">
        <v>15350</v>
      </c>
      <c r="N316" s="20">
        <v>16</v>
      </c>
      <c r="O316" s="20"/>
      <c r="P316" s="20"/>
      <c r="Q316" s="20"/>
      <c r="R316" s="20" t="s">
        <v>15346</v>
      </c>
      <c r="S316" s="20">
        <v>12</v>
      </c>
      <c r="T316" s="20">
        <v>22</v>
      </c>
      <c r="U316" s="20">
        <v>32</v>
      </c>
      <c r="V316" s="24" t="s">
        <v>557</v>
      </c>
      <c r="W316" s="22" t="s">
        <v>15325</v>
      </c>
    </row>
    <row r="317" spans="1:23" x14ac:dyDescent="0.35">
      <c r="A317" s="18">
        <v>17649</v>
      </c>
      <c r="B317" s="19" t="s">
        <v>15277</v>
      </c>
      <c r="C317" s="24" t="s">
        <v>238</v>
      </c>
      <c r="D317" s="24" t="s">
        <v>557</v>
      </c>
      <c r="E317" s="19" t="s">
        <v>15327</v>
      </c>
      <c r="F317" s="19" t="s">
        <v>15384</v>
      </c>
      <c r="G317" s="19" t="s">
        <v>15320</v>
      </c>
      <c r="H317" s="20">
        <v>17</v>
      </c>
      <c r="I317" s="20">
        <v>17</v>
      </c>
      <c r="J317" s="19" t="s">
        <v>15539</v>
      </c>
      <c r="K317" s="19" t="s">
        <v>15540</v>
      </c>
      <c r="L317" s="19" t="s">
        <v>15324</v>
      </c>
      <c r="M317" s="20" t="s">
        <v>15350</v>
      </c>
      <c r="N317" s="20">
        <v>17</v>
      </c>
      <c r="O317" s="20"/>
      <c r="P317" s="20"/>
      <c r="Q317" s="20"/>
      <c r="R317" s="20" t="s">
        <v>15346</v>
      </c>
      <c r="S317" s="20">
        <v>12</v>
      </c>
      <c r="T317" s="20">
        <v>22</v>
      </c>
      <c r="U317" s="20">
        <v>38</v>
      </c>
      <c r="V317" s="24" t="s">
        <v>557</v>
      </c>
      <c r="W317" s="22" t="s">
        <v>15325</v>
      </c>
    </row>
    <row r="318" spans="1:23" x14ac:dyDescent="0.35">
      <c r="A318" s="18">
        <v>17649</v>
      </c>
      <c r="B318" s="19" t="s">
        <v>15277</v>
      </c>
      <c r="C318" s="24" t="s">
        <v>238</v>
      </c>
      <c r="D318" s="24" t="s">
        <v>557</v>
      </c>
      <c r="E318" s="19" t="s">
        <v>15327</v>
      </c>
      <c r="F318" s="19" t="s">
        <v>15384</v>
      </c>
      <c r="G318" s="19" t="s">
        <v>15320</v>
      </c>
      <c r="H318" s="20">
        <v>18</v>
      </c>
      <c r="I318" s="20">
        <v>18</v>
      </c>
      <c r="J318" s="19" t="s">
        <v>15557</v>
      </c>
      <c r="K318" s="19" t="s">
        <v>15558</v>
      </c>
      <c r="L318" s="19" t="s">
        <v>15334</v>
      </c>
      <c r="M318" s="20" t="s">
        <v>15323</v>
      </c>
      <c r="N318" s="20">
        <v>18</v>
      </c>
      <c r="O318" s="20"/>
      <c r="P318" s="20"/>
      <c r="Q318" s="20"/>
      <c r="R318" s="20" t="s">
        <v>15346</v>
      </c>
      <c r="S318" s="20">
        <v>12</v>
      </c>
      <c r="T318" s="20">
        <v>22</v>
      </c>
      <c r="U318" s="20">
        <v>32</v>
      </c>
      <c r="V318" s="24" t="s">
        <v>557</v>
      </c>
      <c r="W318" s="22" t="s">
        <v>15325</v>
      </c>
    </row>
    <row r="319" spans="1:23" x14ac:dyDescent="0.35">
      <c r="A319" s="18">
        <v>17649</v>
      </c>
      <c r="B319" s="19" t="s">
        <v>15277</v>
      </c>
      <c r="C319" s="24" t="s">
        <v>238</v>
      </c>
      <c r="D319" s="24" t="s">
        <v>557</v>
      </c>
      <c r="E319" s="19" t="s">
        <v>15327</v>
      </c>
      <c r="F319" s="19" t="s">
        <v>15384</v>
      </c>
      <c r="G319" s="19" t="s">
        <v>15320</v>
      </c>
      <c r="H319" s="20">
        <v>19</v>
      </c>
      <c r="I319" s="20">
        <v>19</v>
      </c>
      <c r="J319" s="19" t="s">
        <v>15500</v>
      </c>
      <c r="K319" s="19" t="s">
        <v>15501</v>
      </c>
      <c r="L319" s="19"/>
      <c r="M319" s="20" t="s">
        <v>15341</v>
      </c>
      <c r="N319" s="20">
        <v>19</v>
      </c>
      <c r="O319" s="20"/>
      <c r="P319" s="20"/>
      <c r="Q319" s="20"/>
      <c r="R319" s="20" t="s">
        <v>15346</v>
      </c>
      <c r="S319" s="20">
        <v>12</v>
      </c>
      <c r="T319" s="20">
        <v>22</v>
      </c>
      <c r="U319" s="20">
        <v>13</v>
      </c>
      <c r="V319" s="24" t="s">
        <v>557</v>
      </c>
      <c r="W319" s="22" t="s">
        <v>15325</v>
      </c>
    </row>
    <row r="320" spans="1:23" x14ac:dyDescent="0.35">
      <c r="A320" s="18">
        <v>17649</v>
      </c>
      <c r="B320" s="19" t="s">
        <v>15277</v>
      </c>
      <c r="C320" s="24" t="s">
        <v>238</v>
      </c>
      <c r="D320" s="24" t="s">
        <v>557</v>
      </c>
      <c r="E320" s="19" t="s">
        <v>15327</v>
      </c>
      <c r="F320" s="19" t="s">
        <v>15384</v>
      </c>
      <c r="G320" s="19" t="s">
        <v>15320</v>
      </c>
      <c r="H320" s="20">
        <v>20</v>
      </c>
      <c r="I320" s="20">
        <v>20</v>
      </c>
      <c r="J320" s="19" t="s">
        <v>15777</v>
      </c>
      <c r="K320" s="19" t="s">
        <v>15778</v>
      </c>
      <c r="L320" s="19"/>
      <c r="M320" s="20" t="s">
        <v>15341</v>
      </c>
      <c r="N320" s="20">
        <v>20</v>
      </c>
      <c r="O320" s="20"/>
      <c r="P320" s="20"/>
      <c r="Q320" s="20"/>
      <c r="R320" s="20" t="s">
        <v>15346</v>
      </c>
      <c r="S320" s="20">
        <v>12</v>
      </c>
      <c r="T320" s="20">
        <v>22</v>
      </c>
      <c r="U320" s="20">
        <v>23</v>
      </c>
      <c r="V320" s="24" t="s">
        <v>557</v>
      </c>
      <c r="W320" s="22" t="s">
        <v>15325</v>
      </c>
    </row>
    <row r="321" spans="1:23" x14ac:dyDescent="0.35">
      <c r="A321" s="18">
        <v>17649</v>
      </c>
      <c r="B321" s="19" t="s">
        <v>15277</v>
      </c>
      <c r="C321" s="24" t="s">
        <v>238</v>
      </c>
      <c r="D321" s="24" t="s">
        <v>557</v>
      </c>
      <c r="E321" s="19" t="s">
        <v>15327</v>
      </c>
      <c r="F321" s="19" t="s">
        <v>15384</v>
      </c>
      <c r="G321" s="19" t="s">
        <v>15320</v>
      </c>
      <c r="H321" s="20">
        <v>21</v>
      </c>
      <c r="I321" s="20">
        <v>21</v>
      </c>
      <c r="J321" s="19" t="s">
        <v>15490</v>
      </c>
      <c r="K321" s="19" t="s">
        <v>15491</v>
      </c>
      <c r="L321" s="19"/>
      <c r="M321" s="20" t="s">
        <v>15341</v>
      </c>
      <c r="N321" s="20">
        <v>21</v>
      </c>
      <c r="O321" s="20"/>
      <c r="P321" s="20"/>
      <c r="Q321" s="20"/>
      <c r="R321" s="20" t="s">
        <v>15346</v>
      </c>
      <c r="S321" s="20">
        <v>12</v>
      </c>
      <c r="T321" s="20">
        <v>22</v>
      </c>
      <c r="U321" s="20">
        <v>21</v>
      </c>
      <c r="V321" s="24" t="s">
        <v>557</v>
      </c>
      <c r="W321" s="22" t="s">
        <v>15325</v>
      </c>
    </row>
    <row r="322" spans="1:23" x14ac:dyDescent="0.35">
      <c r="A322" s="18">
        <v>17649</v>
      </c>
      <c r="B322" s="19" t="s">
        <v>15277</v>
      </c>
      <c r="C322" s="24" t="s">
        <v>238</v>
      </c>
      <c r="D322" s="24" t="s">
        <v>557</v>
      </c>
      <c r="E322" s="19" t="s">
        <v>15327</v>
      </c>
      <c r="F322" s="19" t="s">
        <v>15384</v>
      </c>
      <c r="G322" s="19" t="s">
        <v>15320</v>
      </c>
      <c r="H322" s="20">
        <v>22</v>
      </c>
      <c r="I322" s="20">
        <v>22</v>
      </c>
      <c r="J322" s="19" t="s">
        <v>15643</v>
      </c>
      <c r="K322" s="19" t="s">
        <v>15644</v>
      </c>
      <c r="L322" s="19"/>
      <c r="M322" s="20" t="s">
        <v>15350</v>
      </c>
      <c r="N322" s="20">
        <v>22</v>
      </c>
      <c r="O322" s="20"/>
      <c r="P322" s="20"/>
      <c r="Q322" s="20"/>
      <c r="R322" s="20" t="s">
        <v>15346</v>
      </c>
      <c r="S322" s="20">
        <v>12</v>
      </c>
      <c r="T322" s="20">
        <v>22</v>
      </c>
      <c r="U322" s="20">
        <v>3</v>
      </c>
      <c r="V322" s="24" t="s">
        <v>557</v>
      </c>
      <c r="W322" s="22" t="s">
        <v>15325</v>
      </c>
    </row>
    <row r="323" spans="1:23" x14ac:dyDescent="0.35">
      <c r="A323" s="18">
        <v>17649</v>
      </c>
      <c r="B323" s="19" t="s">
        <v>15277</v>
      </c>
      <c r="C323" s="24" t="s">
        <v>238</v>
      </c>
      <c r="D323" s="24" t="s">
        <v>557</v>
      </c>
      <c r="E323" s="19" t="s">
        <v>15327</v>
      </c>
      <c r="F323" s="19" t="s">
        <v>15384</v>
      </c>
      <c r="G323" s="19" t="s">
        <v>15320</v>
      </c>
      <c r="H323" s="20">
        <v>23</v>
      </c>
      <c r="I323" s="20">
        <v>23</v>
      </c>
      <c r="J323" s="19" t="s">
        <v>15688</v>
      </c>
      <c r="K323" s="19" t="s">
        <v>15689</v>
      </c>
      <c r="L323" s="19"/>
      <c r="M323" s="20" t="s">
        <v>15341</v>
      </c>
      <c r="N323" s="20">
        <v>23</v>
      </c>
      <c r="O323" s="20"/>
      <c r="P323" s="20"/>
      <c r="Q323" s="20"/>
      <c r="R323" s="20" t="s">
        <v>15346</v>
      </c>
      <c r="S323" s="20">
        <v>12</v>
      </c>
      <c r="T323" s="20">
        <v>22</v>
      </c>
      <c r="U323" s="20">
        <v>39</v>
      </c>
      <c r="V323" s="24" t="s">
        <v>557</v>
      </c>
      <c r="W323" s="22" t="s">
        <v>15325</v>
      </c>
    </row>
    <row r="324" spans="1:23" x14ac:dyDescent="0.35">
      <c r="A324" s="18">
        <v>17650</v>
      </c>
      <c r="B324" s="19" t="s">
        <v>15277</v>
      </c>
      <c r="C324" s="24" t="s">
        <v>1090</v>
      </c>
      <c r="D324" s="24" t="s">
        <v>27</v>
      </c>
      <c r="E324" s="19" t="s">
        <v>15327</v>
      </c>
      <c r="F324" s="19" t="s">
        <v>15367</v>
      </c>
      <c r="G324" s="19" t="s">
        <v>15320</v>
      </c>
      <c r="H324" s="20">
        <v>1</v>
      </c>
      <c r="I324" s="20">
        <v>1</v>
      </c>
      <c r="J324" s="19" t="s">
        <v>15861</v>
      </c>
      <c r="K324" s="19" t="s">
        <v>15862</v>
      </c>
      <c r="L324" s="19" t="s">
        <v>15371</v>
      </c>
      <c r="M324" s="20" t="s">
        <v>15323</v>
      </c>
      <c r="N324" s="20">
        <v>1</v>
      </c>
      <c r="O324" s="20"/>
      <c r="P324" s="20"/>
      <c r="Q324" s="20"/>
      <c r="R324" s="20" t="s">
        <v>15324</v>
      </c>
      <c r="S324" s="20">
        <v>18</v>
      </c>
      <c r="T324" s="20">
        <v>15</v>
      </c>
      <c r="U324" s="20">
        <v>68</v>
      </c>
      <c r="V324" s="24" t="s">
        <v>27</v>
      </c>
      <c r="W324" s="22" t="s">
        <v>15325</v>
      </c>
    </row>
    <row r="325" spans="1:23" x14ac:dyDescent="0.35">
      <c r="A325" s="18">
        <v>17650</v>
      </c>
      <c r="B325" s="19" t="s">
        <v>15277</v>
      </c>
      <c r="C325" s="24" t="s">
        <v>1090</v>
      </c>
      <c r="D325" s="24" t="s">
        <v>27</v>
      </c>
      <c r="E325" s="19" t="s">
        <v>15327</v>
      </c>
      <c r="F325" s="19" t="s">
        <v>15367</v>
      </c>
      <c r="G325" s="19" t="s">
        <v>15320</v>
      </c>
      <c r="H325" s="20">
        <v>2</v>
      </c>
      <c r="I325" s="20">
        <v>2</v>
      </c>
      <c r="J325" s="19" t="s">
        <v>15848</v>
      </c>
      <c r="K325" s="19" t="s">
        <v>15849</v>
      </c>
      <c r="L325" s="19" t="s">
        <v>15324</v>
      </c>
      <c r="M325" s="20" t="s">
        <v>15341</v>
      </c>
      <c r="N325" s="20">
        <v>2</v>
      </c>
      <c r="O325" s="20"/>
      <c r="P325" s="20"/>
      <c r="Q325" s="20"/>
      <c r="R325" s="20" t="s">
        <v>15324</v>
      </c>
      <c r="S325" s="20">
        <v>18</v>
      </c>
      <c r="T325" s="20">
        <v>15</v>
      </c>
      <c r="U325" s="20">
        <v>62</v>
      </c>
      <c r="V325" s="24" t="s">
        <v>27</v>
      </c>
      <c r="W325" s="22" t="s">
        <v>15325</v>
      </c>
    </row>
    <row r="326" spans="1:23" x14ac:dyDescent="0.35">
      <c r="A326" s="18">
        <v>17650</v>
      </c>
      <c r="B326" s="19" t="s">
        <v>15277</v>
      </c>
      <c r="C326" s="24" t="s">
        <v>1090</v>
      </c>
      <c r="D326" s="24" t="s">
        <v>27</v>
      </c>
      <c r="E326" s="19" t="s">
        <v>15327</v>
      </c>
      <c r="F326" s="19" t="s">
        <v>15367</v>
      </c>
      <c r="G326" s="19" t="s">
        <v>15320</v>
      </c>
      <c r="H326" s="20">
        <v>3</v>
      </c>
      <c r="I326" s="20">
        <v>3</v>
      </c>
      <c r="J326" s="19" t="s">
        <v>15666</v>
      </c>
      <c r="K326" s="19" t="s">
        <v>15667</v>
      </c>
      <c r="L326" s="19" t="s">
        <v>15334</v>
      </c>
      <c r="M326" s="20" t="s">
        <v>15323</v>
      </c>
      <c r="N326" s="20">
        <v>3</v>
      </c>
      <c r="O326" s="20"/>
      <c r="P326" s="20"/>
      <c r="Q326" s="20"/>
      <c r="R326" s="20" t="s">
        <v>15324</v>
      </c>
      <c r="S326" s="20">
        <v>18</v>
      </c>
      <c r="T326" s="20">
        <v>15</v>
      </c>
      <c r="U326" s="20">
        <v>60</v>
      </c>
      <c r="V326" s="24" t="s">
        <v>27</v>
      </c>
      <c r="W326" s="22" t="s">
        <v>15325</v>
      </c>
    </row>
    <row r="327" spans="1:23" x14ac:dyDescent="0.35">
      <c r="A327" s="18">
        <v>17650</v>
      </c>
      <c r="B327" s="19" t="s">
        <v>15277</v>
      </c>
      <c r="C327" s="24" t="s">
        <v>1090</v>
      </c>
      <c r="D327" s="24" t="s">
        <v>27</v>
      </c>
      <c r="E327" s="19" t="s">
        <v>15327</v>
      </c>
      <c r="F327" s="19" t="s">
        <v>15367</v>
      </c>
      <c r="G327" s="19" t="s">
        <v>15320</v>
      </c>
      <c r="H327" s="20">
        <v>4</v>
      </c>
      <c r="I327" s="20">
        <v>4</v>
      </c>
      <c r="J327" s="19" t="s">
        <v>15583</v>
      </c>
      <c r="K327" s="19" t="s">
        <v>15584</v>
      </c>
      <c r="L327" s="19"/>
      <c r="M327" s="20" t="s">
        <v>15341</v>
      </c>
      <c r="N327" s="20">
        <v>4</v>
      </c>
      <c r="O327" s="20"/>
      <c r="P327" s="20"/>
      <c r="Q327" s="20"/>
      <c r="R327" s="20" t="s">
        <v>15324</v>
      </c>
      <c r="S327" s="20">
        <v>18</v>
      </c>
      <c r="T327" s="20">
        <v>15</v>
      </c>
      <c r="U327" s="20">
        <v>69</v>
      </c>
      <c r="V327" s="24" t="s">
        <v>27</v>
      </c>
      <c r="W327" s="22" t="s">
        <v>15325</v>
      </c>
    </row>
    <row r="328" spans="1:23" x14ac:dyDescent="0.35">
      <c r="A328" s="18">
        <v>17650</v>
      </c>
      <c r="B328" s="19" t="s">
        <v>15277</v>
      </c>
      <c r="C328" s="24" t="s">
        <v>1090</v>
      </c>
      <c r="D328" s="24" t="s">
        <v>27</v>
      </c>
      <c r="E328" s="19" t="s">
        <v>15327</v>
      </c>
      <c r="F328" s="19" t="s">
        <v>15367</v>
      </c>
      <c r="G328" s="19" t="s">
        <v>15320</v>
      </c>
      <c r="H328" s="20">
        <v>5</v>
      </c>
      <c r="I328" s="20">
        <v>5</v>
      </c>
      <c r="J328" s="19" t="s">
        <v>15599</v>
      </c>
      <c r="K328" s="19" t="s">
        <v>15600</v>
      </c>
      <c r="L328" s="19"/>
      <c r="M328" s="20" t="s">
        <v>15350</v>
      </c>
      <c r="N328" s="20">
        <v>5</v>
      </c>
      <c r="O328" s="20"/>
      <c r="P328" s="20"/>
      <c r="Q328" s="20"/>
      <c r="R328" s="20" t="s">
        <v>15324</v>
      </c>
      <c r="S328" s="20">
        <v>18</v>
      </c>
      <c r="T328" s="20">
        <v>15</v>
      </c>
      <c r="U328" s="20">
        <v>80</v>
      </c>
      <c r="V328" s="24" t="s">
        <v>27</v>
      </c>
      <c r="W328" s="22" t="s">
        <v>15325</v>
      </c>
    </row>
    <row r="329" spans="1:23" x14ac:dyDescent="0.35">
      <c r="A329" s="18">
        <v>17650</v>
      </c>
      <c r="B329" s="19" t="s">
        <v>15277</v>
      </c>
      <c r="C329" s="24" t="s">
        <v>1090</v>
      </c>
      <c r="D329" s="24" t="s">
        <v>27</v>
      </c>
      <c r="E329" s="19" t="s">
        <v>15327</v>
      </c>
      <c r="F329" s="19" t="s">
        <v>15367</v>
      </c>
      <c r="G329" s="19" t="s">
        <v>15320</v>
      </c>
      <c r="H329" s="20">
        <v>6</v>
      </c>
      <c r="I329" s="20">
        <v>6</v>
      </c>
      <c r="J329" s="19" t="s">
        <v>15793</v>
      </c>
      <c r="K329" s="19" t="s">
        <v>15794</v>
      </c>
      <c r="L329" s="19"/>
      <c r="M329" s="20" t="s">
        <v>15341</v>
      </c>
      <c r="N329" s="20">
        <v>6</v>
      </c>
      <c r="O329" s="20"/>
      <c r="P329" s="20"/>
      <c r="Q329" s="20"/>
      <c r="R329" s="20" t="s">
        <v>15324</v>
      </c>
      <c r="S329" s="20">
        <v>18</v>
      </c>
      <c r="T329" s="20">
        <v>15</v>
      </c>
      <c r="U329" s="20">
        <v>61</v>
      </c>
      <c r="V329" s="24" t="s">
        <v>27</v>
      </c>
      <c r="W329" s="22" t="s">
        <v>15325</v>
      </c>
    </row>
    <row r="330" spans="1:23" x14ac:dyDescent="0.35">
      <c r="A330" s="18">
        <v>17650</v>
      </c>
      <c r="B330" s="19" t="s">
        <v>15277</v>
      </c>
      <c r="C330" s="24" t="s">
        <v>1090</v>
      </c>
      <c r="D330" s="24" t="s">
        <v>27</v>
      </c>
      <c r="E330" s="19" t="s">
        <v>15327</v>
      </c>
      <c r="F330" s="19" t="s">
        <v>15367</v>
      </c>
      <c r="G330" s="19" t="s">
        <v>15320</v>
      </c>
      <c r="H330" s="20">
        <v>7</v>
      </c>
      <c r="I330" s="20">
        <v>7</v>
      </c>
      <c r="J330" s="19" t="s">
        <v>15811</v>
      </c>
      <c r="K330" s="19" t="s">
        <v>15812</v>
      </c>
      <c r="L330" s="19"/>
      <c r="M330" s="20" t="s">
        <v>15341</v>
      </c>
      <c r="N330" s="20">
        <v>7</v>
      </c>
      <c r="O330" s="20"/>
      <c r="P330" s="20"/>
      <c r="Q330" s="20"/>
      <c r="R330" s="20" t="s">
        <v>15324</v>
      </c>
      <c r="S330" s="20">
        <v>18</v>
      </c>
      <c r="T330" s="20">
        <v>15</v>
      </c>
      <c r="U330" s="20">
        <v>80</v>
      </c>
      <c r="V330" s="24" t="s">
        <v>27</v>
      </c>
      <c r="W330" s="22" t="s">
        <v>15325</v>
      </c>
    </row>
    <row r="331" spans="1:23" x14ac:dyDescent="0.35">
      <c r="A331" s="18">
        <v>17650</v>
      </c>
      <c r="B331" s="19" t="s">
        <v>15277</v>
      </c>
      <c r="C331" s="24" t="s">
        <v>1090</v>
      </c>
      <c r="D331" s="24" t="s">
        <v>27</v>
      </c>
      <c r="E331" s="19" t="s">
        <v>15327</v>
      </c>
      <c r="F331" s="19" t="s">
        <v>15367</v>
      </c>
      <c r="G331" s="19" t="s">
        <v>15320</v>
      </c>
      <c r="H331" s="20">
        <v>8</v>
      </c>
      <c r="I331" s="20">
        <v>8</v>
      </c>
      <c r="J331" s="19" t="s">
        <v>15619</v>
      </c>
      <c r="K331" s="19" t="s">
        <v>15620</v>
      </c>
      <c r="L331" s="19"/>
      <c r="M331" s="20" t="s">
        <v>15323</v>
      </c>
      <c r="N331" s="20">
        <v>8</v>
      </c>
      <c r="O331" s="20"/>
      <c r="P331" s="20"/>
      <c r="Q331" s="20"/>
      <c r="R331" s="20" t="s">
        <v>15324</v>
      </c>
      <c r="S331" s="20">
        <v>18</v>
      </c>
      <c r="T331" s="20">
        <v>15</v>
      </c>
      <c r="U331" s="20">
        <v>80</v>
      </c>
      <c r="V331" s="24" t="s">
        <v>27</v>
      </c>
      <c r="W331" s="22" t="s">
        <v>15325</v>
      </c>
    </row>
    <row r="332" spans="1:23" x14ac:dyDescent="0.35">
      <c r="A332" s="18">
        <v>17650</v>
      </c>
      <c r="B332" s="19" t="s">
        <v>15277</v>
      </c>
      <c r="C332" s="24" t="s">
        <v>1090</v>
      </c>
      <c r="D332" s="24" t="s">
        <v>27</v>
      </c>
      <c r="E332" s="19" t="s">
        <v>15327</v>
      </c>
      <c r="F332" s="19" t="s">
        <v>15367</v>
      </c>
      <c r="G332" s="19" t="s">
        <v>15320</v>
      </c>
      <c r="H332" s="20">
        <v>9</v>
      </c>
      <c r="I332" s="20">
        <v>9</v>
      </c>
      <c r="J332" s="19" t="s">
        <v>15631</v>
      </c>
      <c r="K332" s="19" t="s">
        <v>15632</v>
      </c>
      <c r="L332" s="19"/>
      <c r="M332" s="20" t="s">
        <v>15350</v>
      </c>
      <c r="N332" s="20">
        <v>9</v>
      </c>
      <c r="O332" s="20"/>
      <c r="P332" s="20"/>
      <c r="Q332" s="20"/>
      <c r="R332" s="20" t="s">
        <v>15324</v>
      </c>
      <c r="S332" s="20">
        <v>18</v>
      </c>
      <c r="T332" s="20">
        <v>15</v>
      </c>
      <c r="U332" s="20">
        <v>61</v>
      </c>
      <c r="V332" s="24" t="s">
        <v>27</v>
      </c>
      <c r="W332" s="22" t="s">
        <v>15325</v>
      </c>
    </row>
    <row r="333" spans="1:23" x14ac:dyDescent="0.35">
      <c r="A333" s="18">
        <v>17650</v>
      </c>
      <c r="B333" s="19" t="s">
        <v>15277</v>
      </c>
      <c r="C333" s="24" t="s">
        <v>1090</v>
      </c>
      <c r="D333" s="24" t="s">
        <v>27</v>
      </c>
      <c r="E333" s="19" t="s">
        <v>15327</v>
      </c>
      <c r="F333" s="19" t="s">
        <v>15367</v>
      </c>
      <c r="G333" s="19" t="s">
        <v>15320</v>
      </c>
      <c r="H333" s="20">
        <v>10</v>
      </c>
      <c r="I333" s="20">
        <v>10</v>
      </c>
      <c r="J333" s="2" t="s">
        <v>15956</v>
      </c>
      <c r="K333" s="19" t="s">
        <v>15467</v>
      </c>
      <c r="L333" s="19"/>
      <c r="M333" s="20" t="s">
        <v>15323</v>
      </c>
      <c r="N333" s="20">
        <v>10</v>
      </c>
      <c r="O333" s="20"/>
      <c r="P333" s="20"/>
      <c r="Q333" s="20"/>
      <c r="R333" s="20" t="s">
        <v>15324</v>
      </c>
      <c r="S333" s="20">
        <v>18</v>
      </c>
      <c r="T333" s="20">
        <v>15</v>
      </c>
      <c r="U333" s="20">
        <v>80</v>
      </c>
      <c r="V333" s="24" t="s">
        <v>27</v>
      </c>
      <c r="W333" s="22" t="s">
        <v>15325</v>
      </c>
    </row>
    <row r="334" spans="1:23" x14ac:dyDescent="0.35">
      <c r="A334" s="18">
        <v>17650</v>
      </c>
      <c r="B334" s="19" t="s">
        <v>15277</v>
      </c>
      <c r="C334" s="24" t="s">
        <v>1090</v>
      </c>
      <c r="D334" s="24" t="s">
        <v>27</v>
      </c>
      <c r="E334" s="19" t="s">
        <v>15327</v>
      </c>
      <c r="F334" s="19" t="s">
        <v>15367</v>
      </c>
      <c r="G334" s="19" t="s">
        <v>15320</v>
      </c>
      <c r="H334" s="20">
        <v>11</v>
      </c>
      <c r="I334" s="20">
        <v>11</v>
      </c>
      <c r="J334" s="2" t="s">
        <v>15974</v>
      </c>
      <c r="K334" s="19" t="s">
        <v>15770</v>
      </c>
      <c r="L334" s="19"/>
      <c r="M334" s="20" t="s">
        <v>15323</v>
      </c>
      <c r="N334" s="20">
        <v>11</v>
      </c>
      <c r="O334" s="20"/>
      <c r="P334" s="20"/>
      <c r="Q334" s="20"/>
      <c r="R334" s="20" t="s">
        <v>15324</v>
      </c>
      <c r="S334" s="20">
        <v>18</v>
      </c>
      <c r="T334" s="20">
        <v>15</v>
      </c>
      <c r="U334" s="20">
        <v>20</v>
      </c>
      <c r="V334" s="24" t="s">
        <v>27</v>
      </c>
      <c r="W334" s="22" t="s">
        <v>15325</v>
      </c>
    </row>
    <row r="335" spans="1:23" x14ac:dyDescent="0.35">
      <c r="A335" s="18">
        <v>17650</v>
      </c>
      <c r="B335" s="19" t="s">
        <v>15277</v>
      </c>
      <c r="C335" s="24" t="s">
        <v>1090</v>
      </c>
      <c r="D335" s="24" t="s">
        <v>27</v>
      </c>
      <c r="E335" s="19" t="s">
        <v>15327</v>
      </c>
      <c r="F335" s="19" t="s">
        <v>15367</v>
      </c>
      <c r="G335" s="19" t="s">
        <v>15320</v>
      </c>
      <c r="H335" s="20">
        <v>12</v>
      </c>
      <c r="I335" s="20">
        <v>12</v>
      </c>
      <c r="J335" s="19" t="s">
        <v>15757</v>
      </c>
      <c r="K335" s="19" t="s">
        <v>15758</v>
      </c>
      <c r="L335" s="19"/>
      <c r="M335" s="20" t="s">
        <v>15341</v>
      </c>
      <c r="N335" s="20">
        <v>12</v>
      </c>
      <c r="O335" s="20"/>
      <c r="P335" s="20"/>
      <c r="Q335" s="20"/>
      <c r="R335" s="20" t="s">
        <v>15324</v>
      </c>
      <c r="S335" s="20">
        <v>18</v>
      </c>
      <c r="T335" s="20">
        <v>15</v>
      </c>
      <c r="U335" s="20">
        <v>62</v>
      </c>
      <c r="V335" s="24" t="s">
        <v>27</v>
      </c>
      <c r="W335" s="22" t="s">
        <v>15325</v>
      </c>
    </row>
    <row r="336" spans="1:23" x14ac:dyDescent="0.35">
      <c r="A336" s="18">
        <v>17650</v>
      </c>
      <c r="B336" s="19" t="s">
        <v>15277</v>
      </c>
      <c r="C336" s="24" t="s">
        <v>1090</v>
      </c>
      <c r="D336" s="24" t="s">
        <v>27</v>
      </c>
      <c r="E336" s="19" t="s">
        <v>15327</v>
      </c>
      <c r="F336" s="19" t="s">
        <v>15367</v>
      </c>
      <c r="G336" s="19" t="s">
        <v>15320</v>
      </c>
      <c r="H336" s="20">
        <v>13</v>
      </c>
      <c r="I336" s="20">
        <v>13</v>
      </c>
      <c r="J336" s="19" t="s">
        <v>15674</v>
      </c>
      <c r="K336" s="19" t="s">
        <v>15675</v>
      </c>
      <c r="L336" s="19"/>
      <c r="M336" s="20" t="s">
        <v>15419</v>
      </c>
      <c r="N336" s="20">
        <v>13</v>
      </c>
      <c r="O336" s="20"/>
      <c r="P336" s="20"/>
      <c r="Q336" s="20"/>
      <c r="R336" s="20" t="s">
        <v>15324</v>
      </c>
      <c r="S336" s="20">
        <v>18</v>
      </c>
      <c r="T336" s="20">
        <v>15</v>
      </c>
      <c r="U336" s="20">
        <v>68</v>
      </c>
      <c r="V336" s="24" t="s">
        <v>27</v>
      </c>
      <c r="W336" s="22" t="s">
        <v>15325</v>
      </c>
    </row>
    <row r="337" spans="1:23" x14ac:dyDescent="0.35">
      <c r="A337" s="18">
        <v>17650</v>
      </c>
      <c r="B337" s="19" t="s">
        <v>15277</v>
      </c>
      <c r="C337" s="24" t="s">
        <v>1090</v>
      </c>
      <c r="D337" s="24" t="s">
        <v>27</v>
      </c>
      <c r="E337" s="19" t="s">
        <v>15327</v>
      </c>
      <c r="F337" s="19" t="s">
        <v>15367</v>
      </c>
      <c r="G337" s="19" t="s">
        <v>15320</v>
      </c>
      <c r="H337" s="20">
        <v>14</v>
      </c>
      <c r="I337" s="20">
        <v>14</v>
      </c>
      <c r="J337" s="19" t="s">
        <v>15749</v>
      </c>
      <c r="K337" s="19" t="s">
        <v>15750</v>
      </c>
      <c r="L337" s="19"/>
      <c r="M337" s="20" t="s">
        <v>15323</v>
      </c>
      <c r="N337" s="20">
        <v>14</v>
      </c>
      <c r="O337" s="20"/>
      <c r="P337" s="20"/>
      <c r="Q337" s="20"/>
      <c r="R337" s="20" t="s">
        <v>15324</v>
      </c>
      <c r="S337" s="20">
        <v>18</v>
      </c>
      <c r="T337" s="20">
        <v>15</v>
      </c>
      <c r="U337" s="20">
        <v>80</v>
      </c>
      <c r="V337" s="24" t="s">
        <v>27</v>
      </c>
      <c r="W337" s="22" t="s">
        <v>15325</v>
      </c>
    </row>
    <row r="338" spans="1:23" x14ac:dyDescent="0.35">
      <c r="A338" s="18">
        <v>17650</v>
      </c>
      <c r="B338" s="19" t="s">
        <v>15277</v>
      </c>
      <c r="C338" s="24" t="s">
        <v>1090</v>
      </c>
      <c r="D338" s="24" t="s">
        <v>27</v>
      </c>
      <c r="E338" s="19" t="s">
        <v>15327</v>
      </c>
      <c r="F338" s="19" t="s">
        <v>15367</v>
      </c>
      <c r="G338" s="19" t="s">
        <v>15320</v>
      </c>
      <c r="H338" s="20">
        <v>15</v>
      </c>
      <c r="I338" s="20">
        <v>15</v>
      </c>
      <c r="J338" s="19" t="s">
        <v>15483</v>
      </c>
      <c r="K338" s="19" t="s">
        <v>15484</v>
      </c>
      <c r="L338" s="19"/>
      <c r="M338" s="20" t="s">
        <v>15341</v>
      </c>
      <c r="N338" s="20">
        <v>15</v>
      </c>
      <c r="O338" s="20"/>
      <c r="P338" s="20"/>
      <c r="Q338" s="20"/>
      <c r="R338" s="20" t="s">
        <v>15324</v>
      </c>
      <c r="S338" s="20">
        <v>18</v>
      </c>
      <c r="T338" s="20">
        <v>15</v>
      </c>
      <c r="U338" s="20">
        <v>80</v>
      </c>
      <c r="V338" s="24" t="s">
        <v>27</v>
      </c>
      <c r="W338" s="22" t="s">
        <v>15325</v>
      </c>
    </row>
    <row r="339" spans="1:23" x14ac:dyDescent="0.35">
      <c r="A339" s="18">
        <v>17650</v>
      </c>
      <c r="B339" s="19" t="s">
        <v>15277</v>
      </c>
      <c r="C339" s="24" t="s">
        <v>1090</v>
      </c>
      <c r="D339" s="24" t="s">
        <v>27</v>
      </c>
      <c r="E339" s="19" t="s">
        <v>15327</v>
      </c>
      <c r="F339" s="19" t="s">
        <v>15367</v>
      </c>
      <c r="G339" s="19" t="s">
        <v>15320</v>
      </c>
      <c r="H339" s="20">
        <v>16</v>
      </c>
      <c r="I339" s="20">
        <v>16</v>
      </c>
      <c r="J339" s="19" t="s">
        <v>15728</v>
      </c>
      <c r="K339" s="19" t="s">
        <v>15729</v>
      </c>
      <c r="L339" s="19" t="s">
        <v>15466</v>
      </c>
      <c r="M339" s="20" t="s">
        <v>15341</v>
      </c>
      <c r="N339" s="20">
        <v>16</v>
      </c>
      <c r="O339" s="20"/>
      <c r="P339" s="20"/>
      <c r="Q339" s="20"/>
      <c r="R339" s="20" t="s">
        <v>15346</v>
      </c>
      <c r="S339" s="20">
        <v>18</v>
      </c>
      <c r="T339" s="20">
        <v>15</v>
      </c>
      <c r="U339" s="20">
        <v>10</v>
      </c>
      <c r="V339" s="24" t="s">
        <v>27</v>
      </c>
      <c r="W339" s="22" t="s">
        <v>15325</v>
      </c>
    </row>
    <row r="340" spans="1:23" x14ac:dyDescent="0.35">
      <c r="A340" s="18">
        <v>17650</v>
      </c>
      <c r="B340" s="19" t="s">
        <v>15277</v>
      </c>
      <c r="C340" s="24" t="s">
        <v>1090</v>
      </c>
      <c r="D340" s="24" t="s">
        <v>27</v>
      </c>
      <c r="E340" s="19" t="s">
        <v>15327</v>
      </c>
      <c r="F340" s="19" t="s">
        <v>15367</v>
      </c>
      <c r="G340" s="19" t="s">
        <v>15320</v>
      </c>
      <c r="H340" s="20">
        <v>17</v>
      </c>
      <c r="I340" s="20">
        <v>17</v>
      </c>
      <c r="J340" s="19" t="s">
        <v>15726</v>
      </c>
      <c r="K340" s="19" t="s">
        <v>15727</v>
      </c>
      <c r="L340" s="19" t="s">
        <v>15324</v>
      </c>
      <c r="M340" s="20" t="s">
        <v>15350</v>
      </c>
      <c r="N340" s="20">
        <v>17</v>
      </c>
      <c r="O340" s="20"/>
      <c r="P340" s="20"/>
      <c r="Q340" s="20"/>
      <c r="R340" s="20" t="s">
        <v>15346</v>
      </c>
      <c r="S340" s="20">
        <v>18</v>
      </c>
      <c r="T340" s="20">
        <v>15</v>
      </c>
      <c r="U340" s="20">
        <v>18</v>
      </c>
      <c r="V340" s="24" t="s">
        <v>27</v>
      </c>
      <c r="W340" s="22" t="s">
        <v>15325</v>
      </c>
    </row>
    <row r="341" spans="1:23" x14ac:dyDescent="0.35">
      <c r="A341" s="18">
        <v>17650</v>
      </c>
      <c r="B341" s="19" t="s">
        <v>15277</v>
      </c>
      <c r="C341" s="24" t="s">
        <v>1090</v>
      </c>
      <c r="D341" s="24" t="s">
        <v>27</v>
      </c>
      <c r="E341" s="19" t="s">
        <v>15327</v>
      </c>
      <c r="F341" s="19" t="s">
        <v>15367</v>
      </c>
      <c r="G341" s="19" t="s">
        <v>15320</v>
      </c>
      <c r="H341" s="20">
        <v>18</v>
      </c>
      <c r="I341" s="20">
        <v>18</v>
      </c>
      <c r="J341" s="19" t="s">
        <v>15787</v>
      </c>
      <c r="K341" s="19" t="s">
        <v>15788</v>
      </c>
      <c r="L341" s="19" t="s">
        <v>15334</v>
      </c>
      <c r="M341" s="20" t="s">
        <v>15323</v>
      </c>
      <c r="N341" s="20">
        <v>18</v>
      </c>
      <c r="O341" s="20"/>
      <c r="P341" s="20"/>
      <c r="Q341" s="20"/>
      <c r="R341" s="20" t="s">
        <v>15346</v>
      </c>
      <c r="S341" s="20">
        <v>18</v>
      </c>
      <c r="T341" s="20">
        <v>15</v>
      </c>
      <c r="U341" s="20">
        <v>12</v>
      </c>
      <c r="V341" s="24" t="s">
        <v>27</v>
      </c>
      <c r="W341" s="22" t="s">
        <v>15325</v>
      </c>
    </row>
    <row r="342" spans="1:23" x14ac:dyDescent="0.35">
      <c r="A342" s="18">
        <v>17650</v>
      </c>
      <c r="B342" s="19" t="s">
        <v>15277</v>
      </c>
      <c r="C342" s="24" t="s">
        <v>1090</v>
      </c>
      <c r="D342" s="24" t="s">
        <v>27</v>
      </c>
      <c r="E342" s="19" t="s">
        <v>15327</v>
      </c>
      <c r="F342" s="19" t="s">
        <v>15367</v>
      </c>
      <c r="G342" s="19" t="s">
        <v>15320</v>
      </c>
      <c r="H342" s="20">
        <v>19</v>
      </c>
      <c r="I342" s="20">
        <v>19</v>
      </c>
      <c r="J342" s="2" t="s">
        <v>15967</v>
      </c>
      <c r="K342" s="19" t="s">
        <v>15700</v>
      </c>
      <c r="L342" s="19"/>
      <c r="M342" s="20" t="s">
        <v>15362</v>
      </c>
      <c r="N342" s="20">
        <v>19</v>
      </c>
      <c r="O342" s="20"/>
      <c r="P342" s="20"/>
      <c r="Q342" s="20"/>
      <c r="R342" s="20" t="s">
        <v>15346</v>
      </c>
      <c r="S342" s="20">
        <v>18</v>
      </c>
      <c r="T342" s="20">
        <v>15</v>
      </c>
      <c r="U342" s="20">
        <v>11</v>
      </c>
      <c r="V342" s="24" t="s">
        <v>27</v>
      </c>
      <c r="W342" s="22" t="s">
        <v>15325</v>
      </c>
    </row>
    <row r="343" spans="1:23" x14ac:dyDescent="0.35">
      <c r="A343" s="18">
        <v>17650</v>
      </c>
      <c r="B343" s="19" t="s">
        <v>15277</v>
      </c>
      <c r="C343" s="24" t="s">
        <v>1090</v>
      </c>
      <c r="D343" s="24" t="s">
        <v>27</v>
      </c>
      <c r="E343" s="19" t="s">
        <v>15327</v>
      </c>
      <c r="F343" s="19" t="s">
        <v>15367</v>
      </c>
      <c r="G343" s="19" t="s">
        <v>15320</v>
      </c>
      <c r="H343" s="20">
        <v>20</v>
      </c>
      <c r="I343" s="20">
        <v>20</v>
      </c>
      <c r="J343" s="19" t="s">
        <v>15761</v>
      </c>
      <c r="K343" s="19" t="s">
        <v>15762</v>
      </c>
      <c r="L343" s="19"/>
      <c r="M343" s="20" t="s">
        <v>15341</v>
      </c>
      <c r="N343" s="20">
        <v>20</v>
      </c>
      <c r="O343" s="20"/>
      <c r="P343" s="20"/>
      <c r="Q343" s="20"/>
      <c r="R343" s="20" t="s">
        <v>15346</v>
      </c>
      <c r="S343" s="20">
        <v>18</v>
      </c>
      <c r="T343" s="20">
        <v>15</v>
      </c>
      <c r="U343" s="20">
        <v>19</v>
      </c>
      <c r="V343" s="24" t="s">
        <v>27</v>
      </c>
      <c r="W343" s="22" t="s">
        <v>15325</v>
      </c>
    </row>
    <row r="344" spans="1:23" x14ac:dyDescent="0.35">
      <c r="A344" s="18">
        <v>17650</v>
      </c>
      <c r="B344" s="19" t="s">
        <v>15277</v>
      </c>
      <c r="C344" s="24" t="s">
        <v>1090</v>
      </c>
      <c r="D344" s="24" t="s">
        <v>27</v>
      </c>
      <c r="E344" s="19" t="s">
        <v>15327</v>
      </c>
      <c r="F344" s="19" t="s">
        <v>15367</v>
      </c>
      <c r="G344" s="19" t="s">
        <v>15320</v>
      </c>
      <c r="H344" s="20">
        <v>21</v>
      </c>
      <c r="I344" s="20">
        <v>21</v>
      </c>
      <c r="J344" s="2" t="s">
        <v>15962</v>
      </c>
      <c r="K344" s="19" t="s">
        <v>15598</v>
      </c>
      <c r="L344" s="19"/>
      <c r="M344" s="20" t="s">
        <v>15362</v>
      </c>
      <c r="N344" s="20">
        <v>21</v>
      </c>
      <c r="O344" s="20"/>
      <c r="P344" s="20"/>
      <c r="Q344" s="20"/>
      <c r="R344" s="20" t="s">
        <v>15346</v>
      </c>
      <c r="S344" s="20">
        <v>18</v>
      </c>
      <c r="T344" s="20">
        <v>15</v>
      </c>
      <c r="U344" s="20">
        <v>19</v>
      </c>
      <c r="V344" s="24" t="s">
        <v>27</v>
      </c>
      <c r="W344" s="22" t="s">
        <v>15325</v>
      </c>
    </row>
    <row r="345" spans="1:23" x14ac:dyDescent="0.35">
      <c r="A345" s="18">
        <v>17650</v>
      </c>
      <c r="B345" s="19" t="s">
        <v>15277</v>
      </c>
      <c r="C345" s="24" t="s">
        <v>1090</v>
      </c>
      <c r="D345" s="24" t="s">
        <v>27</v>
      </c>
      <c r="E345" s="19" t="s">
        <v>15327</v>
      </c>
      <c r="F345" s="19" t="s">
        <v>15367</v>
      </c>
      <c r="G345" s="19" t="s">
        <v>15320</v>
      </c>
      <c r="H345" s="20">
        <v>22</v>
      </c>
      <c r="I345" s="20">
        <v>22</v>
      </c>
      <c r="J345" s="19" t="s">
        <v>15379</v>
      </c>
      <c r="K345" s="19" t="s">
        <v>15380</v>
      </c>
      <c r="L345" s="19"/>
      <c r="M345" s="20" t="s">
        <v>15350</v>
      </c>
      <c r="N345" s="20">
        <v>22</v>
      </c>
      <c r="O345" s="20"/>
      <c r="P345" s="20"/>
      <c r="Q345" s="20"/>
      <c r="R345" s="20" t="s">
        <v>15346</v>
      </c>
      <c r="S345" s="20">
        <v>18</v>
      </c>
      <c r="T345" s="20">
        <v>15</v>
      </c>
      <c r="U345" s="20">
        <v>12</v>
      </c>
      <c r="V345" s="24" t="s">
        <v>27</v>
      </c>
      <c r="W345" s="22" t="s">
        <v>15325</v>
      </c>
    </row>
    <row r="346" spans="1:23" x14ac:dyDescent="0.35">
      <c r="A346" s="18">
        <v>17650</v>
      </c>
      <c r="B346" s="19" t="s">
        <v>15277</v>
      </c>
      <c r="C346" s="24" t="s">
        <v>1090</v>
      </c>
      <c r="D346" s="24" t="s">
        <v>27</v>
      </c>
      <c r="E346" s="19" t="s">
        <v>15327</v>
      </c>
      <c r="F346" s="19" t="s">
        <v>15367</v>
      </c>
      <c r="G346" s="19" t="s">
        <v>15320</v>
      </c>
      <c r="H346" s="20">
        <v>23</v>
      </c>
      <c r="I346" s="20">
        <v>23</v>
      </c>
      <c r="J346" s="19" t="s">
        <v>15773</v>
      </c>
      <c r="K346" s="19" t="s">
        <v>15774</v>
      </c>
      <c r="L346" s="19"/>
      <c r="M346" s="20" t="s">
        <v>15341</v>
      </c>
      <c r="N346" s="20">
        <v>23</v>
      </c>
      <c r="O346" s="20"/>
      <c r="P346" s="20"/>
      <c r="Q346" s="20"/>
      <c r="R346" s="20" t="s">
        <v>15346</v>
      </c>
      <c r="S346" s="20">
        <v>18</v>
      </c>
      <c r="T346" s="20">
        <v>15</v>
      </c>
      <c r="U346" s="20">
        <v>18</v>
      </c>
      <c r="V346" s="24" t="s">
        <v>27</v>
      </c>
      <c r="W346" s="22" t="s">
        <v>15325</v>
      </c>
    </row>
    <row r="347" spans="1:23" x14ac:dyDescent="0.35">
      <c r="A347" s="18">
        <v>17650</v>
      </c>
      <c r="B347" s="19" t="s">
        <v>15277</v>
      </c>
      <c r="C347" s="24" t="s">
        <v>1090</v>
      </c>
      <c r="D347" s="24" t="s">
        <v>27</v>
      </c>
      <c r="E347" s="19" t="s">
        <v>15327</v>
      </c>
      <c r="F347" s="19" t="s">
        <v>15367</v>
      </c>
      <c r="G347" s="19" t="s">
        <v>15320</v>
      </c>
      <c r="H347" s="20">
        <v>1</v>
      </c>
      <c r="I347" s="20">
        <v>1</v>
      </c>
      <c r="J347" s="19" t="s">
        <v>15797</v>
      </c>
      <c r="K347" s="19" t="s">
        <v>15798</v>
      </c>
      <c r="L347" s="19" t="s">
        <v>15466</v>
      </c>
      <c r="M347" s="20" t="s">
        <v>15323</v>
      </c>
      <c r="N347" s="20">
        <v>1</v>
      </c>
      <c r="O347" s="20"/>
      <c r="P347" s="20"/>
      <c r="Q347" s="20"/>
      <c r="R347" s="20" t="s">
        <v>15324</v>
      </c>
      <c r="S347" s="20">
        <v>18</v>
      </c>
      <c r="T347" s="20">
        <v>15</v>
      </c>
      <c r="U347" s="20">
        <v>70</v>
      </c>
      <c r="V347" s="24" t="s">
        <v>1090</v>
      </c>
      <c r="W347" s="22" t="s">
        <v>15329</v>
      </c>
    </row>
    <row r="348" spans="1:23" x14ac:dyDescent="0.35">
      <c r="A348" s="18">
        <v>17650</v>
      </c>
      <c r="B348" s="19" t="s">
        <v>15277</v>
      </c>
      <c r="C348" s="24" t="s">
        <v>1090</v>
      </c>
      <c r="D348" s="24" t="s">
        <v>27</v>
      </c>
      <c r="E348" s="19" t="s">
        <v>15327</v>
      </c>
      <c r="F348" s="19" t="s">
        <v>15367</v>
      </c>
      <c r="G348" s="19" t="s">
        <v>15320</v>
      </c>
      <c r="H348" s="20">
        <v>2</v>
      </c>
      <c r="I348" s="20">
        <v>2</v>
      </c>
      <c r="J348" s="19" t="s">
        <v>15559</v>
      </c>
      <c r="K348" s="19" t="s">
        <v>15560</v>
      </c>
      <c r="L348" s="19" t="s">
        <v>15324</v>
      </c>
      <c r="M348" s="20" t="s">
        <v>15323</v>
      </c>
      <c r="N348" s="20">
        <v>2</v>
      </c>
      <c r="O348" s="20"/>
      <c r="P348" s="20"/>
      <c r="Q348" s="20"/>
      <c r="R348" s="20" t="s">
        <v>15324</v>
      </c>
      <c r="S348" s="20">
        <v>18</v>
      </c>
      <c r="T348" s="20">
        <v>15</v>
      </c>
      <c r="U348" s="20">
        <v>70</v>
      </c>
      <c r="V348" s="24" t="s">
        <v>1090</v>
      </c>
      <c r="W348" s="22" t="s">
        <v>15329</v>
      </c>
    </row>
    <row r="349" spans="1:23" x14ac:dyDescent="0.35">
      <c r="A349" s="18">
        <v>17650</v>
      </c>
      <c r="B349" s="19" t="s">
        <v>15277</v>
      </c>
      <c r="C349" s="24" t="s">
        <v>1090</v>
      </c>
      <c r="D349" s="24" t="s">
        <v>27</v>
      </c>
      <c r="E349" s="19" t="s">
        <v>15327</v>
      </c>
      <c r="F349" s="19" t="s">
        <v>15367</v>
      </c>
      <c r="G349" s="19" t="s">
        <v>15320</v>
      </c>
      <c r="H349" s="20">
        <v>3</v>
      </c>
      <c r="I349" s="20">
        <v>3</v>
      </c>
      <c r="J349" s="19" t="s">
        <v>15387</v>
      </c>
      <c r="K349" s="19" t="s">
        <v>15388</v>
      </c>
      <c r="L349" s="19" t="s">
        <v>15334</v>
      </c>
      <c r="M349" s="20" t="s">
        <v>15357</v>
      </c>
      <c r="N349" s="20">
        <v>3</v>
      </c>
      <c r="O349" s="20"/>
      <c r="P349" s="20"/>
      <c r="Q349" s="20"/>
      <c r="R349" s="20" t="s">
        <v>15324</v>
      </c>
      <c r="S349" s="20">
        <v>18</v>
      </c>
      <c r="T349" s="20">
        <v>15</v>
      </c>
      <c r="U349" s="20">
        <v>70</v>
      </c>
      <c r="V349" s="24" t="s">
        <v>1090</v>
      </c>
      <c r="W349" s="22" t="s">
        <v>15329</v>
      </c>
    </row>
    <row r="350" spans="1:23" x14ac:dyDescent="0.35">
      <c r="A350" s="18">
        <v>17650</v>
      </c>
      <c r="B350" s="19" t="s">
        <v>15277</v>
      </c>
      <c r="C350" s="24" t="s">
        <v>1090</v>
      </c>
      <c r="D350" s="24" t="s">
        <v>27</v>
      </c>
      <c r="E350" s="19" t="s">
        <v>15327</v>
      </c>
      <c r="F350" s="19" t="s">
        <v>15367</v>
      </c>
      <c r="G350" s="19" t="s">
        <v>15320</v>
      </c>
      <c r="H350" s="20">
        <v>4</v>
      </c>
      <c r="I350" s="20">
        <v>4</v>
      </c>
      <c r="J350" s="19" t="s">
        <v>15510</v>
      </c>
      <c r="K350" s="19" t="s">
        <v>15511</v>
      </c>
      <c r="L350" s="19"/>
      <c r="M350" s="20" t="s">
        <v>15513</v>
      </c>
      <c r="N350" s="20">
        <v>4</v>
      </c>
      <c r="O350" s="20"/>
      <c r="P350" s="20"/>
      <c r="Q350" s="20"/>
      <c r="R350" s="20" t="s">
        <v>15324</v>
      </c>
      <c r="S350" s="20">
        <v>18</v>
      </c>
      <c r="T350" s="20">
        <v>15</v>
      </c>
      <c r="U350" s="20">
        <v>45</v>
      </c>
      <c r="V350" s="24" t="s">
        <v>1090</v>
      </c>
      <c r="W350" s="22" t="s">
        <v>15329</v>
      </c>
    </row>
    <row r="351" spans="1:23" x14ac:dyDescent="0.35">
      <c r="A351" s="18">
        <v>17650</v>
      </c>
      <c r="B351" s="19" t="s">
        <v>15277</v>
      </c>
      <c r="C351" s="24" t="s">
        <v>1090</v>
      </c>
      <c r="D351" s="24" t="s">
        <v>27</v>
      </c>
      <c r="E351" s="19" t="s">
        <v>15327</v>
      </c>
      <c r="F351" s="19" t="s">
        <v>15367</v>
      </c>
      <c r="G351" s="19" t="s">
        <v>15320</v>
      </c>
      <c r="H351" s="20">
        <v>5</v>
      </c>
      <c r="I351" s="20">
        <v>5</v>
      </c>
      <c r="J351" s="19" t="s">
        <v>15857</v>
      </c>
      <c r="K351" s="19" t="s">
        <v>15858</v>
      </c>
      <c r="L351" s="19"/>
      <c r="M351" s="20" t="s">
        <v>15323</v>
      </c>
      <c r="N351" s="20">
        <v>5</v>
      </c>
      <c r="O351" s="20"/>
      <c r="P351" s="20"/>
      <c r="Q351" s="20"/>
      <c r="R351" s="20" t="s">
        <v>15324</v>
      </c>
      <c r="S351" s="20">
        <v>18</v>
      </c>
      <c r="T351" s="20">
        <v>15</v>
      </c>
      <c r="U351" s="20">
        <v>80</v>
      </c>
      <c r="V351" s="24" t="s">
        <v>1090</v>
      </c>
      <c r="W351" s="22" t="s">
        <v>15329</v>
      </c>
    </row>
    <row r="352" spans="1:23" x14ac:dyDescent="0.35">
      <c r="A352" s="18">
        <v>17650</v>
      </c>
      <c r="B352" s="19" t="s">
        <v>15277</v>
      </c>
      <c r="C352" s="24" t="s">
        <v>1090</v>
      </c>
      <c r="D352" s="24" t="s">
        <v>27</v>
      </c>
      <c r="E352" s="19" t="s">
        <v>15327</v>
      </c>
      <c r="F352" s="19" t="s">
        <v>15367</v>
      </c>
      <c r="G352" s="19" t="s">
        <v>15320</v>
      </c>
      <c r="H352" s="20">
        <v>6</v>
      </c>
      <c r="I352" s="20">
        <v>6</v>
      </c>
      <c r="J352" s="19" t="s">
        <v>15474</v>
      </c>
      <c r="K352" s="19" t="s">
        <v>15475</v>
      </c>
      <c r="L352" s="19"/>
      <c r="M352" s="20" t="s">
        <v>15341</v>
      </c>
      <c r="N352" s="20">
        <v>6</v>
      </c>
      <c r="O352" s="20"/>
      <c r="P352" s="20"/>
      <c r="Q352" s="20"/>
      <c r="R352" s="20" t="s">
        <v>15324</v>
      </c>
      <c r="S352" s="20">
        <v>18</v>
      </c>
      <c r="T352" s="20">
        <v>15</v>
      </c>
      <c r="U352" s="20">
        <v>62</v>
      </c>
      <c r="V352" s="24" t="s">
        <v>1090</v>
      </c>
      <c r="W352" s="22" t="s">
        <v>15329</v>
      </c>
    </row>
    <row r="353" spans="1:23" x14ac:dyDescent="0.35">
      <c r="A353" s="18">
        <v>17650</v>
      </c>
      <c r="B353" s="19" t="s">
        <v>15277</v>
      </c>
      <c r="C353" s="24" t="s">
        <v>1090</v>
      </c>
      <c r="D353" s="24" t="s">
        <v>27</v>
      </c>
      <c r="E353" s="19" t="s">
        <v>15327</v>
      </c>
      <c r="F353" s="19" t="s">
        <v>15367</v>
      </c>
      <c r="G353" s="19" t="s">
        <v>15320</v>
      </c>
      <c r="H353" s="20">
        <v>7</v>
      </c>
      <c r="I353" s="20">
        <v>7</v>
      </c>
      <c r="J353" s="19" t="s">
        <v>15863</v>
      </c>
      <c r="K353" s="19" t="s">
        <v>15864</v>
      </c>
      <c r="L353" s="19"/>
      <c r="M353" s="20" t="s">
        <v>15341</v>
      </c>
      <c r="N353" s="20">
        <v>7</v>
      </c>
      <c r="O353" s="20"/>
      <c r="P353" s="20"/>
      <c r="Q353" s="20"/>
      <c r="R353" s="20" t="s">
        <v>15324</v>
      </c>
      <c r="S353" s="20">
        <v>18</v>
      </c>
      <c r="T353" s="20">
        <v>15</v>
      </c>
      <c r="U353" s="20">
        <v>80</v>
      </c>
      <c r="V353" s="24" t="s">
        <v>1090</v>
      </c>
      <c r="W353" s="22" t="s">
        <v>15329</v>
      </c>
    </row>
    <row r="354" spans="1:23" x14ac:dyDescent="0.35">
      <c r="A354" s="18">
        <v>17650</v>
      </c>
      <c r="B354" s="19" t="s">
        <v>15277</v>
      </c>
      <c r="C354" s="24" t="s">
        <v>1090</v>
      </c>
      <c r="D354" s="24" t="s">
        <v>27</v>
      </c>
      <c r="E354" s="19" t="s">
        <v>15327</v>
      </c>
      <c r="F354" s="19" t="s">
        <v>15367</v>
      </c>
      <c r="G354" s="19" t="s">
        <v>15320</v>
      </c>
      <c r="H354" s="20">
        <v>8</v>
      </c>
      <c r="I354" s="20">
        <v>8</v>
      </c>
      <c r="J354" s="19" t="s">
        <v>15432</v>
      </c>
      <c r="K354" s="19" t="s">
        <v>15433</v>
      </c>
      <c r="L354" s="19"/>
      <c r="M354" s="20" t="s">
        <v>15323</v>
      </c>
      <c r="N354" s="20">
        <v>8</v>
      </c>
      <c r="O354" s="20"/>
      <c r="P354" s="20"/>
      <c r="Q354" s="20"/>
      <c r="R354" s="20" t="s">
        <v>15324</v>
      </c>
      <c r="S354" s="20">
        <v>18</v>
      </c>
      <c r="T354" s="20">
        <v>15</v>
      </c>
      <c r="U354" s="20">
        <v>80</v>
      </c>
      <c r="V354" s="24" t="s">
        <v>1090</v>
      </c>
      <c r="W354" s="22" t="s">
        <v>15329</v>
      </c>
    </row>
    <row r="355" spans="1:23" x14ac:dyDescent="0.35">
      <c r="A355" s="18">
        <v>17650</v>
      </c>
      <c r="B355" s="19" t="s">
        <v>15277</v>
      </c>
      <c r="C355" s="24" t="s">
        <v>1090</v>
      </c>
      <c r="D355" s="24" t="s">
        <v>27</v>
      </c>
      <c r="E355" s="19" t="s">
        <v>15327</v>
      </c>
      <c r="F355" s="19" t="s">
        <v>15367</v>
      </c>
      <c r="G355" s="19" t="s">
        <v>15320</v>
      </c>
      <c r="H355" s="20">
        <v>9</v>
      </c>
      <c r="I355" s="20">
        <v>9</v>
      </c>
      <c r="J355" s="19" t="s">
        <v>15736</v>
      </c>
      <c r="K355" s="19" t="s">
        <v>15737</v>
      </c>
      <c r="L355" s="19"/>
      <c r="M355" s="20" t="s">
        <v>15341</v>
      </c>
      <c r="N355" s="20">
        <v>9</v>
      </c>
      <c r="O355" s="20"/>
      <c r="P355" s="20"/>
      <c r="Q355" s="20"/>
      <c r="R355" s="20" t="s">
        <v>15324</v>
      </c>
      <c r="S355" s="20">
        <v>18</v>
      </c>
      <c r="T355" s="20">
        <v>15</v>
      </c>
      <c r="U355" s="20">
        <v>70</v>
      </c>
      <c r="V355" s="24" t="s">
        <v>1090</v>
      </c>
      <c r="W355" s="22" t="s">
        <v>15329</v>
      </c>
    </row>
    <row r="356" spans="1:23" x14ac:dyDescent="0.35">
      <c r="A356" s="18">
        <v>17650</v>
      </c>
      <c r="B356" s="19" t="s">
        <v>15277</v>
      </c>
      <c r="C356" s="24" t="s">
        <v>1090</v>
      </c>
      <c r="D356" s="24" t="s">
        <v>27</v>
      </c>
      <c r="E356" s="19" t="s">
        <v>15327</v>
      </c>
      <c r="F356" s="19" t="s">
        <v>15367</v>
      </c>
      <c r="G356" s="19" t="s">
        <v>15320</v>
      </c>
      <c r="H356" s="20">
        <v>10</v>
      </c>
      <c r="I356" s="20">
        <v>10</v>
      </c>
      <c r="J356" s="19" t="s">
        <v>15641</v>
      </c>
      <c r="K356" s="19" t="s">
        <v>15642</v>
      </c>
      <c r="L356" s="19"/>
      <c r="M356" s="20" t="s">
        <v>15323</v>
      </c>
      <c r="N356" s="20">
        <v>10</v>
      </c>
      <c r="O356" s="20"/>
      <c r="P356" s="20"/>
      <c r="Q356" s="20"/>
      <c r="R356" s="20" t="s">
        <v>15324</v>
      </c>
      <c r="S356" s="20">
        <v>18</v>
      </c>
      <c r="T356" s="20">
        <v>15</v>
      </c>
      <c r="U356" s="20">
        <v>80</v>
      </c>
      <c r="V356" s="24" t="s">
        <v>1090</v>
      </c>
      <c r="W356" s="22" t="s">
        <v>15329</v>
      </c>
    </row>
    <row r="357" spans="1:23" x14ac:dyDescent="0.35">
      <c r="A357" s="18">
        <v>17650</v>
      </c>
      <c r="B357" s="19" t="s">
        <v>15277</v>
      </c>
      <c r="C357" s="24" t="s">
        <v>1090</v>
      </c>
      <c r="D357" s="24" t="s">
        <v>27</v>
      </c>
      <c r="E357" s="19" t="s">
        <v>15327</v>
      </c>
      <c r="F357" s="19" t="s">
        <v>15367</v>
      </c>
      <c r="G357" s="19" t="s">
        <v>15320</v>
      </c>
      <c r="H357" s="20">
        <v>11</v>
      </c>
      <c r="I357" s="20">
        <v>11</v>
      </c>
      <c r="J357" s="19" t="s">
        <v>15441</v>
      </c>
      <c r="K357" s="19" t="s">
        <v>15442</v>
      </c>
      <c r="L357" s="19"/>
      <c r="M357" s="20" t="s">
        <v>15341</v>
      </c>
      <c r="N357" s="20">
        <v>11</v>
      </c>
      <c r="O357" s="20"/>
      <c r="P357" s="20"/>
      <c r="Q357" s="20"/>
      <c r="R357" s="20" t="s">
        <v>15324</v>
      </c>
      <c r="S357" s="20">
        <v>18</v>
      </c>
      <c r="T357" s="20">
        <v>15</v>
      </c>
      <c r="U357" s="20">
        <v>62</v>
      </c>
      <c r="V357" s="24" t="s">
        <v>1090</v>
      </c>
      <c r="W357" s="22" t="s">
        <v>15329</v>
      </c>
    </row>
    <row r="358" spans="1:23" x14ac:dyDescent="0.35">
      <c r="A358" s="18">
        <v>17650</v>
      </c>
      <c r="B358" s="19" t="s">
        <v>15277</v>
      </c>
      <c r="C358" s="24" t="s">
        <v>1090</v>
      </c>
      <c r="D358" s="24" t="s">
        <v>27</v>
      </c>
      <c r="E358" s="19" t="s">
        <v>15327</v>
      </c>
      <c r="F358" s="19" t="s">
        <v>15367</v>
      </c>
      <c r="G358" s="19" t="s">
        <v>15320</v>
      </c>
      <c r="H358" s="20">
        <v>12</v>
      </c>
      <c r="I358" s="20">
        <v>12</v>
      </c>
      <c r="J358" s="19" t="s">
        <v>15684</v>
      </c>
      <c r="K358" s="19" t="s">
        <v>15685</v>
      </c>
      <c r="L358" s="19"/>
      <c r="M358" s="20" t="s">
        <v>15350</v>
      </c>
      <c r="N358" s="20">
        <v>12</v>
      </c>
      <c r="O358" s="20"/>
      <c r="P358" s="20"/>
      <c r="Q358" s="20"/>
      <c r="R358" s="20" t="s">
        <v>15324</v>
      </c>
      <c r="S358" s="20">
        <v>18</v>
      </c>
      <c r="T358" s="20">
        <v>15</v>
      </c>
      <c r="U358" s="20">
        <v>80</v>
      </c>
      <c r="V358" s="24" t="s">
        <v>1090</v>
      </c>
      <c r="W358" s="22" t="s">
        <v>15329</v>
      </c>
    </row>
    <row r="359" spans="1:23" x14ac:dyDescent="0.35">
      <c r="A359" s="18">
        <v>17650</v>
      </c>
      <c r="B359" s="19" t="s">
        <v>15277</v>
      </c>
      <c r="C359" s="24" t="s">
        <v>1090</v>
      </c>
      <c r="D359" s="24" t="s">
        <v>27</v>
      </c>
      <c r="E359" s="19" t="s">
        <v>15327</v>
      </c>
      <c r="F359" s="19" t="s">
        <v>15367</v>
      </c>
      <c r="G359" s="19" t="s">
        <v>15320</v>
      </c>
      <c r="H359" s="20">
        <v>13</v>
      </c>
      <c r="I359" s="20">
        <v>13</v>
      </c>
      <c r="J359" s="19" t="s">
        <v>15629</v>
      </c>
      <c r="K359" s="19" t="s">
        <v>15630</v>
      </c>
      <c r="L359" s="19"/>
      <c r="M359" s="20" t="s">
        <v>15341</v>
      </c>
      <c r="N359" s="20">
        <v>13</v>
      </c>
      <c r="O359" s="20"/>
      <c r="P359" s="20"/>
      <c r="Q359" s="20"/>
      <c r="R359" s="20" t="s">
        <v>15324</v>
      </c>
      <c r="S359" s="20">
        <v>18</v>
      </c>
      <c r="T359" s="20">
        <v>15</v>
      </c>
      <c r="U359" s="20">
        <v>80</v>
      </c>
      <c r="V359" s="24" t="s">
        <v>1090</v>
      </c>
      <c r="W359" s="22" t="s">
        <v>15329</v>
      </c>
    </row>
    <row r="360" spans="1:23" x14ac:dyDescent="0.35">
      <c r="A360" s="18">
        <v>17650</v>
      </c>
      <c r="B360" s="19" t="s">
        <v>15277</v>
      </c>
      <c r="C360" s="24" t="s">
        <v>1090</v>
      </c>
      <c r="D360" s="24" t="s">
        <v>27</v>
      </c>
      <c r="E360" s="19" t="s">
        <v>15327</v>
      </c>
      <c r="F360" s="19" t="s">
        <v>15367</v>
      </c>
      <c r="G360" s="19" t="s">
        <v>15320</v>
      </c>
      <c r="H360" s="20">
        <v>14</v>
      </c>
      <c r="I360" s="20">
        <v>14</v>
      </c>
      <c r="J360" s="19" t="s">
        <v>15565</v>
      </c>
      <c r="K360" s="19" t="s">
        <v>15566</v>
      </c>
      <c r="L360" s="19"/>
      <c r="M360" s="20" t="s">
        <v>15341</v>
      </c>
      <c r="N360" s="20">
        <v>14</v>
      </c>
      <c r="O360" s="20"/>
      <c r="P360" s="20"/>
      <c r="Q360" s="20"/>
      <c r="R360" s="20" t="s">
        <v>15324</v>
      </c>
      <c r="S360" s="20">
        <v>18</v>
      </c>
      <c r="T360" s="20">
        <v>15</v>
      </c>
      <c r="U360" s="20">
        <v>80</v>
      </c>
      <c r="V360" s="24" t="s">
        <v>1090</v>
      </c>
      <c r="W360" s="22" t="s">
        <v>15329</v>
      </c>
    </row>
    <row r="361" spans="1:23" x14ac:dyDescent="0.35">
      <c r="A361" s="18">
        <v>17650</v>
      </c>
      <c r="B361" s="19" t="s">
        <v>15277</v>
      </c>
      <c r="C361" s="24" t="s">
        <v>1090</v>
      </c>
      <c r="D361" s="24" t="s">
        <v>27</v>
      </c>
      <c r="E361" s="19" t="s">
        <v>15327</v>
      </c>
      <c r="F361" s="19" t="s">
        <v>15367</v>
      </c>
      <c r="G361" s="19" t="s">
        <v>15320</v>
      </c>
      <c r="H361" s="20">
        <v>15</v>
      </c>
      <c r="I361" s="20">
        <v>15</v>
      </c>
      <c r="J361" s="19" t="s">
        <v>15365</v>
      </c>
      <c r="K361" s="19" t="s">
        <v>15366</v>
      </c>
      <c r="L361" s="19"/>
      <c r="M361" s="20" t="s">
        <v>15323</v>
      </c>
      <c r="N361" s="20">
        <v>15</v>
      </c>
      <c r="O361" s="20"/>
      <c r="P361" s="20"/>
      <c r="Q361" s="20"/>
      <c r="R361" s="20" t="s">
        <v>15324</v>
      </c>
      <c r="S361" s="20">
        <v>18</v>
      </c>
      <c r="T361" s="20">
        <v>15</v>
      </c>
      <c r="U361" s="20">
        <v>80</v>
      </c>
      <c r="V361" s="24" t="s">
        <v>1090</v>
      </c>
      <c r="W361" s="22" t="s">
        <v>15329</v>
      </c>
    </row>
    <row r="362" spans="1:23" x14ac:dyDescent="0.35">
      <c r="A362" s="18">
        <v>17650</v>
      </c>
      <c r="B362" s="19" t="s">
        <v>15277</v>
      </c>
      <c r="C362" s="24" t="s">
        <v>1090</v>
      </c>
      <c r="D362" s="24" t="s">
        <v>27</v>
      </c>
      <c r="E362" s="19" t="s">
        <v>15327</v>
      </c>
      <c r="F362" s="19" t="s">
        <v>15367</v>
      </c>
      <c r="G362" s="19" t="s">
        <v>15320</v>
      </c>
      <c r="H362" s="20">
        <v>16</v>
      </c>
      <c r="I362" s="20">
        <v>16</v>
      </c>
      <c r="J362" s="19" t="s">
        <v>15779</v>
      </c>
      <c r="K362" s="19" t="s">
        <v>15780</v>
      </c>
      <c r="L362" s="19" t="s">
        <v>15466</v>
      </c>
      <c r="M362" s="20" t="s">
        <v>15341</v>
      </c>
      <c r="N362" s="20">
        <v>16</v>
      </c>
      <c r="O362" s="20"/>
      <c r="P362" s="20"/>
      <c r="Q362" s="20"/>
      <c r="R362" s="20" t="s">
        <v>15346</v>
      </c>
      <c r="S362" s="20">
        <v>18</v>
      </c>
      <c r="T362" s="20">
        <v>15</v>
      </c>
      <c r="U362" s="20">
        <v>10</v>
      </c>
      <c r="V362" s="24" t="s">
        <v>1090</v>
      </c>
      <c r="W362" s="22" t="s">
        <v>15329</v>
      </c>
    </row>
    <row r="363" spans="1:23" x14ac:dyDescent="0.35">
      <c r="A363" s="18">
        <v>17650</v>
      </c>
      <c r="B363" s="19" t="s">
        <v>15277</v>
      </c>
      <c r="C363" s="24" t="s">
        <v>1090</v>
      </c>
      <c r="D363" s="24" t="s">
        <v>27</v>
      </c>
      <c r="E363" s="19" t="s">
        <v>15327</v>
      </c>
      <c r="F363" s="19" t="s">
        <v>15367</v>
      </c>
      <c r="G363" s="19" t="s">
        <v>15320</v>
      </c>
      <c r="H363" s="20">
        <v>17</v>
      </c>
      <c r="I363" s="20">
        <v>17</v>
      </c>
      <c r="J363" s="19" t="s">
        <v>15549</v>
      </c>
      <c r="K363" s="19" t="s">
        <v>15550</v>
      </c>
      <c r="L363" s="19" t="s">
        <v>15324</v>
      </c>
      <c r="M363" s="20" t="s">
        <v>15341</v>
      </c>
      <c r="N363" s="20">
        <v>17</v>
      </c>
      <c r="O363" s="20"/>
      <c r="P363" s="20"/>
      <c r="Q363" s="20"/>
      <c r="R363" s="20" t="s">
        <v>15346</v>
      </c>
      <c r="S363" s="20">
        <v>18</v>
      </c>
      <c r="T363" s="20">
        <v>15</v>
      </c>
      <c r="U363" s="20">
        <v>10</v>
      </c>
      <c r="V363" s="24" t="s">
        <v>1090</v>
      </c>
      <c r="W363" s="22" t="s">
        <v>15329</v>
      </c>
    </row>
    <row r="364" spans="1:23" x14ac:dyDescent="0.35">
      <c r="A364" s="18">
        <v>17650</v>
      </c>
      <c r="B364" s="19" t="s">
        <v>15277</v>
      </c>
      <c r="C364" s="24" t="s">
        <v>1090</v>
      </c>
      <c r="D364" s="24" t="s">
        <v>27</v>
      </c>
      <c r="E364" s="19" t="s">
        <v>15327</v>
      </c>
      <c r="F364" s="19" t="s">
        <v>15367</v>
      </c>
      <c r="G364" s="19" t="s">
        <v>15320</v>
      </c>
      <c r="H364" s="20">
        <v>18</v>
      </c>
      <c r="I364" s="20">
        <v>18</v>
      </c>
      <c r="J364" s="19" t="s">
        <v>15825</v>
      </c>
      <c r="K364" s="19" t="s">
        <v>15826</v>
      </c>
      <c r="L364" s="19" t="s">
        <v>15334</v>
      </c>
      <c r="M364" s="20" t="s">
        <v>15350</v>
      </c>
      <c r="N364" s="20">
        <v>18</v>
      </c>
      <c r="O364" s="20"/>
      <c r="P364" s="20"/>
      <c r="Q364" s="20"/>
      <c r="R364" s="20" t="s">
        <v>15346</v>
      </c>
      <c r="S364" s="20">
        <v>18</v>
      </c>
      <c r="T364" s="20">
        <v>15</v>
      </c>
      <c r="U364" s="20">
        <v>10</v>
      </c>
      <c r="V364" s="24" t="s">
        <v>1090</v>
      </c>
      <c r="W364" s="22" t="s">
        <v>15329</v>
      </c>
    </row>
    <row r="365" spans="1:23" x14ac:dyDescent="0.35">
      <c r="A365" s="18">
        <v>17650</v>
      </c>
      <c r="B365" s="19" t="s">
        <v>15277</v>
      </c>
      <c r="C365" s="24" t="s">
        <v>1090</v>
      </c>
      <c r="D365" s="24" t="s">
        <v>27</v>
      </c>
      <c r="E365" s="19" t="s">
        <v>15327</v>
      </c>
      <c r="F365" s="19" t="s">
        <v>15367</v>
      </c>
      <c r="G365" s="19" t="s">
        <v>15320</v>
      </c>
      <c r="H365" s="20">
        <v>19</v>
      </c>
      <c r="I365" s="20">
        <v>19</v>
      </c>
      <c r="J365" s="2" t="s">
        <v>15961</v>
      </c>
      <c r="K365" s="19" t="s">
        <v>15587</v>
      </c>
      <c r="L365" s="19"/>
      <c r="M365" s="20" t="s">
        <v>15350</v>
      </c>
      <c r="N365" s="20">
        <v>19</v>
      </c>
      <c r="O365" s="20"/>
      <c r="P365" s="20"/>
      <c r="Q365" s="20"/>
      <c r="R365" s="20" t="s">
        <v>15346</v>
      </c>
      <c r="S365" s="20">
        <v>18</v>
      </c>
      <c r="T365" s="20">
        <v>15</v>
      </c>
      <c r="U365" s="20">
        <v>18</v>
      </c>
      <c r="V365" s="24" t="s">
        <v>1090</v>
      </c>
      <c r="W365" s="22" t="s">
        <v>15329</v>
      </c>
    </row>
    <row r="366" spans="1:23" x14ac:dyDescent="0.35">
      <c r="A366" s="18">
        <v>17650</v>
      </c>
      <c r="B366" s="19" t="s">
        <v>15277</v>
      </c>
      <c r="C366" s="24" t="s">
        <v>1090</v>
      </c>
      <c r="D366" s="24" t="s">
        <v>27</v>
      </c>
      <c r="E366" s="19" t="s">
        <v>15327</v>
      </c>
      <c r="F366" s="19" t="s">
        <v>15367</v>
      </c>
      <c r="G366" s="19" t="s">
        <v>15320</v>
      </c>
      <c r="H366" s="20">
        <v>20</v>
      </c>
      <c r="I366" s="20">
        <v>20</v>
      </c>
      <c r="J366" s="19" t="s">
        <v>15682</v>
      </c>
      <c r="K366" s="19" t="s">
        <v>15683</v>
      </c>
      <c r="L366" s="19"/>
      <c r="M366" s="20" t="s">
        <v>15341</v>
      </c>
      <c r="N366" s="20">
        <v>20</v>
      </c>
      <c r="O366" s="20"/>
      <c r="P366" s="20"/>
      <c r="Q366" s="20"/>
      <c r="R366" s="20" t="s">
        <v>15346</v>
      </c>
      <c r="S366" s="20">
        <v>18</v>
      </c>
      <c r="T366" s="20">
        <v>15</v>
      </c>
      <c r="U366" s="20">
        <v>35</v>
      </c>
      <c r="V366" s="24" t="s">
        <v>1090</v>
      </c>
      <c r="W366" s="22" t="s">
        <v>15329</v>
      </c>
    </row>
    <row r="367" spans="1:23" x14ac:dyDescent="0.35">
      <c r="A367" s="18">
        <v>17650</v>
      </c>
      <c r="B367" s="19" t="s">
        <v>15277</v>
      </c>
      <c r="C367" s="24" t="s">
        <v>1090</v>
      </c>
      <c r="D367" s="24" t="s">
        <v>27</v>
      </c>
      <c r="E367" s="19" t="s">
        <v>15327</v>
      </c>
      <c r="F367" s="19" t="s">
        <v>15367</v>
      </c>
      <c r="G367" s="19" t="s">
        <v>15320</v>
      </c>
      <c r="H367" s="20">
        <v>21</v>
      </c>
      <c r="I367" s="20">
        <v>21</v>
      </c>
      <c r="J367" s="19" t="s">
        <v>15554</v>
      </c>
      <c r="K367" s="19" t="s">
        <v>15555</v>
      </c>
      <c r="L367" s="19"/>
      <c r="M367" s="20" t="s">
        <v>15341</v>
      </c>
      <c r="N367" s="20">
        <v>21</v>
      </c>
      <c r="O367" s="20"/>
      <c r="P367" s="20"/>
      <c r="Q367" s="20"/>
      <c r="R367" s="20" t="s">
        <v>15346</v>
      </c>
      <c r="S367" s="20">
        <v>18</v>
      </c>
      <c r="T367" s="20">
        <v>15</v>
      </c>
      <c r="U367" s="20">
        <v>18</v>
      </c>
      <c r="V367" s="24" t="s">
        <v>1090</v>
      </c>
      <c r="W367" s="22" t="s">
        <v>15329</v>
      </c>
    </row>
    <row r="368" spans="1:23" x14ac:dyDescent="0.35">
      <c r="A368" s="18">
        <v>17650</v>
      </c>
      <c r="B368" s="19" t="s">
        <v>15277</v>
      </c>
      <c r="C368" s="24" t="s">
        <v>1090</v>
      </c>
      <c r="D368" s="24" t="s">
        <v>27</v>
      </c>
      <c r="E368" s="19" t="s">
        <v>15327</v>
      </c>
      <c r="F368" s="19" t="s">
        <v>15367</v>
      </c>
      <c r="G368" s="19" t="s">
        <v>15320</v>
      </c>
      <c r="H368" s="20">
        <v>22</v>
      </c>
      <c r="I368" s="20">
        <v>22</v>
      </c>
      <c r="J368" s="19" t="s">
        <v>15658</v>
      </c>
      <c r="K368" s="19" t="s">
        <v>15659</v>
      </c>
      <c r="L368" s="19"/>
      <c r="M368" s="20" t="s">
        <v>15341</v>
      </c>
      <c r="N368" s="20">
        <v>22</v>
      </c>
      <c r="O368" s="20"/>
      <c r="P368" s="20"/>
      <c r="Q368" s="20"/>
      <c r="R368" s="20" t="s">
        <v>15346</v>
      </c>
      <c r="S368" s="20">
        <v>18</v>
      </c>
      <c r="T368" s="20">
        <v>15</v>
      </c>
      <c r="U368" s="20">
        <v>10</v>
      </c>
      <c r="V368" s="24" t="s">
        <v>1090</v>
      </c>
      <c r="W368" s="22" t="s">
        <v>15329</v>
      </c>
    </row>
    <row r="369" spans="1:23" x14ac:dyDescent="0.35">
      <c r="A369" s="18">
        <v>17650</v>
      </c>
      <c r="B369" s="19" t="s">
        <v>15277</v>
      </c>
      <c r="C369" s="24" t="s">
        <v>1090</v>
      </c>
      <c r="D369" s="24" t="s">
        <v>27</v>
      </c>
      <c r="E369" s="19" t="s">
        <v>15327</v>
      </c>
      <c r="F369" s="19" t="s">
        <v>15367</v>
      </c>
      <c r="G369" s="19" t="s">
        <v>15320</v>
      </c>
      <c r="H369" s="20">
        <v>23</v>
      </c>
      <c r="I369" s="20">
        <v>23</v>
      </c>
      <c r="J369" s="19" t="s">
        <v>15479</v>
      </c>
      <c r="K369" s="19" t="s">
        <v>15480</v>
      </c>
      <c r="L369" s="19"/>
      <c r="M369" s="20" t="s">
        <v>15362</v>
      </c>
      <c r="N369" s="20">
        <v>23</v>
      </c>
      <c r="O369" s="20"/>
      <c r="P369" s="20"/>
      <c r="Q369" s="20"/>
      <c r="R369" s="20" t="s">
        <v>15346</v>
      </c>
      <c r="S369" s="20">
        <v>18</v>
      </c>
      <c r="T369" s="20">
        <v>15</v>
      </c>
      <c r="U369" s="20">
        <v>0</v>
      </c>
      <c r="V369" s="24" t="s">
        <v>1090</v>
      </c>
      <c r="W369" s="22" t="s">
        <v>15329</v>
      </c>
    </row>
    <row r="370" spans="1:23" x14ac:dyDescent="0.35">
      <c r="A370" s="18">
        <v>17651</v>
      </c>
      <c r="B370" s="19" t="s">
        <v>15277</v>
      </c>
      <c r="C370" s="24" t="s">
        <v>671</v>
      </c>
      <c r="D370" s="24" t="s">
        <v>954</v>
      </c>
      <c r="E370" s="19" t="s">
        <v>15327</v>
      </c>
      <c r="F370" s="19" t="s">
        <v>15335</v>
      </c>
      <c r="G370" s="19" t="s">
        <v>15320</v>
      </c>
      <c r="H370" s="20">
        <v>1</v>
      </c>
      <c r="I370" s="20">
        <v>1</v>
      </c>
      <c r="J370" s="19" t="s">
        <v>15803</v>
      </c>
      <c r="K370" s="19" t="s">
        <v>15804</v>
      </c>
      <c r="L370" s="19" t="s">
        <v>15466</v>
      </c>
      <c r="M370" s="20" t="s">
        <v>15323</v>
      </c>
      <c r="N370" s="20">
        <v>1</v>
      </c>
      <c r="O370" s="20"/>
      <c r="P370" s="20"/>
      <c r="Q370" s="20"/>
      <c r="R370" s="20" t="s">
        <v>15324</v>
      </c>
      <c r="S370" s="20">
        <v>45</v>
      </c>
      <c r="T370" s="20">
        <v>24</v>
      </c>
      <c r="U370" s="20">
        <v>46</v>
      </c>
      <c r="V370" s="24" t="s">
        <v>671</v>
      </c>
      <c r="W370" s="22" t="s">
        <v>15329</v>
      </c>
    </row>
    <row r="371" spans="1:23" x14ac:dyDescent="0.35">
      <c r="A371" s="18">
        <v>17651</v>
      </c>
      <c r="B371" s="19" t="s">
        <v>15277</v>
      </c>
      <c r="C371" s="24" t="s">
        <v>671</v>
      </c>
      <c r="D371" s="24" t="s">
        <v>954</v>
      </c>
      <c r="E371" s="19" t="s">
        <v>15327</v>
      </c>
      <c r="F371" s="19" t="s">
        <v>15335</v>
      </c>
      <c r="G371" s="19" t="s">
        <v>15320</v>
      </c>
      <c r="H371" s="20">
        <v>2</v>
      </c>
      <c r="I371" s="20">
        <v>2</v>
      </c>
      <c r="J371" s="19" t="s">
        <v>15338</v>
      </c>
      <c r="K371" s="19" t="s">
        <v>15339</v>
      </c>
      <c r="L371" s="19" t="s">
        <v>15324</v>
      </c>
      <c r="M371" s="20" t="s">
        <v>15341</v>
      </c>
      <c r="N371" s="20">
        <v>2</v>
      </c>
      <c r="O371" s="20"/>
      <c r="P371" s="20"/>
      <c r="Q371" s="20"/>
      <c r="R371" s="20" t="s">
        <v>15324</v>
      </c>
      <c r="S371" s="20">
        <v>45</v>
      </c>
      <c r="T371" s="20">
        <v>24</v>
      </c>
      <c r="U371" s="20">
        <v>46</v>
      </c>
      <c r="V371" s="24" t="s">
        <v>671</v>
      </c>
      <c r="W371" s="22" t="s">
        <v>15329</v>
      </c>
    </row>
    <row r="372" spans="1:23" x14ac:dyDescent="0.35">
      <c r="A372" s="18">
        <v>17651</v>
      </c>
      <c r="B372" s="19" t="s">
        <v>15277</v>
      </c>
      <c r="C372" s="24" t="s">
        <v>671</v>
      </c>
      <c r="D372" s="24" t="s">
        <v>954</v>
      </c>
      <c r="E372" s="19" t="s">
        <v>15327</v>
      </c>
      <c r="F372" s="19" t="s">
        <v>15335</v>
      </c>
      <c r="G372" s="19" t="s">
        <v>15320</v>
      </c>
      <c r="H372" s="20">
        <v>3</v>
      </c>
      <c r="I372" s="20">
        <v>3</v>
      </c>
      <c r="J372" s="19" t="s">
        <v>15588</v>
      </c>
      <c r="K372" s="19" t="s">
        <v>15589</v>
      </c>
      <c r="L372" s="19" t="s">
        <v>15334</v>
      </c>
      <c r="M372" s="20" t="s">
        <v>15350</v>
      </c>
      <c r="N372" s="20">
        <v>3</v>
      </c>
      <c r="O372" s="20"/>
      <c r="P372" s="20"/>
      <c r="Q372" s="20"/>
      <c r="R372" s="20" t="s">
        <v>15324</v>
      </c>
      <c r="S372" s="20">
        <v>45</v>
      </c>
      <c r="T372" s="20">
        <v>24</v>
      </c>
      <c r="U372" s="20">
        <v>14</v>
      </c>
      <c r="V372" s="24" t="s">
        <v>671</v>
      </c>
      <c r="W372" s="22" t="s">
        <v>15329</v>
      </c>
    </row>
    <row r="373" spans="1:23" x14ac:dyDescent="0.35">
      <c r="A373" s="18">
        <v>17651</v>
      </c>
      <c r="B373" s="19" t="s">
        <v>15277</v>
      </c>
      <c r="C373" s="24" t="s">
        <v>671</v>
      </c>
      <c r="D373" s="24" t="s">
        <v>954</v>
      </c>
      <c r="E373" s="19" t="s">
        <v>15327</v>
      </c>
      <c r="F373" s="19" t="s">
        <v>15335</v>
      </c>
      <c r="G373" s="19" t="s">
        <v>15320</v>
      </c>
      <c r="H373" s="20">
        <v>4</v>
      </c>
      <c r="I373" s="20">
        <v>4</v>
      </c>
      <c r="J373" s="19" t="s">
        <v>15374</v>
      </c>
      <c r="K373" s="19" t="s">
        <v>15375</v>
      </c>
      <c r="L373" s="19"/>
      <c r="M373" s="20" t="s">
        <v>15341</v>
      </c>
      <c r="N373" s="20">
        <v>4</v>
      </c>
      <c r="O373" s="20"/>
      <c r="P373" s="20"/>
      <c r="Q373" s="20"/>
      <c r="R373" s="20" t="s">
        <v>15324</v>
      </c>
      <c r="S373" s="20">
        <v>45</v>
      </c>
      <c r="T373" s="20">
        <v>24</v>
      </c>
      <c r="U373" s="20">
        <v>80</v>
      </c>
      <c r="V373" s="24" t="s">
        <v>671</v>
      </c>
      <c r="W373" s="22" t="s">
        <v>15329</v>
      </c>
    </row>
    <row r="374" spans="1:23" x14ac:dyDescent="0.35">
      <c r="A374" s="18">
        <v>17651</v>
      </c>
      <c r="B374" s="19" t="s">
        <v>15277</v>
      </c>
      <c r="C374" s="24" t="s">
        <v>671</v>
      </c>
      <c r="D374" s="24" t="s">
        <v>954</v>
      </c>
      <c r="E374" s="19" t="s">
        <v>15327</v>
      </c>
      <c r="F374" s="19" t="s">
        <v>15335</v>
      </c>
      <c r="G374" s="19" t="s">
        <v>15320</v>
      </c>
      <c r="H374" s="20">
        <v>5</v>
      </c>
      <c r="I374" s="20">
        <v>5</v>
      </c>
      <c r="J374" s="19" t="s">
        <v>15703</v>
      </c>
      <c r="K374" s="19" t="s">
        <v>15704</v>
      </c>
      <c r="L374" s="19"/>
      <c r="M374" s="20" t="s">
        <v>15341</v>
      </c>
      <c r="N374" s="20">
        <v>5</v>
      </c>
      <c r="O374" s="20"/>
      <c r="P374" s="20"/>
      <c r="Q374" s="20"/>
      <c r="R374" s="20" t="s">
        <v>15324</v>
      </c>
      <c r="S374" s="20">
        <v>45</v>
      </c>
      <c r="T374" s="20">
        <v>24</v>
      </c>
      <c r="U374" s="20">
        <v>80</v>
      </c>
      <c r="V374" s="24" t="s">
        <v>671</v>
      </c>
      <c r="W374" s="22" t="s">
        <v>15329</v>
      </c>
    </row>
    <row r="375" spans="1:23" x14ac:dyDescent="0.35">
      <c r="A375" s="18">
        <v>17651</v>
      </c>
      <c r="B375" s="19" t="s">
        <v>15277</v>
      </c>
      <c r="C375" s="24" t="s">
        <v>671</v>
      </c>
      <c r="D375" s="24" t="s">
        <v>954</v>
      </c>
      <c r="E375" s="19" t="s">
        <v>15327</v>
      </c>
      <c r="F375" s="19" t="s">
        <v>15335</v>
      </c>
      <c r="G375" s="19" t="s">
        <v>15320</v>
      </c>
      <c r="H375" s="20">
        <v>6</v>
      </c>
      <c r="I375" s="20">
        <v>6</v>
      </c>
      <c r="J375" s="19" t="s">
        <v>15402</v>
      </c>
      <c r="K375" s="19" t="s">
        <v>15403</v>
      </c>
      <c r="L375" s="19"/>
      <c r="M375" s="20" t="s">
        <v>15341</v>
      </c>
      <c r="N375" s="20">
        <v>6</v>
      </c>
      <c r="O375" s="20"/>
      <c r="P375" s="20"/>
      <c r="Q375" s="20"/>
      <c r="R375" s="20" t="s">
        <v>15324</v>
      </c>
      <c r="S375" s="20">
        <v>45</v>
      </c>
      <c r="T375" s="20">
        <v>24</v>
      </c>
      <c r="U375" s="20">
        <v>62</v>
      </c>
      <c r="V375" s="24" t="s">
        <v>671</v>
      </c>
      <c r="W375" s="22" t="s">
        <v>15329</v>
      </c>
    </row>
    <row r="376" spans="1:23" x14ac:dyDescent="0.35">
      <c r="A376" s="18">
        <v>17651</v>
      </c>
      <c r="B376" s="19" t="s">
        <v>15277</v>
      </c>
      <c r="C376" s="24" t="s">
        <v>671</v>
      </c>
      <c r="D376" s="24" t="s">
        <v>954</v>
      </c>
      <c r="E376" s="19" t="s">
        <v>15327</v>
      </c>
      <c r="F376" s="19" t="s">
        <v>15335</v>
      </c>
      <c r="G376" s="19" t="s">
        <v>15320</v>
      </c>
      <c r="H376" s="20">
        <v>7</v>
      </c>
      <c r="I376" s="20">
        <v>7</v>
      </c>
      <c r="J376" s="19" t="s">
        <v>15410</v>
      </c>
      <c r="K376" s="19" t="s">
        <v>15411</v>
      </c>
      <c r="L376" s="19"/>
      <c r="M376" s="20" t="s">
        <v>15357</v>
      </c>
      <c r="N376" s="20">
        <v>7</v>
      </c>
      <c r="O376" s="20"/>
      <c r="P376" s="20"/>
      <c r="Q376" s="20"/>
      <c r="R376" s="20" t="s">
        <v>15324</v>
      </c>
      <c r="S376" s="20">
        <v>45</v>
      </c>
      <c r="T376" s="20">
        <v>24</v>
      </c>
      <c r="U376" s="20">
        <v>52</v>
      </c>
      <c r="V376" s="24" t="s">
        <v>671</v>
      </c>
      <c r="W376" s="22" t="s">
        <v>15329</v>
      </c>
    </row>
    <row r="377" spans="1:23" x14ac:dyDescent="0.35">
      <c r="A377" s="18">
        <v>17651</v>
      </c>
      <c r="B377" s="19" t="s">
        <v>15277</v>
      </c>
      <c r="C377" s="24" t="s">
        <v>671</v>
      </c>
      <c r="D377" s="24" t="s">
        <v>954</v>
      </c>
      <c r="E377" s="19" t="s">
        <v>15327</v>
      </c>
      <c r="F377" s="19" t="s">
        <v>15335</v>
      </c>
      <c r="G377" s="19" t="s">
        <v>15320</v>
      </c>
      <c r="H377" s="20">
        <v>8</v>
      </c>
      <c r="I377" s="20">
        <v>8</v>
      </c>
      <c r="J377" s="19" t="s">
        <v>15561</v>
      </c>
      <c r="K377" s="19" t="s">
        <v>15562</v>
      </c>
      <c r="L377" s="19"/>
      <c r="M377" s="20" t="s">
        <v>15341</v>
      </c>
      <c r="N377" s="20">
        <v>8</v>
      </c>
      <c r="O377" s="20"/>
      <c r="P377" s="20"/>
      <c r="Q377" s="20"/>
      <c r="R377" s="20" t="s">
        <v>15324</v>
      </c>
      <c r="S377" s="20">
        <v>45</v>
      </c>
      <c r="T377" s="20">
        <v>24</v>
      </c>
      <c r="U377" s="20">
        <v>80</v>
      </c>
      <c r="V377" s="24" t="s">
        <v>671</v>
      </c>
      <c r="W377" s="22" t="s">
        <v>15329</v>
      </c>
    </row>
    <row r="378" spans="1:23" x14ac:dyDescent="0.35">
      <c r="A378" s="18">
        <v>17651</v>
      </c>
      <c r="B378" s="19" t="s">
        <v>15277</v>
      </c>
      <c r="C378" s="24" t="s">
        <v>671</v>
      </c>
      <c r="D378" s="24" t="s">
        <v>954</v>
      </c>
      <c r="E378" s="19" t="s">
        <v>15327</v>
      </c>
      <c r="F378" s="19" t="s">
        <v>15335</v>
      </c>
      <c r="G378" s="19" t="s">
        <v>15320</v>
      </c>
      <c r="H378" s="20">
        <v>9</v>
      </c>
      <c r="I378" s="20">
        <v>9</v>
      </c>
      <c r="J378" s="19" t="s">
        <v>15385</v>
      </c>
      <c r="K378" s="19" t="s">
        <v>15386</v>
      </c>
      <c r="L378" s="19"/>
      <c r="M378" s="20" t="s">
        <v>15341</v>
      </c>
      <c r="N378" s="20">
        <v>9</v>
      </c>
      <c r="O378" s="20"/>
      <c r="P378" s="20"/>
      <c r="Q378" s="20"/>
      <c r="R378" s="20" t="s">
        <v>15324</v>
      </c>
      <c r="S378" s="20">
        <v>45</v>
      </c>
      <c r="T378" s="20">
        <v>24</v>
      </c>
      <c r="U378" s="20">
        <v>52</v>
      </c>
      <c r="V378" s="24" t="s">
        <v>671</v>
      </c>
      <c r="W378" s="22" t="s">
        <v>15329</v>
      </c>
    </row>
    <row r="379" spans="1:23" x14ac:dyDescent="0.35">
      <c r="A379" s="18">
        <v>17651</v>
      </c>
      <c r="B379" s="19" t="s">
        <v>15277</v>
      </c>
      <c r="C379" s="24" t="s">
        <v>671</v>
      </c>
      <c r="D379" s="24" t="s">
        <v>954</v>
      </c>
      <c r="E379" s="19" t="s">
        <v>15327</v>
      </c>
      <c r="F379" s="19" t="s">
        <v>15335</v>
      </c>
      <c r="G379" s="19" t="s">
        <v>15320</v>
      </c>
      <c r="H379" s="20">
        <v>10</v>
      </c>
      <c r="I379" s="20">
        <v>10</v>
      </c>
      <c r="J379" s="19" t="s">
        <v>15722</v>
      </c>
      <c r="K379" s="19" t="s">
        <v>15723</v>
      </c>
      <c r="L379" s="19"/>
      <c r="M379" s="20" t="s">
        <v>15323</v>
      </c>
      <c r="N379" s="20">
        <v>10</v>
      </c>
      <c r="O379" s="20"/>
      <c r="P379" s="20"/>
      <c r="Q379" s="20"/>
      <c r="R379" s="20" t="s">
        <v>15324</v>
      </c>
      <c r="S379" s="20">
        <v>45</v>
      </c>
      <c r="T379" s="20">
        <v>24</v>
      </c>
      <c r="U379" s="20">
        <v>80</v>
      </c>
      <c r="V379" s="24" t="s">
        <v>671</v>
      </c>
      <c r="W379" s="22" t="s">
        <v>15329</v>
      </c>
    </row>
    <row r="380" spans="1:23" x14ac:dyDescent="0.35">
      <c r="A380" s="18">
        <v>17651</v>
      </c>
      <c r="B380" s="19" t="s">
        <v>15277</v>
      </c>
      <c r="C380" s="24" t="s">
        <v>671</v>
      </c>
      <c r="D380" s="24" t="s">
        <v>954</v>
      </c>
      <c r="E380" s="19" t="s">
        <v>15327</v>
      </c>
      <c r="F380" s="19" t="s">
        <v>15335</v>
      </c>
      <c r="G380" s="19" t="s">
        <v>15320</v>
      </c>
      <c r="H380" s="20">
        <v>11</v>
      </c>
      <c r="I380" s="20">
        <v>11</v>
      </c>
      <c r="J380" s="2" t="s">
        <v>15963</v>
      </c>
      <c r="K380" s="19" t="s">
        <v>15605</v>
      </c>
      <c r="L380" s="19"/>
      <c r="M380" s="20" t="s">
        <v>15341</v>
      </c>
      <c r="N380" s="20">
        <v>11</v>
      </c>
      <c r="O380" s="20"/>
      <c r="P380" s="20"/>
      <c r="Q380" s="20"/>
      <c r="R380" s="20" t="s">
        <v>15324</v>
      </c>
      <c r="S380" s="20">
        <v>45</v>
      </c>
      <c r="T380" s="20">
        <v>24</v>
      </c>
      <c r="U380" s="20">
        <v>4</v>
      </c>
      <c r="V380" s="24" t="s">
        <v>671</v>
      </c>
      <c r="W380" s="22" t="s">
        <v>15329</v>
      </c>
    </row>
    <row r="381" spans="1:23" x14ac:dyDescent="0.35">
      <c r="A381" s="18">
        <v>17651</v>
      </c>
      <c r="B381" s="19" t="s">
        <v>15277</v>
      </c>
      <c r="C381" s="24" t="s">
        <v>671</v>
      </c>
      <c r="D381" s="24" t="s">
        <v>954</v>
      </c>
      <c r="E381" s="19" t="s">
        <v>15327</v>
      </c>
      <c r="F381" s="19" t="s">
        <v>15335</v>
      </c>
      <c r="G381" s="19" t="s">
        <v>15320</v>
      </c>
      <c r="H381" s="20">
        <v>12</v>
      </c>
      <c r="I381" s="20">
        <v>12</v>
      </c>
      <c r="J381" s="19" t="s">
        <v>15715</v>
      </c>
      <c r="K381" s="19" t="s">
        <v>15716</v>
      </c>
      <c r="L381" s="19"/>
      <c r="M381" s="20" t="s">
        <v>15357</v>
      </c>
      <c r="N381" s="20">
        <v>12</v>
      </c>
      <c r="O381" s="20"/>
      <c r="P381" s="20"/>
      <c r="Q381" s="20"/>
      <c r="R381" s="20" t="s">
        <v>15324</v>
      </c>
      <c r="S381" s="20">
        <v>45</v>
      </c>
      <c r="T381" s="20">
        <v>24</v>
      </c>
      <c r="U381" s="20">
        <v>80</v>
      </c>
      <c r="V381" s="24" t="s">
        <v>671</v>
      </c>
      <c r="W381" s="22" t="s">
        <v>15329</v>
      </c>
    </row>
    <row r="382" spans="1:23" x14ac:dyDescent="0.35">
      <c r="A382" s="18">
        <v>17651</v>
      </c>
      <c r="B382" s="19" t="s">
        <v>15277</v>
      </c>
      <c r="C382" s="24" t="s">
        <v>671</v>
      </c>
      <c r="D382" s="24" t="s">
        <v>954</v>
      </c>
      <c r="E382" s="19" t="s">
        <v>15327</v>
      </c>
      <c r="F382" s="19" t="s">
        <v>15335</v>
      </c>
      <c r="G382" s="19" t="s">
        <v>15320</v>
      </c>
      <c r="H382" s="20">
        <v>13</v>
      </c>
      <c r="I382" s="20">
        <v>13</v>
      </c>
      <c r="J382" s="19" t="s">
        <v>15456</v>
      </c>
      <c r="K382" s="19" t="s">
        <v>15458</v>
      </c>
      <c r="L382" s="19"/>
      <c r="M382" s="20" t="s">
        <v>15341</v>
      </c>
      <c r="N382" s="20">
        <v>13</v>
      </c>
      <c r="O382" s="20"/>
      <c r="P382" s="20"/>
      <c r="Q382" s="20"/>
      <c r="R382" s="20" t="s">
        <v>15324</v>
      </c>
      <c r="S382" s="20">
        <v>45</v>
      </c>
      <c r="T382" s="20">
        <v>24</v>
      </c>
      <c r="U382" s="20">
        <v>73</v>
      </c>
      <c r="V382" s="24" t="s">
        <v>671</v>
      </c>
      <c r="W382" s="22" t="s">
        <v>15329</v>
      </c>
    </row>
    <row r="383" spans="1:23" x14ac:dyDescent="0.35">
      <c r="A383" s="18">
        <v>17651</v>
      </c>
      <c r="B383" s="19" t="s">
        <v>15277</v>
      </c>
      <c r="C383" s="24" t="s">
        <v>671</v>
      </c>
      <c r="D383" s="24" t="s">
        <v>954</v>
      </c>
      <c r="E383" s="19" t="s">
        <v>15327</v>
      </c>
      <c r="F383" s="19" t="s">
        <v>15335</v>
      </c>
      <c r="G383" s="19" t="s">
        <v>15320</v>
      </c>
      <c r="H383" s="20">
        <v>14</v>
      </c>
      <c r="I383" s="20">
        <v>14</v>
      </c>
      <c r="J383" s="19" t="s">
        <v>15701</v>
      </c>
      <c r="K383" s="19" t="s">
        <v>15702</v>
      </c>
      <c r="L383" s="19"/>
      <c r="M383" s="20" t="s">
        <v>15341</v>
      </c>
      <c r="N383" s="20">
        <v>14</v>
      </c>
      <c r="O383" s="20"/>
      <c r="P383" s="20"/>
      <c r="Q383" s="20"/>
      <c r="R383" s="20" t="s">
        <v>15324</v>
      </c>
      <c r="S383" s="20">
        <v>45</v>
      </c>
      <c r="T383" s="20">
        <v>24</v>
      </c>
      <c r="U383" s="20">
        <v>80</v>
      </c>
      <c r="V383" s="24" t="s">
        <v>671</v>
      </c>
      <c r="W383" s="22" t="s">
        <v>15329</v>
      </c>
    </row>
    <row r="384" spans="1:23" x14ac:dyDescent="0.35">
      <c r="A384" s="18">
        <v>17651</v>
      </c>
      <c r="B384" s="19" t="s">
        <v>15277</v>
      </c>
      <c r="C384" s="24" t="s">
        <v>671</v>
      </c>
      <c r="D384" s="24" t="s">
        <v>954</v>
      </c>
      <c r="E384" s="19" t="s">
        <v>15327</v>
      </c>
      <c r="F384" s="19" t="s">
        <v>15335</v>
      </c>
      <c r="G384" s="19" t="s">
        <v>15320</v>
      </c>
      <c r="H384" s="20">
        <v>15</v>
      </c>
      <c r="I384" s="20">
        <v>15</v>
      </c>
      <c r="J384" s="19" t="s">
        <v>15645</v>
      </c>
      <c r="K384" s="19" t="s">
        <v>15646</v>
      </c>
      <c r="L384" s="19"/>
      <c r="M384" s="20" t="s">
        <v>15341</v>
      </c>
      <c r="N384" s="20">
        <v>15</v>
      </c>
      <c r="O384" s="20"/>
      <c r="P384" s="20"/>
      <c r="Q384" s="20"/>
      <c r="R384" s="20" t="s">
        <v>15324</v>
      </c>
      <c r="S384" s="20">
        <v>45</v>
      </c>
      <c r="T384" s="20">
        <v>24</v>
      </c>
      <c r="U384" s="20">
        <v>72</v>
      </c>
      <c r="V384" s="24" t="s">
        <v>671</v>
      </c>
      <c r="W384" s="22" t="s">
        <v>15329</v>
      </c>
    </row>
    <row r="385" spans="1:23" x14ac:dyDescent="0.35">
      <c r="A385" s="18">
        <v>17651</v>
      </c>
      <c r="B385" s="19" t="s">
        <v>15277</v>
      </c>
      <c r="C385" s="24" t="s">
        <v>671</v>
      </c>
      <c r="D385" s="24" t="s">
        <v>954</v>
      </c>
      <c r="E385" s="19" t="s">
        <v>15327</v>
      </c>
      <c r="F385" s="19" t="s">
        <v>15335</v>
      </c>
      <c r="G385" s="19" t="s">
        <v>15320</v>
      </c>
      <c r="H385" s="20">
        <v>16</v>
      </c>
      <c r="I385" s="20">
        <v>16</v>
      </c>
      <c r="J385" s="19" t="s">
        <v>15637</v>
      </c>
      <c r="K385" s="19" t="s">
        <v>15638</v>
      </c>
      <c r="L385" s="19" t="s">
        <v>15371</v>
      </c>
      <c r="M385" s="20" t="s">
        <v>15341</v>
      </c>
      <c r="N385" s="20">
        <v>16</v>
      </c>
      <c r="O385" s="20"/>
      <c r="P385" s="20"/>
      <c r="Q385" s="20"/>
      <c r="R385" s="20" t="s">
        <v>15346</v>
      </c>
      <c r="S385" s="20">
        <v>45</v>
      </c>
      <c r="T385" s="20">
        <v>24</v>
      </c>
      <c r="U385" s="20">
        <v>39</v>
      </c>
      <c r="V385" s="24" t="s">
        <v>671</v>
      </c>
      <c r="W385" s="22" t="s">
        <v>15329</v>
      </c>
    </row>
    <row r="386" spans="1:23" x14ac:dyDescent="0.35">
      <c r="A386" s="18">
        <v>17651</v>
      </c>
      <c r="B386" s="19" t="s">
        <v>15277</v>
      </c>
      <c r="C386" s="24" t="s">
        <v>671</v>
      </c>
      <c r="D386" s="24" t="s">
        <v>954</v>
      </c>
      <c r="E386" s="19" t="s">
        <v>15327</v>
      </c>
      <c r="F386" s="19" t="s">
        <v>15335</v>
      </c>
      <c r="G386" s="19" t="s">
        <v>15320</v>
      </c>
      <c r="H386" s="20">
        <v>17</v>
      </c>
      <c r="I386" s="20">
        <v>17</v>
      </c>
      <c r="J386" s="19" t="s">
        <v>15621</v>
      </c>
      <c r="K386" s="19" t="s">
        <v>15622</v>
      </c>
      <c r="L386" s="19" t="s">
        <v>15371</v>
      </c>
      <c r="M386" s="20" t="s">
        <v>15341</v>
      </c>
      <c r="N386" s="20">
        <v>17</v>
      </c>
      <c r="O386" s="20"/>
      <c r="P386" s="20"/>
      <c r="Q386" s="20"/>
      <c r="R386" s="20" t="s">
        <v>15346</v>
      </c>
      <c r="S386" s="20">
        <v>45</v>
      </c>
      <c r="T386" s="20">
        <v>24</v>
      </c>
      <c r="U386" s="20">
        <v>34</v>
      </c>
      <c r="V386" s="24" t="s">
        <v>671</v>
      </c>
      <c r="W386" s="22" t="s">
        <v>15329</v>
      </c>
    </row>
    <row r="387" spans="1:23" x14ac:dyDescent="0.35">
      <c r="A387" s="18">
        <v>17651</v>
      </c>
      <c r="B387" s="19" t="s">
        <v>15277</v>
      </c>
      <c r="C387" s="24" t="s">
        <v>671</v>
      </c>
      <c r="D387" s="24" t="s">
        <v>954</v>
      </c>
      <c r="E387" s="19" t="s">
        <v>15327</v>
      </c>
      <c r="F387" s="19" t="s">
        <v>15335</v>
      </c>
      <c r="G387" s="19" t="s">
        <v>15320</v>
      </c>
      <c r="H387" s="20">
        <v>18</v>
      </c>
      <c r="I387" s="20">
        <v>18</v>
      </c>
      <c r="J387" s="19" t="s">
        <v>15343</v>
      </c>
      <c r="K387" s="19" t="s">
        <v>15344</v>
      </c>
      <c r="L387" s="19" t="s">
        <v>15324</v>
      </c>
      <c r="M387" s="20" t="s">
        <v>15341</v>
      </c>
      <c r="N387" s="20">
        <v>18</v>
      </c>
      <c r="O387" s="20"/>
      <c r="P387" s="20"/>
      <c r="Q387" s="20"/>
      <c r="R387" s="20" t="s">
        <v>15346</v>
      </c>
      <c r="S387" s="20">
        <v>45</v>
      </c>
      <c r="T387" s="20">
        <v>24</v>
      </c>
      <c r="U387" s="20">
        <v>34</v>
      </c>
      <c r="V387" s="24" t="s">
        <v>671</v>
      </c>
      <c r="W387" s="22" t="s">
        <v>15329</v>
      </c>
    </row>
    <row r="388" spans="1:23" x14ac:dyDescent="0.35">
      <c r="A388" s="18">
        <v>17651</v>
      </c>
      <c r="B388" s="19" t="s">
        <v>15277</v>
      </c>
      <c r="C388" s="24" t="s">
        <v>671</v>
      </c>
      <c r="D388" s="24" t="s">
        <v>954</v>
      </c>
      <c r="E388" s="19" t="s">
        <v>15327</v>
      </c>
      <c r="F388" s="19" t="s">
        <v>15335</v>
      </c>
      <c r="G388" s="19" t="s">
        <v>15320</v>
      </c>
      <c r="H388" s="20">
        <v>19</v>
      </c>
      <c r="I388" s="20">
        <v>19</v>
      </c>
      <c r="J388" s="19" t="s">
        <v>15581</v>
      </c>
      <c r="K388" s="19" t="s">
        <v>15582</v>
      </c>
      <c r="L388" s="19"/>
      <c r="M388" s="20" t="s">
        <v>15341</v>
      </c>
      <c r="N388" s="20">
        <v>19</v>
      </c>
      <c r="O388" s="20"/>
      <c r="P388" s="20"/>
      <c r="Q388" s="20"/>
      <c r="R388" s="20" t="s">
        <v>15346</v>
      </c>
      <c r="S388" s="20">
        <v>45</v>
      </c>
      <c r="T388" s="20">
        <v>24</v>
      </c>
      <c r="U388" s="20">
        <v>7</v>
      </c>
      <c r="V388" s="24" t="s">
        <v>671</v>
      </c>
      <c r="W388" s="22" t="s">
        <v>15329</v>
      </c>
    </row>
    <row r="389" spans="1:23" x14ac:dyDescent="0.35">
      <c r="A389" s="18">
        <v>17651</v>
      </c>
      <c r="B389" s="19" t="s">
        <v>15277</v>
      </c>
      <c r="C389" s="24" t="s">
        <v>671</v>
      </c>
      <c r="D389" s="24" t="s">
        <v>954</v>
      </c>
      <c r="E389" s="19" t="s">
        <v>15327</v>
      </c>
      <c r="F389" s="19" t="s">
        <v>15335</v>
      </c>
      <c r="G389" s="19" t="s">
        <v>15320</v>
      </c>
      <c r="H389" s="20">
        <v>20</v>
      </c>
      <c r="I389" s="20">
        <v>20</v>
      </c>
      <c r="J389" s="19" t="s">
        <v>15705</v>
      </c>
      <c r="K389" s="19" t="s">
        <v>15706</v>
      </c>
      <c r="L389" s="19"/>
      <c r="M389" s="20" t="s">
        <v>15341</v>
      </c>
      <c r="N389" s="20">
        <v>20</v>
      </c>
      <c r="O389" s="20"/>
      <c r="P389" s="20"/>
      <c r="Q389" s="20"/>
      <c r="R389" s="20" t="s">
        <v>15346</v>
      </c>
      <c r="S389" s="20">
        <v>45</v>
      </c>
      <c r="T389" s="20">
        <v>24</v>
      </c>
      <c r="U389" s="20">
        <v>28</v>
      </c>
      <c r="V389" s="24" t="s">
        <v>671</v>
      </c>
      <c r="W389" s="22" t="s">
        <v>15329</v>
      </c>
    </row>
    <row r="390" spans="1:23" x14ac:dyDescent="0.35">
      <c r="A390" s="18">
        <v>17651</v>
      </c>
      <c r="B390" s="19" t="s">
        <v>15277</v>
      </c>
      <c r="C390" s="24" t="s">
        <v>671</v>
      </c>
      <c r="D390" s="24" t="s">
        <v>954</v>
      </c>
      <c r="E390" s="19" t="s">
        <v>15327</v>
      </c>
      <c r="F390" s="19" t="s">
        <v>15335</v>
      </c>
      <c r="G390" s="19" t="s">
        <v>15320</v>
      </c>
      <c r="H390" s="20">
        <v>21</v>
      </c>
      <c r="I390" s="20">
        <v>21</v>
      </c>
      <c r="J390" s="19" t="s">
        <v>15694</v>
      </c>
      <c r="K390" s="19" t="s">
        <v>15695</v>
      </c>
      <c r="L390" s="19"/>
      <c r="M390" s="20" t="s">
        <v>15350</v>
      </c>
      <c r="N390" s="20">
        <v>21</v>
      </c>
      <c r="O390" s="20"/>
      <c r="P390" s="20"/>
      <c r="Q390" s="20"/>
      <c r="R390" s="20" t="s">
        <v>15346</v>
      </c>
      <c r="S390" s="20">
        <v>45</v>
      </c>
      <c r="T390" s="20">
        <v>24</v>
      </c>
      <c r="U390" s="20">
        <v>28</v>
      </c>
      <c r="V390" s="24" t="s">
        <v>671</v>
      </c>
      <c r="W390" s="22" t="s">
        <v>15329</v>
      </c>
    </row>
    <row r="391" spans="1:23" x14ac:dyDescent="0.35">
      <c r="A391" s="18">
        <v>17651</v>
      </c>
      <c r="B391" s="19" t="s">
        <v>15277</v>
      </c>
      <c r="C391" s="24" t="s">
        <v>671</v>
      </c>
      <c r="D391" s="24" t="s">
        <v>954</v>
      </c>
      <c r="E391" s="19" t="s">
        <v>15327</v>
      </c>
      <c r="F391" s="19" t="s">
        <v>15335</v>
      </c>
      <c r="G391" s="19" t="s">
        <v>15320</v>
      </c>
      <c r="H391" s="20">
        <v>22</v>
      </c>
      <c r="I391" s="20">
        <v>22</v>
      </c>
      <c r="J391" s="19" t="s">
        <v>15415</v>
      </c>
      <c r="K391" s="19" t="s">
        <v>15416</v>
      </c>
      <c r="L391" s="19" t="s">
        <v>15324</v>
      </c>
      <c r="M391" s="20" t="s">
        <v>15350</v>
      </c>
      <c r="N391" s="20">
        <v>22</v>
      </c>
      <c r="O391" s="20"/>
      <c r="P391" s="20"/>
      <c r="Q391" s="20"/>
      <c r="R391" s="20" t="s">
        <v>15346</v>
      </c>
      <c r="S391" s="20">
        <v>45</v>
      </c>
      <c r="T391" s="20">
        <v>24</v>
      </c>
      <c r="U391" s="20">
        <v>18</v>
      </c>
      <c r="V391" s="24" t="s">
        <v>671</v>
      </c>
      <c r="W391" s="22" t="s">
        <v>15329</v>
      </c>
    </row>
    <row r="392" spans="1:23" x14ac:dyDescent="0.35">
      <c r="A392" s="18">
        <v>17651</v>
      </c>
      <c r="B392" s="19" t="s">
        <v>15277</v>
      </c>
      <c r="C392" s="24" t="s">
        <v>671</v>
      </c>
      <c r="D392" s="24" t="s">
        <v>954</v>
      </c>
      <c r="E392" s="19" t="s">
        <v>15327</v>
      </c>
      <c r="F392" s="19" t="s">
        <v>15335</v>
      </c>
      <c r="G392" s="19" t="s">
        <v>15320</v>
      </c>
      <c r="H392" s="20">
        <v>23</v>
      </c>
      <c r="I392" s="20">
        <v>23</v>
      </c>
      <c r="J392" s="2" t="s">
        <v>15959</v>
      </c>
      <c r="K392" s="19" t="s">
        <v>15551</v>
      </c>
      <c r="L392" s="19"/>
      <c r="M392" s="20" t="s">
        <v>15341</v>
      </c>
      <c r="N392" s="20">
        <v>23</v>
      </c>
      <c r="O392" s="20"/>
      <c r="P392" s="20"/>
      <c r="Q392" s="20"/>
      <c r="R392" s="20" t="s">
        <v>15346</v>
      </c>
      <c r="S392" s="20">
        <v>45</v>
      </c>
      <c r="T392" s="20">
        <v>24</v>
      </c>
      <c r="U392" s="20">
        <v>8</v>
      </c>
      <c r="V392" s="24" t="s">
        <v>671</v>
      </c>
      <c r="W392" s="22" t="s">
        <v>15329</v>
      </c>
    </row>
    <row r="393" spans="1:23" x14ac:dyDescent="0.35">
      <c r="A393" s="18">
        <v>17651</v>
      </c>
      <c r="B393" s="19" t="s">
        <v>15277</v>
      </c>
      <c r="C393" s="24" t="s">
        <v>671</v>
      </c>
      <c r="D393" s="24" t="s">
        <v>954</v>
      </c>
      <c r="E393" s="19" t="s">
        <v>15327</v>
      </c>
      <c r="F393" s="19" t="s">
        <v>15335</v>
      </c>
      <c r="G393" s="19" t="s">
        <v>15320</v>
      </c>
      <c r="H393" s="20">
        <v>1</v>
      </c>
      <c r="I393" s="20">
        <v>1</v>
      </c>
      <c r="J393" s="19" t="s">
        <v>15575</v>
      </c>
      <c r="K393" s="19" t="s">
        <v>15576</v>
      </c>
      <c r="L393" s="19" t="s">
        <v>15466</v>
      </c>
      <c r="M393" s="20" t="s">
        <v>15341</v>
      </c>
      <c r="N393" s="20">
        <v>1</v>
      </c>
      <c r="O393" s="20"/>
      <c r="P393" s="20"/>
      <c r="Q393" s="20"/>
      <c r="R393" s="20" t="s">
        <v>15324</v>
      </c>
      <c r="S393" s="20">
        <v>45</v>
      </c>
      <c r="T393" s="20">
        <v>24</v>
      </c>
      <c r="U393" s="20">
        <v>50</v>
      </c>
      <c r="V393" s="24" t="s">
        <v>954</v>
      </c>
      <c r="W393" s="22" t="s">
        <v>15325</v>
      </c>
    </row>
    <row r="394" spans="1:23" x14ac:dyDescent="0.35">
      <c r="A394" s="18">
        <v>17651</v>
      </c>
      <c r="B394" s="19" t="s">
        <v>15277</v>
      </c>
      <c r="C394" s="24" t="s">
        <v>671</v>
      </c>
      <c r="D394" s="24" t="s">
        <v>954</v>
      </c>
      <c r="E394" s="19" t="s">
        <v>15327</v>
      </c>
      <c r="F394" s="19" t="s">
        <v>15335</v>
      </c>
      <c r="G394" s="19" t="s">
        <v>15320</v>
      </c>
      <c r="H394" s="20">
        <v>2</v>
      </c>
      <c r="I394" s="20">
        <v>2</v>
      </c>
      <c r="J394" s="19" t="s">
        <v>15590</v>
      </c>
      <c r="K394" s="19" t="s">
        <v>15591</v>
      </c>
      <c r="L394" s="19" t="s">
        <v>15340</v>
      </c>
      <c r="M394" s="20" t="s">
        <v>15323</v>
      </c>
      <c r="N394" s="20">
        <v>2</v>
      </c>
      <c r="O394" s="20"/>
      <c r="P394" s="20"/>
      <c r="Q394" s="20"/>
      <c r="R394" s="20" t="s">
        <v>15324</v>
      </c>
      <c r="S394" s="20">
        <v>45</v>
      </c>
      <c r="T394" s="20">
        <v>24</v>
      </c>
      <c r="U394" s="20">
        <v>70</v>
      </c>
      <c r="V394" s="24" t="s">
        <v>954</v>
      </c>
      <c r="W394" s="22" t="s">
        <v>15325</v>
      </c>
    </row>
    <row r="395" spans="1:23" x14ac:dyDescent="0.35">
      <c r="A395" s="18">
        <v>17651</v>
      </c>
      <c r="B395" s="19" t="s">
        <v>15277</v>
      </c>
      <c r="C395" s="24" t="s">
        <v>671</v>
      </c>
      <c r="D395" s="24" t="s">
        <v>954</v>
      </c>
      <c r="E395" s="19" t="s">
        <v>15327</v>
      </c>
      <c r="F395" s="19" t="s">
        <v>15335</v>
      </c>
      <c r="G395" s="19" t="s">
        <v>15320</v>
      </c>
      <c r="H395" s="20">
        <v>3</v>
      </c>
      <c r="I395" s="20">
        <v>3</v>
      </c>
      <c r="J395" s="19" t="s">
        <v>15332</v>
      </c>
      <c r="K395" s="19" t="s">
        <v>15333</v>
      </c>
      <c r="L395" s="19" t="s">
        <v>15334</v>
      </c>
      <c r="M395" s="20" t="s">
        <v>15323</v>
      </c>
      <c r="N395" s="20">
        <v>3</v>
      </c>
      <c r="O395" s="20"/>
      <c r="P395" s="20"/>
      <c r="Q395" s="20"/>
      <c r="R395" s="20" t="s">
        <v>15324</v>
      </c>
      <c r="S395" s="20">
        <v>45</v>
      </c>
      <c r="T395" s="20">
        <v>24</v>
      </c>
      <c r="U395" s="20">
        <v>50</v>
      </c>
      <c r="V395" s="24" t="s">
        <v>954</v>
      </c>
      <c r="W395" s="22" t="s">
        <v>15325</v>
      </c>
    </row>
    <row r="396" spans="1:23" x14ac:dyDescent="0.35">
      <c r="A396" s="18">
        <v>17651</v>
      </c>
      <c r="B396" s="19" t="s">
        <v>15277</v>
      </c>
      <c r="C396" s="24" t="s">
        <v>671</v>
      </c>
      <c r="D396" s="24" t="s">
        <v>954</v>
      </c>
      <c r="E396" s="19" t="s">
        <v>15327</v>
      </c>
      <c r="F396" s="19" t="s">
        <v>15335</v>
      </c>
      <c r="G396" s="19" t="s">
        <v>15320</v>
      </c>
      <c r="H396" s="20">
        <v>4</v>
      </c>
      <c r="I396" s="20">
        <v>4</v>
      </c>
      <c r="J396" s="19" t="s">
        <v>15533</v>
      </c>
      <c r="K396" s="19" t="s">
        <v>15534</v>
      </c>
      <c r="L396" s="19"/>
      <c r="M396" s="20" t="s">
        <v>15350</v>
      </c>
      <c r="N396" s="20">
        <v>4</v>
      </c>
      <c r="O396" s="20"/>
      <c r="P396" s="20"/>
      <c r="Q396" s="20"/>
      <c r="R396" s="20" t="s">
        <v>15324</v>
      </c>
      <c r="S396" s="20">
        <v>45</v>
      </c>
      <c r="T396" s="20">
        <v>24</v>
      </c>
      <c r="U396" s="20">
        <v>65</v>
      </c>
      <c r="V396" s="24" t="s">
        <v>954</v>
      </c>
      <c r="W396" s="22" t="s">
        <v>15325</v>
      </c>
    </row>
    <row r="397" spans="1:23" x14ac:dyDescent="0.35">
      <c r="A397" s="18">
        <v>17651</v>
      </c>
      <c r="B397" s="19" t="s">
        <v>15277</v>
      </c>
      <c r="C397" s="24" t="s">
        <v>671</v>
      </c>
      <c r="D397" s="24" t="s">
        <v>954</v>
      </c>
      <c r="E397" s="19" t="s">
        <v>15327</v>
      </c>
      <c r="F397" s="19" t="s">
        <v>15335</v>
      </c>
      <c r="G397" s="19" t="s">
        <v>15320</v>
      </c>
      <c r="H397" s="20">
        <v>5</v>
      </c>
      <c r="I397" s="20">
        <v>5</v>
      </c>
      <c r="J397" s="19" t="s">
        <v>15799</v>
      </c>
      <c r="K397" s="19" t="s">
        <v>15800</v>
      </c>
      <c r="L397" s="19"/>
      <c r="M397" s="20" t="s">
        <v>15362</v>
      </c>
      <c r="N397" s="20">
        <v>5</v>
      </c>
      <c r="O397" s="20"/>
      <c r="P397" s="20"/>
      <c r="Q397" s="20"/>
      <c r="R397" s="20" t="s">
        <v>15324</v>
      </c>
      <c r="S397" s="20">
        <v>45</v>
      </c>
      <c r="T397" s="20">
        <v>24</v>
      </c>
      <c r="U397" s="20">
        <v>80</v>
      </c>
      <c r="V397" s="24" t="s">
        <v>954</v>
      </c>
      <c r="W397" s="22" t="s">
        <v>15325</v>
      </c>
    </row>
    <row r="398" spans="1:23" x14ac:dyDescent="0.35">
      <c r="A398" s="18">
        <v>17651</v>
      </c>
      <c r="B398" s="19" t="s">
        <v>15277</v>
      </c>
      <c r="C398" s="24" t="s">
        <v>671</v>
      </c>
      <c r="D398" s="24" t="s">
        <v>954</v>
      </c>
      <c r="E398" s="19" t="s">
        <v>15327</v>
      </c>
      <c r="F398" s="19" t="s">
        <v>15335</v>
      </c>
      <c r="G398" s="19" t="s">
        <v>15320</v>
      </c>
      <c r="H398" s="20">
        <v>6</v>
      </c>
      <c r="I398" s="20">
        <v>6</v>
      </c>
      <c r="J398" s="19" t="s">
        <v>15517</v>
      </c>
      <c r="K398" s="19" t="s">
        <v>15518</v>
      </c>
      <c r="L398" s="19"/>
      <c r="M398" s="20" t="s">
        <v>15362</v>
      </c>
      <c r="N398" s="20">
        <v>6</v>
      </c>
      <c r="O398" s="20"/>
      <c r="P398" s="20"/>
      <c r="Q398" s="20"/>
      <c r="R398" s="20" t="s">
        <v>15324</v>
      </c>
      <c r="S398" s="20">
        <v>45</v>
      </c>
      <c r="T398" s="20">
        <v>24</v>
      </c>
      <c r="U398" s="20">
        <v>80</v>
      </c>
      <c r="V398" s="24" t="s">
        <v>954</v>
      </c>
      <c r="W398" s="22" t="s">
        <v>15325</v>
      </c>
    </row>
    <row r="399" spans="1:23" x14ac:dyDescent="0.35">
      <c r="A399" s="18">
        <v>17651</v>
      </c>
      <c r="B399" s="19" t="s">
        <v>15277</v>
      </c>
      <c r="C399" s="24" t="s">
        <v>671</v>
      </c>
      <c r="D399" s="24" t="s">
        <v>954</v>
      </c>
      <c r="E399" s="19" t="s">
        <v>15327</v>
      </c>
      <c r="F399" s="19" t="s">
        <v>15335</v>
      </c>
      <c r="G399" s="19" t="s">
        <v>15320</v>
      </c>
      <c r="H399" s="20">
        <v>7</v>
      </c>
      <c r="I399" s="20">
        <v>7</v>
      </c>
      <c r="J399" s="19" t="s">
        <v>15577</v>
      </c>
      <c r="K399" s="19" t="s">
        <v>15578</v>
      </c>
      <c r="L399" s="19"/>
      <c r="M399" s="20" t="s">
        <v>15323</v>
      </c>
      <c r="N399" s="20">
        <v>7</v>
      </c>
      <c r="O399" s="20"/>
      <c r="P399" s="20"/>
      <c r="Q399" s="20"/>
      <c r="R399" s="20" t="s">
        <v>15324</v>
      </c>
      <c r="S399" s="20">
        <v>45</v>
      </c>
      <c r="T399" s="20">
        <v>24</v>
      </c>
      <c r="U399" s="20">
        <v>65</v>
      </c>
      <c r="V399" s="24" t="s">
        <v>954</v>
      </c>
      <c r="W399" s="22" t="s">
        <v>15325</v>
      </c>
    </row>
    <row r="400" spans="1:23" x14ac:dyDescent="0.35">
      <c r="A400" s="18">
        <v>17651</v>
      </c>
      <c r="B400" s="19" t="s">
        <v>15277</v>
      </c>
      <c r="C400" s="24" t="s">
        <v>671</v>
      </c>
      <c r="D400" s="24" t="s">
        <v>954</v>
      </c>
      <c r="E400" s="19" t="s">
        <v>15327</v>
      </c>
      <c r="F400" s="19" t="s">
        <v>15335</v>
      </c>
      <c r="G400" s="19" t="s">
        <v>15320</v>
      </c>
      <c r="H400" s="20">
        <v>8</v>
      </c>
      <c r="I400" s="20">
        <v>8</v>
      </c>
      <c r="J400" s="19" t="s">
        <v>15601</v>
      </c>
      <c r="K400" s="19" t="s">
        <v>15602</v>
      </c>
      <c r="L400" s="19"/>
      <c r="M400" s="20" t="s">
        <v>15341</v>
      </c>
      <c r="N400" s="20">
        <v>8</v>
      </c>
      <c r="O400" s="20"/>
      <c r="P400" s="20"/>
      <c r="Q400" s="20"/>
      <c r="R400" s="20" t="s">
        <v>15324</v>
      </c>
      <c r="S400" s="20">
        <v>45</v>
      </c>
      <c r="T400" s="20">
        <v>24</v>
      </c>
      <c r="U400" s="20">
        <v>80</v>
      </c>
      <c r="V400" s="24" t="s">
        <v>954</v>
      </c>
      <c r="W400" s="22" t="s">
        <v>15325</v>
      </c>
    </row>
    <row r="401" spans="1:23" x14ac:dyDescent="0.35">
      <c r="A401" s="18">
        <v>17651</v>
      </c>
      <c r="B401" s="19" t="s">
        <v>15277</v>
      </c>
      <c r="C401" s="24" t="s">
        <v>671</v>
      </c>
      <c r="D401" s="24" t="s">
        <v>954</v>
      </c>
      <c r="E401" s="19" t="s">
        <v>15327</v>
      </c>
      <c r="F401" s="19" t="s">
        <v>15335</v>
      </c>
      <c r="G401" s="19" t="s">
        <v>15320</v>
      </c>
      <c r="H401" s="20">
        <v>9</v>
      </c>
      <c r="I401" s="20">
        <v>9</v>
      </c>
      <c r="J401" s="19" t="s">
        <v>15514</v>
      </c>
      <c r="K401" s="19" t="s">
        <v>15515</v>
      </c>
      <c r="L401" s="19"/>
      <c r="M401" s="20" t="s">
        <v>15341</v>
      </c>
      <c r="N401" s="20">
        <v>9</v>
      </c>
      <c r="O401" s="20"/>
      <c r="P401" s="20"/>
      <c r="Q401" s="20"/>
      <c r="R401" s="20" t="s">
        <v>15324</v>
      </c>
      <c r="S401" s="20">
        <v>45</v>
      </c>
      <c r="T401" s="20">
        <v>24</v>
      </c>
      <c r="U401" s="20">
        <v>60</v>
      </c>
      <c r="V401" s="24" t="s">
        <v>954</v>
      </c>
      <c r="W401" s="22" t="s">
        <v>15325</v>
      </c>
    </row>
    <row r="402" spans="1:23" x14ac:dyDescent="0.35">
      <c r="A402" s="18">
        <v>17651</v>
      </c>
      <c r="B402" s="19" t="s">
        <v>15277</v>
      </c>
      <c r="C402" s="24" t="s">
        <v>671</v>
      </c>
      <c r="D402" s="24" t="s">
        <v>954</v>
      </c>
      <c r="E402" s="19" t="s">
        <v>15327</v>
      </c>
      <c r="F402" s="19" t="s">
        <v>15335</v>
      </c>
      <c r="G402" s="19" t="s">
        <v>15320</v>
      </c>
      <c r="H402" s="20">
        <v>10</v>
      </c>
      <c r="I402" s="20">
        <v>10</v>
      </c>
      <c r="J402" s="19" t="s">
        <v>15494</v>
      </c>
      <c r="K402" s="19" t="s">
        <v>15495</v>
      </c>
      <c r="L402" s="19"/>
      <c r="M402" s="20" t="s">
        <v>15341</v>
      </c>
      <c r="N402" s="20">
        <v>10</v>
      </c>
      <c r="O402" s="20"/>
      <c r="P402" s="20"/>
      <c r="Q402" s="20"/>
      <c r="R402" s="20" t="s">
        <v>15324</v>
      </c>
      <c r="S402" s="20">
        <v>45</v>
      </c>
      <c r="T402" s="20">
        <v>24</v>
      </c>
      <c r="U402" s="20">
        <v>80</v>
      </c>
      <c r="V402" s="24" t="s">
        <v>954</v>
      </c>
      <c r="W402" s="22" t="s">
        <v>15325</v>
      </c>
    </row>
    <row r="403" spans="1:23" x14ac:dyDescent="0.35">
      <c r="A403" s="18">
        <v>17651</v>
      </c>
      <c r="B403" s="19" t="s">
        <v>15277</v>
      </c>
      <c r="C403" s="24" t="s">
        <v>671</v>
      </c>
      <c r="D403" s="24" t="s">
        <v>954</v>
      </c>
      <c r="E403" s="19" t="s">
        <v>15327</v>
      </c>
      <c r="F403" s="19" t="s">
        <v>15335</v>
      </c>
      <c r="G403" s="19" t="s">
        <v>15320</v>
      </c>
      <c r="H403" s="20">
        <v>11</v>
      </c>
      <c r="I403" s="20">
        <v>11</v>
      </c>
      <c r="J403" s="2" t="s">
        <v>15955</v>
      </c>
      <c r="K403" s="19" t="s">
        <v>15459</v>
      </c>
      <c r="L403" s="19"/>
      <c r="M403" s="20" t="s">
        <v>15362</v>
      </c>
      <c r="N403" s="20">
        <v>11</v>
      </c>
      <c r="O403" s="20"/>
      <c r="P403" s="20"/>
      <c r="Q403" s="20"/>
      <c r="R403" s="20" t="s">
        <v>15324</v>
      </c>
      <c r="S403" s="20">
        <v>45</v>
      </c>
      <c r="T403" s="20">
        <v>24</v>
      </c>
      <c r="U403" s="20">
        <v>70</v>
      </c>
      <c r="V403" s="24" t="s">
        <v>954</v>
      </c>
      <c r="W403" s="22" t="s">
        <v>15325</v>
      </c>
    </row>
    <row r="404" spans="1:23" x14ac:dyDescent="0.35">
      <c r="A404" s="18">
        <v>17651</v>
      </c>
      <c r="B404" s="19" t="s">
        <v>15277</v>
      </c>
      <c r="C404" s="24" t="s">
        <v>671</v>
      </c>
      <c r="D404" s="24" t="s">
        <v>954</v>
      </c>
      <c r="E404" s="19" t="s">
        <v>15327</v>
      </c>
      <c r="F404" s="19" t="s">
        <v>15335</v>
      </c>
      <c r="G404" s="19" t="s">
        <v>15320</v>
      </c>
      <c r="H404" s="20">
        <v>12</v>
      </c>
      <c r="I404" s="20">
        <v>12</v>
      </c>
      <c r="J404" s="19" t="s">
        <v>15430</v>
      </c>
      <c r="K404" s="19" t="s">
        <v>15431</v>
      </c>
      <c r="L404" s="19"/>
      <c r="M404" s="20" t="s">
        <v>15350</v>
      </c>
      <c r="N404" s="20">
        <v>12</v>
      </c>
      <c r="O404" s="20"/>
      <c r="P404" s="20"/>
      <c r="Q404" s="20"/>
      <c r="R404" s="20" t="s">
        <v>15324</v>
      </c>
      <c r="S404" s="20">
        <v>45</v>
      </c>
      <c r="T404" s="20">
        <v>24</v>
      </c>
      <c r="U404" s="20">
        <v>80</v>
      </c>
      <c r="V404" s="24" t="s">
        <v>954</v>
      </c>
      <c r="W404" s="22" t="s">
        <v>15325</v>
      </c>
    </row>
    <row r="405" spans="1:23" x14ac:dyDescent="0.35">
      <c r="A405" s="18">
        <v>17651</v>
      </c>
      <c r="B405" s="19" t="s">
        <v>15277</v>
      </c>
      <c r="C405" s="24" t="s">
        <v>671</v>
      </c>
      <c r="D405" s="24" t="s">
        <v>954</v>
      </c>
      <c r="E405" s="19" t="s">
        <v>15327</v>
      </c>
      <c r="F405" s="19" t="s">
        <v>15335</v>
      </c>
      <c r="G405" s="19" t="s">
        <v>15320</v>
      </c>
      <c r="H405" s="20">
        <v>13</v>
      </c>
      <c r="I405" s="20">
        <v>13</v>
      </c>
      <c r="J405" s="2" t="s">
        <v>15968</v>
      </c>
      <c r="K405" s="19" t="s">
        <v>15717</v>
      </c>
      <c r="L405" s="19"/>
      <c r="M405" s="20" t="s">
        <v>15323</v>
      </c>
      <c r="N405" s="20">
        <v>13</v>
      </c>
      <c r="O405" s="20"/>
      <c r="P405" s="20"/>
      <c r="Q405" s="20"/>
      <c r="R405" s="20" t="s">
        <v>15324</v>
      </c>
      <c r="S405" s="20">
        <v>45</v>
      </c>
      <c r="T405" s="20">
        <v>24</v>
      </c>
      <c r="U405" s="20">
        <v>80</v>
      </c>
      <c r="V405" s="24" t="s">
        <v>954</v>
      </c>
      <c r="W405" s="22" t="s">
        <v>15325</v>
      </c>
    </row>
    <row r="406" spans="1:23" x14ac:dyDescent="0.35">
      <c r="A406" s="18">
        <v>17651</v>
      </c>
      <c r="B406" s="19" t="s">
        <v>15277</v>
      </c>
      <c r="C406" s="24" t="s">
        <v>671</v>
      </c>
      <c r="D406" s="24" t="s">
        <v>954</v>
      </c>
      <c r="E406" s="19" t="s">
        <v>15327</v>
      </c>
      <c r="F406" s="19" t="s">
        <v>15335</v>
      </c>
      <c r="G406" s="19" t="s">
        <v>15320</v>
      </c>
      <c r="H406" s="20">
        <v>14</v>
      </c>
      <c r="I406" s="20">
        <v>14</v>
      </c>
      <c r="J406" s="19" t="s">
        <v>15395</v>
      </c>
      <c r="K406" s="19" t="s">
        <v>15396</v>
      </c>
      <c r="L406" s="19"/>
      <c r="M406" s="20" t="s">
        <v>15350</v>
      </c>
      <c r="N406" s="20">
        <v>14</v>
      </c>
      <c r="O406" s="20"/>
      <c r="P406" s="20"/>
      <c r="Q406" s="20"/>
      <c r="R406" s="20" t="s">
        <v>15324</v>
      </c>
      <c r="S406" s="20">
        <v>45</v>
      </c>
      <c r="T406" s="20">
        <v>24</v>
      </c>
      <c r="U406" s="20">
        <v>50</v>
      </c>
      <c r="V406" s="24" t="s">
        <v>954</v>
      </c>
      <c r="W406" s="22" t="s">
        <v>15325</v>
      </c>
    </row>
    <row r="407" spans="1:23" x14ac:dyDescent="0.35">
      <c r="A407" s="18">
        <v>17651</v>
      </c>
      <c r="B407" s="19" t="s">
        <v>15277</v>
      </c>
      <c r="C407" s="24" t="s">
        <v>671</v>
      </c>
      <c r="D407" s="24" t="s">
        <v>954</v>
      </c>
      <c r="E407" s="19" t="s">
        <v>15327</v>
      </c>
      <c r="F407" s="19" t="s">
        <v>15335</v>
      </c>
      <c r="G407" s="19" t="s">
        <v>15320</v>
      </c>
      <c r="H407" s="20">
        <v>15</v>
      </c>
      <c r="I407" s="20">
        <v>15</v>
      </c>
      <c r="J407" s="19" t="s">
        <v>15603</v>
      </c>
      <c r="K407" s="19" t="s">
        <v>15604</v>
      </c>
      <c r="L407" s="19"/>
      <c r="M407" s="20" t="s">
        <v>15350</v>
      </c>
      <c r="N407" s="20">
        <v>15</v>
      </c>
      <c r="O407" s="20"/>
      <c r="P407" s="20"/>
      <c r="Q407" s="20"/>
      <c r="R407" s="20" t="s">
        <v>15324</v>
      </c>
      <c r="S407" s="20">
        <v>45</v>
      </c>
      <c r="T407" s="20">
        <v>24</v>
      </c>
      <c r="U407" s="20">
        <v>80</v>
      </c>
      <c r="V407" s="24" t="s">
        <v>954</v>
      </c>
      <c r="W407" s="22" t="s">
        <v>15325</v>
      </c>
    </row>
    <row r="408" spans="1:23" x14ac:dyDescent="0.35">
      <c r="A408" s="18">
        <v>17651</v>
      </c>
      <c r="B408" s="19" t="s">
        <v>15277</v>
      </c>
      <c r="C408" s="24" t="s">
        <v>671</v>
      </c>
      <c r="D408" s="24" t="s">
        <v>954</v>
      </c>
      <c r="E408" s="19" t="s">
        <v>15327</v>
      </c>
      <c r="F408" s="19" t="s">
        <v>15335</v>
      </c>
      <c r="G408" s="19" t="s">
        <v>15320</v>
      </c>
      <c r="H408" s="20">
        <v>16</v>
      </c>
      <c r="I408" s="20">
        <v>16</v>
      </c>
      <c r="J408" s="19" t="s">
        <v>15579</v>
      </c>
      <c r="K408" s="19" t="s">
        <v>15580</v>
      </c>
      <c r="L408" s="19" t="s">
        <v>15340</v>
      </c>
      <c r="M408" s="20" t="s">
        <v>15323</v>
      </c>
      <c r="N408" s="20">
        <v>16</v>
      </c>
      <c r="O408" s="20"/>
      <c r="P408" s="20"/>
      <c r="Q408" s="20"/>
      <c r="R408" s="20" t="s">
        <v>15346</v>
      </c>
      <c r="S408" s="20">
        <v>45</v>
      </c>
      <c r="T408" s="20">
        <v>24</v>
      </c>
      <c r="U408" s="20">
        <v>30</v>
      </c>
      <c r="V408" s="24" t="s">
        <v>954</v>
      </c>
      <c r="W408" s="22" t="s">
        <v>15325</v>
      </c>
    </row>
    <row r="409" spans="1:23" x14ac:dyDescent="0.35">
      <c r="A409" s="18">
        <v>17651</v>
      </c>
      <c r="B409" s="19" t="s">
        <v>15277</v>
      </c>
      <c r="C409" s="24" t="s">
        <v>671</v>
      </c>
      <c r="D409" s="24" t="s">
        <v>954</v>
      </c>
      <c r="E409" s="19" t="s">
        <v>15327</v>
      </c>
      <c r="F409" s="19" t="s">
        <v>15335</v>
      </c>
      <c r="G409" s="19" t="s">
        <v>15320</v>
      </c>
      <c r="H409" s="20">
        <v>17</v>
      </c>
      <c r="I409" s="20">
        <v>17</v>
      </c>
      <c r="J409" s="19" t="s">
        <v>15543</v>
      </c>
      <c r="K409" s="19" t="s">
        <v>15544</v>
      </c>
      <c r="L409" s="19" t="s">
        <v>15324</v>
      </c>
      <c r="M409" s="20" t="s">
        <v>15341</v>
      </c>
      <c r="N409" s="20">
        <v>17</v>
      </c>
      <c r="O409" s="20"/>
      <c r="P409" s="20"/>
      <c r="Q409" s="20"/>
      <c r="R409" s="20" t="s">
        <v>15346</v>
      </c>
      <c r="S409" s="20">
        <v>45</v>
      </c>
      <c r="T409" s="20">
        <v>24</v>
      </c>
      <c r="U409" s="20">
        <v>10</v>
      </c>
      <c r="V409" s="24" t="s">
        <v>954</v>
      </c>
      <c r="W409" s="22" t="s">
        <v>15325</v>
      </c>
    </row>
    <row r="410" spans="1:23" x14ac:dyDescent="0.35">
      <c r="A410" s="18">
        <v>17651</v>
      </c>
      <c r="B410" s="19" t="s">
        <v>15277</v>
      </c>
      <c r="C410" s="24" t="s">
        <v>671</v>
      </c>
      <c r="D410" s="24" t="s">
        <v>954</v>
      </c>
      <c r="E410" s="19" t="s">
        <v>15327</v>
      </c>
      <c r="F410" s="19" t="s">
        <v>15335</v>
      </c>
      <c r="G410" s="19" t="s">
        <v>15320</v>
      </c>
      <c r="H410" s="20">
        <v>18</v>
      </c>
      <c r="I410" s="20">
        <v>18</v>
      </c>
      <c r="J410" s="2" t="s">
        <v>15981</v>
      </c>
      <c r="K410" s="19" t="s">
        <v>15358</v>
      </c>
      <c r="L410" s="19" t="s">
        <v>15334</v>
      </c>
      <c r="M410" s="20" t="s">
        <v>15341</v>
      </c>
      <c r="N410" s="20">
        <v>18</v>
      </c>
      <c r="O410" s="20"/>
      <c r="P410" s="20"/>
      <c r="Q410" s="20"/>
      <c r="R410" s="20" t="s">
        <v>15346</v>
      </c>
      <c r="S410" s="20">
        <v>45</v>
      </c>
      <c r="T410" s="20">
        <v>24</v>
      </c>
      <c r="U410" s="20">
        <v>30</v>
      </c>
      <c r="V410" s="24" t="s">
        <v>954</v>
      </c>
      <c r="W410" s="22" t="s">
        <v>15325</v>
      </c>
    </row>
    <row r="411" spans="1:23" x14ac:dyDescent="0.35">
      <c r="A411" s="18">
        <v>17651</v>
      </c>
      <c r="B411" s="19" t="s">
        <v>15277</v>
      </c>
      <c r="C411" s="24" t="s">
        <v>671</v>
      </c>
      <c r="D411" s="24" t="s">
        <v>954</v>
      </c>
      <c r="E411" s="19" t="s">
        <v>15327</v>
      </c>
      <c r="F411" s="19" t="s">
        <v>15335</v>
      </c>
      <c r="G411" s="19" t="s">
        <v>15320</v>
      </c>
      <c r="H411" s="20">
        <v>19</v>
      </c>
      <c r="I411" s="20">
        <v>19</v>
      </c>
      <c r="J411" s="19" t="s">
        <v>15527</v>
      </c>
      <c r="K411" s="19" t="s">
        <v>15528</v>
      </c>
      <c r="L411" s="19"/>
      <c r="M411" s="20" t="s">
        <v>15341</v>
      </c>
      <c r="N411" s="20">
        <v>19</v>
      </c>
      <c r="O411" s="20"/>
      <c r="P411" s="20"/>
      <c r="Q411" s="20"/>
      <c r="R411" s="20" t="s">
        <v>15346</v>
      </c>
      <c r="S411" s="20">
        <v>45</v>
      </c>
      <c r="T411" s="20">
        <v>24</v>
      </c>
      <c r="U411" s="20">
        <v>15</v>
      </c>
      <c r="V411" s="24" t="s">
        <v>954</v>
      </c>
      <c r="W411" s="22" t="s">
        <v>15325</v>
      </c>
    </row>
    <row r="412" spans="1:23" x14ac:dyDescent="0.35">
      <c r="A412" s="18">
        <v>17651</v>
      </c>
      <c r="B412" s="19" t="s">
        <v>15277</v>
      </c>
      <c r="C412" s="24" t="s">
        <v>671</v>
      </c>
      <c r="D412" s="24" t="s">
        <v>954</v>
      </c>
      <c r="E412" s="19" t="s">
        <v>15327</v>
      </c>
      <c r="F412" s="19" t="s">
        <v>15335</v>
      </c>
      <c r="G412" s="19" t="s">
        <v>15320</v>
      </c>
      <c r="H412" s="20">
        <v>20</v>
      </c>
      <c r="I412" s="20">
        <v>20</v>
      </c>
      <c r="J412" s="2" t="s">
        <v>15954</v>
      </c>
      <c r="K412" s="19" t="s">
        <v>15389</v>
      </c>
      <c r="L412" s="19" t="s">
        <v>15324</v>
      </c>
      <c r="M412" s="20" t="s">
        <v>15350</v>
      </c>
      <c r="N412" s="20">
        <v>20</v>
      </c>
      <c r="O412" s="20"/>
      <c r="P412" s="20"/>
      <c r="Q412" s="20"/>
      <c r="R412" s="20" t="s">
        <v>15346</v>
      </c>
      <c r="S412" s="20">
        <v>45</v>
      </c>
      <c r="T412" s="20">
        <v>24</v>
      </c>
      <c r="U412" s="20">
        <v>15</v>
      </c>
      <c r="V412" s="24" t="s">
        <v>954</v>
      </c>
      <c r="W412" s="22" t="s">
        <v>15325</v>
      </c>
    </row>
    <row r="413" spans="1:23" x14ac:dyDescent="0.35">
      <c r="A413" s="18">
        <v>17651</v>
      </c>
      <c r="B413" s="19" t="s">
        <v>15277</v>
      </c>
      <c r="C413" s="24" t="s">
        <v>671</v>
      </c>
      <c r="D413" s="24" t="s">
        <v>954</v>
      </c>
      <c r="E413" s="19" t="s">
        <v>15327</v>
      </c>
      <c r="F413" s="19" t="s">
        <v>15335</v>
      </c>
      <c r="G413" s="19" t="s">
        <v>15320</v>
      </c>
      <c r="H413" s="20">
        <v>21</v>
      </c>
      <c r="I413" s="20">
        <v>21</v>
      </c>
      <c r="J413" s="19" t="s">
        <v>15502</v>
      </c>
      <c r="K413" s="19" t="s">
        <v>15503</v>
      </c>
      <c r="L413" s="19"/>
      <c r="M413" s="20" t="s">
        <v>15341</v>
      </c>
      <c r="N413" s="20">
        <v>21</v>
      </c>
      <c r="O413" s="20"/>
      <c r="P413" s="20"/>
      <c r="Q413" s="20"/>
      <c r="R413" s="20" t="s">
        <v>15346</v>
      </c>
      <c r="S413" s="20">
        <v>45</v>
      </c>
      <c r="T413" s="20">
        <v>24</v>
      </c>
      <c r="U413" s="20">
        <v>30</v>
      </c>
      <c r="V413" s="24" t="s">
        <v>954</v>
      </c>
      <c r="W413" s="22" t="s">
        <v>15325</v>
      </c>
    </row>
    <row r="414" spans="1:23" x14ac:dyDescent="0.35">
      <c r="A414" s="18">
        <v>17651</v>
      </c>
      <c r="B414" s="19" t="s">
        <v>15277</v>
      </c>
      <c r="C414" s="24" t="s">
        <v>671</v>
      </c>
      <c r="D414" s="24" t="s">
        <v>954</v>
      </c>
      <c r="E414" s="19" t="s">
        <v>15327</v>
      </c>
      <c r="F414" s="19" t="s">
        <v>15335</v>
      </c>
      <c r="G414" s="19" t="s">
        <v>15320</v>
      </c>
      <c r="H414" s="20">
        <v>22</v>
      </c>
      <c r="I414" s="20">
        <v>22</v>
      </c>
      <c r="J414" s="2" t="s">
        <v>15971</v>
      </c>
      <c r="K414" s="19" t="s">
        <v>15755</v>
      </c>
      <c r="L414" s="19"/>
      <c r="M414" s="20" t="s">
        <v>15350</v>
      </c>
      <c r="N414" s="20">
        <v>22</v>
      </c>
      <c r="O414" s="20"/>
      <c r="P414" s="20"/>
      <c r="Q414" s="20"/>
      <c r="R414" s="20" t="s">
        <v>15346</v>
      </c>
      <c r="S414" s="20">
        <v>45</v>
      </c>
      <c r="T414" s="20">
        <v>24</v>
      </c>
      <c r="U414" s="20">
        <v>20</v>
      </c>
      <c r="V414" s="24" t="s">
        <v>954</v>
      </c>
      <c r="W414" s="22" t="s">
        <v>15325</v>
      </c>
    </row>
    <row r="415" spans="1:23" x14ac:dyDescent="0.35">
      <c r="A415" s="18">
        <v>17651</v>
      </c>
      <c r="B415" s="19" t="s">
        <v>15277</v>
      </c>
      <c r="C415" s="24" t="s">
        <v>671</v>
      </c>
      <c r="D415" s="24" t="s">
        <v>954</v>
      </c>
      <c r="E415" s="19" t="s">
        <v>15327</v>
      </c>
      <c r="F415" s="19" t="s">
        <v>15335</v>
      </c>
      <c r="G415" s="19" t="s">
        <v>15320</v>
      </c>
      <c r="H415" s="20">
        <v>23</v>
      </c>
      <c r="I415" s="20">
        <v>23</v>
      </c>
      <c r="J415" s="2" t="s">
        <v>15966</v>
      </c>
      <c r="K415" s="19" t="s">
        <v>15653</v>
      </c>
      <c r="L415" s="19"/>
      <c r="M415" s="20" t="s">
        <v>15362</v>
      </c>
      <c r="N415" s="20">
        <v>23</v>
      </c>
      <c r="O415" s="20"/>
      <c r="P415" s="20"/>
      <c r="Q415" s="20"/>
      <c r="R415" s="20" t="s">
        <v>15346</v>
      </c>
      <c r="S415" s="20">
        <v>45</v>
      </c>
      <c r="T415" s="20">
        <v>24</v>
      </c>
      <c r="U415" s="20">
        <v>10</v>
      </c>
      <c r="V415" s="24" t="s">
        <v>954</v>
      </c>
      <c r="W415" s="22" t="s">
        <v>15325</v>
      </c>
    </row>
    <row r="416" spans="1:23" x14ac:dyDescent="0.35">
      <c r="A416" s="18" t="s">
        <v>15326</v>
      </c>
      <c r="B416" s="19" t="s">
        <v>15277</v>
      </c>
      <c r="C416" s="24" t="s">
        <v>1395</v>
      </c>
      <c r="D416" s="24" t="s">
        <v>809</v>
      </c>
      <c r="E416" s="19" t="s">
        <v>15327</v>
      </c>
      <c r="F416" s="19" t="s">
        <v>15328</v>
      </c>
      <c r="G416" s="19" t="s">
        <v>15320</v>
      </c>
      <c r="H416" s="20" t="s">
        <v>15399</v>
      </c>
      <c r="I416" s="20" t="s">
        <v>15399</v>
      </c>
      <c r="J416" s="19" t="s">
        <v>15498</v>
      </c>
      <c r="K416" s="19" t="s">
        <v>15499</v>
      </c>
      <c r="L416" s="19" t="s">
        <v>15371</v>
      </c>
      <c r="M416" s="20" t="s">
        <v>15341</v>
      </c>
      <c r="N416" s="20" t="s">
        <v>15399</v>
      </c>
      <c r="O416" s="20"/>
      <c r="P416" s="20"/>
      <c r="Q416" s="20"/>
      <c r="R416" s="20" t="s">
        <v>15324</v>
      </c>
      <c r="S416" s="20">
        <v>45</v>
      </c>
      <c r="T416" s="20">
        <v>24</v>
      </c>
      <c r="U416" s="20">
        <v>41</v>
      </c>
      <c r="V416" s="24" t="s">
        <v>809</v>
      </c>
      <c r="W416" s="22" t="s">
        <v>15325</v>
      </c>
    </row>
    <row r="417" spans="1:23" x14ac:dyDescent="0.35">
      <c r="A417" s="18" t="s">
        <v>15326</v>
      </c>
      <c r="B417" s="19" t="s">
        <v>15277</v>
      </c>
      <c r="C417" s="24" t="s">
        <v>1395</v>
      </c>
      <c r="D417" s="24" t="s">
        <v>809</v>
      </c>
      <c r="E417" s="19" t="s">
        <v>15327</v>
      </c>
      <c r="F417" s="19" t="s">
        <v>15328</v>
      </c>
      <c r="G417" s="19" t="s">
        <v>15320</v>
      </c>
      <c r="H417" s="20" t="s">
        <v>15337</v>
      </c>
      <c r="I417" s="20" t="s">
        <v>15337</v>
      </c>
      <c r="J417" s="19" t="s">
        <v>15627</v>
      </c>
      <c r="K417" s="19" t="s">
        <v>15628</v>
      </c>
      <c r="L417" s="19" t="s">
        <v>15324</v>
      </c>
      <c r="M417" s="20" t="s">
        <v>15341</v>
      </c>
      <c r="N417" s="20" t="s">
        <v>15337</v>
      </c>
      <c r="O417" s="20"/>
      <c r="P417" s="20"/>
      <c r="Q417" s="20"/>
      <c r="R417" s="20" t="s">
        <v>15324</v>
      </c>
      <c r="S417" s="20">
        <v>45</v>
      </c>
      <c r="T417" s="20">
        <v>24</v>
      </c>
      <c r="U417" s="20">
        <v>61</v>
      </c>
      <c r="V417" s="24" t="s">
        <v>809</v>
      </c>
      <c r="W417" s="22" t="s">
        <v>15325</v>
      </c>
    </row>
    <row r="418" spans="1:23" x14ac:dyDescent="0.35">
      <c r="A418" s="18" t="s">
        <v>15326</v>
      </c>
      <c r="B418" s="19" t="s">
        <v>15277</v>
      </c>
      <c r="C418" s="24" t="s">
        <v>1395</v>
      </c>
      <c r="D418" s="24" t="s">
        <v>809</v>
      </c>
      <c r="E418" s="19" t="s">
        <v>15327</v>
      </c>
      <c r="F418" s="19" t="s">
        <v>15328</v>
      </c>
      <c r="G418" s="19" t="s">
        <v>15320</v>
      </c>
      <c r="H418" s="20" t="s">
        <v>15331</v>
      </c>
      <c r="I418" s="20" t="s">
        <v>15331</v>
      </c>
      <c r="J418" s="19" t="s">
        <v>15519</v>
      </c>
      <c r="K418" s="19" t="s">
        <v>15520</v>
      </c>
      <c r="L418" s="19" t="s">
        <v>15371</v>
      </c>
      <c r="M418" s="20" t="s">
        <v>15350</v>
      </c>
      <c r="N418" s="20" t="s">
        <v>15331</v>
      </c>
      <c r="O418" s="20"/>
      <c r="P418" s="20"/>
      <c r="Q418" s="20"/>
      <c r="R418" s="20" t="s">
        <v>15324</v>
      </c>
      <c r="S418" s="20">
        <v>45</v>
      </c>
      <c r="T418" s="20">
        <v>24</v>
      </c>
      <c r="U418" s="20">
        <v>41</v>
      </c>
      <c r="V418" s="24" t="s">
        <v>809</v>
      </c>
      <c r="W418" s="22" t="s">
        <v>15325</v>
      </c>
    </row>
    <row r="419" spans="1:23" x14ac:dyDescent="0.35">
      <c r="A419" s="18" t="s">
        <v>15326</v>
      </c>
      <c r="B419" s="19" t="s">
        <v>15277</v>
      </c>
      <c r="C419" s="24" t="s">
        <v>1395</v>
      </c>
      <c r="D419" s="24" t="s">
        <v>809</v>
      </c>
      <c r="E419" s="19" t="s">
        <v>15327</v>
      </c>
      <c r="F419" s="19" t="s">
        <v>15328</v>
      </c>
      <c r="G419" s="19" t="s">
        <v>15320</v>
      </c>
      <c r="H419" s="20" t="s">
        <v>2197</v>
      </c>
      <c r="I419" s="20" t="s">
        <v>2197</v>
      </c>
      <c r="J419" s="19" t="s">
        <v>15462</v>
      </c>
      <c r="K419" s="19" t="s">
        <v>15463</v>
      </c>
      <c r="L419" s="19"/>
      <c r="M419" s="20" t="s">
        <v>15341</v>
      </c>
      <c r="N419" s="20" t="s">
        <v>2197</v>
      </c>
      <c r="O419" s="20"/>
      <c r="P419" s="20"/>
      <c r="Q419" s="20"/>
      <c r="R419" s="20" t="s">
        <v>15324</v>
      </c>
      <c r="S419" s="20">
        <v>45</v>
      </c>
      <c r="T419" s="20">
        <v>24</v>
      </c>
      <c r="U419" s="20">
        <v>80</v>
      </c>
      <c r="V419" s="24" t="s">
        <v>809</v>
      </c>
      <c r="W419" s="22" t="s">
        <v>15325</v>
      </c>
    </row>
    <row r="420" spans="1:23" x14ac:dyDescent="0.35">
      <c r="A420" s="18" t="s">
        <v>15326</v>
      </c>
      <c r="B420" s="19" t="s">
        <v>15277</v>
      </c>
      <c r="C420" s="24" t="s">
        <v>1395</v>
      </c>
      <c r="D420" s="24" t="s">
        <v>809</v>
      </c>
      <c r="E420" s="19" t="s">
        <v>15327</v>
      </c>
      <c r="F420" s="19" t="s">
        <v>15328</v>
      </c>
      <c r="G420" s="19" t="s">
        <v>15320</v>
      </c>
      <c r="H420" s="20" t="s">
        <v>2135</v>
      </c>
      <c r="I420" s="20" t="s">
        <v>2135</v>
      </c>
      <c r="J420" s="19" t="s">
        <v>15470</v>
      </c>
      <c r="K420" s="19" t="s">
        <v>15471</v>
      </c>
      <c r="L420" s="19"/>
      <c r="M420" s="20" t="s">
        <v>15323</v>
      </c>
      <c r="N420" s="20" t="s">
        <v>2135</v>
      </c>
      <c r="O420" s="20"/>
      <c r="P420" s="20"/>
      <c r="Q420" s="20"/>
      <c r="R420" s="20" t="s">
        <v>15324</v>
      </c>
      <c r="S420" s="20">
        <v>45</v>
      </c>
      <c r="T420" s="20">
        <v>24</v>
      </c>
      <c r="U420" s="20">
        <v>65</v>
      </c>
      <c r="V420" s="24" t="s">
        <v>809</v>
      </c>
      <c r="W420" s="22" t="s">
        <v>15325</v>
      </c>
    </row>
    <row r="421" spans="1:23" x14ac:dyDescent="0.35">
      <c r="A421" s="18" t="s">
        <v>15326</v>
      </c>
      <c r="B421" s="19" t="s">
        <v>15277</v>
      </c>
      <c r="C421" s="24" t="s">
        <v>1395</v>
      </c>
      <c r="D421" s="24" t="s">
        <v>809</v>
      </c>
      <c r="E421" s="19" t="s">
        <v>15327</v>
      </c>
      <c r="F421" s="19" t="s">
        <v>15328</v>
      </c>
      <c r="G421" s="19" t="s">
        <v>15320</v>
      </c>
      <c r="H421" s="20" t="s">
        <v>2151</v>
      </c>
      <c r="I421" s="20" t="s">
        <v>2151</v>
      </c>
      <c r="J421" s="19" t="s">
        <v>15785</v>
      </c>
      <c r="K421" s="19" t="s">
        <v>15786</v>
      </c>
      <c r="L421" s="19"/>
      <c r="M421" s="20" t="s">
        <v>15362</v>
      </c>
      <c r="N421" s="20" t="s">
        <v>2151</v>
      </c>
      <c r="O421" s="20"/>
      <c r="P421" s="20"/>
      <c r="Q421" s="20"/>
      <c r="R421" s="20" t="s">
        <v>15324</v>
      </c>
      <c r="S421" s="20">
        <v>45</v>
      </c>
      <c r="T421" s="20">
        <v>24</v>
      </c>
      <c r="U421" s="20">
        <v>80</v>
      </c>
      <c r="V421" s="24" t="s">
        <v>809</v>
      </c>
      <c r="W421" s="22" t="s">
        <v>15325</v>
      </c>
    </row>
    <row r="422" spans="1:23" x14ac:dyDescent="0.35">
      <c r="A422" s="18" t="s">
        <v>15326</v>
      </c>
      <c r="B422" s="19" t="s">
        <v>15277</v>
      </c>
      <c r="C422" s="24" t="s">
        <v>1395</v>
      </c>
      <c r="D422" s="24" t="s">
        <v>809</v>
      </c>
      <c r="E422" s="19" t="s">
        <v>15327</v>
      </c>
      <c r="F422" s="19" t="s">
        <v>15328</v>
      </c>
      <c r="G422" s="19" t="s">
        <v>15320</v>
      </c>
      <c r="H422" s="20" t="s">
        <v>15409</v>
      </c>
      <c r="I422" s="20" t="s">
        <v>15409</v>
      </c>
      <c r="J422" s="19" t="s">
        <v>15698</v>
      </c>
      <c r="K422" s="19" t="s">
        <v>15699</v>
      </c>
      <c r="L422" s="19"/>
      <c r="M422" s="20" t="s">
        <v>15350</v>
      </c>
      <c r="N422" s="20" t="s">
        <v>15409</v>
      </c>
      <c r="O422" s="20"/>
      <c r="P422" s="20"/>
      <c r="Q422" s="20"/>
      <c r="R422" s="20" t="s">
        <v>15324</v>
      </c>
      <c r="S422" s="20">
        <v>45</v>
      </c>
      <c r="T422" s="20">
        <v>24</v>
      </c>
      <c r="U422" s="20">
        <v>54</v>
      </c>
      <c r="V422" s="24" t="s">
        <v>809</v>
      </c>
      <c r="W422" s="22" t="s">
        <v>15325</v>
      </c>
    </row>
    <row r="423" spans="1:23" x14ac:dyDescent="0.35">
      <c r="A423" s="18" t="s">
        <v>15326</v>
      </c>
      <c r="B423" s="19" t="s">
        <v>15277</v>
      </c>
      <c r="C423" s="24" t="s">
        <v>1395</v>
      </c>
      <c r="D423" s="24" t="s">
        <v>809</v>
      </c>
      <c r="E423" s="19" t="s">
        <v>15327</v>
      </c>
      <c r="F423" s="19" t="s">
        <v>15328</v>
      </c>
      <c r="G423" s="19" t="s">
        <v>15320</v>
      </c>
      <c r="H423" s="20" t="s">
        <v>15381</v>
      </c>
      <c r="I423" s="20" t="s">
        <v>15381</v>
      </c>
      <c r="J423" s="19" t="s">
        <v>15407</v>
      </c>
      <c r="K423" s="19" t="s">
        <v>15408</v>
      </c>
      <c r="L423" s="19"/>
      <c r="M423" s="20" t="s">
        <v>15341</v>
      </c>
      <c r="N423" s="20" t="s">
        <v>15381</v>
      </c>
      <c r="O423" s="20"/>
      <c r="P423" s="20"/>
      <c r="Q423" s="20"/>
      <c r="R423" s="20" t="s">
        <v>15324</v>
      </c>
      <c r="S423" s="20">
        <v>45</v>
      </c>
      <c r="T423" s="20">
        <v>24</v>
      </c>
      <c r="U423" s="20">
        <v>80</v>
      </c>
      <c r="V423" s="24" t="s">
        <v>809</v>
      </c>
      <c r="W423" s="22" t="s">
        <v>15325</v>
      </c>
    </row>
    <row r="424" spans="1:23" x14ac:dyDescent="0.35">
      <c r="A424" s="18" t="s">
        <v>15326</v>
      </c>
      <c r="B424" s="19" t="s">
        <v>15277</v>
      </c>
      <c r="C424" s="24" t="s">
        <v>1395</v>
      </c>
      <c r="D424" s="24" t="s">
        <v>809</v>
      </c>
      <c r="E424" s="19" t="s">
        <v>15327</v>
      </c>
      <c r="F424" s="19" t="s">
        <v>15328</v>
      </c>
      <c r="G424" s="19" t="s">
        <v>15320</v>
      </c>
      <c r="H424" s="20" t="s">
        <v>15354</v>
      </c>
      <c r="I424" s="20" t="s">
        <v>15354</v>
      </c>
      <c r="J424" s="19" t="s">
        <v>15821</v>
      </c>
      <c r="K424" s="19" t="s">
        <v>15822</v>
      </c>
      <c r="L424" s="19"/>
      <c r="M424" s="20" t="s">
        <v>15341</v>
      </c>
      <c r="N424" s="20" t="s">
        <v>15354</v>
      </c>
      <c r="O424" s="20"/>
      <c r="P424" s="20"/>
      <c r="Q424" s="20"/>
      <c r="R424" s="20" t="s">
        <v>15324</v>
      </c>
      <c r="S424" s="20">
        <v>45</v>
      </c>
      <c r="T424" s="20">
        <v>24</v>
      </c>
      <c r="U424" s="20">
        <v>80</v>
      </c>
      <c r="V424" s="24" t="s">
        <v>809</v>
      </c>
      <c r="W424" s="22" t="s">
        <v>15325</v>
      </c>
    </row>
    <row r="425" spans="1:23" x14ac:dyDescent="0.35">
      <c r="A425" s="18" t="s">
        <v>15326</v>
      </c>
      <c r="B425" s="19" t="s">
        <v>15277</v>
      </c>
      <c r="C425" s="24" t="s">
        <v>1395</v>
      </c>
      <c r="D425" s="24" t="s">
        <v>809</v>
      </c>
      <c r="E425" s="19" t="s">
        <v>15327</v>
      </c>
      <c r="F425" s="19" t="s">
        <v>15328</v>
      </c>
      <c r="G425" s="19" t="s">
        <v>15320</v>
      </c>
      <c r="H425" s="20" t="s">
        <v>15378</v>
      </c>
      <c r="I425" s="20" t="s">
        <v>15378</v>
      </c>
      <c r="J425" s="19" t="s">
        <v>15390</v>
      </c>
      <c r="K425" s="19" t="s">
        <v>15391</v>
      </c>
      <c r="L425" s="19"/>
      <c r="M425" s="20" t="s">
        <v>15341</v>
      </c>
      <c r="N425" s="20" t="s">
        <v>15378</v>
      </c>
      <c r="O425" s="20"/>
      <c r="P425" s="20"/>
      <c r="Q425" s="20"/>
      <c r="R425" s="20" t="s">
        <v>15324</v>
      </c>
      <c r="S425" s="20">
        <v>45</v>
      </c>
      <c r="T425" s="20">
        <v>24</v>
      </c>
      <c r="U425" s="20">
        <v>80</v>
      </c>
      <c r="V425" s="24" t="s">
        <v>809</v>
      </c>
      <c r="W425" s="22" t="s">
        <v>15325</v>
      </c>
    </row>
    <row r="426" spans="1:23" x14ac:dyDescent="0.35">
      <c r="A426" s="18" t="s">
        <v>15326</v>
      </c>
      <c r="B426" s="19" t="s">
        <v>15277</v>
      </c>
      <c r="C426" s="24" t="s">
        <v>1395</v>
      </c>
      <c r="D426" s="24" t="s">
        <v>809</v>
      </c>
      <c r="E426" s="19" t="s">
        <v>15327</v>
      </c>
      <c r="F426" s="19" t="s">
        <v>15328</v>
      </c>
      <c r="G426" s="19" t="s">
        <v>15320</v>
      </c>
      <c r="H426" s="20" t="s">
        <v>15420</v>
      </c>
      <c r="I426" s="20" t="s">
        <v>15420</v>
      </c>
      <c r="J426" s="19" t="s">
        <v>15815</v>
      </c>
      <c r="K426" s="19" t="s">
        <v>15816</v>
      </c>
      <c r="L426" s="19"/>
      <c r="M426" s="20" t="s">
        <v>15323</v>
      </c>
      <c r="N426" s="20" t="s">
        <v>15420</v>
      </c>
      <c r="O426" s="20"/>
      <c r="P426" s="20"/>
      <c r="Q426" s="20"/>
      <c r="R426" s="20" t="s">
        <v>15324</v>
      </c>
      <c r="S426" s="20">
        <v>45</v>
      </c>
      <c r="T426" s="20">
        <v>24</v>
      </c>
      <c r="U426" s="20">
        <v>71</v>
      </c>
      <c r="V426" s="24" t="s">
        <v>809</v>
      </c>
      <c r="W426" s="22" t="s">
        <v>15325</v>
      </c>
    </row>
    <row r="427" spans="1:23" x14ac:dyDescent="0.35">
      <c r="A427" s="18" t="s">
        <v>15326</v>
      </c>
      <c r="B427" s="19" t="s">
        <v>15277</v>
      </c>
      <c r="C427" s="24" t="s">
        <v>1395</v>
      </c>
      <c r="D427" s="24" t="s">
        <v>809</v>
      </c>
      <c r="E427" s="19" t="s">
        <v>15327</v>
      </c>
      <c r="F427" s="19" t="s">
        <v>15328</v>
      </c>
      <c r="G427" s="19" t="s">
        <v>15320</v>
      </c>
      <c r="H427" s="20" t="s">
        <v>15404</v>
      </c>
      <c r="I427" s="20" t="s">
        <v>15404</v>
      </c>
      <c r="J427" s="19" t="s">
        <v>15405</v>
      </c>
      <c r="K427" s="19" t="s">
        <v>15406</v>
      </c>
      <c r="L427" s="19"/>
      <c r="M427" s="20" t="s">
        <v>15341</v>
      </c>
      <c r="N427" s="20" t="s">
        <v>15404</v>
      </c>
      <c r="O427" s="20"/>
      <c r="P427" s="20"/>
      <c r="Q427" s="20"/>
      <c r="R427" s="20" t="s">
        <v>15324</v>
      </c>
      <c r="S427" s="20">
        <v>45</v>
      </c>
      <c r="T427" s="20">
        <v>24</v>
      </c>
      <c r="U427" s="20">
        <v>80</v>
      </c>
      <c r="V427" s="24" t="s">
        <v>809</v>
      </c>
      <c r="W427" s="22" t="s">
        <v>15325</v>
      </c>
    </row>
    <row r="428" spans="1:23" x14ac:dyDescent="0.35">
      <c r="A428" s="18" t="s">
        <v>15326</v>
      </c>
      <c r="B428" s="19" t="s">
        <v>15277</v>
      </c>
      <c r="C428" s="24" t="s">
        <v>1395</v>
      </c>
      <c r="D428" s="24" t="s">
        <v>809</v>
      </c>
      <c r="E428" s="19" t="s">
        <v>15327</v>
      </c>
      <c r="F428" s="19" t="s">
        <v>15328</v>
      </c>
      <c r="G428" s="19" t="s">
        <v>15320</v>
      </c>
      <c r="H428" s="20" t="s">
        <v>15451</v>
      </c>
      <c r="I428" s="20" t="s">
        <v>15451</v>
      </c>
      <c r="J428" s="19" t="s">
        <v>15452</v>
      </c>
      <c r="K428" s="19" t="s">
        <v>15453</v>
      </c>
      <c r="L428" s="19"/>
      <c r="M428" s="20" t="s">
        <v>15341</v>
      </c>
      <c r="N428" s="20" t="s">
        <v>15451</v>
      </c>
      <c r="O428" s="20"/>
      <c r="P428" s="20"/>
      <c r="Q428" s="20"/>
      <c r="R428" s="20" t="s">
        <v>15324</v>
      </c>
      <c r="S428" s="20">
        <v>45</v>
      </c>
      <c r="T428" s="20">
        <v>24</v>
      </c>
      <c r="U428" s="20">
        <v>54</v>
      </c>
      <c r="V428" s="24" t="s">
        <v>809</v>
      </c>
      <c r="W428" s="22" t="s">
        <v>15325</v>
      </c>
    </row>
    <row r="429" spans="1:23" x14ac:dyDescent="0.35">
      <c r="A429" s="18" t="s">
        <v>15326</v>
      </c>
      <c r="B429" s="19" t="s">
        <v>15277</v>
      </c>
      <c r="C429" s="24" t="s">
        <v>1395</v>
      </c>
      <c r="D429" s="24" t="s">
        <v>809</v>
      </c>
      <c r="E429" s="19" t="s">
        <v>15327</v>
      </c>
      <c r="F429" s="19" t="s">
        <v>15328</v>
      </c>
      <c r="G429" s="19" t="s">
        <v>15320</v>
      </c>
      <c r="H429" s="20" t="s">
        <v>15363</v>
      </c>
      <c r="I429" s="20" t="s">
        <v>15363</v>
      </c>
      <c r="J429" s="19" t="s">
        <v>15676</v>
      </c>
      <c r="K429" s="19" t="s">
        <v>15677</v>
      </c>
      <c r="L429" s="19"/>
      <c r="M429" s="20" t="s">
        <v>15419</v>
      </c>
      <c r="N429" s="20" t="s">
        <v>15363</v>
      </c>
      <c r="O429" s="20"/>
      <c r="P429" s="20"/>
      <c r="Q429" s="20"/>
      <c r="R429" s="20" t="s">
        <v>15324</v>
      </c>
      <c r="S429" s="20">
        <v>45</v>
      </c>
      <c r="T429" s="20">
        <v>24</v>
      </c>
      <c r="U429" s="20">
        <v>54</v>
      </c>
      <c r="V429" s="24" t="s">
        <v>809</v>
      </c>
      <c r="W429" s="22" t="s">
        <v>15325</v>
      </c>
    </row>
    <row r="430" spans="1:23" x14ac:dyDescent="0.35">
      <c r="A430" s="18" t="s">
        <v>15326</v>
      </c>
      <c r="B430" s="19" t="s">
        <v>15277</v>
      </c>
      <c r="C430" s="24" t="s">
        <v>1395</v>
      </c>
      <c r="D430" s="24" t="s">
        <v>809</v>
      </c>
      <c r="E430" s="19" t="s">
        <v>15327</v>
      </c>
      <c r="F430" s="19" t="s">
        <v>15328</v>
      </c>
      <c r="G430" s="19" t="s">
        <v>15320</v>
      </c>
      <c r="H430" s="20" t="s">
        <v>15364</v>
      </c>
      <c r="I430" s="20" t="s">
        <v>15364</v>
      </c>
      <c r="J430" s="19" t="s">
        <v>15807</v>
      </c>
      <c r="K430" s="19" t="s">
        <v>15808</v>
      </c>
      <c r="L430" s="19"/>
      <c r="M430" s="20" t="s">
        <v>15323</v>
      </c>
      <c r="N430" s="20" t="s">
        <v>15364</v>
      </c>
      <c r="O430" s="20"/>
      <c r="P430" s="20"/>
      <c r="Q430" s="20"/>
      <c r="R430" s="20" t="s">
        <v>15324</v>
      </c>
      <c r="S430" s="20">
        <v>45</v>
      </c>
      <c r="T430" s="20">
        <v>24</v>
      </c>
      <c r="U430" s="20">
        <v>80</v>
      </c>
      <c r="V430" s="24" t="s">
        <v>809</v>
      </c>
      <c r="W430" s="22" t="s">
        <v>15325</v>
      </c>
    </row>
    <row r="431" spans="1:23" x14ac:dyDescent="0.35">
      <c r="A431" s="18" t="s">
        <v>15326</v>
      </c>
      <c r="B431" s="19" t="s">
        <v>15277</v>
      </c>
      <c r="C431" s="24" t="s">
        <v>1395</v>
      </c>
      <c r="D431" s="24" t="s">
        <v>809</v>
      </c>
      <c r="E431" s="19" t="s">
        <v>15327</v>
      </c>
      <c r="F431" s="19" t="s">
        <v>15328</v>
      </c>
      <c r="G431" s="19" t="s">
        <v>15320</v>
      </c>
      <c r="H431" s="20" t="s">
        <v>15347</v>
      </c>
      <c r="I431" s="20" t="s">
        <v>15347</v>
      </c>
      <c r="J431" s="19" t="s">
        <v>15767</v>
      </c>
      <c r="K431" s="19" t="s">
        <v>15768</v>
      </c>
      <c r="L431" s="19" t="s">
        <v>15596</v>
      </c>
      <c r="M431" s="20" t="s">
        <v>15323</v>
      </c>
      <c r="N431" s="20" t="s">
        <v>15347</v>
      </c>
      <c r="O431" s="20"/>
      <c r="P431" s="20"/>
      <c r="Q431" s="20"/>
      <c r="R431" s="20" t="s">
        <v>15346</v>
      </c>
      <c r="S431" s="20">
        <v>45</v>
      </c>
      <c r="T431" s="20">
        <v>24</v>
      </c>
      <c r="U431" s="20">
        <v>39</v>
      </c>
      <c r="V431" s="24" t="s">
        <v>809</v>
      </c>
      <c r="W431" s="22" t="s">
        <v>15325</v>
      </c>
    </row>
    <row r="432" spans="1:23" x14ac:dyDescent="0.35">
      <c r="A432" s="18" t="s">
        <v>15326</v>
      </c>
      <c r="B432" s="19" t="s">
        <v>15277</v>
      </c>
      <c r="C432" s="24" t="s">
        <v>1395</v>
      </c>
      <c r="D432" s="24" t="s">
        <v>809</v>
      </c>
      <c r="E432" s="19" t="s">
        <v>15327</v>
      </c>
      <c r="F432" s="19" t="s">
        <v>15328</v>
      </c>
      <c r="G432" s="19" t="s">
        <v>15320</v>
      </c>
      <c r="H432" s="20" t="s">
        <v>15412</v>
      </c>
      <c r="I432" s="20" t="s">
        <v>15412</v>
      </c>
      <c r="J432" s="19" t="s">
        <v>15594</v>
      </c>
      <c r="K432" s="19" t="s">
        <v>15595</v>
      </c>
      <c r="L432" s="19" t="s">
        <v>15596</v>
      </c>
      <c r="M432" s="20" t="s">
        <v>15323</v>
      </c>
      <c r="N432" s="20" t="s">
        <v>15412</v>
      </c>
      <c r="O432" s="20"/>
      <c r="P432" s="20"/>
      <c r="Q432" s="20"/>
      <c r="R432" s="20" t="s">
        <v>15346</v>
      </c>
      <c r="S432" s="20">
        <v>45</v>
      </c>
      <c r="T432" s="20">
        <v>24</v>
      </c>
      <c r="U432" s="20">
        <v>19</v>
      </c>
      <c r="V432" s="24" t="s">
        <v>809</v>
      </c>
      <c r="W432" s="22" t="s">
        <v>15325</v>
      </c>
    </row>
    <row r="433" spans="1:23" x14ac:dyDescent="0.35">
      <c r="A433" s="18" t="s">
        <v>15326</v>
      </c>
      <c r="B433" s="19" t="s">
        <v>15277</v>
      </c>
      <c r="C433" s="24" t="s">
        <v>1395</v>
      </c>
      <c r="D433" s="24" t="s">
        <v>809</v>
      </c>
      <c r="E433" s="19" t="s">
        <v>15327</v>
      </c>
      <c r="F433" s="19" t="s">
        <v>15328</v>
      </c>
      <c r="G433" s="19" t="s">
        <v>15320</v>
      </c>
      <c r="H433" s="20" t="s">
        <v>15342</v>
      </c>
      <c r="I433" s="20" t="s">
        <v>15342</v>
      </c>
      <c r="J433" s="19" t="s">
        <v>15625</v>
      </c>
      <c r="K433" s="19" t="s">
        <v>15626</v>
      </c>
      <c r="L433" s="19" t="s">
        <v>15371</v>
      </c>
      <c r="M433" s="20" t="s">
        <v>15350</v>
      </c>
      <c r="N433" s="20" t="s">
        <v>15342</v>
      </c>
      <c r="O433" s="20"/>
      <c r="P433" s="20"/>
      <c r="Q433" s="20"/>
      <c r="R433" s="20" t="s">
        <v>15346</v>
      </c>
      <c r="S433" s="20">
        <v>45</v>
      </c>
      <c r="T433" s="20">
        <v>24</v>
      </c>
      <c r="U433" s="20">
        <v>39</v>
      </c>
      <c r="V433" s="24" t="s">
        <v>809</v>
      </c>
      <c r="W433" s="22" t="s">
        <v>15325</v>
      </c>
    </row>
    <row r="434" spans="1:23" x14ac:dyDescent="0.35">
      <c r="A434" s="18" t="s">
        <v>15326</v>
      </c>
      <c r="B434" s="19" t="s">
        <v>15277</v>
      </c>
      <c r="C434" s="24" t="s">
        <v>1395</v>
      </c>
      <c r="D434" s="24" t="s">
        <v>809</v>
      </c>
      <c r="E434" s="19" t="s">
        <v>15327</v>
      </c>
      <c r="F434" s="19" t="s">
        <v>15328</v>
      </c>
      <c r="G434" s="19" t="s">
        <v>15320</v>
      </c>
      <c r="H434" s="20" t="s">
        <v>15476</v>
      </c>
      <c r="I434" s="20" t="s">
        <v>15476</v>
      </c>
      <c r="J434" s="2" t="s">
        <v>15977</v>
      </c>
      <c r="K434" s="19" t="s">
        <v>15842</v>
      </c>
      <c r="L434" s="19"/>
      <c r="M434" s="20" t="s">
        <v>15341</v>
      </c>
      <c r="N434" s="20" t="s">
        <v>15476</v>
      </c>
      <c r="O434" s="20"/>
      <c r="P434" s="20"/>
      <c r="Q434" s="20"/>
      <c r="R434" s="20" t="s">
        <v>15346</v>
      </c>
      <c r="S434" s="20">
        <v>45</v>
      </c>
      <c r="T434" s="20">
        <v>24</v>
      </c>
      <c r="U434" s="20">
        <v>26</v>
      </c>
      <c r="V434" s="24" t="s">
        <v>809</v>
      </c>
      <c r="W434" s="22" t="s">
        <v>15325</v>
      </c>
    </row>
    <row r="435" spans="1:23" x14ac:dyDescent="0.35">
      <c r="A435" s="18" t="s">
        <v>15326</v>
      </c>
      <c r="B435" s="19" t="s">
        <v>15277</v>
      </c>
      <c r="C435" s="24" t="s">
        <v>1395</v>
      </c>
      <c r="D435" s="24" t="s">
        <v>809</v>
      </c>
      <c r="E435" s="19" t="s">
        <v>15327</v>
      </c>
      <c r="F435" s="19" t="s">
        <v>15328</v>
      </c>
      <c r="G435" s="19" t="s">
        <v>15320</v>
      </c>
      <c r="H435" s="20" t="s">
        <v>15392</v>
      </c>
      <c r="I435" s="20" t="s">
        <v>15392</v>
      </c>
      <c r="J435" s="19" t="s">
        <v>15809</v>
      </c>
      <c r="K435" s="19" t="s">
        <v>15810</v>
      </c>
      <c r="L435" s="19"/>
      <c r="M435" s="20" t="s">
        <v>15362</v>
      </c>
      <c r="N435" s="20" t="s">
        <v>15392</v>
      </c>
      <c r="O435" s="20"/>
      <c r="P435" s="20"/>
      <c r="Q435" s="20"/>
      <c r="R435" s="20" t="s">
        <v>15346</v>
      </c>
      <c r="S435" s="20">
        <v>45</v>
      </c>
      <c r="T435" s="20">
        <v>24</v>
      </c>
      <c r="U435" s="20">
        <v>15</v>
      </c>
      <c r="V435" s="24" t="s">
        <v>809</v>
      </c>
      <c r="W435" s="22" t="s">
        <v>15325</v>
      </c>
    </row>
    <row r="436" spans="1:23" x14ac:dyDescent="0.35">
      <c r="A436" s="18" t="s">
        <v>15326</v>
      </c>
      <c r="B436" s="19" t="s">
        <v>15277</v>
      </c>
      <c r="C436" s="24" t="s">
        <v>1395</v>
      </c>
      <c r="D436" s="24" t="s">
        <v>809</v>
      </c>
      <c r="E436" s="19" t="s">
        <v>15327</v>
      </c>
      <c r="F436" s="19" t="s">
        <v>15328</v>
      </c>
      <c r="G436" s="19" t="s">
        <v>15320</v>
      </c>
      <c r="H436" s="20" t="s">
        <v>15351</v>
      </c>
      <c r="I436" s="20" t="s">
        <v>15351</v>
      </c>
      <c r="J436" s="19" t="s">
        <v>15508</v>
      </c>
      <c r="K436" s="19" t="s">
        <v>15509</v>
      </c>
      <c r="L436" s="19"/>
      <c r="M436" s="20" t="s">
        <v>15341</v>
      </c>
      <c r="N436" s="20" t="s">
        <v>15351</v>
      </c>
      <c r="O436" s="20"/>
      <c r="P436" s="20"/>
      <c r="Q436" s="20"/>
      <c r="R436" s="20" t="s">
        <v>15346</v>
      </c>
      <c r="S436" s="20">
        <v>45</v>
      </c>
      <c r="T436" s="20">
        <v>24</v>
      </c>
      <c r="U436" s="20">
        <v>26</v>
      </c>
      <c r="V436" s="24" t="s">
        <v>809</v>
      </c>
      <c r="W436" s="22" t="s">
        <v>15325</v>
      </c>
    </row>
    <row r="437" spans="1:23" x14ac:dyDescent="0.35">
      <c r="A437" s="18" t="s">
        <v>15326</v>
      </c>
      <c r="B437" s="19" t="s">
        <v>15277</v>
      </c>
      <c r="C437" s="24" t="s">
        <v>1395</v>
      </c>
      <c r="D437" s="24" t="s">
        <v>809</v>
      </c>
      <c r="E437" s="19" t="s">
        <v>15327</v>
      </c>
      <c r="F437" s="19" t="s">
        <v>15328</v>
      </c>
      <c r="G437" s="19" t="s">
        <v>15320</v>
      </c>
      <c r="H437" s="20" t="s">
        <v>15359</v>
      </c>
      <c r="I437" s="20" t="s">
        <v>15359</v>
      </c>
      <c r="J437" s="2" t="s">
        <v>15958</v>
      </c>
      <c r="K437" s="19" t="s">
        <v>15516</v>
      </c>
      <c r="L437" s="19"/>
      <c r="M437" s="20" t="s">
        <v>15341</v>
      </c>
      <c r="N437" s="20" t="s">
        <v>15359</v>
      </c>
      <c r="O437" s="20"/>
      <c r="P437" s="20"/>
      <c r="Q437" s="20"/>
      <c r="R437" s="20" t="s">
        <v>15346</v>
      </c>
      <c r="S437" s="20">
        <v>45</v>
      </c>
      <c r="T437" s="20">
        <v>24</v>
      </c>
      <c r="U437" s="20">
        <v>9</v>
      </c>
      <c r="V437" s="24" t="s">
        <v>809</v>
      </c>
      <c r="W437" s="22" t="s">
        <v>15325</v>
      </c>
    </row>
    <row r="438" spans="1:23" x14ac:dyDescent="0.35">
      <c r="A438" s="18" t="s">
        <v>15326</v>
      </c>
      <c r="B438" s="19" t="s">
        <v>15277</v>
      </c>
      <c r="C438" s="24" t="s">
        <v>1395</v>
      </c>
      <c r="D438" s="24" t="s">
        <v>809</v>
      </c>
      <c r="E438" s="19" t="s">
        <v>15327</v>
      </c>
      <c r="F438" s="19" t="s">
        <v>15328</v>
      </c>
      <c r="G438" s="19" t="s">
        <v>15320</v>
      </c>
      <c r="H438" s="20" t="s">
        <v>15423</v>
      </c>
      <c r="I438" s="20" t="s">
        <v>15423</v>
      </c>
      <c r="J438" s="19" t="s">
        <v>15537</v>
      </c>
      <c r="K438" s="19" t="s">
        <v>15538</v>
      </c>
      <c r="L438" s="19"/>
      <c r="M438" s="20" t="s">
        <v>15341</v>
      </c>
      <c r="N438" s="20" t="s">
        <v>15423</v>
      </c>
      <c r="O438" s="20"/>
      <c r="P438" s="20"/>
      <c r="Q438" s="20"/>
      <c r="R438" s="20" t="s">
        <v>15346</v>
      </c>
      <c r="S438" s="20">
        <v>45</v>
      </c>
      <c r="T438" s="20">
        <v>24</v>
      </c>
      <c r="U438" s="20">
        <v>26</v>
      </c>
      <c r="V438" s="24" t="s">
        <v>809</v>
      </c>
      <c r="W438" s="22" t="s">
        <v>15325</v>
      </c>
    </row>
    <row r="439" spans="1:23" x14ac:dyDescent="0.35">
      <c r="A439" s="18" t="s">
        <v>15326</v>
      </c>
      <c r="B439" s="19" t="s">
        <v>15277</v>
      </c>
      <c r="C439" s="24" t="s">
        <v>1395</v>
      </c>
      <c r="D439" s="24" t="s">
        <v>809</v>
      </c>
      <c r="E439" s="19" t="s">
        <v>15327</v>
      </c>
      <c r="F439" s="19" t="s">
        <v>15328</v>
      </c>
      <c r="G439" s="19" t="s">
        <v>15320</v>
      </c>
      <c r="H439" s="20" t="s">
        <v>15399</v>
      </c>
      <c r="I439" s="20" t="s">
        <v>15399</v>
      </c>
      <c r="J439" s="19" t="s">
        <v>15724</v>
      </c>
      <c r="K439" s="19" t="s">
        <v>15725</v>
      </c>
      <c r="L439" s="19" t="s">
        <v>15371</v>
      </c>
      <c r="M439" s="20" t="s">
        <v>15341</v>
      </c>
      <c r="N439" s="20" t="s">
        <v>15399</v>
      </c>
      <c r="O439" s="20"/>
      <c r="P439" s="20"/>
      <c r="Q439" s="20"/>
      <c r="R439" s="20" t="s">
        <v>15324</v>
      </c>
      <c r="S439" s="20">
        <v>45</v>
      </c>
      <c r="T439" s="20">
        <v>24</v>
      </c>
      <c r="U439" s="20">
        <v>54</v>
      </c>
      <c r="V439" s="24" t="s">
        <v>1395</v>
      </c>
      <c r="W439" s="22" t="s">
        <v>15329</v>
      </c>
    </row>
    <row r="440" spans="1:23" x14ac:dyDescent="0.35">
      <c r="A440" s="18" t="s">
        <v>15326</v>
      </c>
      <c r="B440" s="19" t="s">
        <v>15277</v>
      </c>
      <c r="C440" s="24" t="s">
        <v>1395</v>
      </c>
      <c r="D440" s="24" t="s">
        <v>809</v>
      </c>
      <c r="E440" s="19" t="s">
        <v>15327</v>
      </c>
      <c r="F440" s="19" t="s">
        <v>15328</v>
      </c>
      <c r="G440" s="19" t="s">
        <v>15320</v>
      </c>
      <c r="H440" s="20" t="s">
        <v>15337</v>
      </c>
      <c r="I440" s="20" t="s">
        <v>15337</v>
      </c>
      <c r="J440" s="19" t="s">
        <v>15348</v>
      </c>
      <c r="K440" s="19" t="s">
        <v>15349</v>
      </c>
      <c r="L440" s="19" t="s">
        <v>15324</v>
      </c>
      <c r="M440" s="20" t="s">
        <v>15350</v>
      </c>
      <c r="N440" s="20" t="s">
        <v>15337</v>
      </c>
      <c r="O440" s="20"/>
      <c r="P440" s="20"/>
      <c r="Q440" s="20"/>
      <c r="R440" s="20" t="s">
        <v>15324</v>
      </c>
      <c r="S440" s="20">
        <v>45</v>
      </c>
      <c r="T440" s="20">
        <v>24</v>
      </c>
      <c r="U440" s="20">
        <v>54</v>
      </c>
      <c r="V440" s="24" t="s">
        <v>1395</v>
      </c>
      <c r="W440" s="22" t="s">
        <v>15329</v>
      </c>
    </row>
    <row r="441" spans="1:23" x14ac:dyDescent="0.35">
      <c r="A441" s="18" t="s">
        <v>15326</v>
      </c>
      <c r="B441" s="19" t="s">
        <v>15277</v>
      </c>
      <c r="C441" s="24" t="s">
        <v>1395</v>
      </c>
      <c r="D441" s="24" t="s">
        <v>809</v>
      </c>
      <c r="E441" s="19" t="s">
        <v>15327</v>
      </c>
      <c r="F441" s="19" t="s">
        <v>15328</v>
      </c>
      <c r="G441" s="19" t="s">
        <v>15320</v>
      </c>
      <c r="H441" s="20" t="s">
        <v>15331</v>
      </c>
      <c r="I441" s="20" t="s">
        <v>15331</v>
      </c>
      <c r="J441" s="19" t="s">
        <v>15472</v>
      </c>
      <c r="K441" s="19" t="s">
        <v>15473</v>
      </c>
      <c r="L441" s="19" t="s">
        <v>15371</v>
      </c>
      <c r="M441" s="20" t="s">
        <v>15357</v>
      </c>
      <c r="N441" s="20" t="s">
        <v>15331</v>
      </c>
      <c r="O441" s="20"/>
      <c r="P441" s="20"/>
      <c r="Q441" s="20"/>
      <c r="R441" s="20" t="s">
        <v>15324</v>
      </c>
      <c r="S441" s="20">
        <v>45</v>
      </c>
      <c r="T441" s="20">
        <v>24</v>
      </c>
      <c r="U441" s="20">
        <v>54</v>
      </c>
      <c r="V441" s="24" t="s">
        <v>1395</v>
      </c>
      <c r="W441" s="22" t="s">
        <v>15329</v>
      </c>
    </row>
    <row r="442" spans="1:23" x14ac:dyDescent="0.35">
      <c r="A442" s="18" t="s">
        <v>15326</v>
      </c>
      <c r="B442" s="19" t="s">
        <v>15277</v>
      </c>
      <c r="C442" s="24" t="s">
        <v>1395</v>
      </c>
      <c r="D442" s="24" t="s">
        <v>809</v>
      </c>
      <c r="E442" s="19" t="s">
        <v>15327</v>
      </c>
      <c r="F442" s="19" t="s">
        <v>15328</v>
      </c>
      <c r="G442" s="19" t="s">
        <v>15320</v>
      </c>
      <c r="H442" s="20" t="s">
        <v>2197</v>
      </c>
      <c r="I442" s="20" t="s">
        <v>2197</v>
      </c>
      <c r="J442" s="19" t="s">
        <v>15321</v>
      </c>
      <c r="K442" s="19" t="s">
        <v>15322</v>
      </c>
      <c r="L442" s="19"/>
      <c r="M442" s="20" t="s">
        <v>15323</v>
      </c>
      <c r="N442" s="20" t="s">
        <v>2197</v>
      </c>
      <c r="O442" s="20"/>
      <c r="P442" s="20"/>
      <c r="Q442" s="20"/>
      <c r="R442" s="20" t="s">
        <v>15324</v>
      </c>
      <c r="S442" s="20">
        <v>45</v>
      </c>
      <c r="T442" s="20">
        <v>24</v>
      </c>
      <c r="U442" s="20">
        <v>69</v>
      </c>
      <c r="V442" s="24" t="s">
        <v>1395</v>
      </c>
      <c r="W442" s="22" t="s">
        <v>15329</v>
      </c>
    </row>
    <row r="443" spans="1:23" x14ac:dyDescent="0.35">
      <c r="A443" s="18" t="s">
        <v>15326</v>
      </c>
      <c r="B443" s="19" t="s">
        <v>15277</v>
      </c>
      <c r="C443" s="24" t="s">
        <v>1395</v>
      </c>
      <c r="D443" s="24" t="s">
        <v>809</v>
      </c>
      <c r="E443" s="19" t="s">
        <v>15327</v>
      </c>
      <c r="F443" s="19" t="s">
        <v>15328</v>
      </c>
      <c r="G443" s="19" t="s">
        <v>15320</v>
      </c>
      <c r="H443" s="20" t="s">
        <v>2135</v>
      </c>
      <c r="I443" s="20" t="s">
        <v>2135</v>
      </c>
      <c r="J443" s="19" t="s">
        <v>15781</v>
      </c>
      <c r="K443" s="19" t="s">
        <v>15782</v>
      </c>
      <c r="L443" s="19"/>
      <c r="M443" s="20" t="s">
        <v>15323</v>
      </c>
      <c r="N443" s="20" t="s">
        <v>2135</v>
      </c>
      <c r="O443" s="20"/>
      <c r="P443" s="20"/>
      <c r="Q443" s="20"/>
      <c r="R443" s="20" t="s">
        <v>15324</v>
      </c>
      <c r="S443" s="20">
        <v>45</v>
      </c>
      <c r="T443" s="20">
        <v>24</v>
      </c>
      <c r="U443" s="20">
        <v>80</v>
      </c>
      <c r="V443" s="24" t="s">
        <v>1395</v>
      </c>
      <c r="W443" s="22" t="s">
        <v>15329</v>
      </c>
    </row>
    <row r="444" spans="1:23" x14ac:dyDescent="0.35">
      <c r="A444" s="18" t="s">
        <v>15326</v>
      </c>
      <c r="B444" s="19" t="s">
        <v>15277</v>
      </c>
      <c r="C444" s="24" t="s">
        <v>1395</v>
      </c>
      <c r="D444" s="24" t="s">
        <v>809</v>
      </c>
      <c r="E444" s="19" t="s">
        <v>15327</v>
      </c>
      <c r="F444" s="19" t="s">
        <v>15328</v>
      </c>
      <c r="G444" s="19" t="s">
        <v>15320</v>
      </c>
      <c r="H444" s="20" t="s">
        <v>2151</v>
      </c>
      <c r="I444" s="20" t="s">
        <v>2151</v>
      </c>
      <c r="J444" s="19" t="s">
        <v>15843</v>
      </c>
      <c r="K444" s="19" t="s">
        <v>15844</v>
      </c>
      <c r="L444" s="19"/>
      <c r="M444" s="20" t="s">
        <v>15341</v>
      </c>
      <c r="N444" s="20" t="s">
        <v>2151</v>
      </c>
      <c r="O444" s="20"/>
      <c r="P444" s="20"/>
      <c r="Q444" s="20"/>
      <c r="R444" s="20" t="s">
        <v>15324</v>
      </c>
      <c r="S444" s="20">
        <v>45</v>
      </c>
      <c r="T444" s="20">
        <v>24</v>
      </c>
      <c r="U444" s="20">
        <v>17</v>
      </c>
      <c r="V444" s="24" t="s">
        <v>1395</v>
      </c>
      <c r="W444" s="22" t="s">
        <v>15329</v>
      </c>
    </row>
    <row r="445" spans="1:23" x14ac:dyDescent="0.35">
      <c r="A445" s="18" t="s">
        <v>15326</v>
      </c>
      <c r="B445" s="19" t="s">
        <v>15277</v>
      </c>
      <c r="C445" s="24" t="s">
        <v>1395</v>
      </c>
      <c r="D445" s="24" t="s">
        <v>809</v>
      </c>
      <c r="E445" s="19" t="s">
        <v>15327</v>
      </c>
      <c r="F445" s="19" t="s">
        <v>15328</v>
      </c>
      <c r="G445" s="19" t="s">
        <v>15320</v>
      </c>
      <c r="H445" s="20" t="s">
        <v>15409</v>
      </c>
      <c r="I445" s="20" t="s">
        <v>15409</v>
      </c>
      <c r="J445" s="19" t="s">
        <v>15827</v>
      </c>
      <c r="K445" s="19" t="s">
        <v>15828</v>
      </c>
      <c r="L445" s="19"/>
      <c r="M445" s="20" t="s">
        <v>15341</v>
      </c>
      <c r="N445" s="20" t="s">
        <v>15409</v>
      </c>
      <c r="O445" s="20"/>
      <c r="P445" s="20"/>
      <c r="Q445" s="20"/>
      <c r="R445" s="20" t="s">
        <v>15324</v>
      </c>
      <c r="S445" s="20">
        <v>45</v>
      </c>
      <c r="T445" s="20">
        <v>24</v>
      </c>
      <c r="U445" s="20">
        <v>80</v>
      </c>
      <c r="V445" s="24" t="s">
        <v>1395</v>
      </c>
      <c r="W445" s="22" t="s">
        <v>15329</v>
      </c>
    </row>
    <row r="446" spans="1:23" x14ac:dyDescent="0.35">
      <c r="A446" s="18" t="s">
        <v>15326</v>
      </c>
      <c r="B446" s="19" t="s">
        <v>15277</v>
      </c>
      <c r="C446" s="24" t="s">
        <v>1395</v>
      </c>
      <c r="D446" s="24" t="s">
        <v>809</v>
      </c>
      <c r="E446" s="19" t="s">
        <v>15327</v>
      </c>
      <c r="F446" s="19" t="s">
        <v>15328</v>
      </c>
      <c r="G446" s="19" t="s">
        <v>15320</v>
      </c>
      <c r="H446" s="20" t="s">
        <v>15381</v>
      </c>
      <c r="I446" s="20" t="s">
        <v>15381</v>
      </c>
      <c r="J446" s="19" t="s">
        <v>15397</v>
      </c>
      <c r="K446" s="19" t="s">
        <v>15398</v>
      </c>
      <c r="L446" s="19"/>
      <c r="M446" s="20" t="s">
        <v>15323</v>
      </c>
      <c r="N446" s="20" t="s">
        <v>15381</v>
      </c>
      <c r="O446" s="20"/>
      <c r="P446" s="20"/>
      <c r="Q446" s="20"/>
      <c r="R446" s="20" t="s">
        <v>15324</v>
      </c>
      <c r="S446" s="20">
        <v>45</v>
      </c>
      <c r="T446" s="20">
        <v>24</v>
      </c>
      <c r="U446" s="20">
        <v>80</v>
      </c>
      <c r="V446" s="24" t="s">
        <v>1395</v>
      </c>
      <c r="W446" s="22" t="s">
        <v>15329</v>
      </c>
    </row>
    <row r="447" spans="1:23" x14ac:dyDescent="0.35">
      <c r="A447" s="18" t="s">
        <v>15326</v>
      </c>
      <c r="B447" s="19" t="s">
        <v>15277</v>
      </c>
      <c r="C447" s="24" t="s">
        <v>1395</v>
      </c>
      <c r="D447" s="24" t="s">
        <v>809</v>
      </c>
      <c r="E447" s="19" t="s">
        <v>15327</v>
      </c>
      <c r="F447" s="19" t="s">
        <v>15328</v>
      </c>
      <c r="G447" s="19" t="s">
        <v>15320</v>
      </c>
      <c r="H447" s="20" t="s">
        <v>15354</v>
      </c>
      <c r="I447" s="20" t="s">
        <v>15354</v>
      </c>
      <c r="J447" s="19" t="s">
        <v>15352</v>
      </c>
      <c r="K447" s="19" t="s">
        <v>15353</v>
      </c>
      <c r="L447" s="19"/>
      <c r="M447" s="20" t="s">
        <v>15341</v>
      </c>
      <c r="N447" s="20" t="s">
        <v>15354</v>
      </c>
      <c r="O447" s="20"/>
      <c r="P447" s="20"/>
      <c r="Q447" s="20"/>
      <c r="R447" s="20" t="s">
        <v>15324</v>
      </c>
      <c r="S447" s="20">
        <v>45</v>
      </c>
      <c r="T447" s="20">
        <v>24</v>
      </c>
      <c r="U447" s="20">
        <v>62</v>
      </c>
      <c r="V447" s="24" t="s">
        <v>1395</v>
      </c>
      <c r="W447" s="22" t="s">
        <v>15329</v>
      </c>
    </row>
    <row r="448" spans="1:23" x14ac:dyDescent="0.35">
      <c r="A448" s="18" t="s">
        <v>15326</v>
      </c>
      <c r="B448" s="19" t="s">
        <v>15277</v>
      </c>
      <c r="C448" s="24" t="s">
        <v>1395</v>
      </c>
      <c r="D448" s="24" t="s">
        <v>809</v>
      </c>
      <c r="E448" s="19" t="s">
        <v>15327</v>
      </c>
      <c r="F448" s="19" t="s">
        <v>15328</v>
      </c>
      <c r="G448" s="19" t="s">
        <v>15320</v>
      </c>
      <c r="H448" s="20" t="s">
        <v>15378</v>
      </c>
      <c r="I448" s="20" t="s">
        <v>15378</v>
      </c>
      <c r="J448" s="19" t="s">
        <v>15504</v>
      </c>
      <c r="K448" s="19" t="s">
        <v>15505</v>
      </c>
      <c r="L448" s="19"/>
      <c r="M448" s="20" t="s">
        <v>15362</v>
      </c>
      <c r="N448" s="20" t="s">
        <v>15378</v>
      </c>
      <c r="O448" s="20"/>
      <c r="P448" s="20"/>
      <c r="Q448" s="20"/>
      <c r="R448" s="20" t="s">
        <v>15324</v>
      </c>
      <c r="S448" s="20">
        <v>45</v>
      </c>
      <c r="T448" s="20">
        <v>24</v>
      </c>
      <c r="U448" s="20">
        <v>80</v>
      </c>
      <c r="V448" s="24" t="s">
        <v>1395</v>
      </c>
      <c r="W448" s="22" t="s">
        <v>15329</v>
      </c>
    </row>
    <row r="449" spans="1:23" x14ac:dyDescent="0.35">
      <c r="A449" s="18" t="s">
        <v>15326</v>
      </c>
      <c r="B449" s="19" t="s">
        <v>15277</v>
      </c>
      <c r="C449" s="24" t="s">
        <v>1395</v>
      </c>
      <c r="D449" s="24" t="s">
        <v>809</v>
      </c>
      <c r="E449" s="19" t="s">
        <v>15327</v>
      </c>
      <c r="F449" s="19" t="s">
        <v>15328</v>
      </c>
      <c r="G449" s="19" t="s">
        <v>15320</v>
      </c>
      <c r="H449" s="20" t="s">
        <v>15420</v>
      </c>
      <c r="I449" s="20" t="s">
        <v>15420</v>
      </c>
      <c r="J449" s="19" t="s">
        <v>15421</v>
      </c>
      <c r="K449" s="19" t="s">
        <v>15422</v>
      </c>
      <c r="L449" s="19"/>
      <c r="M449" s="20" t="s">
        <v>15341</v>
      </c>
      <c r="N449" s="20" t="s">
        <v>15420</v>
      </c>
      <c r="O449" s="20"/>
      <c r="P449" s="20"/>
      <c r="Q449" s="20"/>
      <c r="R449" s="20" t="s">
        <v>15324</v>
      </c>
      <c r="S449" s="20">
        <v>45</v>
      </c>
      <c r="T449" s="20">
        <v>24</v>
      </c>
      <c r="U449" s="20">
        <v>80</v>
      </c>
      <c r="V449" s="24" t="s">
        <v>1395</v>
      </c>
      <c r="W449" s="22" t="s">
        <v>15329</v>
      </c>
    </row>
    <row r="450" spans="1:23" x14ac:dyDescent="0.35">
      <c r="A450" s="18" t="s">
        <v>15326</v>
      </c>
      <c r="B450" s="19" t="s">
        <v>15277</v>
      </c>
      <c r="C450" s="24" t="s">
        <v>1395</v>
      </c>
      <c r="D450" s="24" t="s">
        <v>809</v>
      </c>
      <c r="E450" s="19" t="s">
        <v>15327</v>
      </c>
      <c r="F450" s="19" t="s">
        <v>15328</v>
      </c>
      <c r="G450" s="19" t="s">
        <v>15320</v>
      </c>
      <c r="H450" s="20" t="s">
        <v>15404</v>
      </c>
      <c r="I450" s="20" t="s">
        <v>15404</v>
      </c>
      <c r="J450" s="19" t="s">
        <v>15531</v>
      </c>
      <c r="K450" s="19" t="s">
        <v>15532</v>
      </c>
      <c r="L450" s="19"/>
      <c r="M450" s="20" t="s">
        <v>15357</v>
      </c>
      <c r="N450" s="20" t="s">
        <v>15404</v>
      </c>
      <c r="O450" s="20"/>
      <c r="P450" s="20"/>
      <c r="Q450" s="20"/>
      <c r="R450" s="20" t="s">
        <v>15324</v>
      </c>
      <c r="S450" s="20">
        <v>45</v>
      </c>
      <c r="T450" s="20">
        <v>24</v>
      </c>
      <c r="U450" s="20">
        <v>58</v>
      </c>
      <c r="V450" s="24" t="s">
        <v>1395</v>
      </c>
      <c r="W450" s="22" t="s">
        <v>15329</v>
      </c>
    </row>
    <row r="451" spans="1:23" x14ac:dyDescent="0.35">
      <c r="A451" s="18" t="s">
        <v>15326</v>
      </c>
      <c r="B451" s="19" t="s">
        <v>15277</v>
      </c>
      <c r="C451" s="24" t="s">
        <v>1395</v>
      </c>
      <c r="D451" s="24" t="s">
        <v>809</v>
      </c>
      <c r="E451" s="19" t="s">
        <v>15327</v>
      </c>
      <c r="F451" s="19" t="s">
        <v>15328</v>
      </c>
      <c r="G451" s="19" t="s">
        <v>15320</v>
      </c>
      <c r="H451" s="20" t="s">
        <v>15451</v>
      </c>
      <c r="I451" s="20" t="s">
        <v>15451</v>
      </c>
      <c r="J451" s="19" t="s">
        <v>15865</v>
      </c>
      <c r="K451" s="19" t="s">
        <v>15866</v>
      </c>
      <c r="L451" s="19"/>
      <c r="M451" s="20" t="s">
        <v>15350</v>
      </c>
      <c r="N451" s="20" t="s">
        <v>15451</v>
      </c>
      <c r="O451" s="20"/>
      <c r="P451" s="20"/>
      <c r="Q451" s="20"/>
      <c r="R451" s="20" t="s">
        <v>15324</v>
      </c>
      <c r="S451" s="20">
        <v>45</v>
      </c>
      <c r="T451" s="20">
        <v>24</v>
      </c>
      <c r="U451" s="20">
        <v>80</v>
      </c>
      <c r="V451" s="24" t="s">
        <v>1395</v>
      </c>
      <c r="W451" s="22" t="s">
        <v>15329</v>
      </c>
    </row>
    <row r="452" spans="1:23" x14ac:dyDescent="0.35">
      <c r="A452" s="18" t="s">
        <v>15326</v>
      </c>
      <c r="B452" s="19" t="s">
        <v>15277</v>
      </c>
      <c r="C452" s="24" t="s">
        <v>1395</v>
      </c>
      <c r="D452" s="24" t="s">
        <v>809</v>
      </c>
      <c r="E452" s="19" t="s">
        <v>15327</v>
      </c>
      <c r="F452" s="19" t="s">
        <v>15328</v>
      </c>
      <c r="G452" s="19" t="s">
        <v>15320</v>
      </c>
      <c r="H452" s="20" t="s">
        <v>15363</v>
      </c>
      <c r="I452" s="20" t="s">
        <v>15363</v>
      </c>
      <c r="J452" s="19" t="s">
        <v>15360</v>
      </c>
      <c r="K452" s="19" t="s">
        <v>15361</v>
      </c>
      <c r="L452" s="19"/>
      <c r="M452" s="20" t="s">
        <v>15362</v>
      </c>
      <c r="N452" s="20" t="s">
        <v>15363</v>
      </c>
      <c r="O452" s="20"/>
      <c r="P452" s="20"/>
      <c r="Q452" s="20"/>
      <c r="R452" s="20" t="s">
        <v>15324</v>
      </c>
      <c r="S452" s="20">
        <v>45</v>
      </c>
      <c r="T452" s="20">
        <v>24</v>
      </c>
      <c r="U452" s="20">
        <v>80</v>
      </c>
      <c r="V452" s="24" t="s">
        <v>1395</v>
      </c>
      <c r="W452" s="22" t="s">
        <v>15329</v>
      </c>
    </row>
    <row r="453" spans="1:23" x14ac:dyDescent="0.35">
      <c r="A453" s="18" t="s">
        <v>15326</v>
      </c>
      <c r="B453" s="19" t="s">
        <v>15277</v>
      </c>
      <c r="C453" s="24" t="s">
        <v>1395</v>
      </c>
      <c r="D453" s="24" t="s">
        <v>809</v>
      </c>
      <c r="E453" s="19" t="s">
        <v>15327</v>
      </c>
      <c r="F453" s="19" t="s">
        <v>15328</v>
      </c>
      <c r="G453" s="19" t="s">
        <v>15320</v>
      </c>
      <c r="H453" s="20" t="s">
        <v>15364</v>
      </c>
      <c r="I453" s="20" t="s">
        <v>15364</v>
      </c>
      <c r="J453" s="19" t="s">
        <v>15753</v>
      </c>
      <c r="K453" s="19" t="s">
        <v>15754</v>
      </c>
      <c r="L453" s="19"/>
      <c r="M453" s="20" t="s">
        <v>15350</v>
      </c>
      <c r="N453" s="20" t="s">
        <v>15364</v>
      </c>
      <c r="O453" s="20"/>
      <c r="P453" s="20"/>
      <c r="Q453" s="20"/>
      <c r="R453" s="20" t="s">
        <v>15324</v>
      </c>
      <c r="S453" s="20">
        <v>45</v>
      </c>
      <c r="T453" s="20">
        <v>24</v>
      </c>
      <c r="U453" s="20">
        <v>54</v>
      </c>
      <c r="V453" s="24" t="s">
        <v>1395</v>
      </c>
      <c r="W453" s="22" t="s">
        <v>15329</v>
      </c>
    </row>
    <row r="454" spans="1:23" x14ac:dyDescent="0.35">
      <c r="A454" s="18" t="s">
        <v>15326</v>
      </c>
      <c r="B454" s="19" t="s">
        <v>15277</v>
      </c>
      <c r="C454" s="24" t="s">
        <v>1395</v>
      </c>
      <c r="D454" s="24" t="s">
        <v>809</v>
      </c>
      <c r="E454" s="19" t="s">
        <v>15327</v>
      </c>
      <c r="F454" s="19" t="s">
        <v>15328</v>
      </c>
      <c r="G454" s="19" t="s">
        <v>15320</v>
      </c>
      <c r="H454" s="20" t="s">
        <v>15347</v>
      </c>
      <c r="I454" s="20" t="s">
        <v>15347</v>
      </c>
      <c r="J454" s="19" t="s">
        <v>15764</v>
      </c>
      <c r="K454" s="19" t="s">
        <v>15766</v>
      </c>
      <c r="L454" s="19" t="s">
        <v>15324</v>
      </c>
      <c r="M454" s="20" t="s">
        <v>15341</v>
      </c>
      <c r="N454" s="20" t="s">
        <v>15347</v>
      </c>
      <c r="O454" s="20"/>
      <c r="P454" s="20"/>
      <c r="Q454" s="20"/>
      <c r="R454" s="20" t="s">
        <v>15346</v>
      </c>
      <c r="S454" s="20">
        <v>45</v>
      </c>
      <c r="T454" s="20">
        <v>24</v>
      </c>
      <c r="U454" s="20">
        <v>26</v>
      </c>
      <c r="V454" s="24" t="s">
        <v>1395</v>
      </c>
      <c r="W454" s="22" t="s">
        <v>15329</v>
      </c>
    </row>
    <row r="455" spans="1:23" x14ac:dyDescent="0.35">
      <c r="A455" s="18" t="s">
        <v>15326</v>
      </c>
      <c r="B455" s="19" t="s">
        <v>15277</v>
      </c>
      <c r="C455" s="24" t="s">
        <v>1395</v>
      </c>
      <c r="D455" s="24" t="s">
        <v>809</v>
      </c>
      <c r="E455" s="19" t="s">
        <v>15327</v>
      </c>
      <c r="F455" s="19" t="s">
        <v>15328</v>
      </c>
      <c r="G455" s="19" t="s">
        <v>15320</v>
      </c>
      <c r="H455" s="20" t="s">
        <v>15412</v>
      </c>
      <c r="I455" s="20" t="s">
        <v>15412</v>
      </c>
      <c r="J455" s="19" t="s">
        <v>15464</v>
      </c>
      <c r="K455" s="19" t="s">
        <v>15465</v>
      </c>
      <c r="L455" s="19" t="s">
        <v>15371</v>
      </c>
      <c r="M455" s="20" t="s">
        <v>15350</v>
      </c>
      <c r="N455" s="20" t="s">
        <v>15412</v>
      </c>
      <c r="O455" s="20"/>
      <c r="P455" s="20"/>
      <c r="Q455" s="20"/>
      <c r="R455" s="20" t="s">
        <v>15346</v>
      </c>
      <c r="S455" s="20">
        <v>45</v>
      </c>
      <c r="T455" s="20">
        <v>24</v>
      </c>
      <c r="U455" s="20">
        <v>26</v>
      </c>
      <c r="V455" s="24" t="s">
        <v>1395</v>
      </c>
      <c r="W455" s="22" t="s">
        <v>15329</v>
      </c>
    </row>
    <row r="456" spans="1:23" x14ac:dyDescent="0.35">
      <c r="A456" s="18" t="s">
        <v>15326</v>
      </c>
      <c r="B456" s="19" t="s">
        <v>15277</v>
      </c>
      <c r="C456" s="24" t="s">
        <v>1395</v>
      </c>
      <c r="D456" s="24" t="s">
        <v>809</v>
      </c>
      <c r="E456" s="19" t="s">
        <v>15327</v>
      </c>
      <c r="F456" s="19" t="s">
        <v>15328</v>
      </c>
      <c r="G456" s="19" t="s">
        <v>15320</v>
      </c>
      <c r="H456" s="20" t="s">
        <v>15342</v>
      </c>
      <c r="I456" s="20" t="s">
        <v>15342</v>
      </c>
      <c r="J456" s="19" t="s">
        <v>15771</v>
      </c>
      <c r="K456" s="19" t="s">
        <v>15772</v>
      </c>
      <c r="L456" s="19" t="s">
        <v>15596</v>
      </c>
      <c r="M456" s="20" t="s">
        <v>15341</v>
      </c>
      <c r="N456" s="20" t="s">
        <v>15342</v>
      </c>
      <c r="O456" s="20"/>
      <c r="P456" s="20"/>
      <c r="Q456" s="20"/>
      <c r="R456" s="20" t="s">
        <v>15346</v>
      </c>
      <c r="S456" s="20">
        <v>45</v>
      </c>
      <c r="T456" s="20">
        <v>24</v>
      </c>
      <c r="U456" s="20">
        <v>26</v>
      </c>
      <c r="V456" s="24" t="s">
        <v>1395</v>
      </c>
      <c r="W456" s="22" t="s">
        <v>15329</v>
      </c>
    </row>
    <row r="457" spans="1:23" x14ac:dyDescent="0.35">
      <c r="A457" s="18" t="s">
        <v>15326</v>
      </c>
      <c r="B457" s="19" t="s">
        <v>15277</v>
      </c>
      <c r="C457" s="24" t="s">
        <v>1395</v>
      </c>
      <c r="D457" s="24" t="s">
        <v>809</v>
      </c>
      <c r="E457" s="19" t="s">
        <v>15327</v>
      </c>
      <c r="F457" s="19" t="s">
        <v>15328</v>
      </c>
      <c r="G457" s="19" t="s">
        <v>15320</v>
      </c>
      <c r="H457" s="20" t="s">
        <v>15476</v>
      </c>
      <c r="I457" s="20" t="s">
        <v>15476</v>
      </c>
      <c r="J457" s="19" t="s">
        <v>15617</v>
      </c>
      <c r="K457" s="19" t="s">
        <v>15618</v>
      </c>
      <c r="L457" s="19"/>
      <c r="M457" s="20" t="s">
        <v>15362</v>
      </c>
      <c r="N457" s="20" t="s">
        <v>15476</v>
      </c>
      <c r="O457" s="20"/>
      <c r="P457" s="20"/>
      <c r="Q457" s="20"/>
      <c r="R457" s="20" t="s">
        <v>15346</v>
      </c>
      <c r="S457" s="20">
        <v>45</v>
      </c>
      <c r="T457" s="20">
        <v>24</v>
      </c>
      <c r="U457" s="20">
        <v>63</v>
      </c>
      <c r="V457" s="24" t="s">
        <v>1395</v>
      </c>
      <c r="W457" s="22" t="s">
        <v>15329</v>
      </c>
    </row>
    <row r="458" spans="1:23" x14ac:dyDescent="0.35">
      <c r="A458" s="18" t="s">
        <v>15326</v>
      </c>
      <c r="B458" s="19" t="s">
        <v>15277</v>
      </c>
      <c r="C458" s="24" t="s">
        <v>1395</v>
      </c>
      <c r="D458" s="24" t="s">
        <v>809</v>
      </c>
      <c r="E458" s="19" t="s">
        <v>15327</v>
      </c>
      <c r="F458" s="19" t="s">
        <v>15328</v>
      </c>
      <c r="G458" s="19" t="s">
        <v>15320</v>
      </c>
      <c r="H458" s="20" t="s">
        <v>15392</v>
      </c>
      <c r="I458" s="20" t="s">
        <v>15392</v>
      </c>
      <c r="J458" s="2" t="s">
        <v>15976</v>
      </c>
      <c r="K458" s="19" t="s">
        <v>15834</v>
      </c>
      <c r="L458" s="19"/>
      <c r="M458" s="20" t="s">
        <v>15350</v>
      </c>
      <c r="N458" s="20" t="s">
        <v>15392</v>
      </c>
      <c r="O458" s="20"/>
      <c r="P458" s="20"/>
      <c r="Q458" s="20"/>
      <c r="R458" s="20" t="s">
        <v>15346</v>
      </c>
      <c r="S458" s="20">
        <v>45</v>
      </c>
      <c r="T458" s="20">
        <v>24</v>
      </c>
      <c r="U458" s="20">
        <v>11</v>
      </c>
      <c r="V458" s="24" t="s">
        <v>1395</v>
      </c>
      <c r="W458" s="22" t="s">
        <v>15329</v>
      </c>
    </row>
    <row r="459" spans="1:23" x14ac:dyDescent="0.35">
      <c r="A459" s="18" t="s">
        <v>15326</v>
      </c>
      <c r="B459" s="19" t="s">
        <v>15277</v>
      </c>
      <c r="C459" s="24" t="s">
        <v>1395</v>
      </c>
      <c r="D459" s="24" t="s">
        <v>809</v>
      </c>
      <c r="E459" s="19" t="s">
        <v>15327</v>
      </c>
      <c r="F459" s="19" t="s">
        <v>15328</v>
      </c>
      <c r="G459" s="19" t="s">
        <v>15320</v>
      </c>
      <c r="H459" s="20" t="s">
        <v>15351</v>
      </c>
      <c r="I459" s="20" t="s">
        <v>15351</v>
      </c>
      <c r="J459" s="2" t="s">
        <v>15960</v>
      </c>
      <c r="K459" s="19" t="s">
        <v>15556</v>
      </c>
      <c r="L459" s="19"/>
      <c r="M459" s="20" t="s">
        <v>15350</v>
      </c>
      <c r="N459" s="20" t="s">
        <v>15351</v>
      </c>
      <c r="O459" s="20"/>
      <c r="P459" s="20"/>
      <c r="Q459" s="20"/>
      <c r="R459" s="20" t="s">
        <v>15346</v>
      </c>
      <c r="S459" s="20">
        <v>45</v>
      </c>
      <c r="T459" s="20">
        <v>24</v>
      </c>
      <c r="U459" s="20">
        <v>18</v>
      </c>
      <c r="V459" s="24" t="s">
        <v>1395</v>
      </c>
      <c r="W459" s="22" t="s">
        <v>15329</v>
      </c>
    </row>
    <row r="460" spans="1:23" x14ac:dyDescent="0.35">
      <c r="A460" s="18" t="s">
        <v>15326</v>
      </c>
      <c r="B460" s="19" t="s">
        <v>15277</v>
      </c>
      <c r="C460" s="24" t="s">
        <v>1395</v>
      </c>
      <c r="D460" s="24" t="s">
        <v>809</v>
      </c>
      <c r="E460" s="19" t="s">
        <v>15327</v>
      </c>
      <c r="F460" s="19" t="s">
        <v>15328</v>
      </c>
      <c r="G460" s="19" t="s">
        <v>15320</v>
      </c>
      <c r="H460" s="20" t="s">
        <v>15359</v>
      </c>
      <c r="I460" s="20" t="s">
        <v>15359</v>
      </c>
      <c r="J460" s="2" t="s">
        <v>15965</v>
      </c>
      <c r="K460" s="19" t="s">
        <v>15647</v>
      </c>
      <c r="L460" s="19"/>
      <c r="M460" s="20" t="s">
        <v>15341</v>
      </c>
      <c r="N460" s="20" t="s">
        <v>15359</v>
      </c>
      <c r="O460" s="20"/>
      <c r="P460" s="20"/>
      <c r="Q460" s="20"/>
      <c r="R460" s="20" t="s">
        <v>15346</v>
      </c>
      <c r="S460" s="20">
        <v>45</v>
      </c>
      <c r="T460" s="20">
        <v>24</v>
      </c>
      <c r="U460" s="20">
        <v>22</v>
      </c>
      <c r="V460" s="24" t="s">
        <v>1395</v>
      </c>
      <c r="W460" s="22" t="s">
        <v>15329</v>
      </c>
    </row>
    <row r="461" spans="1:23" x14ac:dyDescent="0.35">
      <c r="A461" s="18" t="s">
        <v>15326</v>
      </c>
      <c r="B461" s="19" t="s">
        <v>15277</v>
      </c>
      <c r="C461" s="24" t="s">
        <v>1395</v>
      </c>
      <c r="D461" s="24" t="s">
        <v>809</v>
      </c>
      <c r="E461" s="19" t="s">
        <v>15327</v>
      </c>
      <c r="F461" s="19" t="s">
        <v>15328</v>
      </c>
      <c r="G461" s="19" t="s">
        <v>15320</v>
      </c>
      <c r="H461" s="20" t="s">
        <v>15423</v>
      </c>
      <c r="I461" s="20" t="s">
        <v>15423</v>
      </c>
      <c r="J461" s="19" t="s">
        <v>15709</v>
      </c>
      <c r="K461" s="19" t="s">
        <v>15710</v>
      </c>
      <c r="L461" s="19"/>
      <c r="M461" s="20" t="s">
        <v>15323</v>
      </c>
      <c r="N461" s="20" t="s">
        <v>15423</v>
      </c>
      <c r="O461" s="20"/>
      <c r="P461" s="20"/>
      <c r="Q461" s="20"/>
      <c r="R461" s="20" t="s">
        <v>15346</v>
      </c>
      <c r="S461" s="20">
        <v>45</v>
      </c>
      <c r="T461" s="20">
        <v>24</v>
      </c>
      <c r="U461" s="20">
        <v>26</v>
      </c>
      <c r="V461" s="24" t="s">
        <v>1395</v>
      </c>
      <c r="W461" s="22" t="s">
        <v>15329</v>
      </c>
    </row>
  </sheetData>
  <sortState ref="A187:W231">
    <sortCondition ref="W187:W231"/>
  </sortState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9"/>
  <sheetViews>
    <sheetView zoomScale="85" zoomScaleNormal="85" workbookViewId="0">
      <pane ySplit="1" topLeftCell="A332" activePane="bottomLeft" state="frozen"/>
      <selection activeCell="C1" sqref="C1"/>
      <selection pane="bottomLeft" activeCell="O489" sqref="A1:O489"/>
    </sheetView>
  </sheetViews>
  <sheetFormatPr defaultRowHeight="14.5" x14ac:dyDescent="0.35"/>
  <cols>
    <col min="1" max="1" width="6.26953125" style="2" bestFit="1" customWidth="1"/>
    <col min="2" max="2" width="7.453125" style="2" bestFit="1" customWidth="1"/>
    <col min="3" max="3" width="5.26953125" style="2" bestFit="1" customWidth="1"/>
    <col min="4" max="4" width="8" style="2" bestFit="1" customWidth="1"/>
    <col min="5" max="5" width="9.08984375" style="2" bestFit="1" customWidth="1"/>
    <col min="6" max="6" width="10.453125" style="2" bestFit="1" customWidth="1"/>
    <col min="7" max="7" width="15.7265625" style="2" bestFit="1" customWidth="1"/>
    <col min="8" max="8" width="3.81640625" style="2" bestFit="1" customWidth="1"/>
    <col min="9" max="9" width="4.6328125" style="16" bestFit="1" customWidth="1"/>
    <col min="10" max="10" width="43.08984375" style="2" bestFit="1" customWidth="1"/>
    <col min="11" max="11" width="5.08984375" style="2" bestFit="1" customWidth="1"/>
    <col min="12" max="12" width="3.90625" style="16" bestFit="1" customWidth="1"/>
    <col min="13" max="13" width="43.08984375" style="2" customWidth="1"/>
    <col min="14" max="14" width="6.6328125" style="2" bestFit="1" customWidth="1"/>
    <col min="15" max="15" width="9.36328125" style="2" bestFit="1" customWidth="1"/>
    <col min="16" max="16" width="8.7265625" style="2" customWidth="1"/>
    <col min="17" max="16384" width="8.7265625" style="2"/>
  </cols>
  <sheetData>
    <row r="1" spans="1:15" x14ac:dyDescent="0.35">
      <c r="A1" t="s">
        <v>15295</v>
      </c>
      <c r="B1" t="s">
        <v>15296</v>
      </c>
      <c r="C1" t="s">
        <v>15297</v>
      </c>
      <c r="D1" t="s">
        <v>15298</v>
      </c>
      <c r="E1" t="s">
        <v>15299</v>
      </c>
      <c r="F1" t="s">
        <v>15300</v>
      </c>
      <c r="G1" t="s">
        <v>15301</v>
      </c>
      <c r="H1" t="s">
        <v>15867</v>
      </c>
      <c r="I1" s="16" t="s">
        <v>15868</v>
      </c>
      <c r="J1" t="s">
        <v>15869</v>
      </c>
      <c r="K1" t="s">
        <v>15870</v>
      </c>
      <c r="L1" s="16" t="s">
        <v>15871</v>
      </c>
      <c r="M1" t="s">
        <v>15872</v>
      </c>
      <c r="N1" t="s">
        <v>15873</v>
      </c>
      <c r="O1" t="s">
        <v>15874</v>
      </c>
    </row>
    <row r="2" spans="1:15" x14ac:dyDescent="0.35">
      <c r="A2" t="s">
        <v>15368</v>
      </c>
      <c r="B2" t="s">
        <v>33</v>
      </c>
      <c r="C2" t="s">
        <v>557</v>
      </c>
      <c r="D2" t="s">
        <v>431</v>
      </c>
      <c r="E2" t="s">
        <v>15319</v>
      </c>
      <c r="F2" t="s">
        <v>427</v>
      </c>
      <c r="G2" t="s">
        <v>15320</v>
      </c>
      <c r="H2" t="s">
        <v>15875</v>
      </c>
      <c r="I2" s="16" t="s">
        <v>15359</v>
      </c>
      <c r="J2" t="s">
        <v>15876</v>
      </c>
      <c r="L2" s="16" t="s">
        <v>2197</v>
      </c>
      <c r="M2" t="s">
        <v>15497</v>
      </c>
      <c r="N2" t="s">
        <v>557</v>
      </c>
      <c r="O2" t="s">
        <v>15329</v>
      </c>
    </row>
    <row r="3" spans="1:15" x14ac:dyDescent="0.35">
      <c r="A3" t="s">
        <v>15368</v>
      </c>
      <c r="B3" t="s">
        <v>33</v>
      </c>
      <c r="C3" t="s">
        <v>557</v>
      </c>
      <c r="D3" t="s">
        <v>431</v>
      </c>
      <c r="E3" t="s">
        <v>15319</v>
      </c>
      <c r="F3" t="s">
        <v>427</v>
      </c>
      <c r="G3" t="s">
        <v>15320</v>
      </c>
      <c r="H3" t="s">
        <v>15875</v>
      </c>
      <c r="I3" s="16" t="s">
        <v>15877</v>
      </c>
      <c r="J3" t="s">
        <v>15876</v>
      </c>
      <c r="L3" s="16" t="s">
        <v>2151</v>
      </c>
      <c r="M3" t="s">
        <v>15778</v>
      </c>
      <c r="N3" t="s">
        <v>557</v>
      </c>
      <c r="O3" t="s">
        <v>15329</v>
      </c>
    </row>
    <row r="4" spans="1:15" x14ac:dyDescent="0.35">
      <c r="A4" t="s">
        <v>15368</v>
      </c>
      <c r="B4" t="s">
        <v>33</v>
      </c>
      <c r="C4" t="s">
        <v>557</v>
      </c>
      <c r="D4" t="s">
        <v>431</v>
      </c>
      <c r="E4" t="s">
        <v>15319</v>
      </c>
      <c r="F4" t="s">
        <v>427</v>
      </c>
      <c r="G4" t="s">
        <v>15320</v>
      </c>
      <c r="H4" t="s">
        <v>15875</v>
      </c>
      <c r="I4" s="16" t="s">
        <v>15878</v>
      </c>
      <c r="J4" t="s">
        <v>15876</v>
      </c>
      <c r="L4" s="16" t="s">
        <v>2197</v>
      </c>
      <c r="M4" t="s">
        <v>15661</v>
      </c>
      <c r="N4" t="s">
        <v>431</v>
      </c>
      <c r="O4" t="s">
        <v>15325</v>
      </c>
    </row>
    <row r="5" spans="1:15" x14ac:dyDescent="0.35">
      <c r="A5" t="s">
        <v>15368</v>
      </c>
      <c r="B5" t="s">
        <v>33</v>
      </c>
      <c r="C5" t="s">
        <v>27</v>
      </c>
      <c r="D5" t="s">
        <v>238</v>
      </c>
      <c r="E5" t="s">
        <v>15319</v>
      </c>
      <c r="F5" t="s">
        <v>15377</v>
      </c>
      <c r="G5" t="s">
        <v>15320</v>
      </c>
      <c r="H5" t="s">
        <v>15875</v>
      </c>
      <c r="I5" s="16" t="s">
        <v>15347</v>
      </c>
      <c r="J5" t="s">
        <v>15876</v>
      </c>
      <c r="L5" s="16" t="s">
        <v>15331</v>
      </c>
      <c r="M5" t="s">
        <v>15667</v>
      </c>
      <c r="N5" t="s">
        <v>27</v>
      </c>
      <c r="O5" t="s">
        <v>15329</v>
      </c>
    </row>
    <row r="6" spans="1:15" x14ac:dyDescent="0.35">
      <c r="A6" t="s">
        <v>15368</v>
      </c>
      <c r="B6" t="s">
        <v>33</v>
      </c>
      <c r="C6" t="s">
        <v>27</v>
      </c>
      <c r="D6" t="s">
        <v>238</v>
      </c>
      <c r="E6" t="s">
        <v>15319</v>
      </c>
      <c r="F6" t="s">
        <v>15377</v>
      </c>
      <c r="G6" t="s">
        <v>15320</v>
      </c>
      <c r="H6" t="s">
        <v>15875</v>
      </c>
      <c r="I6" s="16" t="s">
        <v>15412</v>
      </c>
      <c r="J6" t="s">
        <v>15876</v>
      </c>
      <c r="L6" s="16" t="s">
        <v>15364</v>
      </c>
      <c r="M6" t="s">
        <v>15484</v>
      </c>
      <c r="N6" t="s">
        <v>27</v>
      </c>
      <c r="O6" t="s">
        <v>15329</v>
      </c>
    </row>
    <row r="7" spans="1:15" x14ac:dyDescent="0.35">
      <c r="A7" t="s">
        <v>15368</v>
      </c>
      <c r="B7" t="s">
        <v>33</v>
      </c>
      <c r="C7" t="s">
        <v>809</v>
      </c>
      <c r="D7" t="s">
        <v>671</v>
      </c>
      <c r="E7" t="s">
        <v>15319</v>
      </c>
      <c r="F7" t="s">
        <v>667</v>
      </c>
      <c r="G7" t="s">
        <v>15320</v>
      </c>
      <c r="H7" t="s">
        <v>15879</v>
      </c>
      <c r="I7" s="16" t="s">
        <v>15880</v>
      </c>
      <c r="J7" t="s">
        <v>15876</v>
      </c>
      <c r="L7" s="16" t="s">
        <v>15392</v>
      </c>
      <c r="M7" t="s">
        <v>15638</v>
      </c>
      <c r="N7" t="s">
        <v>671</v>
      </c>
      <c r="O7" t="s">
        <v>15325</v>
      </c>
    </row>
    <row r="8" spans="1:15" x14ac:dyDescent="0.35">
      <c r="A8" t="s">
        <v>15368</v>
      </c>
      <c r="B8" t="s">
        <v>33</v>
      </c>
      <c r="C8" t="s">
        <v>809</v>
      </c>
      <c r="D8" t="s">
        <v>671</v>
      </c>
      <c r="E8" t="s">
        <v>15319</v>
      </c>
      <c r="F8" t="s">
        <v>667</v>
      </c>
      <c r="G8" t="s">
        <v>15320</v>
      </c>
      <c r="H8" t="s">
        <v>15879</v>
      </c>
      <c r="I8" s="16" t="s">
        <v>15881</v>
      </c>
      <c r="J8" t="s">
        <v>15876</v>
      </c>
      <c r="L8" s="16" t="s">
        <v>15354</v>
      </c>
      <c r="M8" t="s">
        <v>15403</v>
      </c>
      <c r="N8" t="s">
        <v>671</v>
      </c>
      <c r="O8" t="s">
        <v>15325</v>
      </c>
    </row>
    <row r="9" spans="1:15" x14ac:dyDescent="0.35">
      <c r="A9" t="s">
        <v>15368</v>
      </c>
      <c r="B9" t="s">
        <v>33</v>
      </c>
      <c r="C9" t="s">
        <v>1257</v>
      </c>
      <c r="D9" t="s">
        <v>1395</v>
      </c>
      <c r="E9" t="s">
        <v>15319</v>
      </c>
      <c r="F9" t="s">
        <v>1253</v>
      </c>
      <c r="G9" t="s">
        <v>15320</v>
      </c>
      <c r="H9" t="s">
        <v>15875</v>
      </c>
      <c r="I9" s="16" t="s">
        <v>15882</v>
      </c>
      <c r="J9" t="s">
        <v>15876</v>
      </c>
      <c r="L9" s="16">
        <v>1</v>
      </c>
      <c r="M9" t="s">
        <v>15465</v>
      </c>
      <c r="N9" t="s">
        <v>1395</v>
      </c>
      <c r="O9" t="s">
        <v>15325</v>
      </c>
    </row>
    <row r="10" spans="1:15" x14ac:dyDescent="0.35">
      <c r="A10" t="s">
        <v>15368</v>
      </c>
      <c r="B10" t="s">
        <v>33</v>
      </c>
      <c r="C10" t="s">
        <v>431</v>
      </c>
      <c r="D10" t="s">
        <v>1257</v>
      </c>
      <c r="E10" t="s">
        <v>15327</v>
      </c>
      <c r="F10" t="s">
        <v>15355</v>
      </c>
      <c r="G10" t="s">
        <v>15320</v>
      </c>
      <c r="H10" t="s">
        <v>15879</v>
      </c>
      <c r="I10" s="16">
        <v>48</v>
      </c>
      <c r="J10" t="s">
        <v>15876</v>
      </c>
      <c r="L10" s="16">
        <v>22</v>
      </c>
      <c r="M10" t="s">
        <v>15833</v>
      </c>
      <c r="N10" t="s">
        <v>1257</v>
      </c>
      <c r="O10" t="s">
        <v>15325</v>
      </c>
    </row>
    <row r="11" spans="1:15" x14ac:dyDescent="0.35">
      <c r="A11" t="s">
        <v>15368</v>
      </c>
      <c r="B11" t="s">
        <v>33</v>
      </c>
      <c r="C11" t="s">
        <v>431</v>
      </c>
      <c r="D11" t="s">
        <v>1257</v>
      </c>
      <c r="E11" t="s">
        <v>15327</v>
      </c>
      <c r="F11" t="s">
        <v>15355</v>
      </c>
      <c r="G11" t="s">
        <v>15320</v>
      </c>
      <c r="H11" t="s">
        <v>15879</v>
      </c>
      <c r="I11" s="16">
        <v>53</v>
      </c>
      <c r="J11" t="s">
        <v>15876</v>
      </c>
      <c r="L11" s="16">
        <v>19</v>
      </c>
      <c r="M11" t="s">
        <v>15640</v>
      </c>
      <c r="N11" t="s">
        <v>1257</v>
      </c>
      <c r="O11" t="s">
        <v>15325</v>
      </c>
    </row>
    <row r="12" spans="1:15" x14ac:dyDescent="0.35">
      <c r="A12" t="s">
        <v>15368</v>
      </c>
      <c r="B12" t="s">
        <v>33</v>
      </c>
      <c r="C12" t="s">
        <v>238</v>
      </c>
      <c r="D12" t="s">
        <v>557</v>
      </c>
      <c r="E12" t="s">
        <v>15327</v>
      </c>
      <c r="F12" t="s">
        <v>15384</v>
      </c>
      <c r="G12" t="s">
        <v>15320</v>
      </c>
      <c r="H12" t="s">
        <v>15879</v>
      </c>
      <c r="I12" s="16">
        <v>72</v>
      </c>
      <c r="J12" t="s">
        <v>15876</v>
      </c>
      <c r="L12" s="16">
        <v>6</v>
      </c>
      <c r="M12" t="s">
        <v>15792</v>
      </c>
      <c r="N12" t="s">
        <v>557</v>
      </c>
      <c r="O12" t="s">
        <v>15325</v>
      </c>
    </row>
    <row r="13" spans="1:15" x14ac:dyDescent="0.35">
      <c r="A13" t="s">
        <v>15368</v>
      </c>
      <c r="B13" t="s">
        <v>33</v>
      </c>
      <c r="C13" t="s">
        <v>1090</v>
      </c>
      <c r="D13" t="s">
        <v>27</v>
      </c>
      <c r="E13" t="s">
        <v>15327</v>
      </c>
      <c r="F13" t="s">
        <v>15367</v>
      </c>
      <c r="G13" t="s">
        <v>15320</v>
      </c>
      <c r="H13" t="s">
        <v>15879</v>
      </c>
      <c r="I13" s="16">
        <v>49</v>
      </c>
      <c r="J13" t="s">
        <v>15876</v>
      </c>
      <c r="L13" s="16">
        <v>1</v>
      </c>
      <c r="M13" t="s">
        <v>15862</v>
      </c>
      <c r="N13" t="s">
        <v>27</v>
      </c>
      <c r="O13" t="s">
        <v>15325</v>
      </c>
    </row>
    <row r="14" spans="1:15" x14ac:dyDescent="0.35">
      <c r="A14" t="s">
        <v>15368</v>
      </c>
      <c r="B14" t="s">
        <v>33</v>
      </c>
      <c r="C14" t="s">
        <v>1090</v>
      </c>
      <c r="D14" t="s">
        <v>27</v>
      </c>
      <c r="E14" t="s">
        <v>15327</v>
      </c>
      <c r="F14" t="s">
        <v>15367</v>
      </c>
      <c r="G14" t="s">
        <v>15320</v>
      </c>
      <c r="H14" t="s">
        <v>15879</v>
      </c>
      <c r="I14" s="16">
        <v>71</v>
      </c>
      <c r="J14" t="s">
        <v>15876</v>
      </c>
      <c r="L14" s="16">
        <v>7</v>
      </c>
      <c r="M14" t="s">
        <v>15812</v>
      </c>
      <c r="N14" t="s">
        <v>27</v>
      </c>
      <c r="O14" t="s">
        <v>15325</v>
      </c>
    </row>
    <row r="15" spans="1:15" x14ac:dyDescent="0.35">
      <c r="A15" t="s">
        <v>15368</v>
      </c>
      <c r="B15" t="s">
        <v>33</v>
      </c>
      <c r="C15" t="s">
        <v>1395</v>
      </c>
      <c r="D15" t="s">
        <v>809</v>
      </c>
      <c r="E15" t="s">
        <v>15327</v>
      </c>
      <c r="F15" t="s">
        <v>15328</v>
      </c>
      <c r="G15" t="s">
        <v>15320</v>
      </c>
      <c r="H15" t="s">
        <v>15879</v>
      </c>
      <c r="I15" s="16" t="s">
        <v>15880</v>
      </c>
      <c r="J15" t="s">
        <v>15876</v>
      </c>
      <c r="L15" s="16" t="s">
        <v>15347</v>
      </c>
      <c r="M15" t="s">
        <v>15883</v>
      </c>
      <c r="N15" t="s">
        <v>1395</v>
      </c>
      <c r="O15" t="s">
        <v>15329</v>
      </c>
    </row>
    <row r="16" spans="1:15" x14ac:dyDescent="0.35">
      <c r="A16" t="s">
        <v>15368</v>
      </c>
      <c r="B16" t="s">
        <v>33</v>
      </c>
      <c r="C16" t="s">
        <v>1395</v>
      </c>
      <c r="D16" t="s">
        <v>809</v>
      </c>
      <c r="E16" t="s">
        <v>15327</v>
      </c>
      <c r="F16" t="s">
        <v>15328</v>
      </c>
      <c r="G16" t="s">
        <v>15320</v>
      </c>
      <c r="H16" t="s">
        <v>15879</v>
      </c>
      <c r="I16" s="16" t="s">
        <v>15884</v>
      </c>
      <c r="J16" t="s">
        <v>15876</v>
      </c>
      <c r="L16" s="16" t="s">
        <v>15381</v>
      </c>
      <c r="M16" t="s">
        <v>15408</v>
      </c>
      <c r="N16" t="s">
        <v>809</v>
      </c>
      <c r="O16" t="s">
        <v>15325</v>
      </c>
    </row>
    <row r="17" spans="1:15" x14ac:dyDescent="0.35">
      <c r="A17" t="s">
        <v>15368</v>
      </c>
      <c r="B17" t="s">
        <v>33</v>
      </c>
      <c r="C17" t="s">
        <v>1257</v>
      </c>
      <c r="D17" t="s">
        <v>1395</v>
      </c>
      <c r="E17" t="s">
        <v>15319</v>
      </c>
      <c r="F17" t="s">
        <v>1253</v>
      </c>
      <c r="G17" t="s">
        <v>15320</v>
      </c>
      <c r="H17" t="s">
        <v>15879</v>
      </c>
      <c r="I17" s="16" t="s">
        <v>15885</v>
      </c>
      <c r="J17" t="s">
        <v>15886</v>
      </c>
      <c r="L17" s="16" t="s">
        <v>15347</v>
      </c>
      <c r="M17" t="s">
        <v>15719</v>
      </c>
      <c r="N17" t="s">
        <v>1257</v>
      </c>
      <c r="O17" t="s">
        <v>15329</v>
      </c>
    </row>
    <row r="18" spans="1:15" x14ac:dyDescent="0.35">
      <c r="A18" t="s">
        <v>15368</v>
      </c>
      <c r="B18" t="s">
        <v>33</v>
      </c>
      <c r="C18" t="s">
        <v>557</v>
      </c>
      <c r="D18" t="s">
        <v>431</v>
      </c>
      <c r="E18" t="s">
        <v>15319</v>
      </c>
      <c r="F18" t="s">
        <v>427</v>
      </c>
      <c r="G18" t="s">
        <v>15320</v>
      </c>
      <c r="H18" t="s">
        <v>15875</v>
      </c>
      <c r="I18" s="16" t="s">
        <v>15887</v>
      </c>
      <c r="J18" t="s">
        <v>15888</v>
      </c>
      <c r="K18">
        <v>2</v>
      </c>
      <c r="L18" s="16" t="s">
        <v>15378</v>
      </c>
      <c r="M18" t="s">
        <v>15814</v>
      </c>
      <c r="N18" t="s">
        <v>557</v>
      </c>
      <c r="O18" t="s">
        <v>15329</v>
      </c>
    </row>
    <row r="19" spans="1:15" x14ac:dyDescent="0.35">
      <c r="A19" t="s">
        <v>15368</v>
      </c>
      <c r="B19" t="s">
        <v>33</v>
      </c>
      <c r="C19" t="s">
        <v>557</v>
      </c>
      <c r="D19" t="s">
        <v>431</v>
      </c>
      <c r="E19" t="s">
        <v>15319</v>
      </c>
      <c r="F19" t="s">
        <v>427</v>
      </c>
      <c r="G19" t="s">
        <v>15320</v>
      </c>
      <c r="H19" t="s">
        <v>15875</v>
      </c>
      <c r="I19" s="16" t="s">
        <v>15363</v>
      </c>
      <c r="J19" t="s">
        <v>15888</v>
      </c>
      <c r="K19">
        <v>2</v>
      </c>
      <c r="L19" s="16" t="s">
        <v>15378</v>
      </c>
      <c r="M19" t="s">
        <v>15814</v>
      </c>
      <c r="N19" t="s">
        <v>557</v>
      </c>
      <c r="O19" t="s">
        <v>15329</v>
      </c>
    </row>
    <row r="20" spans="1:15" x14ac:dyDescent="0.35">
      <c r="A20" t="s">
        <v>15368</v>
      </c>
      <c r="B20" t="s">
        <v>33</v>
      </c>
      <c r="C20" t="s">
        <v>557</v>
      </c>
      <c r="D20" t="s">
        <v>431</v>
      </c>
      <c r="E20" t="s">
        <v>15319</v>
      </c>
      <c r="F20" t="s">
        <v>427</v>
      </c>
      <c r="G20" t="s">
        <v>15320</v>
      </c>
      <c r="H20" t="s">
        <v>15875</v>
      </c>
      <c r="I20" s="16" t="s">
        <v>15882</v>
      </c>
      <c r="J20" t="s">
        <v>15888</v>
      </c>
      <c r="K20">
        <v>2</v>
      </c>
      <c r="L20" s="16" t="s">
        <v>15378</v>
      </c>
      <c r="M20" t="s">
        <v>15814</v>
      </c>
      <c r="N20" t="s">
        <v>557</v>
      </c>
      <c r="O20" t="s">
        <v>15329</v>
      </c>
    </row>
    <row r="21" spans="1:15" x14ac:dyDescent="0.35">
      <c r="A21" t="s">
        <v>15368</v>
      </c>
      <c r="B21" t="s">
        <v>33</v>
      </c>
      <c r="C21" t="s">
        <v>557</v>
      </c>
      <c r="D21" t="s">
        <v>431</v>
      </c>
      <c r="E21" t="s">
        <v>15319</v>
      </c>
      <c r="F21" t="s">
        <v>427</v>
      </c>
      <c r="G21" t="s">
        <v>15320</v>
      </c>
      <c r="H21" t="s">
        <v>15879</v>
      </c>
      <c r="I21" s="16" t="s">
        <v>15889</v>
      </c>
      <c r="J21" t="s">
        <v>15888</v>
      </c>
      <c r="K21">
        <v>2</v>
      </c>
      <c r="L21" s="16" t="s">
        <v>15378</v>
      </c>
      <c r="M21" t="s">
        <v>15814</v>
      </c>
      <c r="N21" t="s">
        <v>557</v>
      </c>
      <c r="O21" t="s">
        <v>15329</v>
      </c>
    </row>
    <row r="22" spans="1:15" x14ac:dyDescent="0.35">
      <c r="A22" t="s">
        <v>15368</v>
      </c>
      <c r="B22" t="s">
        <v>33</v>
      </c>
      <c r="C22" t="s">
        <v>557</v>
      </c>
      <c r="D22" t="s">
        <v>431</v>
      </c>
      <c r="E22" t="s">
        <v>15319</v>
      </c>
      <c r="F22" t="s">
        <v>427</v>
      </c>
      <c r="G22" t="s">
        <v>15320</v>
      </c>
      <c r="H22" t="s">
        <v>15879</v>
      </c>
      <c r="I22" s="16" t="s">
        <v>15890</v>
      </c>
      <c r="J22" t="s">
        <v>15888</v>
      </c>
      <c r="K22">
        <v>2</v>
      </c>
      <c r="L22" s="16" t="s">
        <v>15359</v>
      </c>
      <c r="M22" t="s">
        <v>15644</v>
      </c>
      <c r="N22" t="s">
        <v>557</v>
      </c>
      <c r="O22" t="s">
        <v>15329</v>
      </c>
    </row>
    <row r="23" spans="1:15" x14ac:dyDescent="0.35">
      <c r="A23" t="s">
        <v>15368</v>
      </c>
      <c r="B23" t="s">
        <v>33</v>
      </c>
      <c r="C23" t="s">
        <v>557</v>
      </c>
      <c r="D23" t="s">
        <v>431</v>
      </c>
      <c r="E23" t="s">
        <v>15319</v>
      </c>
      <c r="F23" t="s">
        <v>427</v>
      </c>
      <c r="G23" t="s">
        <v>15320</v>
      </c>
      <c r="H23" t="s">
        <v>15875</v>
      </c>
      <c r="I23" s="16" t="s">
        <v>15891</v>
      </c>
      <c r="J23" t="s">
        <v>15888</v>
      </c>
      <c r="K23">
        <v>2</v>
      </c>
      <c r="L23" s="16" t="s">
        <v>15378</v>
      </c>
      <c r="M23" t="s">
        <v>15721</v>
      </c>
      <c r="N23" t="s">
        <v>431</v>
      </c>
      <c r="O23" t="s">
        <v>15325</v>
      </c>
    </row>
    <row r="24" spans="1:15" x14ac:dyDescent="0.35">
      <c r="A24" t="s">
        <v>15368</v>
      </c>
      <c r="B24" t="s">
        <v>33</v>
      </c>
      <c r="C24" t="s">
        <v>557</v>
      </c>
      <c r="D24" t="s">
        <v>431</v>
      </c>
      <c r="E24" t="s">
        <v>15319</v>
      </c>
      <c r="F24" t="s">
        <v>427</v>
      </c>
      <c r="G24" t="s">
        <v>15320</v>
      </c>
      <c r="H24" t="s">
        <v>15875</v>
      </c>
      <c r="I24" s="16" t="s">
        <v>15412</v>
      </c>
      <c r="J24" t="s">
        <v>15888</v>
      </c>
      <c r="K24">
        <v>2</v>
      </c>
      <c r="L24" s="16" t="s">
        <v>15378</v>
      </c>
      <c r="M24" t="s">
        <v>15721</v>
      </c>
      <c r="N24" t="s">
        <v>431</v>
      </c>
      <c r="O24" t="s">
        <v>15325</v>
      </c>
    </row>
    <row r="25" spans="1:15" x14ac:dyDescent="0.35">
      <c r="A25" t="s">
        <v>15368</v>
      </c>
      <c r="B25" t="s">
        <v>33</v>
      </c>
      <c r="C25" t="s">
        <v>557</v>
      </c>
      <c r="D25" t="s">
        <v>431</v>
      </c>
      <c r="E25" t="s">
        <v>15319</v>
      </c>
      <c r="F25" t="s">
        <v>427</v>
      </c>
      <c r="G25" t="s">
        <v>15320</v>
      </c>
      <c r="H25" t="s">
        <v>15879</v>
      </c>
      <c r="I25" s="16" t="s">
        <v>15892</v>
      </c>
      <c r="J25" t="s">
        <v>15888</v>
      </c>
      <c r="K25">
        <v>2</v>
      </c>
      <c r="L25" s="16" t="s">
        <v>15364</v>
      </c>
      <c r="M25" t="s">
        <v>15691</v>
      </c>
      <c r="N25" t="s">
        <v>431</v>
      </c>
      <c r="O25" t="s">
        <v>15325</v>
      </c>
    </row>
    <row r="26" spans="1:15" x14ac:dyDescent="0.35">
      <c r="A26" t="s">
        <v>15368</v>
      </c>
      <c r="B26" t="s">
        <v>33</v>
      </c>
      <c r="C26" t="s">
        <v>27</v>
      </c>
      <c r="D26" t="s">
        <v>238</v>
      </c>
      <c r="E26" t="s">
        <v>15319</v>
      </c>
      <c r="F26" t="s">
        <v>15377</v>
      </c>
      <c r="G26" t="s">
        <v>15320</v>
      </c>
      <c r="H26" t="s">
        <v>15875</v>
      </c>
      <c r="I26" s="16" t="s">
        <v>15893</v>
      </c>
      <c r="J26" t="s">
        <v>15888</v>
      </c>
      <c r="K26">
        <v>2</v>
      </c>
      <c r="L26" s="16" t="s">
        <v>15378</v>
      </c>
      <c r="M26" t="s">
        <v>15380</v>
      </c>
      <c r="N26" t="s">
        <v>27</v>
      </c>
      <c r="O26" t="s">
        <v>15329</v>
      </c>
    </row>
    <row r="27" spans="1:15" x14ac:dyDescent="0.35">
      <c r="A27" t="s">
        <v>15368</v>
      </c>
      <c r="B27" t="s">
        <v>33</v>
      </c>
      <c r="C27" t="s">
        <v>27</v>
      </c>
      <c r="D27" t="s">
        <v>238</v>
      </c>
      <c r="E27" t="s">
        <v>15319</v>
      </c>
      <c r="F27" t="s">
        <v>15377</v>
      </c>
      <c r="G27" t="s">
        <v>15320</v>
      </c>
      <c r="H27" t="s">
        <v>15875</v>
      </c>
      <c r="I27" s="16" t="s">
        <v>15359</v>
      </c>
      <c r="J27" t="s">
        <v>15888</v>
      </c>
      <c r="K27">
        <v>2</v>
      </c>
      <c r="L27" s="16" t="s">
        <v>15378</v>
      </c>
      <c r="M27" t="s">
        <v>15380</v>
      </c>
      <c r="N27" t="s">
        <v>27</v>
      </c>
      <c r="O27" t="s">
        <v>15329</v>
      </c>
    </row>
    <row r="28" spans="1:15" x14ac:dyDescent="0.35">
      <c r="A28" t="s">
        <v>15368</v>
      </c>
      <c r="B28" t="s">
        <v>33</v>
      </c>
      <c r="C28" t="s">
        <v>27</v>
      </c>
      <c r="D28" t="s">
        <v>238</v>
      </c>
      <c r="E28" t="s">
        <v>15319</v>
      </c>
      <c r="F28" t="s">
        <v>15377</v>
      </c>
      <c r="G28" t="s">
        <v>15320</v>
      </c>
      <c r="H28" t="s">
        <v>15879</v>
      </c>
      <c r="I28" s="16" t="s">
        <v>15892</v>
      </c>
      <c r="J28" t="s">
        <v>15888</v>
      </c>
      <c r="K28">
        <v>2</v>
      </c>
      <c r="L28" s="16" t="s">
        <v>15423</v>
      </c>
      <c r="M28" t="s">
        <v>15425</v>
      </c>
      <c r="N28" t="s">
        <v>27</v>
      </c>
      <c r="O28" t="s">
        <v>15329</v>
      </c>
    </row>
    <row r="29" spans="1:15" x14ac:dyDescent="0.35">
      <c r="A29" t="s">
        <v>15368</v>
      </c>
      <c r="B29" t="s">
        <v>33</v>
      </c>
      <c r="C29" t="s">
        <v>27</v>
      </c>
      <c r="D29" t="s">
        <v>238</v>
      </c>
      <c r="E29" t="s">
        <v>15319</v>
      </c>
      <c r="F29" t="s">
        <v>15377</v>
      </c>
      <c r="G29" t="s">
        <v>15320</v>
      </c>
      <c r="H29" t="s">
        <v>15875</v>
      </c>
      <c r="I29" s="16" t="s">
        <v>15894</v>
      </c>
      <c r="J29" t="s">
        <v>15888</v>
      </c>
      <c r="K29">
        <v>2</v>
      </c>
      <c r="L29" s="16" t="s">
        <v>15378</v>
      </c>
      <c r="M29" t="s">
        <v>15436</v>
      </c>
      <c r="N29" t="s">
        <v>238</v>
      </c>
      <c r="O29" t="s">
        <v>15325</v>
      </c>
    </row>
    <row r="30" spans="1:15" x14ac:dyDescent="0.35">
      <c r="A30" t="s">
        <v>15368</v>
      </c>
      <c r="B30" t="s">
        <v>33</v>
      </c>
      <c r="C30" t="s">
        <v>954</v>
      </c>
      <c r="D30" t="s">
        <v>1090</v>
      </c>
      <c r="E30" t="s">
        <v>15319</v>
      </c>
      <c r="F30" t="s">
        <v>950</v>
      </c>
      <c r="G30" t="s">
        <v>15320</v>
      </c>
      <c r="H30" t="s">
        <v>15875</v>
      </c>
      <c r="I30" s="16" t="s">
        <v>15342</v>
      </c>
      <c r="J30" t="s">
        <v>15888</v>
      </c>
      <c r="K30">
        <v>2</v>
      </c>
      <c r="L30" s="16" t="s">
        <v>15378</v>
      </c>
      <c r="M30" t="s">
        <v>15495</v>
      </c>
      <c r="N30" t="s">
        <v>954</v>
      </c>
      <c r="O30" t="s">
        <v>15329</v>
      </c>
    </row>
    <row r="31" spans="1:15" x14ac:dyDescent="0.35">
      <c r="A31" t="s">
        <v>15368</v>
      </c>
      <c r="B31" t="s">
        <v>33</v>
      </c>
      <c r="C31" t="s">
        <v>954</v>
      </c>
      <c r="D31" t="s">
        <v>1090</v>
      </c>
      <c r="E31" t="s">
        <v>15319</v>
      </c>
      <c r="F31" t="s">
        <v>950</v>
      </c>
      <c r="G31" t="s">
        <v>15320</v>
      </c>
      <c r="H31" t="s">
        <v>15879</v>
      </c>
      <c r="I31" s="16" t="s">
        <v>15895</v>
      </c>
      <c r="J31" t="s">
        <v>15888</v>
      </c>
      <c r="K31">
        <v>2</v>
      </c>
      <c r="L31" s="16" t="s">
        <v>15423</v>
      </c>
      <c r="M31" t="s">
        <v>15495</v>
      </c>
      <c r="N31" t="s">
        <v>954</v>
      </c>
      <c r="O31" t="s">
        <v>15329</v>
      </c>
    </row>
    <row r="32" spans="1:15" x14ac:dyDescent="0.35">
      <c r="A32" t="s">
        <v>15368</v>
      </c>
      <c r="B32" t="s">
        <v>33</v>
      </c>
      <c r="C32" t="s">
        <v>954</v>
      </c>
      <c r="D32" t="s">
        <v>1090</v>
      </c>
      <c r="E32" t="s">
        <v>15319</v>
      </c>
      <c r="F32" t="s">
        <v>950</v>
      </c>
      <c r="G32" t="s">
        <v>15320</v>
      </c>
      <c r="H32" t="s">
        <v>15875</v>
      </c>
      <c r="I32" s="16" t="s">
        <v>15891</v>
      </c>
      <c r="J32" t="s">
        <v>15888</v>
      </c>
      <c r="K32">
        <v>2</v>
      </c>
      <c r="L32" s="16" t="s">
        <v>15378</v>
      </c>
      <c r="M32" t="s">
        <v>15642</v>
      </c>
      <c r="N32" t="s">
        <v>1090</v>
      </c>
      <c r="O32" t="s">
        <v>15325</v>
      </c>
    </row>
    <row r="33" spans="1:15" x14ac:dyDescent="0.35">
      <c r="A33" t="s">
        <v>15368</v>
      </c>
      <c r="B33" t="s">
        <v>33</v>
      </c>
      <c r="C33" t="s">
        <v>954</v>
      </c>
      <c r="D33" t="s">
        <v>1090</v>
      </c>
      <c r="E33" t="s">
        <v>15319</v>
      </c>
      <c r="F33" t="s">
        <v>950</v>
      </c>
      <c r="G33" t="s">
        <v>15320</v>
      </c>
      <c r="H33" t="s">
        <v>15875</v>
      </c>
      <c r="I33" s="16" t="s">
        <v>15896</v>
      </c>
      <c r="J33" t="s">
        <v>15888</v>
      </c>
      <c r="K33">
        <v>2</v>
      </c>
      <c r="L33" s="16" t="s">
        <v>15378</v>
      </c>
      <c r="M33" t="s">
        <v>15642</v>
      </c>
      <c r="N33" t="s">
        <v>1090</v>
      </c>
      <c r="O33" t="s">
        <v>15325</v>
      </c>
    </row>
    <row r="34" spans="1:15" x14ac:dyDescent="0.35">
      <c r="A34" t="s">
        <v>15368</v>
      </c>
      <c r="B34" t="s">
        <v>33</v>
      </c>
      <c r="C34" t="s">
        <v>954</v>
      </c>
      <c r="D34" t="s">
        <v>1090</v>
      </c>
      <c r="E34" t="s">
        <v>15319</v>
      </c>
      <c r="F34" t="s">
        <v>950</v>
      </c>
      <c r="G34" t="s">
        <v>15320</v>
      </c>
      <c r="H34" t="s">
        <v>15879</v>
      </c>
      <c r="I34" s="16" t="s">
        <v>15897</v>
      </c>
      <c r="J34" t="s">
        <v>15888</v>
      </c>
      <c r="K34">
        <v>2</v>
      </c>
      <c r="L34" s="16" t="s">
        <v>15476</v>
      </c>
      <c r="M34" t="s">
        <v>15642</v>
      </c>
      <c r="N34" t="s">
        <v>1090</v>
      </c>
      <c r="O34" t="s">
        <v>15325</v>
      </c>
    </row>
    <row r="35" spans="1:15" x14ac:dyDescent="0.35">
      <c r="A35" t="s">
        <v>15368</v>
      </c>
      <c r="B35" t="s">
        <v>33</v>
      </c>
      <c r="C35" t="s">
        <v>809</v>
      </c>
      <c r="D35" t="s">
        <v>671</v>
      </c>
      <c r="E35" t="s">
        <v>15319</v>
      </c>
      <c r="F35" t="s">
        <v>667</v>
      </c>
      <c r="G35" t="s">
        <v>15320</v>
      </c>
      <c r="H35" t="s">
        <v>15875</v>
      </c>
      <c r="I35" s="16" t="s">
        <v>15898</v>
      </c>
      <c r="J35" t="s">
        <v>15888</v>
      </c>
      <c r="K35">
        <v>2</v>
      </c>
      <c r="L35" s="16" t="s">
        <v>15404</v>
      </c>
      <c r="M35" t="s">
        <v>15391</v>
      </c>
      <c r="N35" t="s">
        <v>809</v>
      </c>
      <c r="O35" t="s">
        <v>15329</v>
      </c>
    </row>
    <row r="36" spans="1:15" x14ac:dyDescent="0.35">
      <c r="A36" t="s">
        <v>15368</v>
      </c>
      <c r="B36" t="s">
        <v>33</v>
      </c>
      <c r="C36" t="s">
        <v>809</v>
      </c>
      <c r="D36" t="s">
        <v>671</v>
      </c>
      <c r="E36" t="s">
        <v>15319</v>
      </c>
      <c r="F36" t="s">
        <v>667</v>
      </c>
      <c r="G36" t="s">
        <v>15320</v>
      </c>
      <c r="H36" t="s">
        <v>15875</v>
      </c>
      <c r="I36" s="16" t="s">
        <v>15899</v>
      </c>
      <c r="J36" t="s">
        <v>15888</v>
      </c>
      <c r="K36">
        <v>2</v>
      </c>
      <c r="L36" s="16" t="s">
        <v>15378</v>
      </c>
      <c r="M36" t="s">
        <v>15391</v>
      </c>
      <c r="N36" t="s">
        <v>809</v>
      </c>
      <c r="O36" t="s">
        <v>15329</v>
      </c>
    </row>
    <row r="37" spans="1:15" x14ac:dyDescent="0.35">
      <c r="A37" t="s">
        <v>15368</v>
      </c>
      <c r="B37" t="s">
        <v>33</v>
      </c>
      <c r="C37" t="s">
        <v>809</v>
      </c>
      <c r="D37" t="s">
        <v>671</v>
      </c>
      <c r="E37" t="s">
        <v>15319</v>
      </c>
      <c r="F37" t="s">
        <v>667</v>
      </c>
      <c r="G37" t="s">
        <v>15320</v>
      </c>
      <c r="H37" t="s">
        <v>15875</v>
      </c>
      <c r="I37" s="16" t="s">
        <v>15900</v>
      </c>
      <c r="J37" t="s">
        <v>15888</v>
      </c>
      <c r="K37">
        <v>2</v>
      </c>
      <c r="L37" s="16" t="s">
        <v>15378</v>
      </c>
      <c r="M37" t="s">
        <v>15723</v>
      </c>
      <c r="N37" t="s">
        <v>671</v>
      </c>
      <c r="O37" t="s">
        <v>15325</v>
      </c>
    </row>
    <row r="38" spans="1:15" x14ac:dyDescent="0.35">
      <c r="A38" t="s">
        <v>15368</v>
      </c>
      <c r="B38" t="s">
        <v>33</v>
      </c>
      <c r="C38" t="s">
        <v>1257</v>
      </c>
      <c r="D38" t="s">
        <v>1395</v>
      </c>
      <c r="E38" t="s">
        <v>15319</v>
      </c>
      <c r="F38" t="s">
        <v>1253</v>
      </c>
      <c r="G38" t="s">
        <v>15320</v>
      </c>
      <c r="H38" t="s">
        <v>15875</v>
      </c>
      <c r="I38" s="16" t="s">
        <v>15378</v>
      </c>
      <c r="J38" t="s">
        <v>15888</v>
      </c>
      <c r="K38">
        <v>2</v>
      </c>
      <c r="L38" s="16" t="s">
        <v>15337</v>
      </c>
      <c r="M38" t="s">
        <v>15679</v>
      </c>
      <c r="N38" t="s">
        <v>1257</v>
      </c>
      <c r="O38" t="s">
        <v>15329</v>
      </c>
    </row>
    <row r="39" spans="1:15" x14ac:dyDescent="0.35">
      <c r="A39" t="s">
        <v>15368</v>
      </c>
      <c r="B39" t="s">
        <v>33</v>
      </c>
      <c r="C39" t="s">
        <v>1257</v>
      </c>
      <c r="D39" t="s">
        <v>1395</v>
      </c>
      <c r="E39" t="s">
        <v>15319</v>
      </c>
      <c r="F39" t="s">
        <v>1253</v>
      </c>
      <c r="G39" t="s">
        <v>15320</v>
      </c>
      <c r="H39" t="s">
        <v>15879</v>
      </c>
      <c r="I39" s="16" t="s">
        <v>15895</v>
      </c>
      <c r="J39" t="s">
        <v>15888</v>
      </c>
      <c r="K39">
        <v>2</v>
      </c>
      <c r="L39" s="16" t="s">
        <v>15354</v>
      </c>
      <c r="M39" t="s">
        <v>15679</v>
      </c>
      <c r="N39" t="s">
        <v>1257</v>
      </c>
      <c r="O39" t="s">
        <v>15329</v>
      </c>
    </row>
    <row r="40" spans="1:15" x14ac:dyDescent="0.35">
      <c r="A40" t="s">
        <v>15368</v>
      </c>
      <c r="B40" t="s">
        <v>33</v>
      </c>
      <c r="C40" t="s">
        <v>431</v>
      </c>
      <c r="D40" t="s">
        <v>1257</v>
      </c>
      <c r="E40" t="s">
        <v>15327</v>
      </c>
      <c r="F40" t="s">
        <v>15355</v>
      </c>
      <c r="G40" t="s">
        <v>15320</v>
      </c>
      <c r="H40" t="s">
        <v>15875</v>
      </c>
      <c r="I40" s="16">
        <v>6</v>
      </c>
      <c r="J40" t="s">
        <v>15888</v>
      </c>
      <c r="K40">
        <v>2</v>
      </c>
      <c r="L40" s="16">
        <v>10</v>
      </c>
      <c r="M40" t="s">
        <v>15356</v>
      </c>
      <c r="N40" t="s">
        <v>431</v>
      </c>
      <c r="O40" t="s">
        <v>15329</v>
      </c>
    </row>
    <row r="41" spans="1:15" x14ac:dyDescent="0.35">
      <c r="A41" t="s">
        <v>15368</v>
      </c>
      <c r="B41" t="s">
        <v>33</v>
      </c>
      <c r="C41" t="s">
        <v>431</v>
      </c>
      <c r="D41" t="s">
        <v>1257</v>
      </c>
      <c r="E41" t="s">
        <v>15327</v>
      </c>
      <c r="F41" t="s">
        <v>15355</v>
      </c>
      <c r="G41" t="s">
        <v>15320</v>
      </c>
      <c r="H41" t="s">
        <v>15879</v>
      </c>
      <c r="I41" s="16">
        <v>39</v>
      </c>
      <c r="J41" t="s">
        <v>15888</v>
      </c>
      <c r="K41">
        <v>2</v>
      </c>
      <c r="L41" s="16">
        <v>10</v>
      </c>
      <c r="M41" t="s">
        <v>15356</v>
      </c>
      <c r="N41" t="s">
        <v>431</v>
      </c>
      <c r="O41" t="s">
        <v>15329</v>
      </c>
    </row>
    <row r="42" spans="1:15" x14ac:dyDescent="0.35">
      <c r="A42" t="s">
        <v>15368</v>
      </c>
      <c r="B42" t="s">
        <v>33</v>
      </c>
      <c r="C42" t="s">
        <v>431</v>
      </c>
      <c r="D42" t="s">
        <v>1257</v>
      </c>
      <c r="E42" t="s">
        <v>15327</v>
      </c>
      <c r="F42" t="s">
        <v>15355</v>
      </c>
      <c r="G42" t="s">
        <v>15320</v>
      </c>
      <c r="H42" t="s">
        <v>15879</v>
      </c>
      <c r="I42" s="16">
        <v>49</v>
      </c>
      <c r="J42" t="s">
        <v>15888</v>
      </c>
      <c r="K42">
        <v>2</v>
      </c>
      <c r="L42" s="16">
        <v>10</v>
      </c>
      <c r="M42" t="s">
        <v>15356</v>
      </c>
      <c r="N42" t="s">
        <v>431</v>
      </c>
      <c r="O42" t="s">
        <v>15329</v>
      </c>
    </row>
    <row r="43" spans="1:15" x14ac:dyDescent="0.35">
      <c r="A43" t="s">
        <v>15368</v>
      </c>
      <c r="B43" t="s">
        <v>33</v>
      </c>
      <c r="C43" t="s">
        <v>431</v>
      </c>
      <c r="D43" t="s">
        <v>1257</v>
      </c>
      <c r="E43" t="s">
        <v>15327</v>
      </c>
      <c r="F43" t="s">
        <v>15355</v>
      </c>
      <c r="G43" t="s">
        <v>15320</v>
      </c>
      <c r="H43" t="s">
        <v>15879</v>
      </c>
      <c r="I43" s="16">
        <v>66</v>
      </c>
      <c r="J43" t="s">
        <v>15888</v>
      </c>
      <c r="K43">
        <v>2</v>
      </c>
      <c r="L43" s="16">
        <v>10</v>
      </c>
      <c r="M43" t="s">
        <v>15356</v>
      </c>
      <c r="N43" t="s">
        <v>431</v>
      </c>
      <c r="O43" t="s">
        <v>15329</v>
      </c>
    </row>
    <row r="44" spans="1:15" x14ac:dyDescent="0.35">
      <c r="A44" t="s">
        <v>15368</v>
      </c>
      <c r="B44" t="s">
        <v>33</v>
      </c>
      <c r="C44" t="s">
        <v>431</v>
      </c>
      <c r="D44" t="s">
        <v>1257</v>
      </c>
      <c r="E44" t="s">
        <v>15327</v>
      </c>
      <c r="F44" t="s">
        <v>15355</v>
      </c>
      <c r="G44" t="s">
        <v>15320</v>
      </c>
      <c r="H44" t="s">
        <v>15875</v>
      </c>
      <c r="I44" s="16">
        <v>18</v>
      </c>
      <c r="J44" t="s">
        <v>15888</v>
      </c>
      <c r="K44">
        <v>2</v>
      </c>
      <c r="L44" s="16">
        <v>9</v>
      </c>
      <c r="M44" t="s">
        <v>15679</v>
      </c>
      <c r="N44" t="s">
        <v>1257</v>
      </c>
      <c r="O44" t="s">
        <v>15325</v>
      </c>
    </row>
    <row r="45" spans="1:15" x14ac:dyDescent="0.35">
      <c r="A45" t="s">
        <v>15368</v>
      </c>
      <c r="B45" t="s">
        <v>33</v>
      </c>
      <c r="C45" t="s">
        <v>431</v>
      </c>
      <c r="D45" t="s">
        <v>1257</v>
      </c>
      <c r="E45" t="s">
        <v>15327</v>
      </c>
      <c r="F45" t="s">
        <v>15355</v>
      </c>
      <c r="G45" t="s">
        <v>15320</v>
      </c>
      <c r="H45" t="s">
        <v>15875</v>
      </c>
      <c r="I45" s="16">
        <v>29</v>
      </c>
      <c r="J45" t="s">
        <v>15888</v>
      </c>
      <c r="K45">
        <v>2</v>
      </c>
      <c r="L45" s="16">
        <v>9</v>
      </c>
      <c r="M45" t="s">
        <v>15679</v>
      </c>
      <c r="N45" t="s">
        <v>1257</v>
      </c>
      <c r="O45" t="s">
        <v>15325</v>
      </c>
    </row>
    <row r="46" spans="1:15" x14ac:dyDescent="0.35">
      <c r="A46" t="s">
        <v>15368</v>
      </c>
      <c r="B46" t="s">
        <v>33</v>
      </c>
      <c r="C46" t="s">
        <v>431</v>
      </c>
      <c r="D46" t="s">
        <v>1257</v>
      </c>
      <c r="E46" t="s">
        <v>15327</v>
      </c>
      <c r="F46" t="s">
        <v>15355</v>
      </c>
      <c r="G46" t="s">
        <v>15320</v>
      </c>
      <c r="H46" t="s">
        <v>15875</v>
      </c>
      <c r="I46" s="16">
        <v>35</v>
      </c>
      <c r="J46" t="s">
        <v>15888</v>
      </c>
      <c r="K46">
        <v>2</v>
      </c>
      <c r="L46" s="16">
        <v>9</v>
      </c>
      <c r="M46" t="s">
        <v>15679</v>
      </c>
      <c r="N46" t="s">
        <v>1257</v>
      </c>
      <c r="O46" t="s">
        <v>15325</v>
      </c>
    </row>
    <row r="47" spans="1:15" x14ac:dyDescent="0.35">
      <c r="A47" t="s">
        <v>15368</v>
      </c>
      <c r="B47" t="s">
        <v>33</v>
      </c>
      <c r="C47" t="s">
        <v>431</v>
      </c>
      <c r="D47" t="s">
        <v>1257</v>
      </c>
      <c r="E47" t="s">
        <v>15327</v>
      </c>
      <c r="F47" t="s">
        <v>15355</v>
      </c>
      <c r="G47" t="s">
        <v>15320</v>
      </c>
      <c r="H47" t="s">
        <v>15879</v>
      </c>
      <c r="I47" s="16">
        <v>76</v>
      </c>
      <c r="J47" t="s">
        <v>15888</v>
      </c>
      <c r="K47">
        <v>2</v>
      </c>
      <c r="L47" s="16">
        <v>10</v>
      </c>
      <c r="M47" t="s">
        <v>15796</v>
      </c>
      <c r="N47" t="s">
        <v>1257</v>
      </c>
      <c r="O47" t="s">
        <v>15325</v>
      </c>
    </row>
    <row r="48" spans="1:15" x14ac:dyDescent="0.35">
      <c r="A48" t="s">
        <v>15368</v>
      </c>
      <c r="B48" t="s">
        <v>33</v>
      </c>
      <c r="C48" t="s">
        <v>238</v>
      </c>
      <c r="D48" t="s">
        <v>557</v>
      </c>
      <c r="E48" t="s">
        <v>15327</v>
      </c>
      <c r="F48" t="s">
        <v>15384</v>
      </c>
      <c r="G48" t="s">
        <v>15320</v>
      </c>
      <c r="H48" t="s">
        <v>15879</v>
      </c>
      <c r="I48" s="16">
        <v>68</v>
      </c>
      <c r="J48" t="s">
        <v>15888</v>
      </c>
      <c r="K48">
        <v>2</v>
      </c>
      <c r="L48" s="16">
        <v>10</v>
      </c>
      <c r="M48" t="s">
        <v>15901</v>
      </c>
      <c r="N48" t="s">
        <v>238</v>
      </c>
      <c r="O48" t="s">
        <v>15329</v>
      </c>
    </row>
    <row r="49" spans="1:15" x14ac:dyDescent="0.35">
      <c r="A49" t="s">
        <v>15368</v>
      </c>
      <c r="B49" t="s">
        <v>33</v>
      </c>
      <c r="C49" t="s">
        <v>238</v>
      </c>
      <c r="D49" t="s">
        <v>557</v>
      </c>
      <c r="E49" t="s">
        <v>15327</v>
      </c>
      <c r="F49" t="s">
        <v>15384</v>
      </c>
      <c r="G49" t="s">
        <v>15320</v>
      </c>
      <c r="H49" t="s">
        <v>15879</v>
      </c>
      <c r="I49" s="16">
        <v>49</v>
      </c>
      <c r="J49" t="s">
        <v>15888</v>
      </c>
      <c r="K49">
        <v>2</v>
      </c>
      <c r="L49" s="16">
        <v>15</v>
      </c>
      <c r="M49" t="s">
        <v>15814</v>
      </c>
      <c r="N49" t="s">
        <v>557</v>
      </c>
      <c r="O49" t="s">
        <v>15325</v>
      </c>
    </row>
    <row r="50" spans="1:15" x14ac:dyDescent="0.35">
      <c r="A50" t="s">
        <v>15368</v>
      </c>
      <c r="B50" t="s">
        <v>33</v>
      </c>
      <c r="C50" t="s">
        <v>238</v>
      </c>
      <c r="D50" t="s">
        <v>557</v>
      </c>
      <c r="E50" t="s">
        <v>15327</v>
      </c>
      <c r="F50" t="s">
        <v>15384</v>
      </c>
      <c r="G50" t="s">
        <v>15320</v>
      </c>
      <c r="H50" t="s">
        <v>15879</v>
      </c>
      <c r="I50" s="16">
        <v>66</v>
      </c>
      <c r="J50" t="s">
        <v>15888</v>
      </c>
      <c r="K50">
        <v>2</v>
      </c>
      <c r="L50" s="16">
        <v>15</v>
      </c>
      <c r="M50" t="s">
        <v>15814</v>
      </c>
      <c r="N50" t="s">
        <v>557</v>
      </c>
      <c r="O50" t="s">
        <v>15325</v>
      </c>
    </row>
    <row r="51" spans="1:15" x14ac:dyDescent="0.35">
      <c r="A51" t="s">
        <v>15368</v>
      </c>
      <c r="B51" t="s">
        <v>33</v>
      </c>
      <c r="C51" t="s">
        <v>1090</v>
      </c>
      <c r="D51" t="s">
        <v>27</v>
      </c>
      <c r="E51" t="s">
        <v>15327</v>
      </c>
      <c r="F51" t="s">
        <v>15367</v>
      </c>
      <c r="G51" t="s">
        <v>15320</v>
      </c>
      <c r="H51" t="s">
        <v>15879</v>
      </c>
      <c r="I51" s="16">
        <v>76</v>
      </c>
      <c r="J51" t="s">
        <v>15888</v>
      </c>
      <c r="K51">
        <v>2</v>
      </c>
      <c r="L51" s="16">
        <v>10</v>
      </c>
      <c r="M51" t="s">
        <v>15467</v>
      </c>
      <c r="N51" t="s">
        <v>27</v>
      </c>
      <c r="O51" t="s">
        <v>15325</v>
      </c>
    </row>
    <row r="52" spans="1:15" x14ac:dyDescent="0.35">
      <c r="A52" t="s">
        <v>15368</v>
      </c>
      <c r="B52" t="s">
        <v>33</v>
      </c>
      <c r="C52" t="s">
        <v>671</v>
      </c>
      <c r="D52" t="s">
        <v>954</v>
      </c>
      <c r="E52" t="s">
        <v>15327</v>
      </c>
      <c r="F52" t="s">
        <v>15335</v>
      </c>
      <c r="G52" t="s">
        <v>15320</v>
      </c>
      <c r="H52" t="s">
        <v>15875</v>
      </c>
      <c r="I52" s="16">
        <v>5</v>
      </c>
      <c r="J52" t="s">
        <v>15888</v>
      </c>
      <c r="K52">
        <v>2</v>
      </c>
      <c r="L52" s="16">
        <v>10</v>
      </c>
      <c r="M52" t="s">
        <v>15723</v>
      </c>
      <c r="N52" t="s">
        <v>671</v>
      </c>
      <c r="O52" t="s">
        <v>15329</v>
      </c>
    </row>
    <row r="53" spans="1:15" x14ac:dyDescent="0.35">
      <c r="A53" t="s">
        <v>15368</v>
      </c>
      <c r="B53" t="s">
        <v>33</v>
      </c>
      <c r="C53" t="s">
        <v>671</v>
      </c>
      <c r="D53" t="s">
        <v>954</v>
      </c>
      <c r="E53" t="s">
        <v>15327</v>
      </c>
      <c r="F53" t="s">
        <v>15335</v>
      </c>
      <c r="G53" t="s">
        <v>15320</v>
      </c>
      <c r="H53" t="s">
        <v>15875</v>
      </c>
      <c r="I53" s="16">
        <v>26</v>
      </c>
      <c r="J53" t="s">
        <v>15888</v>
      </c>
      <c r="K53">
        <v>2</v>
      </c>
      <c r="L53" s="16">
        <v>10</v>
      </c>
      <c r="M53" t="s">
        <v>15723</v>
      </c>
      <c r="N53" t="s">
        <v>671</v>
      </c>
      <c r="O53" t="s">
        <v>15329</v>
      </c>
    </row>
    <row r="54" spans="1:15" x14ac:dyDescent="0.35">
      <c r="A54" t="s">
        <v>15368</v>
      </c>
      <c r="B54" t="s">
        <v>33</v>
      </c>
      <c r="C54" t="s">
        <v>671</v>
      </c>
      <c r="D54" t="s">
        <v>954</v>
      </c>
      <c r="E54" t="s">
        <v>15327</v>
      </c>
      <c r="F54" t="s">
        <v>15335</v>
      </c>
      <c r="G54" t="s">
        <v>15320</v>
      </c>
      <c r="H54" t="s">
        <v>15875</v>
      </c>
      <c r="I54" s="16">
        <v>33</v>
      </c>
      <c r="J54" t="s">
        <v>15888</v>
      </c>
      <c r="K54">
        <v>2</v>
      </c>
      <c r="L54" s="16">
        <v>10</v>
      </c>
      <c r="M54" t="s">
        <v>15723</v>
      </c>
      <c r="N54" t="s">
        <v>671</v>
      </c>
      <c r="O54" t="s">
        <v>15329</v>
      </c>
    </row>
    <row r="55" spans="1:15" x14ac:dyDescent="0.35">
      <c r="A55" t="s">
        <v>15376</v>
      </c>
      <c r="B55" t="s">
        <v>33</v>
      </c>
      <c r="C55" t="s">
        <v>671</v>
      </c>
      <c r="D55" t="s">
        <v>954</v>
      </c>
      <c r="E55" t="s">
        <v>15327</v>
      </c>
      <c r="F55" t="s">
        <v>15335</v>
      </c>
      <c r="G55" t="s">
        <v>15320</v>
      </c>
      <c r="H55" t="s">
        <v>15879</v>
      </c>
      <c r="I55" s="16">
        <v>68</v>
      </c>
      <c r="J55" t="s">
        <v>15888</v>
      </c>
      <c r="K55">
        <v>2</v>
      </c>
      <c r="L55" s="16">
        <v>10</v>
      </c>
      <c r="M55" t="s">
        <v>15723</v>
      </c>
      <c r="N55" t="s">
        <v>671</v>
      </c>
      <c r="O55" t="s">
        <v>15329</v>
      </c>
    </row>
    <row r="56" spans="1:15" x14ac:dyDescent="0.35">
      <c r="A56" t="s">
        <v>15376</v>
      </c>
      <c r="B56" t="s">
        <v>33</v>
      </c>
      <c r="C56" t="s">
        <v>671</v>
      </c>
      <c r="D56" t="s">
        <v>954</v>
      </c>
      <c r="E56" t="s">
        <v>15327</v>
      </c>
      <c r="F56" t="s">
        <v>15335</v>
      </c>
      <c r="G56" t="s">
        <v>15320</v>
      </c>
      <c r="H56" t="s">
        <v>15879</v>
      </c>
      <c r="I56" s="16">
        <v>80</v>
      </c>
      <c r="J56" t="s">
        <v>15888</v>
      </c>
      <c r="K56">
        <v>2</v>
      </c>
      <c r="L56" s="16">
        <v>10</v>
      </c>
      <c r="M56" t="s">
        <v>15723</v>
      </c>
      <c r="N56" t="s">
        <v>671</v>
      </c>
      <c r="O56" t="s">
        <v>15329</v>
      </c>
    </row>
    <row r="57" spans="1:15" x14ac:dyDescent="0.35">
      <c r="A57" t="s">
        <v>15376</v>
      </c>
      <c r="B57" t="s">
        <v>33</v>
      </c>
      <c r="C57" t="s">
        <v>671</v>
      </c>
      <c r="D57" t="s">
        <v>954</v>
      </c>
      <c r="E57" t="s">
        <v>15327</v>
      </c>
      <c r="F57" t="s">
        <v>15335</v>
      </c>
      <c r="G57" t="s">
        <v>15320</v>
      </c>
      <c r="H57" t="s">
        <v>15875</v>
      </c>
      <c r="I57" s="16">
        <v>11</v>
      </c>
      <c r="J57" t="s">
        <v>15888</v>
      </c>
      <c r="K57">
        <v>2</v>
      </c>
      <c r="L57" s="16">
        <v>10</v>
      </c>
      <c r="M57" t="s">
        <v>15495</v>
      </c>
      <c r="N57" t="s">
        <v>954</v>
      </c>
      <c r="O57" t="s">
        <v>15325</v>
      </c>
    </row>
    <row r="58" spans="1:15" x14ac:dyDescent="0.35">
      <c r="A58" t="s">
        <v>15376</v>
      </c>
      <c r="B58" t="s">
        <v>33</v>
      </c>
      <c r="C58" t="s">
        <v>671</v>
      </c>
      <c r="D58" t="s">
        <v>954</v>
      </c>
      <c r="E58" t="s">
        <v>15327</v>
      </c>
      <c r="F58" t="s">
        <v>15335</v>
      </c>
      <c r="G58" t="s">
        <v>15320</v>
      </c>
      <c r="H58" t="s">
        <v>15879</v>
      </c>
      <c r="I58" s="16">
        <v>55</v>
      </c>
      <c r="J58" t="s">
        <v>15888</v>
      </c>
      <c r="K58">
        <v>2</v>
      </c>
      <c r="L58" s="16">
        <v>10</v>
      </c>
      <c r="M58" t="s">
        <v>15495</v>
      </c>
      <c r="N58" t="s">
        <v>954</v>
      </c>
      <c r="O58" t="s">
        <v>15325</v>
      </c>
    </row>
    <row r="59" spans="1:15" x14ac:dyDescent="0.35">
      <c r="A59" t="s">
        <v>15376</v>
      </c>
      <c r="B59" t="s">
        <v>33</v>
      </c>
      <c r="C59" t="s">
        <v>1395</v>
      </c>
      <c r="D59" t="s">
        <v>809</v>
      </c>
      <c r="E59" t="s">
        <v>15327</v>
      </c>
      <c r="F59" t="s">
        <v>15328</v>
      </c>
      <c r="G59" t="s">
        <v>15320</v>
      </c>
      <c r="H59" t="s">
        <v>15875</v>
      </c>
      <c r="I59" s="16" t="s">
        <v>15891</v>
      </c>
      <c r="J59" t="s">
        <v>15888</v>
      </c>
      <c r="K59">
        <v>2</v>
      </c>
      <c r="L59" s="16" t="s">
        <v>15378</v>
      </c>
      <c r="M59" t="s">
        <v>15505</v>
      </c>
      <c r="N59" t="s">
        <v>1395</v>
      </c>
      <c r="O59" t="s">
        <v>15329</v>
      </c>
    </row>
    <row r="60" spans="1:15" x14ac:dyDescent="0.35">
      <c r="A60" t="s">
        <v>15376</v>
      </c>
      <c r="B60" t="s">
        <v>33</v>
      </c>
      <c r="C60" t="s">
        <v>1395</v>
      </c>
      <c r="D60" t="s">
        <v>809</v>
      </c>
      <c r="E60" t="s">
        <v>15327</v>
      </c>
      <c r="F60" t="s">
        <v>15328</v>
      </c>
      <c r="G60" t="s">
        <v>15320</v>
      </c>
      <c r="H60" t="s">
        <v>15875</v>
      </c>
      <c r="I60" s="16" t="s">
        <v>15351</v>
      </c>
      <c r="J60" t="s">
        <v>15888</v>
      </c>
      <c r="K60">
        <v>2</v>
      </c>
      <c r="L60" s="16" t="s">
        <v>15378</v>
      </c>
      <c r="M60" t="s">
        <v>15505</v>
      </c>
      <c r="N60" t="s">
        <v>1395</v>
      </c>
      <c r="O60" t="s">
        <v>15329</v>
      </c>
    </row>
    <row r="61" spans="1:15" x14ac:dyDescent="0.35">
      <c r="A61" t="s">
        <v>15376</v>
      </c>
      <c r="B61" t="s">
        <v>33</v>
      </c>
      <c r="C61" t="s">
        <v>1395</v>
      </c>
      <c r="D61" t="s">
        <v>809</v>
      </c>
      <c r="E61" t="s">
        <v>15327</v>
      </c>
      <c r="F61" t="s">
        <v>15328</v>
      </c>
      <c r="G61" t="s">
        <v>15320</v>
      </c>
      <c r="H61" t="s">
        <v>15875</v>
      </c>
      <c r="I61" s="16" t="s">
        <v>15902</v>
      </c>
      <c r="J61" t="s">
        <v>15888</v>
      </c>
      <c r="K61">
        <v>2</v>
      </c>
      <c r="L61" s="16" t="s">
        <v>15378</v>
      </c>
      <c r="M61" t="s">
        <v>15505</v>
      </c>
      <c r="N61" t="s">
        <v>1395</v>
      </c>
      <c r="O61" t="s">
        <v>15329</v>
      </c>
    </row>
    <row r="62" spans="1:15" x14ac:dyDescent="0.35">
      <c r="A62" t="s">
        <v>15376</v>
      </c>
      <c r="B62" t="s">
        <v>33</v>
      </c>
      <c r="C62" t="s">
        <v>1395</v>
      </c>
      <c r="D62" t="s">
        <v>809</v>
      </c>
      <c r="E62" t="s">
        <v>15327</v>
      </c>
      <c r="F62" t="s">
        <v>15328</v>
      </c>
      <c r="G62" t="s">
        <v>15320</v>
      </c>
      <c r="H62" t="s">
        <v>15879</v>
      </c>
      <c r="I62" s="16" t="s">
        <v>15903</v>
      </c>
      <c r="J62" t="s">
        <v>15888</v>
      </c>
      <c r="K62">
        <v>2</v>
      </c>
      <c r="L62" s="16" t="s">
        <v>15378</v>
      </c>
      <c r="M62" t="s">
        <v>15505</v>
      </c>
      <c r="N62" t="s">
        <v>1395</v>
      </c>
      <c r="O62" t="s">
        <v>15329</v>
      </c>
    </row>
    <row r="63" spans="1:15" x14ac:dyDescent="0.35">
      <c r="A63" t="s">
        <v>15376</v>
      </c>
      <c r="B63" t="s">
        <v>33</v>
      </c>
      <c r="C63" t="s">
        <v>1395</v>
      </c>
      <c r="D63" t="s">
        <v>809</v>
      </c>
      <c r="E63" t="s">
        <v>15327</v>
      </c>
      <c r="F63" t="s">
        <v>15328</v>
      </c>
      <c r="G63" t="s">
        <v>15320</v>
      </c>
      <c r="H63" t="s">
        <v>15879</v>
      </c>
      <c r="I63" s="16" t="s">
        <v>15904</v>
      </c>
      <c r="J63" t="s">
        <v>15888</v>
      </c>
      <c r="K63">
        <v>2</v>
      </c>
      <c r="L63" s="16" t="s">
        <v>15423</v>
      </c>
      <c r="M63" t="s">
        <v>15710</v>
      </c>
      <c r="N63" t="s">
        <v>1395</v>
      </c>
      <c r="O63" t="s">
        <v>15329</v>
      </c>
    </row>
    <row r="64" spans="1:15" x14ac:dyDescent="0.35">
      <c r="A64" t="s">
        <v>15376</v>
      </c>
      <c r="B64" t="s">
        <v>33</v>
      </c>
      <c r="C64" t="s">
        <v>1395</v>
      </c>
      <c r="D64" t="s">
        <v>809</v>
      </c>
      <c r="E64" t="s">
        <v>15327</v>
      </c>
      <c r="F64" t="s">
        <v>15328</v>
      </c>
      <c r="G64" t="s">
        <v>15320</v>
      </c>
      <c r="H64" t="s">
        <v>15875</v>
      </c>
      <c r="I64" s="16" t="s">
        <v>15900</v>
      </c>
      <c r="J64" t="s">
        <v>15888</v>
      </c>
      <c r="K64">
        <v>2</v>
      </c>
      <c r="L64" s="16" t="s">
        <v>15378</v>
      </c>
      <c r="M64" t="s">
        <v>15391</v>
      </c>
      <c r="N64" t="s">
        <v>809</v>
      </c>
      <c r="O64" t="s">
        <v>15325</v>
      </c>
    </row>
    <row r="65" spans="1:15" x14ac:dyDescent="0.35">
      <c r="A65" t="s">
        <v>15376</v>
      </c>
      <c r="B65" t="s">
        <v>33</v>
      </c>
      <c r="C65" t="s">
        <v>1395</v>
      </c>
      <c r="D65" t="s">
        <v>809</v>
      </c>
      <c r="E65" t="s">
        <v>15327</v>
      </c>
      <c r="F65" t="s">
        <v>15328</v>
      </c>
      <c r="G65" t="s">
        <v>15320</v>
      </c>
      <c r="H65" t="s">
        <v>15879</v>
      </c>
      <c r="I65" s="16" t="s">
        <v>15880</v>
      </c>
      <c r="J65" t="s">
        <v>15888</v>
      </c>
      <c r="K65">
        <v>2</v>
      </c>
      <c r="L65" s="16" t="s">
        <v>15378</v>
      </c>
      <c r="M65" t="s">
        <v>15391</v>
      </c>
      <c r="N65" t="s">
        <v>809</v>
      </c>
      <c r="O65" t="s">
        <v>15325</v>
      </c>
    </row>
    <row r="66" spans="1:15" x14ac:dyDescent="0.35">
      <c r="A66" t="s">
        <v>15376</v>
      </c>
      <c r="B66" t="s">
        <v>33</v>
      </c>
      <c r="C66" t="s">
        <v>431</v>
      </c>
      <c r="D66" t="s">
        <v>1257</v>
      </c>
      <c r="E66" t="s">
        <v>15327</v>
      </c>
      <c r="F66" t="s">
        <v>15355</v>
      </c>
      <c r="G66" t="s">
        <v>15320</v>
      </c>
      <c r="H66" t="s">
        <v>15879</v>
      </c>
      <c r="I66" s="16">
        <v>80</v>
      </c>
      <c r="J66" t="s">
        <v>15905</v>
      </c>
      <c r="K66">
        <v>3</v>
      </c>
      <c r="L66" s="16">
        <v>10</v>
      </c>
      <c r="M66" t="s">
        <v>15356</v>
      </c>
      <c r="N66" t="s">
        <v>431</v>
      </c>
      <c r="O66" t="s">
        <v>15329</v>
      </c>
    </row>
    <row r="67" spans="1:15" x14ac:dyDescent="0.35">
      <c r="A67" t="s">
        <v>15376</v>
      </c>
      <c r="B67" t="s">
        <v>33</v>
      </c>
      <c r="C67" t="s">
        <v>557</v>
      </c>
      <c r="D67" t="s">
        <v>431</v>
      </c>
      <c r="E67" t="s">
        <v>15319</v>
      </c>
      <c r="F67" t="s">
        <v>427</v>
      </c>
      <c r="G67" t="s">
        <v>15320</v>
      </c>
      <c r="H67" t="s">
        <v>15879</v>
      </c>
      <c r="I67" s="16" t="s">
        <v>15906</v>
      </c>
      <c r="J67" t="s">
        <v>15907</v>
      </c>
      <c r="L67" s="16" t="s">
        <v>15412</v>
      </c>
      <c r="M67" t="s">
        <v>15818</v>
      </c>
      <c r="N67" t="s">
        <v>557</v>
      </c>
      <c r="O67" t="s">
        <v>15329</v>
      </c>
    </row>
    <row r="68" spans="1:15" x14ac:dyDescent="0.35">
      <c r="A68" t="s">
        <v>15376</v>
      </c>
      <c r="B68" t="s">
        <v>33</v>
      </c>
      <c r="C68" t="s">
        <v>557</v>
      </c>
      <c r="D68" t="s">
        <v>431</v>
      </c>
      <c r="E68" t="s">
        <v>15319</v>
      </c>
      <c r="F68" t="s">
        <v>427</v>
      </c>
      <c r="G68" t="s">
        <v>15320</v>
      </c>
      <c r="H68" t="s">
        <v>15879</v>
      </c>
      <c r="I68" s="16" t="s">
        <v>15906</v>
      </c>
      <c r="J68" t="s">
        <v>15907</v>
      </c>
      <c r="L68" s="16" t="s">
        <v>15342</v>
      </c>
      <c r="M68" t="s">
        <v>15558</v>
      </c>
      <c r="N68" t="s">
        <v>557</v>
      </c>
      <c r="O68" t="s">
        <v>15329</v>
      </c>
    </row>
    <row r="69" spans="1:15" x14ac:dyDescent="0.35">
      <c r="A69" t="s">
        <v>15376</v>
      </c>
      <c r="B69" t="s">
        <v>33</v>
      </c>
      <c r="C69" t="s">
        <v>557</v>
      </c>
      <c r="D69" t="s">
        <v>431</v>
      </c>
      <c r="E69" t="s">
        <v>15319</v>
      </c>
      <c r="F69" t="s">
        <v>427</v>
      </c>
      <c r="G69" t="s">
        <v>15320</v>
      </c>
      <c r="H69" t="s">
        <v>15879</v>
      </c>
      <c r="I69" s="16" t="s">
        <v>15906</v>
      </c>
      <c r="J69" t="s">
        <v>15907</v>
      </c>
      <c r="L69" s="16" t="s">
        <v>15347</v>
      </c>
      <c r="M69" t="s">
        <v>15568</v>
      </c>
      <c r="N69" t="s">
        <v>557</v>
      </c>
      <c r="O69" t="s">
        <v>15329</v>
      </c>
    </row>
    <row r="70" spans="1:15" x14ac:dyDescent="0.35">
      <c r="A70" t="s">
        <v>15376</v>
      </c>
      <c r="B70" t="s">
        <v>33</v>
      </c>
      <c r="C70" t="s">
        <v>557</v>
      </c>
      <c r="D70" t="s">
        <v>431</v>
      </c>
      <c r="E70" t="s">
        <v>15319</v>
      </c>
      <c r="F70" t="s">
        <v>427</v>
      </c>
      <c r="G70" t="s">
        <v>15320</v>
      </c>
      <c r="H70" t="s">
        <v>15879</v>
      </c>
      <c r="I70" s="16" t="s">
        <v>15889</v>
      </c>
      <c r="J70" t="s">
        <v>15907</v>
      </c>
      <c r="L70" s="16" t="s">
        <v>15359</v>
      </c>
      <c r="M70" t="s">
        <v>15644</v>
      </c>
      <c r="N70" t="s">
        <v>557</v>
      </c>
      <c r="O70" t="s">
        <v>15329</v>
      </c>
    </row>
    <row r="71" spans="1:15" x14ac:dyDescent="0.35">
      <c r="A71" t="s">
        <v>15376</v>
      </c>
      <c r="B71" t="s">
        <v>33</v>
      </c>
      <c r="C71" t="s">
        <v>557</v>
      </c>
      <c r="D71" t="s">
        <v>431</v>
      </c>
      <c r="E71" t="s">
        <v>15319</v>
      </c>
      <c r="F71" t="s">
        <v>427</v>
      </c>
      <c r="G71" t="s">
        <v>15320</v>
      </c>
      <c r="H71" t="s">
        <v>15879</v>
      </c>
      <c r="I71" s="16" t="s">
        <v>15889</v>
      </c>
      <c r="J71" t="s">
        <v>15907</v>
      </c>
      <c r="L71" s="16" t="s">
        <v>15392</v>
      </c>
      <c r="M71" t="s">
        <v>15507</v>
      </c>
      <c r="N71" t="s">
        <v>557</v>
      </c>
      <c r="O71" t="s">
        <v>15329</v>
      </c>
    </row>
    <row r="72" spans="1:15" x14ac:dyDescent="0.35">
      <c r="A72" t="s">
        <v>15376</v>
      </c>
      <c r="B72" t="s">
        <v>33</v>
      </c>
      <c r="C72" t="s">
        <v>557</v>
      </c>
      <c r="D72" t="s">
        <v>431</v>
      </c>
      <c r="E72" t="s">
        <v>15319</v>
      </c>
      <c r="F72" t="s">
        <v>427</v>
      </c>
      <c r="G72" t="s">
        <v>15320</v>
      </c>
      <c r="H72" t="s">
        <v>15879</v>
      </c>
      <c r="I72" s="16" t="s">
        <v>15908</v>
      </c>
      <c r="J72" t="s">
        <v>15907</v>
      </c>
      <c r="L72" s="16" t="s">
        <v>15351</v>
      </c>
      <c r="M72" t="s">
        <v>15491</v>
      </c>
      <c r="N72" t="s">
        <v>557</v>
      </c>
      <c r="O72" t="s">
        <v>15329</v>
      </c>
    </row>
    <row r="73" spans="1:15" x14ac:dyDescent="0.35">
      <c r="A73" t="s">
        <v>15376</v>
      </c>
      <c r="B73" t="s">
        <v>33</v>
      </c>
      <c r="C73" t="s">
        <v>557</v>
      </c>
      <c r="D73" t="s">
        <v>431</v>
      </c>
      <c r="E73" t="s">
        <v>15319</v>
      </c>
      <c r="F73" t="s">
        <v>427</v>
      </c>
      <c r="G73" t="s">
        <v>15320</v>
      </c>
      <c r="H73" t="s">
        <v>15879</v>
      </c>
      <c r="I73" s="16" t="s">
        <v>15909</v>
      </c>
      <c r="J73" t="s">
        <v>15907</v>
      </c>
      <c r="L73" s="16" t="s">
        <v>15423</v>
      </c>
      <c r="M73" t="s">
        <v>15820</v>
      </c>
      <c r="N73" t="s">
        <v>557</v>
      </c>
      <c r="O73" t="s">
        <v>15329</v>
      </c>
    </row>
    <row r="74" spans="1:15" x14ac:dyDescent="0.35">
      <c r="A74" t="s">
        <v>15376</v>
      </c>
      <c r="B74" t="s">
        <v>33</v>
      </c>
      <c r="C74" t="s">
        <v>557</v>
      </c>
      <c r="D74" t="s">
        <v>431</v>
      </c>
      <c r="E74" t="s">
        <v>15319</v>
      </c>
      <c r="F74" t="s">
        <v>427</v>
      </c>
      <c r="G74" t="s">
        <v>15320</v>
      </c>
      <c r="H74" t="s">
        <v>15879</v>
      </c>
      <c r="I74" s="16" t="s">
        <v>15910</v>
      </c>
      <c r="J74" t="s">
        <v>15907</v>
      </c>
      <c r="L74" s="16" t="s">
        <v>15476</v>
      </c>
      <c r="M74" t="s">
        <v>15501</v>
      </c>
      <c r="N74" t="s">
        <v>557</v>
      </c>
      <c r="O74" t="s">
        <v>15329</v>
      </c>
    </row>
    <row r="75" spans="1:15" x14ac:dyDescent="0.35">
      <c r="A75" t="s">
        <v>15376</v>
      </c>
      <c r="B75" t="s">
        <v>33</v>
      </c>
      <c r="C75" t="s">
        <v>557</v>
      </c>
      <c r="D75" t="s">
        <v>431</v>
      </c>
      <c r="E75" t="s">
        <v>15319</v>
      </c>
      <c r="F75" t="s">
        <v>427</v>
      </c>
      <c r="G75" t="s">
        <v>15320</v>
      </c>
      <c r="H75" t="s">
        <v>15879</v>
      </c>
      <c r="I75" s="16" t="s">
        <v>15911</v>
      </c>
      <c r="J75" t="s">
        <v>15907</v>
      </c>
      <c r="L75" s="16" t="s">
        <v>15476</v>
      </c>
      <c r="M75" t="s">
        <v>15733</v>
      </c>
      <c r="N75" t="s">
        <v>431</v>
      </c>
      <c r="O75" t="s">
        <v>15325</v>
      </c>
    </row>
    <row r="76" spans="1:15" x14ac:dyDescent="0.35">
      <c r="A76" t="s">
        <v>15376</v>
      </c>
      <c r="B76" t="s">
        <v>33</v>
      </c>
      <c r="C76" t="s">
        <v>557</v>
      </c>
      <c r="D76" t="s">
        <v>431</v>
      </c>
      <c r="E76" t="s">
        <v>15319</v>
      </c>
      <c r="F76" t="s">
        <v>427</v>
      </c>
      <c r="G76" t="s">
        <v>15320</v>
      </c>
      <c r="H76" t="s">
        <v>15879</v>
      </c>
      <c r="I76" s="16" t="s">
        <v>15909</v>
      </c>
      <c r="J76" t="s">
        <v>15907</v>
      </c>
      <c r="L76" s="16" t="s">
        <v>15423</v>
      </c>
      <c r="M76" t="s">
        <v>15760</v>
      </c>
      <c r="N76" t="s">
        <v>431</v>
      </c>
      <c r="O76" t="s">
        <v>15325</v>
      </c>
    </row>
    <row r="77" spans="1:15" x14ac:dyDescent="0.35">
      <c r="A77" t="s">
        <v>15376</v>
      </c>
      <c r="B77" t="s">
        <v>33</v>
      </c>
      <c r="C77" t="s">
        <v>557</v>
      </c>
      <c r="D77" t="s">
        <v>431</v>
      </c>
      <c r="E77" t="s">
        <v>15319</v>
      </c>
      <c r="F77" t="s">
        <v>427</v>
      </c>
      <c r="G77" t="s">
        <v>15320</v>
      </c>
      <c r="H77" t="s">
        <v>15879</v>
      </c>
      <c r="I77" s="16" t="s">
        <v>15909</v>
      </c>
      <c r="J77" t="s">
        <v>15907</v>
      </c>
      <c r="L77" s="16" t="s">
        <v>15359</v>
      </c>
      <c r="M77" t="s">
        <v>15418</v>
      </c>
      <c r="N77" t="s">
        <v>431</v>
      </c>
      <c r="O77" t="s">
        <v>15325</v>
      </c>
    </row>
    <row r="78" spans="1:15" x14ac:dyDescent="0.35">
      <c r="A78" t="s">
        <v>15376</v>
      </c>
      <c r="B78" t="s">
        <v>33</v>
      </c>
      <c r="C78" t="s">
        <v>557</v>
      </c>
      <c r="D78" t="s">
        <v>431</v>
      </c>
      <c r="E78" t="s">
        <v>15319</v>
      </c>
      <c r="F78" t="s">
        <v>427</v>
      </c>
      <c r="G78" t="s">
        <v>15320</v>
      </c>
      <c r="H78" t="s">
        <v>15879</v>
      </c>
      <c r="I78" s="16" t="s">
        <v>15910</v>
      </c>
      <c r="J78" t="s">
        <v>15907</v>
      </c>
      <c r="L78" s="16" t="s">
        <v>15347</v>
      </c>
      <c r="M78" t="s">
        <v>15444</v>
      </c>
      <c r="N78" t="s">
        <v>431</v>
      </c>
      <c r="O78" t="s">
        <v>15325</v>
      </c>
    </row>
    <row r="79" spans="1:15" x14ac:dyDescent="0.35">
      <c r="A79" t="s">
        <v>15376</v>
      </c>
      <c r="B79" t="s">
        <v>33</v>
      </c>
      <c r="C79" t="s">
        <v>557</v>
      </c>
      <c r="D79" t="s">
        <v>431</v>
      </c>
      <c r="E79" t="s">
        <v>15319</v>
      </c>
      <c r="F79" t="s">
        <v>427</v>
      </c>
      <c r="G79" t="s">
        <v>15320</v>
      </c>
      <c r="H79" t="s">
        <v>15879</v>
      </c>
      <c r="I79" s="16" t="s">
        <v>15912</v>
      </c>
      <c r="J79" t="s">
        <v>15907</v>
      </c>
      <c r="L79" s="16" t="s">
        <v>15412</v>
      </c>
      <c r="M79" t="s">
        <v>15524</v>
      </c>
      <c r="N79" t="s">
        <v>431</v>
      </c>
      <c r="O79" t="s">
        <v>15325</v>
      </c>
    </row>
    <row r="80" spans="1:15" x14ac:dyDescent="0.35">
      <c r="A80" t="s">
        <v>15376</v>
      </c>
      <c r="B80" t="s">
        <v>33</v>
      </c>
      <c r="C80" t="s">
        <v>557</v>
      </c>
      <c r="D80" t="s">
        <v>431</v>
      </c>
      <c r="E80" t="s">
        <v>15319</v>
      </c>
      <c r="F80" t="s">
        <v>427</v>
      </c>
      <c r="G80" t="s">
        <v>15320</v>
      </c>
      <c r="H80" t="s">
        <v>15879</v>
      </c>
      <c r="I80" s="16" t="s">
        <v>15912</v>
      </c>
      <c r="J80" t="s">
        <v>15907</v>
      </c>
      <c r="L80" s="16" t="s">
        <v>15392</v>
      </c>
      <c r="M80" t="s">
        <v>15652</v>
      </c>
      <c r="N80" t="s">
        <v>431</v>
      </c>
      <c r="O80" t="s">
        <v>15325</v>
      </c>
    </row>
    <row r="81" spans="1:15" x14ac:dyDescent="0.35">
      <c r="A81" t="s">
        <v>15376</v>
      </c>
      <c r="B81" t="s">
        <v>33</v>
      </c>
      <c r="C81" t="s">
        <v>557</v>
      </c>
      <c r="D81" t="s">
        <v>431</v>
      </c>
      <c r="E81" t="s">
        <v>15319</v>
      </c>
      <c r="F81" t="s">
        <v>427</v>
      </c>
      <c r="G81" t="s">
        <v>15320</v>
      </c>
      <c r="H81" t="s">
        <v>15879</v>
      </c>
      <c r="I81" s="16" t="s">
        <v>15912</v>
      </c>
      <c r="J81" t="s">
        <v>15907</v>
      </c>
      <c r="L81" s="16" t="s">
        <v>15351</v>
      </c>
      <c r="M81" t="s">
        <v>15461</v>
      </c>
      <c r="N81" t="s">
        <v>431</v>
      </c>
      <c r="O81" t="s">
        <v>15325</v>
      </c>
    </row>
    <row r="82" spans="1:15" x14ac:dyDescent="0.35">
      <c r="A82" t="s">
        <v>15376</v>
      </c>
      <c r="B82" t="s">
        <v>33</v>
      </c>
      <c r="C82" t="s">
        <v>557</v>
      </c>
      <c r="D82" t="s">
        <v>431</v>
      </c>
      <c r="E82" t="s">
        <v>15319</v>
      </c>
      <c r="F82" t="s">
        <v>427</v>
      </c>
      <c r="G82" t="s">
        <v>15320</v>
      </c>
      <c r="H82" t="s">
        <v>15879</v>
      </c>
      <c r="I82" s="16" t="s">
        <v>15913</v>
      </c>
      <c r="J82" t="s">
        <v>15907</v>
      </c>
      <c r="L82" s="16" t="s">
        <v>15347</v>
      </c>
      <c r="M82" t="s">
        <v>15444</v>
      </c>
      <c r="N82" t="s">
        <v>431</v>
      </c>
      <c r="O82" t="s">
        <v>15325</v>
      </c>
    </row>
    <row r="83" spans="1:15" x14ac:dyDescent="0.35">
      <c r="A83" t="s">
        <v>15376</v>
      </c>
      <c r="B83" t="s">
        <v>33</v>
      </c>
      <c r="C83" t="s">
        <v>27</v>
      </c>
      <c r="D83" t="s">
        <v>238</v>
      </c>
      <c r="E83" t="s">
        <v>15319</v>
      </c>
      <c r="F83" t="s">
        <v>15377</v>
      </c>
      <c r="G83" t="s">
        <v>15320</v>
      </c>
      <c r="H83" t="s">
        <v>15875</v>
      </c>
      <c r="I83" s="16" t="s">
        <v>15347</v>
      </c>
      <c r="J83" t="s">
        <v>15907</v>
      </c>
      <c r="L83" s="16" t="s">
        <v>15342</v>
      </c>
      <c r="M83" t="s">
        <v>15862</v>
      </c>
      <c r="N83" t="s">
        <v>27</v>
      </c>
      <c r="O83" t="s">
        <v>15329</v>
      </c>
    </row>
    <row r="84" spans="1:15" x14ac:dyDescent="0.35">
      <c r="A84" t="s">
        <v>15376</v>
      </c>
      <c r="B84" t="s">
        <v>33</v>
      </c>
      <c r="C84" t="s">
        <v>27</v>
      </c>
      <c r="D84" t="s">
        <v>238</v>
      </c>
      <c r="E84" t="s">
        <v>15319</v>
      </c>
      <c r="F84" t="s">
        <v>15377</v>
      </c>
      <c r="G84" t="s">
        <v>15320</v>
      </c>
      <c r="H84" t="s">
        <v>15875</v>
      </c>
      <c r="I84" s="16" t="s">
        <v>15914</v>
      </c>
      <c r="J84" t="s">
        <v>15907</v>
      </c>
      <c r="L84" s="16" t="s">
        <v>15363</v>
      </c>
      <c r="M84" t="s">
        <v>15750</v>
      </c>
      <c r="N84" t="s">
        <v>27</v>
      </c>
      <c r="O84" t="s">
        <v>15329</v>
      </c>
    </row>
    <row r="85" spans="1:15" x14ac:dyDescent="0.35">
      <c r="A85" t="s">
        <v>15376</v>
      </c>
      <c r="B85" t="s">
        <v>33</v>
      </c>
      <c r="C85" t="s">
        <v>27</v>
      </c>
      <c r="D85" t="s">
        <v>238</v>
      </c>
      <c r="E85" t="s">
        <v>15319</v>
      </c>
      <c r="F85" t="s">
        <v>15377</v>
      </c>
      <c r="G85" t="s">
        <v>15320</v>
      </c>
      <c r="H85" t="s">
        <v>15879</v>
      </c>
      <c r="I85" s="16" t="s">
        <v>15915</v>
      </c>
      <c r="J85" t="s">
        <v>15907</v>
      </c>
      <c r="L85" s="16" t="s">
        <v>15342</v>
      </c>
      <c r="M85" t="s">
        <v>15862</v>
      </c>
      <c r="N85" t="s">
        <v>27</v>
      </c>
      <c r="O85" t="s">
        <v>15329</v>
      </c>
    </row>
    <row r="86" spans="1:15" x14ac:dyDescent="0.35">
      <c r="A86" t="s">
        <v>15376</v>
      </c>
      <c r="B86" t="s">
        <v>33</v>
      </c>
      <c r="C86" t="s">
        <v>27</v>
      </c>
      <c r="D86" t="s">
        <v>238</v>
      </c>
      <c r="E86" t="s">
        <v>15319</v>
      </c>
      <c r="F86" t="s">
        <v>15377</v>
      </c>
      <c r="G86" t="s">
        <v>15320</v>
      </c>
      <c r="H86" t="s">
        <v>15879</v>
      </c>
      <c r="I86" s="16" t="s">
        <v>15916</v>
      </c>
      <c r="J86" t="s">
        <v>15907</v>
      </c>
      <c r="L86" s="16" t="s">
        <v>15392</v>
      </c>
      <c r="M86" t="s">
        <v>15455</v>
      </c>
      <c r="N86" t="s">
        <v>27</v>
      </c>
      <c r="O86" t="s">
        <v>15329</v>
      </c>
    </row>
    <row r="87" spans="1:15" x14ac:dyDescent="0.35">
      <c r="A87" t="s">
        <v>15376</v>
      </c>
      <c r="B87" t="s">
        <v>33</v>
      </c>
      <c r="C87" t="s">
        <v>27</v>
      </c>
      <c r="D87" t="s">
        <v>238</v>
      </c>
      <c r="E87" t="s">
        <v>15319</v>
      </c>
      <c r="F87" t="s">
        <v>15377</v>
      </c>
      <c r="G87" t="s">
        <v>15320</v>
      </c>
      <c r="H87" t="s">
        <v>15879</v>
      </c>
      <c r="I87" s="16" t="s">
        <v>15917</v>
      </c>
      <c r="J87" t="s">
        <v>15907</v>
      </c>
      <c r="L87" s="16" t="s">
        <v>15359</v>
      </c>
      <c r="M87" t="s">
        <v>15675</v>
      </c>
      <c r="N87" t="s">
        <v>27</v>
      </c>
      <c r="O87" t="s">
        <v>15329</v>
      </c>
    </row>
    <row r="88" spans="1:15" x14ac:dyDescent="0.35">
      <c r="A88" t="s">
        <v>15376</v>
      </c>
      <c r="B88" t="s">
        <v>33</v>
      </c>
      <c r="C88" t="s">
        <v>27</v>
      </c>
      <c r="D88" t="s">
        <v>238</v>
      </c>
      <c r="E88" t="s">
        <v>15319</v>
      </c>
      <c r="F88" t="s">
        <v>15377</v>
      </c>
      <c r="G88" t="s">
        <v>15320</v>
      </c>
      <c r="H88" t="s">
        <v>15879</v>
      </c>
      <c r="I88" s="16" t="s">
        <v>15918</v>
      </c>
      <c r="J88" t="s">
        <v>15907</v>
      </c>
      <c r="L88" s="16" t="s">
        <v>15347</v>
      </c>
      <c r="M88" t="s">
        <v>15788</v>
      </c>
      <c r="N88" t="s">
        <v>27</v>
      </c>
      <c r="O88" t="s">
        <v>15329</v>
      </c>
    </row>
    <row r="89" spans="1:15" x14ac:dyDescent="0.35">
      <c r="A89" t="s">
        <v>15376</v>
      </c>
      <c r="B89" t="s">
        <v>33</v>
      </c>
      <c r="C89" t="s">
        <v>27</v>
      </c>
      <c r="D89" t="s">
        <v>238</v>
      </c>
      <c r="E89" t="s">
        <v>15319</v>
      </c>
      <c r="F89" t="s">
        <v>15377</v>
      </c>
      <c r="G89" t="s">
        <v>15320</v>
      </c>
      <c r="H89" t="s">
        <v>15879</v>
      </c>
      <c r="I89" s="16" t="s">
        <v>15919</v>
      </c>
      <c r="J89" t="s">
        <v>15907</v>
      </c>
      <c r="L89" s="16" t="s">
        <v>15412</v>
      </c>
      <c r="M89" t="s">
        <v>15727</v>
      </c>
      <c r="N89" t="s">
        <v>27</v>
      </c>
      <c r="O89" t="s">
        <v>15329</v>
      </c>
    </row>
    <row r="90" spans="1:15" x14ac:dyDescent="0.35">
      <c r="A90" t="s">
        <v>15376</v>
      </c>
      <c r="B90" t="s">
        <v>33</v>
      </c>
      <c r="C90" t="s">
        <v>27</v>
      </c>
      <c r="D90" t="s">
        <v>238</v>
      </c>
      <c r="E90" t="s">
        <v>15319</v>
      </c>
      <c r="F90" t="s">
        <v>15377</v>
      </c>
      <c r="G90" t="s">
        <v>15320</v>
      </c>
      <c r="H90" t="s">
        <v>15879</v>
      </c>
      <c r="I90" s="16" t="s">
        <v>15885</v>
      </c>
      <c r="J90" t="s">
        <v>15907</v>
      </c>
      <c r="L90" s="16" t="s">
        <v>15423</v>
      </c>
      <c r="M90" t="s">
        <v>15425</v>
      </c>
      <c r="N90" t="s">
        <v>27</v>
      </c>
      <c r="O90" t="s">
        <v>15329</v>
      </c>
    </row>
    <row r="91" spans="1:15" x14ac:dyDescent="0.35">
      <c r="A91" t="s">
        <v>15376</v>
      </c>
      <c r="B91" t="s">
        <v>33</v>
      </c>
      <c r="C91" t="s">
        <v>27</v>
      </c>
      <c r="D91" t="s">
        <v>238</v>
      </c>
      <c r="E91" t="s">
        <v>15319</v>
      </c>
      <c r="F91" t="s">
        <v>15377</v>
      </c>
      <c r="G91" t="s">
        <v>15320</v>
      </c>
      <c r="H91" t="s">
        <v>15879</v>
      </c>
      <c r="I91" s="16" t="s">
        <v>15910</v>
      </c>
      <c r="J91" t="s">
        <v>15907</v>
      </c>
      <c r="L91" s="16" t="s">
        <v>15476</v>
      </c>
      <c r="M91" t="s">
        <v>15600</v>
      </c>
      <c r="N91" t="s">
        <v>27</v>
      </c>
      <c r="O91" t="s">
        <v>15329</v>
      </c>
    </row>
    <row r="92" spans="1:15" x14ac:dyDescent="0.35">
      <c r="A92" t="s">
        <v>15376</v>
      </c>
      <c r="B92" t="s">
        <v>33</v>
      </c>
      <c r="C92" t="s">
        <v>27</v>
      </c>
      <c r="D92" t="s">
        <v>238</v>
      </c>
      <c r="E92" t="s">
        <v>15319</v>
      </c>
      <c r="F92" t="s">
        <v>15377</v>
      </c>
      <c r="G92" t="s">
        <v>15320</v>
      </c>
      <c r="H92" t="s">
        <v>15879</v>
      </c>
      <c r="I92" s="16" t="s">
        <v>15892</v>
      </c>
      <c r="J92" t="s">
        <v>15907</v>
      </c>
      <c r="L92" s="16" t="s">
        <v>15351</v>
      </c>
      <c r="M92" t="s">
        <v>15671</v>
      </c>
      <c r="N92" t="s">
        <v>27</v>
      </c>
      <c r="O92" t="s">
        <v>15329</v>
      </c>
    </row>
    <row r="93" spans="1:15" x14ac:dyDescent="0.35">
      <c r="A93" t="s">
        <v>15376</v>
      </c>
      <c r="B93" t="s">
        <v>33</v>
      </c>
      <c r="C93" t="s">
        <v>27</v>
      </c>
      <c r="D93" t="s">
        <v>238</v>
      </c>
      <c r="E93" t="s">
        <v>15319</v>
      </c>
      <c r="F93" t="s">
        <v>15377</v>
      </c>
      <c r="G93" t="s">
        <v>15320</v>
      </c>
      <c r="H93" t="s">
        <v>15879</v>
      </c>
      <c r="I93" s="16" t="s">
        <v>15920</v>
      </c>
      <c r="J93" t="s">
        <v>15907</v>
      </c>
      <c r="L93" s="16" t="s">
        <v>2197</v>
      </c>
      <c r="M93" t="s">
        <v>15570</v>
      </c>
      <c r="N93" t="s">
        <v>238</v>
      </c>
      <c r="O93" t="s">
        <v>15325</v>
      </c>
    </row>
    <row r="94" spans="1:15" x14ac:dyDescent="0.35">
      <c r="A94" t="s">
        <v>15376</v>
      </c>
      <c r="B94" t="s">
        <v>33</v>
      </c>
      <c r="C94" t="s">
        <v>27</v>
      </c>
      <c r="D94" t="s">
        <v>238</v>
      </c>
      <c r="E94" t="s">
        <v>15319</v>
      </c>
      <c r="F94" t="s">
        <v>15377</v>
      </c>
      <c r="G94" t="s">
        <v>15320</v>
      </c>
      <c r="H94" t="s">
        <v>15879</v>
      </c>
      <c r="I94" s="16" t="s">
        <v>15920</v>
      </c>
      <c r="J94" t="s">
        <v>15907</v>
      </c>
      <c r="L94" s="16" t="s">
        <v>15331</v>
      </c>
      <c r="M94" t="s">
        <v>15572</v>
      </c>
      <c r="N94" t="s">
        <v>238</v>
      </c>
      <c r="O94" t="s">
        <v>15325</v>
      </c>
    </row>
    <row r="95" spans="1:15" x14ac:dyDescent="0.35">
      <c r="A95" t="s">
        <v>15376</v>
      </c>
      <c r="B95" t="s">
        <v>33</v>
      </c>
      <c r="C95" t="s">
        <v>27</v>
      </c>
      <c r="D95" t="s">
        <v>238</v>
      </c>
      <c r="E95" t="s">
        <v>15319</v>
      </c>
      <c r="F95" t="s">
        <v>15377</v>
      </c>
      <c r="G95" t="s">
        <v>15320</v>
      </c>
      <c r="H95" t="s">
        <v>15879</v>
      </c>
      <c r="I95" s="16" t="s">
        <v>15917</v>
      </c>
      <c r="J95" t="s">
        <v>15907</v>
      </c>
      <c r="L95" s="16" t="s">
        <v>15351</v>
      </c>
      <c r="M95" t="s">
        <v>15854</v>
      </c>
      <c r="N95" t="s">
        <v>238</v>
      </c>
      <c r="O95" t="s">
        <v>15325</v>
      </c>
    </row>
    <row r="96" spans="1:15" x14ac:dyDescent="0.35">
      <c r="A96" t="s">
        <v>15376</v>
      </c>
      <c r="B96" t="s">
        <v>33</v>
      </c>
      <c r="C96" t="s">
        <v>27</v>
      </c>
      <c r="D96" t="s">
        <v>238</v>
      </c>
      <c r="E96" t="s">
        <v>15319</v>
      </c>
      <c r="F96" t="s">
        <v>15377</v>
      </c>
      <c r="G96" t="s">
        <v>15320</v>
      </c>
      <c r="H96" t="s">
        <v>15879</v>
      </c>
      <c r="I96" s="16" t="s">
        <v>15921</v>
      </c>
      <c r="J96" t="s">
        <v>15907</v>
      </c>
      <c r="L96" s="16" t="s">
        <v>15364</v>
      </c>
      <c r="M96" t="s">
        <v>15609</v>
      </c>
      <c r="N96" t="s">
        <v>238</v>
      </c>
      <c r="O96" t="s">
        <v>15325</v>
      </c>
    </row>
    <row r="97" spans="1:15" x14ac:dyDescent="0.35">
      <c r="A97" t="s">
        <v>15376</v>
      </c>
      <c r="B97" t="s">
        <v>33</v>
      </c>
      <c r="C97" t="s">
        <v>27</v>
      </c>
      <c r="D97" t="s">
        <v>238</v>
      </c>
      <c r="E97" t="s">
        <v>15319</v>
      </c>
      <c r="F97" t="s">
        <v>15377</v>
      </c>
      <c r="G97" t="s">
        <v>15320</v>
      </c>
      <c r="H97" t="s">
        <v>15879</v>
      </c>
      <c r="I97" s="16" t="s">
        <v>15922</v>
      </c>
      <c r="J97" t="s">
        <v>15907</v>
      </c>
      <c r="L97" s="16" t="s">
        <v>2151</v>
      </c>
      <c r="M97" t="s">
        <v>15564</v>
      </c>
      <c r="N97" t="s">
        <v>238</v>
      </c>
      <c r="O97" t="s">
        <v>15325</v>
      </c>
    </row>
    <row r="98" spans="1:15" x14ac:dyDescent="0.35">
      <c r="A98" t="s">
        <v>15376</v>
      </c>
      <c r="B98" t="s">
        <v>33</v>
      </c>
      <c r="C98" t="s">
        <v>27</v>
      </c>
      <c r="D98" t="s">
        <v>238</v>
      </c>
      <c r="E98" t="s">
        <v>15319</v>
      </c>
      <c r="F98" t="s">
        <v>15377</v>
      </c>
      <c r="G98" t="s">
        <v>15320</v>
      </c>
      <c r="H98" t="s">
        <v>15879</v>
      </c>
      <c r="I98" s="16" t="s">
        <v>15922</v>
      </c>
      <c r="J98" t="s">
        <v>15907</v>
      </c>
      <c r="L98" s="16" t="s">
        <v>15337</v>
      </c>
      <c r="M98" t="s">
        <v>15414</v>
      </c>
      <c r="N98" t="s">
        <v>238</v>
      </c>
      <c r="O98" t="s">
        <v>15325</v>
      </c>
    </row>
    <row r="99" spans="1:15" x14ac:dyDescent="0.35">
      <c r="A99" t="s">
        <v>15376</v>
      </c>
      <c r="B99" t="s">
        <v>33</v>
      </c>
      <c r="C99" t="s">
        <v>27</v>
      </c>
      <c r="D99" t="s">
        <v>238</v>
      </c>
      <c r="E99" t="s">
        <v>15319</v>
      </c>
      <c r="F99" t="s">
        <v>15377</v>
      </c>
      <c r="G99" t="s">
        <v>15320</v>
      </c>
      <c r="H99" t="s">
        <v>15879</v>
      </c>
      <c r="I99" s="16" t="s">
        <v>15922</v>
      </c>
      <c r="J99" t="s">
        <v>15907</v>
      </c>
      <c r="L99" s="16" t="s">
        <v>15420</v>
      </c>
      <c r="M99" t="s">
        <v>15776</v>
      </c>
      <c r="N99" t="s">
        <v>238</v>
      </c>
      <c r="O99" t="s">
        <v>15325</v>
      </c>
    </row>
    <row r="100" spans="1:15" x14ac:dyDescent="0.35">
      <c r="A100" t="s">
        <v>15376</v>
      </c>
      <c r="B100" t="s">
        <v>33</v>
      </c>
      <c r="C100" t="s">
        <v>27</v>
      </c>
      <c r="D100" t="s">
        <v>238</v>
      </c>
      <c r="E100" t="s">
        <v>15319</v>
      </c>
      <c r="F100" t="s">
        <v>15377</v>
      </c>
      <c r="G100" t="s">
        <v>15320</v>
      </c>
      <c r="H100" t="s">
        <v>15879</v>
      </c>
      <c r="I100" s="16" t="s">
        <v>15923</v>
      </c>
      <c r="J100" t="s">
        <v>15907</v>
      </c>
      <c r="L100" s="16" t="s">
        <v>15399</v>
      </c>
      <c r="M100" t="s">
        <v>15593</v>
      </c>
      <c r="N100" t="s">
        <v>238</v>
      </c>
      <c r="O100" t="s">
        <v>15325</v>
      </c>
    </row>
    <row r="101" spans="1:15" x14ac:dyDescent="0.35">
      <c r="A101" t="s">
        <v>15376</v>
      </c>
      <c r="B101" t="s">
        <v>33</v>
      </c>
      <c r="C101" t="s">
        <v>954</v>
      </c>
      <c r="D101" t="s">
        <v>1090</v>
      </c>
      <c r="E101" t="s">
        <v>15319</v>
      </c>
      <c r="F101" t="s">
        <v>950</v>
      </c>
      <c r="G101" t="s">
        <v>15320</v>
      </c>
      <c r="H101" t="s">
        <v>15879</v>
      </c>
      <c r="I101" s="16" t="s">
        <v>15916</v>
      </c>
      <c r="J101" t="s">
        <v>15907</v>
      </c>
      <c r="L101" s="16" t="s">
        <v>15337</v>
      </c>
      <c r="M101" t="s">
        <v>15544</v>
      </c>
      <c r="N101" t="s">
        <v>954</v>
      </c>
      <c r="O101" t="s">
        <v>15329</v>
      </c>
    </row>
    <row r="102" spans="1:15" x14ac:dyDescent="0.35">
      <c r="A102" t="s">
        <v>15376</v>
      </c>
      <c r="B102" t="s">
        <v>33</v>
      </c>
      <c r="C102" t="s">
        <v>954</v>
      </c>
      <c r="D102" t="s">
        <v>1090</v>
      </c>
      <c r="E102" t="s">
        <v>15319</v>
      </c>
      <c r="F102" t="s">
        <v>950</v>
      </c>
      <c r="G102" t="s">
        <v>15320</v>
      </c>
      <c r="H102" t="s">
        <v>15879</v>
      </c>
      <c r="I102" s="16" t="s">
        <v>15916</v>
      </c>
      <c r="J102" t="s">
        <v>15907</v>
      </c>
      <c r="L102" s="16" t="s">
        <v>15451</v>
      </c>
      <c r="M102" t="s">
        <v>15431</v>
      </c>
      <c r="N102" t="s">
        <v>954</v>
      </c>
      <c r="O102" t="s">
        <v>15329</v>
      </c>
    </row>
    <row r="103" spans="1:15" x14ac:dyDescent="0.35">
      <c r="A103" t="s">
        <v>15376</v>
      </c>
      <c r="B103" t="s">
        <v>33</v>
      </c>
      <c r="C103" t="s">
        <v>954</v>
      </c>
      <c r="D103" t="s">
        <v>1090</v>
      </c>
      <c r="E103" t="s">
        <v>15319</v>
      </c>
      <c r="F103" t="s">
        <v>950</v>
      </c>
      <c r="G103" t="s">
        <v>15320</v>
      </c>
      <c r="H103" t="s">
        <v>15879</v>
      </c>
      <c r="I103" s="16" t="s">
        <v>15916</v>
      </c>
      <c r="J103" t="s">
        <v>15907</v>
      </c>
      <c r="L103" s="16" t="s">
        <v>15399</v>
      </c>
      <c r="M103" t="s">
        <v>15580</v>
      </c>
      <c r="N103" t="s">
        <v>954</v>
      </c>
      <c r="O103" t="s">
        <v>15329</v>
      </c>
    </row>
    <row r="104" spans="1:15" x14ac:dyDescent="0.35">
      <c r="A104" t="s">
        <v>15376</v>
      </c>
      <c r="B104" t="s">
        <v>33</v>
      </c>
      <c r="C104" t="s">
        <v>954</v>
      </c>
      <c r="D104" t="s">
        <v>1090</v>
      </c>
      <c r="E104" t="s">
        <v>15319</v>
      </c>
      <c r="F104" t="s">
        <v>950</v>
      </c>
      <c r="G104" t="s">
        <v>15320</v>
      </c>
      <c r="H104" t="s">
        <v>15879</v>
      </c>
      <c r="I104" s="16" t="s">
        <v>15895</v>
      </c>
      <c r="J104" t="s">
        <v>15907</v>
      </c>
      <c r="L104" s="16" t="s">
        <v>15409</v>
      </c>
      <c r="M104" t="s">
        <v>15712</v>
      </c>
      <c r="N104" t="s">
        <v>954</v>
      </c>
      <c r="O104" t="s">
        <v>15329</v>
      </c>
    </row>
    <row r="105" spans="1:15" x14ac:dyDescent="0.35">
      <c r="A105" t="s">
        <v>15330</v>
      </c>
      <c r="B105" t="s">
        <v>33</v>
      </c>
      <c r="C105" t="s">
        <v>954</v>
      </c>
      <c r="D105" t="s">
        <v>1090</v>
      </c>
      <c r="E105" t="s">
        <v>15319</v>
      </c>
      <c r="F105" t="s">
        <v>950</v>
      </c>
      <c r="G105" t="s">
        <v>15320</v>
      </c>
      <c r="H105" t="s">
        <v>15879</v>
      </c>
      <c r="I105" s="16" t="s">
        <v>15895</v>
      </c>
      <c r="J105" t="s">
        <v>15907</v>
      </c>
      <c r="L105" s="16" t="s">
        <v>15331</v>
      </c>
      <c r="M105" t="s">
        <v>15530</v>
      </c>
      <c r="N105" t="s">
        <v>954</v>
      </c>
      <c r="O105" t="s">
        <v>15329</v>
      </c>
    </row>
    <row r="106" spans="1:15" x14ac:dyDescent="0.35">
      <c r="A106" t="s">
        <v>15330</v>
      </c>
      <c r="B106" t="s">
        <v>33</v>
      </c>
      <c r="C106" t="s">
        <v>954</v>
      </c>
      <c r="D106" t="s">
        <v>1090</v>
      </c>
      <c r="E106" t="s">
        <v>15319</v>
      </c>
      <c r="F106" t="s">
        <v>950</v>
      </c>
      <c r="G106" t="s">
        <v>15320</v>
      </c>
      <c r="H106" t="s">
        <v>15879</v>
      </c>
      <c r="I106" s="16" t="s">
        <v>15885</v>
      </c>
      <c r="J106" t="s">
        <v>15907</v>
      </c>
      <c r="L106" s="16" t="s">
        <v>2135</v>
      </c>
      <c r="M106" t="s">
        <v>15528</v>
      </c>
      <c r="N106" t="s">
        <v>954</v>
      </c>
      <c r="O106" t="s">
        <v>15329</v>
      </c>
    </row>
    <row r="107" spans="1:15" x14ac:dyDescent="0.35">
      <c r="A107" t="s">
        <v>15330</v>
      </c>
      <c r="B107" t="s">
        <v>33</v>
      </c>
      <c r="C107" t="s">
        <v>954</v>
      </c>
      <c r="D107" t="s">
        <v>1090</v>
      </c>
      <c r="E107" t="s">
        <v>15319</v>
      </c>
      <c r="F107" t="s">
        <v>950</v>
      </c>
      <c r="G107" t="s">
        <v>15320</v>
      </c>
      <c r="H107" t="s">
        <v>15879</v>
      </c>
      <c r="I107" s="16" t="s">
        <v>15885</v>
      </c>
      <c r="J107" t="s">
        <v>15907</v>
      </c>
      <c r="L107" s="16" t="s">
        <v>2151</v>
      </c>
      <c r="M107" t="s">
        <v>15806</v>
      </c>
      <c r="N107" t="s">
        <v>954</v>
      </c>
      <c r="O107" t="s">
        <v>15329</v>
      </c>
    </row>
    <row r="108" spans="1:15" x14ac:dyDescent="0.35">
      <c r="A108" t="s">
        <v>15330</v>
      </c>
      <c r="B108" t="s">
        <v>33</v>
      </c>
      <c r="C108" t="s">
        <v>954</v>
      </c>
      <c r="D108" t="s">
        <v>1090</v>
      </c>
      <c r="E108" t="s">
        <v>15319</v>
      </c>
      <c r="F108" t="s">
        <v>950</v>
      </c>
      <c r="G108" t="s">
        <v>15320</v>
      </c>
      <c r="H108" t="s">
        <v>15879</v>
      </c>
      <c r="I108" s="16" t="s">
        <v>15916</v>
      </c>
      <c r="J108" t="s">
        <v>15907</v>
      </c>
      <c r="L108" s="16" t="s">
        <v>2151</v>
      </c>
      <c r="M108" t="s">
        <v>15511</v>
      </c>
      <c r="N108" t="s">
        <v>1090</v>
      </c>
      <c r="O108" t="s">
        <v>15325</v>
      </c>
    </row>
    <row r="109" spans="1:15" x14ac:dyDescent="0.35">
      <c r="A109" t="s">
        <v>15330</v>
      </c>
      <c r="B109" t="s">
        <v>33</v>
      </c>
      <c r="C109" t="s">
        <v>954</v>
      </c>
      <c r="D109" t="s">
        <v>1090</v>
      </c>
      <c r="E109" t="s">
        <v>15319</v>
      </c>
      <c r="F109" t="s">
        <v>950</v>
      </c>
      <c r="G109" t="s">
        <v>15320</v>
      </c>
      <c r="H109" t="s">
        <v>15879</v>
      </c>
      <c r="I109" s="16" t="s">
        <v>15889</v>
      </c>
      <c r="J109" t="s">
        <v>15907</v>
      </c>
      <c r="L109" s="16" t="s">
        <v>15404</v>
      </c>
      <c r="M109" t="s">
        <v>15555</v>
      </c>
      <c r="N109" t="s">
        <v>1090</v>
      </c>
      <c r="O109" t="s">
        <v>15325</v>
      </c>
    </row>
    <row r="110" spans="1:15" x14ac:dyDescent="0.35">
      <c r="A110" t="s">
        <v>15330</v>
      </c>
      <c r="B110" t="s">
        <v>33</v>
      </c>
      <c r="C110" t="s">
        <v>954</v>
      </c>
      <c r="D110" t="s">
        <v>1090</v>
      </c>
      <c r="E110" t="s">
        <v>15319</v>
      </c>
      <c r="F110" t="s">
        <v>950</v>
      </c>
      <c r="G110" t="s">
        <v>15320</v>
      </c>
      <c r="H110" t="s">
        <v>15879</v>
      </c>
      <c r="I110" s="16" t="s">
        <v>15889</v>
      </c>
      <c r="J110" t="s">
        <v>15907</v>
      </c>
      <c r="L110" s="16" t="s">
        <v>15399</v>
      </c>
      <c r="M110" t="s">
        <v>15841</v>
      </c>
      <c r="N110" t="s">
        <v>1090</v>
      </c>
      <c r="O110" t="s">
        <v>15325</v>
      </c>
    </row>
    <row r="111" spans="1:15" x14ac:dyDescent="0.35">
      <c r="A111" t="s">
        <v>15330</v>
      </c>
      <c r="B111" t="s">
        <v>33</v>
      </c>
      <c r="C111" t="s">
        <v>954</v>
      </c>
      <c r="D111" t="s">
        <v>1090</v>
      </c>
      <c r="E111" t="s">
        <v>15319</v>
      </c>
      <c r="F111" t="s">
        <v>950</v>
      </c>
      <c r="G111" t="s">
        <v>15320</v>
      </c>
      <c r="H111" t="s">
        <v>15879</v>
      </c>
      <c r="I111" s="16" t="s">
        <v>15897</v>
      </c>
      <c r="J111" t="s">
        <v>15907</v>
      </c>
      <c r="L111" s="16" t="s">
        <v>15364</v>
      </c>
      <c r="M111" t="s">
        <v>15480</v>
      </c>
      <c r="N111" t="s">
        <v>1090</v>
      </c>
      <c r="O111" t="s">
        <v>15325</v>
      </c>
    </row>
    <row r="112" spans="1:15" x14ac:dyDescent="0.35">
      <c r="A112" t="s">
        <v>15330</v>
      </c>
      <c r="B112" t="s">
        <v>33</v>
      </c>
      <c r="C112" t="s">
        <v>954</v>
      </c>
      <c r="D112" t="s">
        <v>1090</v>
      </c>
      <c r="E112" t="s">
        <v>15319</v>
      </c>
      <c r="F112" t="s">
        <v>950</v>
      </c>
      <c r="G112" t="s">
        <v>15320</v>
      </c>
      <c r="H112" t="s">
        <v>15879</v>
      </c>
      <c r="I112" s="16" t="s">
        <v>15897</v>
      </c>
      <c r="J112" t="s">
        <v>15907</v>
      </c>
      <c r="L112" s="16" t="s">
        <v>15409</v>
      </c>
      <c r="M112" t="s">
        <v>15683</v>
      </c>
      <c r="N112" t="s">
        <v>1090</v>
      </c>
      <c r="O112" t="s">
        <v>15325</v>
      </c>
    </row>
    <row r="113" spans="1:15" x14ac:dyDescent="0.35">
      <c r="A113" t="s">
        <v>15330</v>
      </c>
      <c r="B113" t="s">
        <v>33</v>
      </c>
      <c r="C113" t="s">
        <v>954</v>
      </c>
      <c r="D113" t="s">
        <v>1090</v>
      </c>
      <c r="E113" t="s">
        <v>15319</v>
      </c>
      <c r="F113" t="s">
        <v>950</v>
      </c>
      <c r="G113" t="s">
        <v>15320</v>
      </c>
      <c r="H113" t="s">
        <v>15879</v>
      </c>
      <c r="I113" s="16" t="s">
        <v>15885</v>
      </c>
      <c r="J113" t="s">
        <v>15907</v>
      </c>
      <c r="L113" s="16" t="s">
        <v>15354</v>
      </c>
      <c r="M113" t="s">
        <v>15924</v>
      </c>
      <c r="N113" t="s">
        <v>1090</v>
      </c>
      <c r="O113" t="s">
        <v>15325</v>
      </c>
    </row>
    <row r="114" spans="1:15" x14ac:dyDescent="0.35">
      <c r="A114" t="s">
        <v>15330</v>
      </c>
      <c r="B114" t="s">
        <v>33</v>
      </c>
      <c r="C114" t="s">
        <v>954</v>
      </c>
      <c r="D114" t="s">
        <v>1090</v>
      </c>
      <c r="E114" t="s">
        <v>15319</v>
      </c>
      <c r="F114" t="s">
        <v>950</v>
      </c>
      <c r="G114" t="s">
        <v>15320</v>
      </c>
      <c r="H114" t="s">
        <v>15879</v>
      </c>
      <c r="I114" s="16" t="s">
        <v>15912</v>
      </c>
      <c r="J114" t="s">
        <v>15907</v>
      </c>
      <c r="L114" s="16" t="s">
        <v>15337</v>
      </c>
      <c r="M114" t="s">
        <v>15550</v>
      </c>
      <c r="N114" t="s">
        <v>1090</v>
      </c>
      <c r="O114" t="s">
        <v>15325</v>
      </c>
    </row>
    <row r="115" spans="1:15" x14ac:dyDescent="0.35">
      <c r="A115" t="s">
        <v>15330</v>
      </c>
      <c r="B115" t="s">
        <v>33</v>
      </c>
      <c r="C115" t="s">
        <v>954</v>
      </c>
      <c r="D115" t="s">
        <v>1090</v>
      </c>
      <c r="E115" t="s">
        <v>15319</v>
      </c>
      <c r="F115" t="s">
        <v>950</v>
      </c>
      <c r="G115" t="s">
        <v>15320</v>
      </c>
      <c r="H115" t="s">
        <v>15879</v>
      </c>
      <c r="I115" s="16" t="s">
        <v>15912</v>
      </c>
      <c r="J115" t="s">
        <v>15907</v>
      </c>
      <c r="L115" s="16" t="s">
        <v>15331</v>
      </c>
      <c r="M115" t="s">
        <v>15826</v>
      </c>
      <c r="N115" t="s">
        <v>1090</v>
      </c>
      <c r="O115" t="s">
        <v>15325</v>
      </c>
    </row>
    <row r="116" spans="1:15" x14ac:dyDescent="0.35">
      <c r="A116" t="s">
        <v>15330</v>
      </c>
      <c r="B116" t="s">
        <v>33</v>
      </c>
      <c r="C116" t="s">
        <v>954</v>
      </c>
      <c r="D116" t="s">
        <v>1090</v>
      </c>
      <c r="E116" t="s">
        <v>15319</v>
      </c>
      <c r="F116" t="s">
        <v>950</v>
      </c>
      <c r="G116" t="s">
        <v>15320</v>
      </c>
      <c r="H116" t="s">
        <v>15879</v>
      </c>
      <c r="I116" s="16" t="s">
        <v>15880</v>
      </c>
      <c r="J116" t="s">
        <v>15907</v>
      </c>
      <c r="L116" s="16" t="s">
        <v>15359</v>
      </c>
      <c r="M116" t="s">
        <v>15798</v>
      </c>
      <c r="N116" t="s">
        <v>1090</v>
      </c>
      <c r="O116" t="s">
        <v>15325</v>
      </c>
    </row>
    <row r="117" spans="1:15" x14ac:dyDescent="0.35">
      <c r="A117" t="s">
        <v>15330</v>
      </c>
      <c r="B117" t="s">
        <v>33</v>
      </c>
      <c r="C117" t="s">
        <v>809</v>
      </c>
      <c r="D117" t="s">
        <v>671</v>
      </c>
      <c r="E117" t="s">
        <v>15319</v>
      </c>
      <c r="F117" t="s">
        <v>667</v>
      </c>
      <c r="G117" t="s">
        <v>15320</v>
      </c>
      <c r="H117" t="s">
        <v>15875</v>
      </c>
      <c r="I117" s="16" t="s">
        <v>15914</v>
      </c>
      <c r="J117" t="s">
        <v>15907</v>
      </c>
      <c r="L117" s="16" t="s">
        <v>15409</v>
      </c>
      <c r="M117" t="s">
        <v>15699</v>
      </c>
      <c r="N117" t="s">
        <v>809</v>
      </c>
      <c r="O117" t="s">
        <v>15329</v>
      </c>
    </row>
    <row r="118" spans="1:15" x14ac:dyDescent="0.35">
      <c r="A118" t="s">
        <v>15330</v>
      </c>
      <c r="B118" t="s">
        <v>33</v>
      </c>
      <c r="C118" t="s">
        <v>809</v>
      </c>
      <c r="D118" t="s">
        <v>671</v>
      </c>
      <c r="E118" t="s">
        <v>15319</v>
      </c>
      <c r="F118" t="s">
        <v>667</v>
      </c>
      <c r="G118" t="s">
        <v>15320</v>
      </c>
      <c r="H118" t="s">
        <v>15879</v>
      </c>
      <c r="I118" s="16" t="s">
        <v>15906</v>
      </c>
      <c r="J118" t="s">
        <v>15907</v>
      </c>
      <c r="L118" s="16" t="s">
        <v>15399</v>
      </c>
      <c r="M118" t="s">
        <v>15597</v>
      </c>
      <c r="N118" t="s">
        <v>809</v>
      </c>
      <c r="O118" t="s">
        <v>15329</v>
      </c>
    </row>
    <row r="119" spans="1:15" x14ac:dyDescent="0.35">
      <c r="A119" t="s">
        <v>15330</v>
      </c>
      <c r="B119" t="s">
        <v>33</v>
      </c>
      <c r="C119" t="s">
        <v>809</v>
      </c>
      <c r="D119" t="s">
        <v>671</v>
      </c>
      <c r="E119" t="s">
        <v>15319</v>
      </c>
      <c r="F119" t="s">
        <v>667</v>
      </c>
      <c r="G119" t="s">
        <v>15320</v>
      </c>
      <c r="H119" t="s">
        <v>15879</v>
      </c>
      <c r="I119" s="16" t="s">
        <v>15889</v>
      </c>
      <c r="J119" t="s">
        <v>15907</v>
      </c>
      <c r="L119" s="16" t="s">
        <v>2135</v>
      </c>
      <c r="M119" t="s">
        <v>15509</v>
      </c>
      <c r="N119" t="s">
        <v>809</v>
      </c>
      <c r="O119" t="s">
        <v>15329</v>
      </c>
    </row>
    <row r="120" spans="1:15" x14ac:dyDescent="0.35">
      <c r="A120" t="s">
        <v>15330</v>
      </c>
      <c r="B120" t="s">
        <v>33</v>
      </c>
      <c r="C120" t="s">
        <v>809</v>
      </c>
      <c r="D120" t="s">
        <v>671</v>
      </c>
      <c r="E120" t="s">
        <v>15319</v>
      </c>
      <c r="F120" t="s">
        <v>667</v>
      </c>
      <c r="G120" t="s">
        <v>15320</v>
      </c>
      <c r="H120" t="s">
        <v>15879</v>
      </c>
      <c r="I120" s="16" t="s">
        <v>15917</v>
      </c>
      <c r="J120" t="s">
        <v>15907</v>
      </c>
      <c r="L120" s="16" t="s">
        <v>15363</v>
      </c>
      <c r="M120" t="s">
        <v>15677</v>
      </c>
      <c r="N120" t="s">
        <v>809</v>
      </c>
      <c r="O120" t="s">
        <v>15329</v>
      </c>
    </row>
    <row r="121" spans="1:15" x14ac:dyDescent="0.35">
      <c r="A121" t="s">
        <v>15330</v>
      </c>
      <c r="B121" t="s">
        <v>33</v>
      </c>
      <c r="C121" t="s">
        <v>809</v>
      </c>
      <c r="D121" t="s">
        <v>671</v>
      </c>
      <c r="E121" t="s">
        <v>15319</v>
      </c>
      <c r="F121" t="s">
        <v>667</v>
      </c>
      <c r="G121" t="s">
        <v>15320</v>
      </c>
      <c r="H121" t="s">
        <v>15879</v>
      </c>
      <c r="I121" s="16" t="s">
        <v>15925</v>
      </c>
      <c r="J121" t="s">
        <v>15907</v>
      </c>
      <c r="L121" s="16" t="s">
        <v>15331</v>
      </c>
      <c r="M121" t="s">
        <v>15499</v>
      </c>
      <c r="N121" t="s">
        <v>809</v>
      </c>
      <c r="O121" t="s">
        <v>15329</v>
      </c>
    </row>
    <row r="122" spans="1:15" x14ac:dyDescent="0.35">
      <c r="A122" t="s">
        <v>15330</v>
      </c>
      <c r="B122" t="s">
        <v>33</v>
      </c>
      <c r="C122" t="s">
        <v>809</v>
      </c>
      <c r="D122" t="s">
        <v>671</v>
      </c>
      <c r="E122" t="s">
        <v>15319</v>
      </c>
      <c r="F122" t="s">
        <v>667</v>
      </c>
      <c r="G122" t="s">
        <v>15320</v>
      </c>
      <c r="H122" t="s">
        <v>15879</v>
      </c>
      <c r="I122" s="16" t="s">
        <v>15885</v>
      </c>
      <c r="J122" t="s">
        <v>15907</v>
      </c>
      <c r="L122" s="16" t="s">
        <v>15354</v>
      </c>
      <c r="M122" t="s">
        <v>15822</v>
      </c>
      <c r="N122" t="s">
        <v>809</v>
      </c>
      <c r="O122" t="s">
        <v>15329</v>
      </c>
    </row>
    <row r="123" spans="1:15" x14ac:dyDescent="0.35">
      <c r="A123" t="s">
        <v>15330</v>
      </c>
      <c r="B123" t="s">
        <v>33</v>
      </c>
      <c r="C123" t="s">
        <v>809</v>
      </c>
      <c r="D123" t="s">
        <v>671</v>
      </c>
      <c r="E123" t="s">
        <v>15319</v>
      </c>
      <c r="F123" t="s">
        <v>667</v>
      </c>
      <c r="G123" t="s">
        <v>15320</v>
      </c>
      <c r="H123" t="s">
        <v>15879</v>
      </c>
      <c r="I123" s="16" t="s">
        <v>15912</v>
      </c>
      <c r="J123" t="s">
        <v>15907</v>
      </c>
      <c r="L123" s="16" t="s">
        <v>15337</v>
      </c>
      <c r="M123" t="s">
        <v>15520</v>
      </c>
      <c r="N123" t="s">
        <v>809</v>
      </c>
      <c r="O123" t="s">
        <v>15329</v>
      </c>
    </row>
    <row r="124" spans="1:15" x14ac:dyDescent="0.35">
      <c r="A124" t="s">
        <v>15330</v>
      </c>
      <c r="B124" t="s">
        <v>33</v>
      </c>
      <c r="C124" t="s">
        <v>809</v>
      </c>
      <c r="D124" t="s">
        <v>671</v>
      </c>
      <c r="E124" t="s">
        <v>15319</v>
      </c>
      <c r="F124" t="s">
        <v>667</v>
      </c>
      <c r="G124" t="s">
        <v>15320</v>
      </c>
      <c r="H124" t="s">
        <v>15879</v>
      </c>
      <c r="I124" s="16" t="s">
        <v>15926</v>
      </c>
      <c r="J124" t="s">
        <v>15907</v>
      </c>
      <c r="L124" s="16" t="s">
        <v>15451</v>
      </c>
      <c r="M124" t="s">
        <v>15810</v>
      </c>
      <c r="N124" t="s">
        <v>809</v>
      </c>
      <c r="O124" t="s">
        <v>15329</v>
      </c>
    </row>
    <row r="125" spans="1:15" x14ac:dyDescent="0.35">
      <c r="A125" t="s">
        <v>15330</v>
      </c>
      <c r="B125" t="s">
        <v>33</v>
      </c>
      <c r="C125" t="s">
        <v>809</v>
      </c>
      <c r="D125" t="s">
        <v>671</v>
      </c>
      <c r="E125" t="s">
        <v>15319</v>
      </c>
      <c r="F125" t="s">
        <v>667</v>
      </c>
      <c r="G125" t="s">
        <v>15320</v>
      </c>
      <c r="H125" t="s">
        <v>15875</v>
      </c>
      <c r="I125" s="16" t="s">
        <v>15927</v>
      </c>
      <c r="J125" t="s">
        <v>15907</v>
      </c>
      <c r="L125" s="16" t="s">
        <v>15399</v>
      </c>
      <c r="M125" t="s">
        <v>15622</v>
      </c>
      <c r="N125" t="s">
        <v>671</v>
      </c>
      <c r="O125" t="s">
        <v>15325</v>
      </c>
    </row>
    <row r="126" spans="1:15" x14ac:dyDescent="0.35">
      <c r="A126" t="s">
        <v>15330</v>
      </c>
      <c r="B126" t="s">
        <v>33</v>
      </c>
      <c r="C126" t="s">
        <v>809</v>
      </c>
      <c r="D126" t="s">
        <v>671</v>
      </c>
      <c r="E126" t="s">
        <v>15319</v>
      </c>
      <c r="F126" t="s">
        <v>667</v>
      </c>
      <c r="G126" t="s">
        <v>15320</v>
      </c>
      <c r="H126" t="s">
        <v>15879</v>
      </c>
      <c r="I126" s="16" t="s">
        <v>15928</v>
      </c>
      <c r="J126" t="s">
        <v>15907</v>
      </c>
      <c r="L126" s="16" t="s">
        <v>15337</v>
      </c>
      <c r="M126" t="s">
        <v>15344</v>
      </c>
      <c r="N126" t="s">
        <v>671</v>
      </c>
      <c r="O126" t="s">
        <v>15325</v>
      </c>
    </row>
    <row r="127" spans="1:15" x14ac:dyDescent="0.35">
      <c r="A127" t="s">
        <v>15330</v>
      </c>
      <c r="B127" t="s">
        <v>33</v>
      </c>
      <c r="C127" t="s">
        <v>809</v>
      </c>
      <c r="D127" t="s">
        <v>671</v>
      </c>
      <c r="E127" t="s">
        <v>15319</v>
      </c>
      <c r="F127" t="s">
        <v>667</v>
      </c>
      <c r="G127" t="s">
        <v>15320</v>
      </c>
      <c r="H127" t="s">
        <v>15879</v>
      </c>
      <c r="I127" s="16" t="s">
        <v>15925</v>
      </c>
      <c r="J127" t="s">
        <v>15907</v>
      </c>
      <c r="L127" s="16" t="s">
        <v>2197</v>
      </c>
      <c r="M127" t="s">
        <v>15582</v>
      </c>
      <c r="N127" t="s">
        <v>671</v>
      </c>
      <c r="O127" t="s">
        <v>15325</v>
      </c>
    </row>
    <row r="128" spans="1:15" x14ac:dyDescent="0.35">
      <c r="A128" t="s">
        <v>15330</v>
      </c>
      <c r="B128" t="s">
        <v>33</v>
      </c>
      <c r="C128" t="s">
        <v>809</v>
      </c>
      <c r="D128" t="s">
        <v>671</v>
      </c>
      <c r="E128" t="s">
        <v>15319</v>
      </c>
      <c r="F128" t="s">
        <v>667</v>
      </c>
      <c r="G128" t="s">
        <v>15320</v>
      </c>
      <c r="H128" t="s">
        <v>15879</v>
      </c>
      <c r="I128" s="16" t="s">
        <v>15925</v>
      </c>
      <c r="J128" t="s">
        <v>15907</v>
      </c>
      <c r="L128" s="16" t="s">
        <v>15409</v>
      </c>
      <c r="M128" t="s">
        <v>15403</v>
      </c>
      <c r="N128" t="s">
        <v>671</v>
      </c>
      <c r="O128" t="s">
        <v>15325</v>
      </c>
    </row>
    <row r="129" spans="1:15" x14ac:dyDescent="0.35">
      <c r="A129" t="s">
        <v>15330</v>
      </c>
      <c r="B129" t="s">
        <v>33</v>
      </c>
      <c r="C129" t="s">
        <v>809</v>
      </c>
      <c r="D129" t="s">
        <v>671</v>
      </c>
      <c r="E129" t="s">
        <v>15319</v>
      </c>
      <c r="F129" t="s">
        <v>667</v>
      </c>
      <c r="G129" t="s">
        <v>15320</v>
      </c>
      <c r="H129" t="s">
        <v>15879</v>
      </c>
      <c r="I129" s="16" t="s">
        <v>15910</v>
      </c>
      <c r="J129" t="s">
        <v>15907</v>
      </c>
      <c r="L129" s="16" t="s">
        <v>15451</v>
      </c>
      <c r="M129" t="s">
        <v>15646</v>
      </c>
      <c r="N129" t="s">
        <v>671</v>
      </c>
      <c r="O129" t="s">
        <v>15325</v>
      </c>
    </row>
    <row r="130" spans="1:15" x14ac:dyDescent="0.35">
      <c r="A130" t="s">
        <v>15330</v>
      </c>
      <c r="B130" t="s">
        <v>33</v>
      </c>
      <c r="C130" t="s">
        <v>1257</v>
      </c>
      <c r="D130" t="s">
        <v>1395</v>
      </c>
      <c r="E130" t="s">
        <v>15319</v>
      </c>
      <c r="F130" t="s">
        <v>1253</v>
      </c>
      <c r="G130" t="s">
        <v>15320</v>
      </c>
      <c r="H130" t="s">
        <v>15879</v>
      </c>
      <c r="I130" s="16" t="s">
        <v>15925</v>
      </c>
      <c r="J130" t="s">
        <v>15907</v>
      </c>
      <c r="L130" s="16" t="s">
        <v>15354</v>
      </c>
      <c r="M130" t="s">
        <v>15522</v>
      </c>
      <c r="N130" t="s">
        <v>1257</v>
      </c>
      <c r="O130" t="s">
        <v>15329</v>
      </c>
    </row>
    <row r="131" spans="1:15" x14ac:dyDescent="0.35">
      <c r="A131" t="s">
        <v>15330</v>
      </c>
      <c r="B131" t="s">
        <v>33</v>
      </c>
      <c r="C131" t="s">
        <v>1257</v>
      </c>
      <c r="D131" t="s">
        <v>1395</v>
      </c>
      <c r="E131" t="s">
        <v>15319</v>
      </c>
      <c r="F131" t="s">
        <v>1253</v>
      </c>
      <c r="G131" t="s">
        <v>15320</v>
      </c>
      <c r="H131" t="s">
        <v>15879</v>
      </c>
      <c r="I131" s="16" t="s">
        <v>15909</v>
      </c>
      <c r="J131" t="s">
        <v>15907</v>
      </c>
      <c r="L131" s="16" t="s">
        <v>15331</v>
      </c>
      <c r="M131" t="s">
        <v>15640</v>
      </c>
      <c r="N131" t="s">
        <v>1257</v>
      </c>
      <c r="O131" t="s">
        <v>15329</v>
      </c>
    </row>
    <row r="132" spans="1:15" x14ac:dyDescent="0.35">
      <c r="A132" t="s">
        <v>15330</v>
      </c>
      <c r="B132" t="s">
        <v>33</v>
      </c>
      <c r="C132" t="s">
        <v>1257</v>
      </c>
      <c r="D132" t="s">
        <v>1395</v>
      </c>
      <c r="E132" t="s">
        <v>15319</v>
      </c>
      <c r="F132" t="s">
        <v>1253</v>
      </c>
      <c r="G132" t="s">
        <v>15320</v>
      </c>
      <c r="H132" t="s">
        <v>15879</v>
      </c>
      <c r="I132" s="16" t="s">
        <v>15885</v>
      </c>
      <c r="J132" t="s">
        <v>15907</v>
      </c>
      <c r="L132" s="16" t="s">
        <v>2197</v>
      </c>
      <c r="M132" t="s">
        <v>15446</v>
      </c>
      <c r="N132" t="s">
        <v>1257</v>
      </c>
      <c r="O132" t="s">
        <v>15329</v>
      </c>
    </row>
    <row r="133" spans="1:15" x14ac:dyDescent="0.35">
      <c r="A133" t="s">
        <v>15330</v>
      </c>
      <c r="B133" t="s">
        <v>33</v>
      </c>
      <c r="C133" t="s">
        <v>1257</v>
      </c>
      <c r="D133" t="s">
        <v>1395</v>
      </c>
      <c r="E133" t="s">
        <v>15319</v>
      </c>
      <c r="F133" t="s">
        <v>1253</v>
      </c>
      <c r="G133" t="s">
        <v>15320</v>
      </c>
      <c r="H133" t="s">
        <v>15879</v>
      </c>
      <c r="I133" s="16" t="s">
        <v>15912</v>
      </c>
      <c r="J133" t="s">
        <v>15907</v>
      </c>
      <c r="L133" s="16" t="s">
        <v>15399</v>
      </c>
      <c r="M133" t="s">
        <v>15634</v>
      </c>
      <c r="N133" t="s">
        <v>1257</v>
      </c>
      <c r="O133" t="s">
        <v>15329</v>
      </c>
    </row>
    <row r="134" spans="1:15" x14ac:dyDescent="0.35">
      <c r="A134" t="s">
        <v>15330</v>
      </c>
      <c r="B134" t="s">
        <v>33</v>
      </c>
      <c r="C134" t="s">
        <v>1257</v>
      </c>
      <c r="D134" t="s">
        <v>1395</v>
      </c>
      <c r="E134" t="s">
        <v>15319</v>
      </c>
      <c r="F134" t="s">
        <v>1253</v>
      </c>
      <c r="G134" t="s">
        <v>15320</v>
      </c>
      <c r="H134" t="s">
        <v>15879</v>
      </c>
      <c r="I134" s="16" t="s">
        <v>15904</v>
      </c>
      <c r="J134" t="s">
        <v>15907</v>
      </c>
      <c r="L134" s="16" t="s">
        <v>15420</v>
      </c>
      <c r="M134" t="s">
        <v>15673</v>
      </c>
      <c r="N134" t="s">
        <v>1257</v>
      </c>
      <c r="O134" t="s">
        <v>15329</v>
      </c>
    </row>
    <row r="135" spans="1:15" x14ac:dyDescent="0.35">
      <c r="A135" t="s">
        <v>15330</v>
      </c>
      <c r="B135" t="s">
        <v>33</v>
      </c>
      <c r="C135" t="s">
        <v>1257</v>
      </c>
      <c r="D135" t="s">
        <v>1395</v>
      </c>
      <c r="E135" t="s">
        <v>15319</v>
      </c>
      <c r="F135" t="s">
        <v>1253</v>
      </c>
      <c r="G135" t="s">
        <v>15320</v>
      </c>
      <c r="H135" t="s">
        <v>15875</v>
      </c>
      <c r="I135" s="16" t="s">
        <v>15929</v>
      </c>
      <c r="J135" t="s">
        <v>15907</v>
      </c>
      <c r="L135" s="16" t="s">
        <v>15399</v>
      </c>
      <c r="M135" t="s">
        <v>15725</v>
      </c>
      <c r="N135" t="s">
        <v>1395</v>
      </c>
      <c r="O135" t="s">
        <v>15325</v>
      </c>
    </row>
    <row r="136" spans="1:15" x14ac:dyDescent="0.35">
      <c r="A136" t="s">
        <v>15330</v>
      </c>
      <c r="B136" t="s">
        <v>33</v>
      </c>
      <c r="C136" t="s">
        <v>1257</v>
      </c>
      <c r="D136" t="s">
        <v>1395</v>
      </c>
      <c r="E136" t="s">
        <v>15319</v>
      </c>
      <c r="F136" t="s">
        <v>1253</v>
      </c>
      <c r="G136" t="s">
        <v>15320</v>
      </c>
      <c r="H136" t="s">
        <v>15875</v>
      </c>
      <c r="I136" s="16" t="s">
        <v>15930</v>
      </c>
      <c r="J136" t="s">
        <v>15907</v>
      </c>
      <c r="L136" s="16" t="s">
        <v>15412</v>
      </c>
      <c r="M136" t="s">
        <v>15465</v>
      </c>
      <c r="N136" t="s">
        <v>1395</v>
      </c>
      <c r="O136" t="s">
        <v>15325</v>
      </c>
    </row>
    <row r="137" spans="1:15" x14ac:dyDescent="0.35">
      <c r="A137" t="s">
        <v>15330</v>
      </c>
      <c r="B137" t="s">
        <v>33</v>
      </c>
      <c r="C137" t="s">
        <v>1257</v>
      </c>
      <c r="D137" t="s">
        <v>1395</v>
      </c>
      <c r="E137" t="s">
        <v>15319</v>
      </c>
      <c r="F137" t="s">
        <v>1253</v>
      </c>
      <c r="G137" t="s">
        <v>15320</v>
      </c>
      <c r="H137" t="s">
        <v>15875</v>
      </c>
      <c r="I137" s="16" t="s">
        <v>15930</v>
      </c>
      <c r="J137" t="s">
        <v>15907</v>
      </c>
      <c r="L137" s="16" t="s">
        <v>15399</v>
      </c>
      <c r="M137" t="s">
        <v>15725</v>
      </c>
      <c r="N137" t="s">
        <v>1395</v>
      </c>
      <c r="O137" t="s">
        <v>15325</v>
      </c>
    </row>
    <row r="138" spans="1:15" x14ac:dyDescent="0.35">
      <c r="A138" t="s">
        <v>15330</v>
      </c>
      <c r="B138" t="s">
        <v>33</v>
      </c>
      <c r="C138" t="s">
        <v>1257</v>
      </c>
      <c r="D138" t="s">
        <v>1395</v>
      </c>
      <c r="E138" t="s">
        <v>15319</v>
      </c>
      <c r="F138" t="s">
        <v>1253</v>
      </c>
      <c r="G138" t="s">
        <v>15320</v>
      </c>
      <c r="H138" t="s">
        <v>15879</v>
      </c>
      <c r="I138" s="16" t="s">
        <v>15916</v>
      </c>
      <c r="J138" t="s">
        <v>15907</v>
      </c>
      <c r="L138" s="16" t="s">
        <v>15381</v>
      </c>
      <c r="M138" t="s">
        <v>15394</v>
      </c>
      <c r="N138" t="s">
        <v>1395</v>
      </c>
      <c r="O138" t="s">
        <v>15325</v>
      </c>
    </row>
    <row r="139" spans="1:15" x14ac:dyDescent="0.35">
      <c r="A139" t="s">
        <v>15330</v>
      </c>
      <c r="B139" t="s">
        <v>33</v>
      </c>
      <c r="C139" t="s">
        <v>1257</v>
      </c>
      <c r="D139" t="s">
        <v>1395</v>
      </c>
      <c r="E139" t="s">
        <v>15319</v>
      </c>
      <c r="F139" t="s">
        <v>1253</v>
      </c>
      <c r="G139" t="s">
        <v>15320</v>
      </c>
      <c r="H139" t="s">
        <v>15879</v>
      </c>
      <c r="I139" s="16" t="s">
        <v>15931</v>
      </c>
      <c r="J139" t="s">
        <v>15907</v>
      </c>
      <c r="L139" s="16" t="s">
        <v>15337</v>
      </c>
      <c r="M139" t="s">
        <v>15349</v>
      </c>
      <c r="N139" t="s">
        <v>1395</v>
      </c>
      <c r="O139" t="s">
        <v>15325</v>
      </c>
    </row>
    <row r="140" spans="1:15" x14ac:dyDescent="0.35">
      <c r="A140" t="s">
        <v>15330</v>
      </c>
      <c r="B140" t="s">
        <v>33</v>
      </c>
      <c r="C140" t="s">
        <v>1257</v>
      </c>
      <c r="D140" t="s">
        <v>1395</v>
      </c>
      <c r="E140" t="s">
        <v>15319</v>
      </c>
      <c r="F140" t="s">
        <v>1253</v>
      </c>
      <c r="G140" t="s">
        <v>15320</v>
      </c>
      <c r="H140" t="s">
        <v>15879</v>
      </c>
      <c r="I140" s="16" t="s">
        <v>15931</v>
      </c>
      <c r="J140" t="s">
        <v>15907</v>
      </c>
      <c r="L140" s="16" t="s">
        <v>15331</v>
      </c>
      <c r="M140" t="s">
        <v>15772</v>
      </c>
      <c r="N140" t="s">
        <v>1395</v>
      </c>
      <c r="O140" t="s">
        <v>15325</v>
      </c>
    </row>
    <row r="141" spans="1:15" x14ac:dyDescent="0.35">
      <c r="A141" t="s">
        <v>15330</v>
      </c>
      <c r="B141" t="s">
        <v>33</v>
      </c>
      <c r="C141" t="s">
        <v>1257</v>
      </c>
      <c r="D141" t="s">
        <v>1395</v>
      </c>
      <c r="E141" t="s">
        <v>15319</v>
      </c>
      <c r="F141" t="s">
        <v>1253</v>
      </c>
      <c r="G141" t="s">
        <v>15320</v>
      </c>
      <c r="H141" t="s">
        <v>15879</v>
      </c>
      <c r="I141" s="16" t="s">
        <v>15931</v>
      </c>
      <c r="J141" t="s">
        <v>15907</v>
      </c>
      <c r="L141" s="16" t="s">
        <v>2151</v>
      </c>
      <c r="M141" t="s">
        <v>15618</v>
      </c>
      <c r="N141" t="s">
        <v>1395</v>
      </c>
      <c r="O141" t="s">
        <v>15325</v>
      </c>
    </row>
    <row r="142" spans="1:15" x14ac:dyDescent="0.35">
      <c r="A142" t="s">
        <v>15330</v>
      </c>
      <c r="B142" t="s">
        <v>33</v>
      </c>
      <c r="C142" t="s">
        <v>1257</v>
      </c>
      <c r="D142" t="s">
        <v>1395</v>
      </c>
      <c r="E142" t="s">
        <v>15319</v>
      </c>
      <c r="F142" t="s">
        <v>1253</v>
      </c>
      <c r="G142" t="s">
        <v>15320</v>
      </c>
      <c r="H142" t="s">
        <v>15879</v>
      </c>
      <c r="I142" s="16" t="s">
        <v>15911</v>
      </c>
      <c r="J142" t="s">
        <v>15907</v>
      </c>
      <c r="L142" s="16" t="s">
        <v>15363</v>
      </c>
      <c r="M142" t="s">
        <v>15361</v>
      </c>
      <c r="N142" t="s">
        <v>1395</v>
      </c>
      <c r="O142" t="s">
        <v>15325</v>
      </c>
    </row>
    <row r="143" spans="1:15" x14ac:dyDescent="0.35">
      <c r="A143" t="s">
        <v>15330</v>
      </c>
      <c r="B143" t="s">
        <v>33</v>
      </c>
      <c r="C143" t="s">
        <v>1257</v>
      </c>
      <c r="D143" t="s">
        <v>1395</v>
      </c>
      <c r="E143" t="s">
        <v>15319</v>
      </c>
      <c r="F143" t="s">
        <v>1253</v>
      </c>
      <c r="G143" t="s">
        <v>15320</v>
      </c>
      <c r="H143" t="s">
        <v>15879</v>
      </c>
      <c r="I143" s="16" t="s">
        <v>15932</v>
      </c>
      <c r="J143" t="s">
        <v>15907</v>
      </c>
      <c r="L143" s="16" t="s">
        <v>15404</v>
      </c>
      <c r="M143" t="s">
        <v>15754</v>
      </c>
      <c r="N143" t="s">
        <v>1395</v>
      </c>
      <c r="O143" t="s">
        <v>15325</v>
      </c>
    </row>
    <row r="144" spans="1:15" x14ac:dyDescent="0.35">
      <c r="A144" t="s">
        <v>15330</v>
      </c>
      <c r="B144" t="s">
        <v>33</v>
      </c>
      <c r="C144" t="s">
        <v>1257</v>
      </c>
      <c r="D144" t="s">
        <v>1395</v>
      </c>
      <c r="E144" t="s">
        <v>15319</v>
      </c>
      <c r="F144" t="s">
        <v>1253</v>
      </c>
      <c r="G144" t="s">
        <v>15320</v>
      </c>
      <c r="H144" t="s">
        <v>15879</v>
      </c>
      <c r="I144" s="16" t="s">
        <v>15933</v>
      </c>
      <c r="J144" t="s">
        <v>15907</v>
      </c>
      <c r="L144" s="16" t="s">
        <v>15354</v>
      </c>
      <c r="M144" t="s">
        <v>15353</v>
      </c>
      <c r="N144" t="s">
        <v>1395</v>
      </c>
      <c r="O144" t="s">
        <v>15325</v>
      </c>
    </row>
    <row r="145" spans="1:15" x14ac:dyDescent="0.35">
      <c r="A145" t="s">
        <v>15330</v>
      </c>
      <c r="B145" t="s">
        <v>33</v>
      </c>
      <c r="C145" t="s">
        <v>431</v>
      </c>
      <c r="D145" t="s">
        <v>1257</v>
      </c>
      <c r="E145" t="s">
        <v>15327</v>
      </c>
      <c r="F145" t="s">
        <v>15355</v>
      </c>
      <c r="G145" t="s">
        <v>15320</v>
      </c>
      <c r="H145" t="s">
        <v>15875</v>
      </c>
      <c r="I145" s="16">
        <v>7</v>
      </c>
      <c r="J145" t="s">
        <v>15907</v>
      </c>
      <c r="L145" s="16">
        <v>22</v>
      </c>
      <c r="M145" t="s">
        <v>15461</v>
      </c>
      <c r="N145" t="s">
        <v>431</v>
      </c>
      <c r="O145" t="s">
        <v>15329</v>
      </c>
    </row>
    <row r="146" spans="1:15" x14ac:dyDescent="0.35">
      <c r="A146" t="s">
        <v>15330</v>
      </c>
      <c r="B146" t="s">
        <v>33</v>
      </c>
      <c r="C146" t="s">
        <v>431</v>
      </c>
      <c r="D146" t="s">
        <v>1257</v>
      </c>
      <c r="E146" t="s">
        <v>15327</v>
      </c>
      <c r="F146" t="s">
        <v>15355</v>
      </c>
      <c r="G146" t="s">
        <v>15320</v>
      </c>
      <c r="H146" t="s">
        <v>15875</v>
      </c>
      <c r="I146" s="16">
        <v>16</v>
      </c>
      <c r="J146" t="s">
        <v>15907</v>
      </c>
      <c r="L146" s="16">
        <v>14</v>
      </c>
      <c r="M146" t="s">
        <v>15488</v>
      </c>
      <c r="N146" t="s">
        <v>431</v>
      </c>
      <c r="O146" t="s">
        <v>15329</v>
      </c>
    </row>
    <row r="147" spans="1:15" x14ac:dyDescent="0.35">
      <c r="A147" t="s">
        <v>15330</v>
      </c>
      <c r="B147" t="s">
        <v>33</v>
      </c>
      <c r="C147" t="s">
        <v>431</v>
      </c>
      <c r="D147" t="s">
        <v>1257</v>
      </c>
      <c r="E147" t="s">
        <v>15327</v>
      </c>
      <c r="F147" t="s">
        <v>15355</v>
      </c>
      <c r="G147" t="s">
        <v>15320</v>
      </c>
      <c r="H147" t="s">
        <v>15875</v>
      </c>
      <c r="I147" s="16">
        <v>28</v>
      </c>
      <c r="J147" t="s">
        <v>15907</v>
      </c>
      <c r="L147" s="16">
        <v>16</v>
      </c>
      <c r="M147" t="s">
        <v>15444</v>
      </c>
      <c r="N147" t="s">
        <v>431</v>
      </c>
      <c r="O147" t="s">
        <v>15329</v>
      </c>
    </row>
    <row r="148" spans="1:15" x14ac:dyDescent="0.35">
      <c r="A148" t="s">
        <v>15330</v>
      </c>
      <c r="B148" t="s">
        <v>33</v>
      </c>
      <c r="C148" t="s">
        <v>431</v>
      </c>
      <c r="D148" t="s">
        <v>1257</v>
      </c>
      <c r="E148" t="s">
        <v>15327</v>
      </c>
      <c r="F148" t="s">
        <v>15355</v>
      </c>
      <c r="G148" t="s">
        <v>15320</v>
      </c>
      <c r="H148" t="s">
        <v>15879</v>
      </c>
      <c r="I148" s="16">
        <v>42</v>
      </c>
      <c r="J148" t="s">
        <v>15907</v>
      </c>
      <c r="L148" s="16">
        <v>21</v>
      </c>
      <c r="M148" t="s">
        <v>15733</v>
      </c>
      <c r="N148" t="s">
        <v>431</v>
      </c>
      <c r="O148" t="s">
        <v>15329</v>
      </c>
    </row>
    <row r="149" spans="1:15" x14ac:dyDescent="0.35">
      <c r="A149" t="s">
        <v>15330</v>
      </c>
      <c r="B149" t="s">
        <v>33</v>
      </c>
      <c r="C149" t="s">
        <v>431</v>
      </c>
      <c r="D149" t="s">
        <v>1257</v>
      </c>
      <c r="E149" t="s">
        <v>15327</v>
      </c>
      <c r="F149" t="s">
        <v>15355</v>
      </c>
      <c r="G149" t="s">
        <v>15320</v>
      </c>
      <c r="H149" t="s">
        <v>15879</v>
      </c>
      <c r="I149" s="16">
        <v>50</v>
      </c>
      <c r="J149" t="s">
        <v>15907</v>
      </c>
      <c r="L149" s="16">
        <v>22</v>
      </c>
      <c r="M149" t="s">
        <v>15461</v>
      </c>
      <c r="N149" t="s">
        <v>431</v>
      </c>
      <c r="O149" t="s">
        <v>15329</v>
      </c>
    </row>
    <row r="150" spans="1:15" x14ac:dyDescent="0.35">
      <c r="A150" t="s">
        <v>15330</v>
      </c>
      <c r="B150" t="s">
        <v>33</v>
      </c>
      <c r="C150" t="s">
        <v>431</v>
      </c>
      <c r="D150" t="s">
        <v>1257</v>
      </c>
      <c r="E150" t="s">
        <v>15327</v>
      </c>
      <c r="F150" t="s">
        <v>15355</v>
      </c>
      <c r="G150" t="s">
        <v>15320</v>
      </c>
      <c r="H150" t="s">
        <v>15879</v>
      </c>
      <c r="I150" s="16">
        <v>62</v>
      </c>
      <c r="J150" t="s">
        <v>15907</v>
      </c>
      <c r="L150" s="16">
        <v>20</v>
      </c>
      <c r="M150" t="s">
        <v>15652</v>
      </c>
      <c r="N150" t="s">
        <v>431</v>
      </c>
      <c r="O150" t="s">
        <v>15329</v>
      </c>
    </row>
    <row r="151" spans="1:15" x14ac:dyDescent="0.35">
      <c r="A151" t="s">
        <v>15330</v>
      </c>
      <c r="B151" t="s">
        <v>33</v>
      </c>
      <c r="C151" t="s">
        <v>431</v>
      </c>
      <c r="D151" t="s">
        <v>1257</v>
      </c>
      <c r="E151" t="s">
        <v>15327</v>
      </c>
      <c r="F151" t="s">
        <v>15355</v>
      </c>
      <c r="G151" t="s">
        <v>15320</v>
      </c>
      <c r="H151" t="s">
        <v>15879</v>
      </c>
      <c r="I151" s="16">
        <v>69</v>
      </c>
      <c r="J151" t="s">
        <v>15907</v>
      </c>
      <c r="L151" s="16">
        <v>23</v>
      </c>
      <c r="M151" t="s">
        <v>15469</v>
      </c>
      <c r="N151" t="s">
        <v>431</v>
      </c>
      <c r="O151" t="s">
        <v>15329</v>
      </c>
    </row>
    <row r="152" spans="1:15" x14ac:dyDescent="0.35">
      <c r="A152" t="s">
        <v>15330</v>
      </c>
      <c r="B152" t="s">
        <v>33</v>
      </c>
      <c r="C152" t="s">
        <v>431</v>
      </c>
      <c r="D152" t="s">
        <v>1257</v>
      </c>
      <c r="E152" t="s">
        <v>15327</v>
      </c>
      <c r="F152" t="s">
        <v>15355</v>
      </c>
      <c r="G152" t="s">
        <v>15320</v>
      </c>
      <c r="H152" t="s">
        <v>15879</v>
      </c>
      <c r="I152" s="16">
        <v>69</v>
      </c>
      <c r="J152" t="s">
        <v>15907</v>
      </c>
      <c r="L152" s="16">
        <v>16</v>
      </c>
      <c r="M152" t="s">
        <v>15444</v>
      </c>
      <c r="N152" t="s">
        <v>431</v>
      </c>
      <c r="O152" t="s">
        <v>15329</v>
      </c>
    </row>
    <row r="153" spans="1:15" x14ac:dyDescent="0.35">
      <c r="A153" t="s">
        <v>15330</v>
      </c>
      <c r="B153" t="s">
        <v>33</v>
      </c>
      <c r="C153" t="s">
        <v>431</v>
      </c>
      <c r="D153" t="s">
        <v>1257</v>
      </c>
      <c r="E153" t="s">
        <v>15327</v>
      </c>
      <c r="F153" t="s">
        <v>15355</v>
      </c>
      <c r="G153" t="s">
        <v>15320</v>
      </c>
      <c r="H153" t="s">
        <v>15879</v>
      </c>
      <c r="I153" s="16">
        <v>75</v>
      </c>
      <c r="J153" t="s">
        <v>15907</v>
      </c>
      <c r="L153" s="16">
        <v>17</v>
      </c>
      <c r="M153" t="s">
        <v>15524</v>
      </c>
      <c r="N153" t="s">
        <v>431</v>
      </c>
      <c r="O153" t="s">
        <v>15329</v>
      </c>
    </row>
    <row r="154" spans="1:15" x14ac:dyDescent="0.35">
      <c r="A154" t="s">
        <v>15330</v>
      </c>
      <c r="B154" t="s">
        <v>33</v>
      </c>
      <c r="C154" t="s">
        <v>431</v>
      </c>
      <c r="D154" t="s">
        <v>1257</v>
      </c>
      <c r="E154" t="s">
        <v>15327</v>
      </c>
      <c r="F154" t="s">
        <v>15355</v>
      </c>
      <c r="G154" t="s">
        <v>15320</v>
      </c>
      <c r="H154" t="s">
        <v>15879</v>
      </c>
      <c r="I154" s="16">
        <v>0</v>
      </c>
      <c r="J154" t="s">
        <v>15907</v>
      </c>
      <c r="L154" s="16">
        <v>19</v>
      </c>
      <c r="M154" t="s">
        <v>15640</v>
      </c>
      <c r="N154" t="s">
        <v>1257</v>
      </c>
      <c r="O154" t="s">
        <v>15325</v>
      </c>
    </row>
    <row r="155" spans="1:15" x14ac:dyDescent="0.35">
      <c r="A155" t="s">
        <v>15336</v>
      </c>
      <c r="B155" t="s">
        <v>33</v>
      </c>
      <c r="C155" t="s">
        <v>431</v>
      </c>
      <c r="D155" t="s">
        <v>1257</v>
      </c>
      <c r="E155" t="s">
        <v>15327</v>
      </c>
      <c r="F155" t="s">
        <v>15355</v>
      </c>
      <c r="G155" t="s">
        <v>15320</v>
      </c>
      <c r="H155" t="s">
        <v>15875</v>
      </c>
      <c r="I155" s="16">
        <v>6</v>
      </c>
      <c r="J155" t="s">
        <v>15907</v>
      </c>
      <c r="L155" s="16">
        <v>22</v>
      </c>
      <c r="M155" t="s">
        <v>15833</v>
      </c>
      <c r="N155" t="s">
        <v>1257</v>
      </c>
      <c r="O155" t="s">
        <v>15325</v>
      </c>
    </row>
    <row r="156" spans="1:15" x14ac:dyDescent="0.35">
      <c r="A156" t="s">
        <v>15336</v>
      </c>
      <c r="B156" t="s">
        <v>33</v>
      </c>
      <c r="C156" t="s">
        <v>431</v>
      </c>
      <c r="D156" t="s">
        <v>1257</v>
      </c>
      <c r="E156" t="s">
        <v>15327</v>
      </c>
      <c r="F156" t="s">
        <v>15355</v>
      </c>
      <c r="G156" t="s">
        <v>15320</v>
      </c>
      <c r="H156" t="s">
        <v>15875</v>
      </c>
      <c r="I156" s="16">
        <v>17</v>
      </c>
      <c r="J156" t="s">
        <v>15907</v>
      </c>
      <c r="L156" s="16">
        <v>20</v>
      </c>
      <c r="M156" t="s">
        <v>15850</v>
      </c>
      <c r="N156" t="s">
        <v>1257</v>
      </c>
      <c r="O156" t="s">
        <v>15325</v>
      </c>
    </row>
    <row r="157" spans="1:15" x14ac:dyDescent="0.35">
      <c r="A157" t="s">
        <v>15336</v>
      </c>
      <c r="B157" t="s">
        <v>33</v>
      </c>
      <c r="C157" t="s">
        <v>431</v>
      </c>
      <c r="D157" t="s">
        <v>1257</v>
      </c>
      <c r="E157" t="s">
        <v>15327</v>
      </c>
      <c r="F157" t="s">
        <v>15355</v>
      </c>
      <c r="G157" t="s">
        <v>15320</v>
      </c>
      <c r="H157" t="s">
        <v>15875</v>
      </c>
      <c r="I157" s="16">
        <v>18</v>
      </c>
      <c r="J157" t="s">
        <v>15907</v>
      </c>
      <c r="L157" s="16">
        <v>3</v>
      </c>
      <c r="M157" t="s">
        <v>15616</v>
      </c>
      <c r="N157" t="s">
        <v>1257</v>
      </c>
      <c r="O157" t="s">
        <v>15325</v>
      </c>
    </row>
    <row r="158" spans="1:15" x14ac:dyDescent="0.35">
      <c r="A158" t="s">
        <v>15336</v>
      </c>
      <c r="B158" t="s">
        <v>33</v>
      </c>
      <c r="C158" t="s">
        <v>431</v>
      </c>
      <c r="D158" t="s">
        <v>1257</v>
      </c>
      <c r="E158" t="s">
        <v>15327</v>
      </c>
      <c r="F158" t="s">
        <v>15355</v>
      </c>
      <c r="G158" t="s">
        <v>15320</v>
      </c>
      <c r="H158" t="s">
        <v>15875</v>
      </c>
      <c r="I158" s="16">
        <v>20</v>
      </c>
      <c r="J158" t="s">
        <v>15907</v>
      </c>
      <c r="L158" s="16">
        <v>21</v>
      </c>
      <c r="M158" t="s">
        <v>15522</v>
      </c>
      <c r="N158" t="s">
        <v>1257</v>
      </c>
      <c r="O158" t="s">
        <v>15325</v>
      </c>
    </row>
    <row r="159" spans="1:15" x14ac:dyDescent="0.35">
      <c r="A159" t="s">
        <v>15336</v>
      </c>
      <c r="B159" t="s">
        <v>33</v>
      </c>
      <c r="C159" t="s">
        <v>431</v>
      </c>
      <c r="D159" t="s">
        <v>1257</v>
      </c>
      <c r="E159" t="s">
        <v>15327</v>
      </c>
      <c r="F159" t="s">
        <v>15355</v>
      </c>
      <c r="G159" t="s">
        <v>15320</v>
      </c>
      <c r="H159" t="s">
        <v>15875</v>
      </c>
      <c r="I159" s="16">
        <v>25</v>
      </c>
      <c r="J159" t="s">
        <v>15907</v>
      </c>
      <c r="L159" s="16">
        <v>11</v>
      </c>
      <c r="M159" t="s">
        <v>15673</v>
      </c>
      <c r="N159" t="s">
        <v>1257</v>
      </c>
      <c r="O159" t="s">
        <v>15325</v>
      </c>
    </row>
    <row r="160" spans="1:15" x14ac:dyDescent="0.35">
      <c r="A160" t="s">
        <v>15336</v>
      </c>
      <c r="B160" t="s">
        <v>33</v>
      </c>
      <c r="C160" t="s">
        <v>431</v>
      </c>
      <c r="D160" t="s">
        <v>1257</v>
      </c>
      <c r="E160" t="s">
        <v>15327</v>
      </c>
      <c r="F160" t="s">
        <v>15355</v>
      </c>
      <c r="G160" t="s">
        <v>15320</v>
      </c>
      <c r="H160" t="s">
        <v>15875</v>
      </c>
      <c r="I160" s="16">
        <v>28</v>
      </c>
      <c r="J160" t="s">
        <v>15907</v>
      </c>
      <c r="L160" s="16">
        <v>17</v>
      </c>
      <c r="M160" t="s">
        <v>15847</v>
      </c>
      <c r="N160" t="s">
        <v>1257</v>
      </c>
      <c r="O160" t="s">
        <v>15325</v>
      </c>
    </row>
    <row r="161" spans="1:15" x14ac:dyDescent="0.35">
      <c r="A161" t="s">
        <v>15336</v>
      </c>
      <c r="B161" t="s">
        <v>33</v>
      </c>
      <c r="C161" t="s">
        <v>431</v>
      </c>
      <c r="D161" t="s">
        <v>1257</v>
      </c>
      <c r="E161" t="s">
        <v>15327</v>
      </c>
      <c r="F161" t="s">
        <v>15355</v>
      </c>
      <c r="G161" t="s">
        <v>15320</v>
      </c>
      <c r="H161" t="s">
        <v>15875</v>
      </c>
      <c r="I161" s="16">
        <v>28</v>
      </c>
      <c r="J161" t="s">
        <v>15907</v>
      </c>
      <c r="L161" s="16">
        <v>23</v>
      </c>
      <c r="M161" t="s">
        <v>15489</v>
      </c>
      <c r="N161" t="s">
        <v>1257</v>
      </c>
      <c r="O161" t="s">
        <v>15325</v>
      </c>
    </row>
    <row r="162" spans="1:15" x14ac:dyDescent="0.35">
      <c r="A162" t="s">
        <v>15336</v>
      </c>
      <c r="B162" t="s">
        <v>33</v>
      </c>
      <c r="C162" t="s">
        <v>238</v>
      </c>
      <c r="D162" t="s">
        <v>557</v>
      </c>
      <c r="E162" t="s">
        <v>15327</v>
      </c>
      <c r="F162" t="s">
        <v>15384</v>
      </c>
      <c r="G162" t="s">
        <v>15320</v>
      </c>
      <c r="H162" t="s">
        <v>15875</v>
      </c>
      <c r="I162" s="16">
        <v>27</v>
      </c>
      <c r="J162" t="s">
        <v>15907</v>
      </c>
      <c r="L162" s="16">
        <v>23</v>
      </c>
      <c r="M162" t="s">
        <v>15609</v>
      </c>
      <c r="N162" t="s">
        <v>238</v>
      </c>
      <c r="O162" t="s">
        <v>15329</v>
      </c>
    </row>
    <row r="163" spans="1:15" x14ac:dyDescent="0.35">
      <c r="A163" t="s">
        <v>15336</v>
      </c>
      <c r="B163" t="s">
        <v>33</v>
      </c>
      <c r="C163" t="s">
        <v>238</v>
      </c>
      <c r="D163" t="s">
        <v>557</v>
      </c>
      <c r="E163" t="s">
        <v>15327</v>
      </c>
      <c r="F163" t="s">
        <v>15384</v>
      </c>
      <c r="G163" t="s">
        <v>15320</v>
      </c>
      <c r="H163" t="s">
        <v>15875</v>
      </c>
      <c r="I163" s="16">
        <v>37</v>
      </c>
      <c r="J163" t="s">
        <v>15907</v>
      </c>
      <c r="L163" s="16">
        <v>22</v>
      </c>
      <c r="M163" t="s">
        <v>15776</v>
      </c>
      <c r="N163" t="s">
        <v>238</v>
      </c>
      <c r="O163" t="s">
        <v>15329</v>
      </c>
    </row>
    <row r="164" spans="1:15" x14ac:dyDescent="0.35">
      <c r="A164" t="s">
        <v>15336</v>
      </c>
      <c r="B164" t="s">
        <v>33</v>
      </c>
      <c r="C164" t="s">
        <v>238</v>
      </c>
      <c r="D164" t="s">
        <v>557</v>
      </c>
      <c r="E164" t="s">
        <v>15327</v>
      </c>
      <c r="F164" t="s">
        <v>15384</v>
      </c>
      <c r="G164" t="s">
        <v>15320</v>
      </c>
      <c r="H164" t="s">
        <v>15879</v>
      </c>
      <c r="I164" s="16">
        <v>41</v>
      </c>
      <c r="J164" t="s">
        <v>15907</v>
      </c>
      <c r="L164" s="16">
        <v>16</v>
      </c>
      <c r="M164" t="s">
        <v>15741</v>
      </c>
      <c r="N164" t="s">
        <v>238</v>
      </c>
      <c r="O164" t="s">
        <v>15329</v>
      </c>
    </row>
    <row r="165" spans="1:15" x14ac:dyDescent="0.35">
      <c r="A165" t="s">
        <v>15336</v>
      </c>
      <c r="B165" t="s">
        <v>33</v>
      </c>
      <c r="C165" t="s">
        <v>238</v>
      </c>
      <c r="D165" t="s">
        <v>557</v>
      </c>
      <c r="E165" t="s">
        <v>15327</v>
      </c>
      <c r="F165" t="s">
        <v>15384</v>
      </c>
      <c r="G165" t="s">
        <v>15320</v>
      </c>
      <c r="H165" t="s">
        <v>15879</v>
      </c>
      <c r="I165" s="16">
        <v>51</v>
      </c>
      <c r="J165" t="s">
        <v>15907</v>
      </c>
      <c r="L165" s="16">
        <v>20</v>
      </c>
      <c r="M165" t="s">
        <v>15564</v>
      </c>
      <c r="N165" t="s">
        <v>238</v>
      </c>
      <c r="O165" t="s">
        <v>15329</v>
      </c>
    </row>
    <row r="166" spans="1:15" x14ac:dyDescent="0.35">
      <c r="A166" t="s">
        <v>15336</v>
      </c>
      <c r="B166" t="s">
        <v>33</v>
      </c>
      <c r="C166" t="s">
        <v>238</v>
      </c>
      <c r="D166" t="s">
        <v>557</v>
      </c>
      <c r="E166" t="s">
        <v>15327</v>
      </c>
      <c r="F166" t="s">
        <v>15384</v>
      </c>
      <c r="G166" t="s">
        <v>15320</v>
      </c>
      <c r="H166" t="s">
        <v>15879</v>
      </c>
      <c r="I166" s="16">
        <v>57</v>
      </c>
      <c r="J166" t="s">
        <v>15907</v>
      </c>
      <c r="L166" s="16">
        <v>21</v>
      </c>
      <c r="M166" t="s">
        <v>15854</v>
      </c>
      <c r="N166" t="s">
        <v>238</v>
      </c>
      <c r="O166" t="s">
        <v>15329</v>
      </c>
    </row>
    <row r="167" spans="1:15" x14ac:dyDescent="0.35">
      <c r="A167" t="s">
        <v>15336</v>
      </c>
      <c r="B167" t="s">
        <v>33</v>
      </c>
      <c r="C167" t="s">
        <v>238</v>
      </c>
      <c r="D167" t="s">
        <v>557</v>
      </c>
      <c r="E167" t="s">
        <v>15327</v>
      </c>
      <c r="F167" t="s">
        <v>15384</v>
      </c>
      <c r="G167" t="s">
        <v>15320</v>
      </c>
      <c r="H167" t="s">
        <v>15879</v>
      </c>
      <c r="I167" s="16">
        <v>67</v>
      </c>
      <c r="J167" t="s">
        <v>15907</v>
      </c>
      <c r="L167" s="16">
        <v>17</v>
      </c>
      <c r="M167" t="s">
        <v>15414</v>
      </c>
      <c r="N167" t="s">
        <v>238</v>
      </c>
      <c r="O167" t="s">
        <v>15329</v>
      </c>
    </row>
    <row r="168" spans="1:15" x14ac:dyDescent="0.35">
      <c r="A168" t="s">
        <v>15336</v>
      </c>
      <c r="B168" t="s">
        <v>33</v>
      </c>
      <c r="C168" t="s">
        <v>238</v>
      </c>
      <c r="D168" t="s">
        <v>557</v>
      </c>
      <c r="E168" t="s">
        <v>15327</v>
      </c>
      <c r="F168" t="s">
        <v>15384</v>
      </c>
      <c r="G168" t="s">
        <v>15320</v>
      </c>
      <c r="H168" t="s">
        <v>15875</v>
      </c>
      <c r="I168" s="16">
        <v>31</v>
      </c>
      <c r="J168" t="s">
        <v>15907</v>
      </c>
      <c r="L168" s="16">
        <v>22</v>
      </c>
      <c r="M168" t="s">
        <v>15644</v>
      </c>
      <c r="N168" t="s">
        <v>557</v>
      </c>
      <c r="O168" t="s">
        <v>15325</v>
      </c>
    </row>
    <row r="169" spans="1:15" x14ac:dyDescent="0.35">
      <c r="A169" t="s">
        <v>15336</v>
      </c>
      <c r="B169" t="s">
        <v>33</v>
      </c>
      <c r="C169" t="s">
        <v>238</v>
      </c>
      <c r="D169" t="s">
        <v>557</v>
      </c>
      <c r="E169" t="s">
        <v>15327</v>
      </c>
      <c r="F169" t="s">
        <v>15384</v>
      </c>
      <c r="G169" t="s">
        <v>15320</v>
      </c>
      <c r="H169" t="s">
        <v>15875</v>
      </c>
      <c r="I169" s="16">
        <v>34</v>
      </c>
      <c r="J169" t="s">
        <v>15907</v>
      </c>
      <c r="L169" s="16">
        <v>10</v>
      </c>
      <c r="M169" t="s">
        <v>15745</v>
      </c>
      <c r="N169" t="s">
        <v>557</v>
      </c>
      <c r="O169" t="s">
        <v>15325</v>
      </c>
    </row>
    <row r="170" spans="1:15" x14ac:dyDescent="0.35">
      <c r="A170" t="s">
        <v>15336</v>
      </c>
      <c r="B170" t="s">
        <v>33</v>
      </c>
      <c r="C170" t="s">
        <v>238</v>
      </c>
      <c r="D170" t="s">
        <v>557</v>
      </c>
      <c r="E170" t="s">
        <v>15327</v>
      </c>
      <c r="F170" t="s">
        <v>15384</v>
      </c>
      <c r="G170" t="s">
        <v>15320</v>
      </c>
      <c r="H170" t="s">
        <v>15879</v>
      </c>
      <c r="I170" s="16">
        <v>41</v>
      </c>
      <c r="J170" t="s">
        <v>15907</v>
      </c>
      <c r="L170" s="16">
        <v>23</v>
      </c>
      <c r="M170" t="s">
        <v>15689</v>
      </c>
      <c r="N170" t="s">
        <v>557</v>
      </c>
      <c r="O170" t="s">
        <v>15325</v>
      </c>
    </row>
    <row r="171" spans="1:15" x14ac:dyDescent="0.35">
      <c r="A171" t="s">
        <v>15336</v>
      </c>
      <c r="B171" t="s">
        <v>33</v>
      </c>
      <c r="C171" t="s">
        <v>238</v>
      </c>
      <c r="D171" t="s">
        <v>557</v>
      </c>
      <c r="E171" t="s">
        <v>15327</v>
      </c>
      <c r="F171" t="s">
        <v>15384</v>
      </c>
      <c r="G171" t="s">
        <v>15320</v>
      </c>
      <c r="H171" t="s">
        <v>15879</v>
      </c>
      <c r="I171" s="16">
        <v>42</v>
      </c>
      <c r="J171" t="s">
        <v>15907</v>
      </c>
      <c r="L171" s="16">
        <v>17</v>
      </c>
      <c r="M171" t="s">
        <v>15540</v>
      </c>
      <c r="N171" t="s">
        <v>557</v>
      </c>
      <c r="O171" t="s">
        <v>15325</v>
      </c>
    </row>
    <row r="172" spans="1:15" x14ac:dyDescent="0.35">
      <c r="A172" t="s">
        <v>15336</v>
      </c>
      <c r="B172" t="s">
        <v>33</v>
      </c>
      <c r="C172" t="s">
        <v>238</v>
      </c>
      <c r="D172" t="s">
        <v>557</v>
      </c>
      <c r="E172" t="s">
        <v>15327</v>
      </c>
      <c r="F172" t="s">
        <v>15384</v>
      </c>
      <c r="G172" t="s">
        <v>15320</v>
      </c>
      <c r="H172" t="s">
        <v>15879</v>
      </c>
      <c r="I172" s="16">
        <v>48</v>
      </c>
      <c r="J172" t="s">
        <v>15907</v>
      </c>
      <c r="L172" s="16">
        <v>16</v>
      </c>
      <c r="M172" t="s">
        <v>15568</v>
      </c>
      <c r="N172" t="s">
        <v>557</v>
      </c>
      <c r="O172" t="s">
        <v>15325</v>
      </c>
    </row>
    <row r="173" spans="1:15" x14ac:dyDescent="0.35">
      <c r="A173" t="s">
        <v>15336</v>
      </c>
      <c r="B173" t="s">
        <v>33</v>
      </c>
      <c r="C173" t="s">
        <v>238</v>
      </c>
      <c r="D173" t="s">
        <v>557</v>
      </c>
      <c r="E173" t="s">
        <v>15327</v>
      </c>
      <c r="F173" t="s">
        <v>15384</v>
      </c>
      <c r="G173" t="s">
        <v>15320</v>
      </c>
      <c r="H173" t="s">
        <v>15879</v>
      </c>
      <c r="I173" s="16">
        <v>48</v>
      </c>
      <c r="J173" t="s">
        <v>15907</v>
      </c>
      <c r="L173" s="16">
        <v>18</v>
      </c>
      <c r="M173" t="s">
        <v>15558</v>
      </c>
      <c r="N173" t="s">
        <v>557</v>
      </c>
      <c r="O173" t="s">
        <v>15325</v>
      </c>
    </row>
    <row r="174" spans="1:15" x14ac:dyDescent="0.35">
      <c r="A174" t="s">
        <v>15336</v>
      </c>
      <c r="B174" t="s">
        <v>33</v>
      </c>
      <c r="C174" t="s">
        <v>238</v>
      </c>
      <c r="D174" t="s">
        <v>557</v>
      </c>
      <c r="E174" t="s">
        <v>15327</v>
      </c>
      <c r="F174" t="s">
        <v>15384</v>
      </c>
      <c r="G174" t="s">
        <v>15320</v>
      </c>
      <c r="H174" t="s">
        <v>15879</v>
      </c>
      <c r="I174" s="16">
        <v>51</v>
      </c>
      <c r="J174" t="s">
        <v>15907</v>
      </c>
      <c r="L174" s="16">
        <v>22</v>
      </c>
      <c r="M174" t="s">
        <v>15644</v>
      </c>
      <c r="N174" t="s">
        <v>557</v>
      </c>
      <c r="O174" t="s">
        <v>15325</v>
      </c>
    </row>
    <row r="175" spans="1:15" x14ac:dyDescent="0.35">
      <c r="A175" t="s">
        <v>15336</v>
      </c>
      <c r="B175" t="s">
        <v>33</v>
      </c>
      <c r="C175" t="s">
        <v>238</v>
      </c>
      <c r="D175" t="s">
        <v>557</v>
      </c>
      <c r="E175" t="s">
        <v>15327</v>
      </c>
      <c r="F175" t="s">
        <v>15384</v>
      </c>
      <c r="G175" t="s">
        <v>15320</v>
      </c>
      <c r="H175" t="s">
        <v>15879</v>
      </c>
      <c r="I175" s="16">
        <v>57</v>
      </c>
      <c r="J175" t="s">
        <v>15907</v>
      </c>
      <c r="L175" s="16">
        <v>20</v>
      </c>
      <c r="M175" t="s">
        <v>15778</v>
      </c>
      <c r="N175" t="s">
        <v>557</v>
      </c>
      <c r="O175" t="s">
        <v>15325</v>
      </c>
    </row>
    <row r="176" spans="1:15" x14ac:dyDescent="0.35">
      <c r="A176" t="s">
        <v>15336</v>
      </c>
      <c r="B176" t="s">
        <v>33</v>
      </c>
      <c r="C176" t="s">
        <v>238</v>
      </c>
      <c r="D176" t="s">
        <v>557</v>
      </c>
      <c r="E176" t="s">
        <v>15327</v>
      </c>
      <c r="F176" t="s">
        <v>15384</v>
      </c>
      <c r="G176" t="s">
        <v>15320</v>
      </c>
      <c r="H176" t="s">
        <v>15879</v>
      </c>
      <c r="I176" s="16">
        <v>59</v>
      </c>
      <c r="J176" t="s">
        <v>15907</v>
      </c>
      <c r="L176" s="16">
        <v>21</v>
      </c>
      <c r="M176" t="s">
        <v>15491</v>
      </c>
      <c r="N176" t="s">
        <v>557</v>
      </c>
      <c r="O176" t="s">
        <v>15325</v>
      </c>
    </row>
    <row r="177" spans="1:15" x14ac:dyDescent="0.35">
      <c r="A177" t="s">
        <v>15336</v>
      </c>
      <c r="B177" t="s">
        <v>33</v>
      </c>
      <c r="C177" t="s">
        <v>238</v>
      </c>
      <c r="D177" t="s">
        <v>557</v>
      </c>
      <c r="E177" t="s">
        <v>15327</v>
      </c>
      <c r="F177" t="s">
        <v>15384</v>
      </c>
      <c r="G177" t="s">
        <v>15320</v>
      </c>
      <c r="H177" t="s">
        <v>15879</v>
      </c>
      <c r="I177" s="16">
        <v>67</v>
      </c>
      <c r="J177" t="s">
        <v>15907</v>
      </c>
      <c r="L177" s="16">
        <v>19</v>
      </c>
      <c r="M177" t="s">
        <v>15501</v>
      </c>
      <c r="N177" t="s">
        <v>557</v>
      </c>
      <c r="O177" t="s">
        <v>15325</v>
      </c>
    </row>
    <row r="178" spans="1:15" x14ac:dyDescent="0.35">
      <c r="A178" t="s">
        <v>15336</v>
      </c>
      <c r="B178" t="s">
        <v>33</v>
      </c>
      <c r="C178" t="s">
        <v>1090</v>
      </c>
      <c r="D178" t="s">
        <v>27</v>
      </c>
      <c r="E178" t="s">
        <v>15327</v>
      </c>
      <c r="F178" t="s">
        <v>15367</v>
      </c>
      <c r="G178" t="s">
        <v>15320</v>
      </c>
      <c r="H178" t="s">
        <v>15879</v>
      </c>
      <c r="I178" s="16">
        <v>45</v>
      </c>
      <c r="J178" t="s">
        <v>15907</v>
      </c>
      <c r="L178" s="16">
        <v>20</v>
      </c>
      <c r="M178" t="s">
        <v>15683</v>
      </c>
      <c r="N178" t="s">
        <v>1090</v>
      </c>
      <c r="O178" t="s">
        <v>15329</v>
      </c>
    </row>
    <row r="179" spans="1:15" x14ac:dyDescent="0.35">
      <c r="A179" t="s">
        <v>15336</v>
      </c>
      <c r="B179" t="s">
        <v>33</v>
      </c>
      <c r="C179" t="s">
        <v>1090</v>
      </c>
      <c r="D179" t="s">
        <v>27</v>
      </c>
      <c r="E179" t="s">
        <v>15327</v>
      </c>
      <c r="F179" t="s">
        <v>15367</v>
      </c>
      <c r="G179" t="s">
        <v>15320</v>
      </c>
      <c r="H179" t="s">
        <v>15879</v>
      </c>
      <c r="I179" s="16">
        <v>62</v>
      </c>
      <c r="J179" t="s">
        <v>15907</v>
      </c>
      <c r="L179" s="16">
        <v>19</v>
      </c>
      <c r="M179" t="s">
        <v>15587</v>
      </c>
      <c r="N179" t="s">
        <v>1090</v>
      </c>
      <c r="O179" t="s">
        <v>15329</v>
      </c>
    </row>
    <row r="180" spans="1:15" x14ac:dyDescent="0.35">
      <c r="A180" t="s">
        <v>15336</v>
      </c>
      <c r="B180" t="s">
        <v>33</v>
      </c>
      <c r="C180" t="s">
        <v>1090</v>
      </c>
      <c r="D180" t="s">
        <v>27</v>
      </c>
      <c r="E180" t="s">
        <v>15327</v>
      </c>
      <c r="F180" t="s">
        <v>15367</v>
      </c>
      <c r="G180" t="s">
        <v>15320</v>
      </c>
      <c r="H180" t="s">
        <v>15879</v>
      </c>
      <c r="I180" s="16">
        <v>62</v>
      </c>
      <c r="J180" t="s">
        <v>15907</v>
      </c>
      <c r="L180" s="16">
        <v>21</v>
      </c>
      <c r="M180" t="s">
        <v>15555</v>
      </c>
      <c r="N180" t="s">
        <v>1090</v>
      </c>
      <c r="O180" t="s">
        <v>15329</v>
      </c>
    </row>
    <row r="181" spans="1:15" x14ac:dyDescent="0.35">
      <c r="A181" t="s">
        <v>15336</v>
      </c>
      <c r="B181" t="s">
        <v>33</v>
      </c>
      <c r="C181" t="s">
        <v>1090</v>
      </c>
      <c r="D181" t="s">
        <v>27</v>
      </c>
      <c r="E181" t="s">
        <v>15327</v>
      </c>
      <c r="F181" t="s">
        <v>15367</v>
      </c>
      <c r="G181" t="s">
        <v>15320</v>
      </c>
      <c r="H181" t="s">
        <v>15879</v>
      </c>
      <c r="I181" s="16">
        <v>70</v>
      </c>
      <c r="J181" t="s">
        <v>15907</v>
      </c>
      <c r="L181" s="16">
        <v>16</v>
      </c>
      <c r="M181" t="s">
        <v>15780</v>
      </c>
      <c r="N181" t="s">
        <v>1090</v>
      </c>
      <c r="O181" t="s">
        <v>15329</v>
      </c>
    </row>
    <row r="182" spans="1:15" x14ac:dyDescent="0.35">
      <c r="A182" t="s">
        <v>15336</v>
      </c>
      <c r="B182" t="s">
        <v>33</v>
      </c>
      <c r="C182" t="s">
        <v>1090</v>
      </c>
      <c r="D182" t="s">
        <v>27</v>
      </c>
      <c r="E182" t="s">
        <v>15327</v>
      </c>
      <c r="F182" t="s">
        <v>15367</v>
      </c>
      <c r="G182" t="s">
        <v>15320</v>
      </c>
      <c r="H182" t="s">
        <v>15879</v>
      </c>
      <c r="I182" s="16">
        <v>70</v>
      </c>
      <c r="J182" t="s">
        <v>15907</v>
      </c>
      <c r="L182" s="16">
        <v>17</v>
      </c>
      <c r="M182" t="s">
        <v>15550</v>
      </c>
      <c r="N182" t="s">
        <v>1090</v>
      </c>
      <c r="O182" t="s">
        <v>15329</v>
      </c>
    </row>
    <row r="183" spans="1:15" x14ac:dyDescent="0.35">
      <c r="A183" t="s">
        <v>15336</v>
      </c>
      <c r="B183" t="s">
        <v>33</v>
      </c>
      <c r="C183" t="s">
        <v>1090</v>
      </c>
      <c r="D183" t="s">
        <v>27</v>
      </c>
      <c r="E183" t="s">
        <v>15327</v>
      </c>
      <c r="F183" t="s">
        <v>15367</v>
      </c>
      <c r="G183" t="s">
        <v>15320</v>
      </c>
      <c r="H183" t="s">
        <v>15879</v>
      </c>
      <c r="I183" s="16">
        <v>70</v>
      </c>
      <c r="J183" t="s">
        <v>15907</v>
      </c>
      <c r="L183" s="16">
        <v>18</v>
      </c>
      <c r="M183" t="s">
        <v>15826</v>
      </c>
      <c r="N183" t="s">
        <v>1090</v>
      </c>
      <c r="O183" t="s">
        <v>15329</v>
      </c>
    </row>
    <row r="184" spans="1:15" x14ac:dyDescent="0.35">
      <c r="A184" t="s">
        <v>15336</v>
      </c>
      <c r="B184" t="s">
        <v>33</v>
      </c>
      <c r="C184" t="s">
        <v>1090</v>
      </c>
      <c r="D184" t="s">
        <v>27</v>
      </c>
      <c r="E184" t="s">
        <v>15327</v>
      </c>
      <c r="F184" t="s">
        <v>15367</v>
      </c>
      <c r="G184" t="s">
        <v>15320</v>
      </c>
      <c r="H184" t="s">
        <v>15879</v>
      </c>
      <c r="I184" s="16">
        <v>70</v>
      </c>
      <c r="J184" t="s">
        <v>15907</v>
      </c>
      <c r="L184" s="16">
        <v>22</v>
      </c>
      <c r="M184" t="s">
        <v>15924</v>
      </c>
      <c r="N184" t="s">
        <v>1090</v>
      </c>
      <c r="O184" t="s">
        <v>15329</v>
      </c>
    </row>
    <row r="185" spans="1:15" x14ac:dyDescent="0.35">
      <c r="A185" t="s">
        <v>15336</v>
      </c>
      <c r="B185" t="s">
        <v>33</v>
      </c>
      <c r="C185" t="s">
        <v>1090</v>
      </c>
      <c r="D185" t="s">
        <v>27</v>
      </c>
      <c r="E185" t="s">
        <v>15327</v>
      </c>
      <c r="F185" t="s">
        <v>15367</v>
      </c>
      <c r="G185" t="s">
        <v>15320</v>
      </c>
      <c r="H185" t="s">
        <v>15879</v>
      </c>
      <c r="I185" s="16">
        <v>80</v>
      </c>
      <c r="J185" t="s">
        <v>15907</v>
      </c>
      <c r="L185" s="16">
        <v>23</v>
      </c>
      <c r="M185" t="s">
        <v>15480</v>
      </c>
      <c r="N185" t="s">
        <v>1090</v>
      </c>
      <c r="O185" t="s">
        <v>15329</v>
      </c>
    </row>
    <row r="186" spans="1:15" x14ac:dyDescent="0.35">
      <c r="A186" t="s">
        <v>15336</v>
      </c>
      <c r="B186" t="s">
        <v>33</v>
      </c>
      <c r="C186" t="s">
        <v>1090</v>
      </c>
      <c r="D186" t="s">
        <v>27</v>
      </c>
      <c r="E186" t="s">
        <v>15327</v>
      </c>
      <c r="F186" t="s">
        <v>15367</v>
      </c>
      <c r="G186" t="s">
        <v>15320</v>
      </c>
      <c r="H186" t="s">
        <v>15879</v>
      </c>
      <c r="I186" s="16">
        <v>50</v>
      </c>
      <c r="J186" t="s">
        <v>15907</v>
      </c>
      <c r="L186" s="16">
        <v>16</v>
      </c>
      <c r="M186" t="s">
        <v>15729</v>
      </c>
      <c r="N186" t="s">
        <v>27</v>
      </c>
      <c r="O186" t="s">
        <v>15325</v>
      </c>
    </row>
    <row r="187" spans="1:15" x14ac:dyDescent="0.35">
      <c r="A187" t="s">
        <v>15336</v>
      </c>
      <c r="B187" t="s">
        <v>33</v>
      </c>
      <c r="C187" t="s">
        <v>1090</v>
      </c>
      <c r="D187" t="s">
        <v>27</v>
      </c>
      <c r="E187" t="s">
        <v>15327</v>
      </c>
      <c r="F187" t="s">
        <v>15367</v>
      </c>
      <c r="G187" t="s">
        <v>15320</v>
      </c>
      <c r="H187" t="s">
        <v>15879</v>
      </c>
      <c r="I187" s="16">
        <v>60</v>
      </c>
      <c r="J187" t="s">
        <v>15907</v>
      </c>
      <c r="L187" s="16">
        <v>16</v>
      </c>
      <c r="M187" t="s">
        <v>15729</v>
      </c>
      <c r="N187" t="s">
        <v>27</v>
      </c>
      <c r="O187" t="s">
        <v>15325</v>
      </c>
    </row>
    <row r="188" spans="1:15" x14ac:dyDescent="0.35">
      <c r="A188" t="s">
        <v>15336</v>
      </c>
      <c r="B188" t="s">
        <v>33</v>
      </c>
      <c r="C188" t="s">
        <v>1090</v>
      </c>
      <c r="D188" t="s">
        <v>27</v>
      </c>
      <c r="E188" t="s">
        <v>15327</v>
      </c>
      <c r="F188" t="s">
        <v>15367</v>
      </c>
      <c r="G188" t="s">
        <v>15320</v>
      </c>
      <c r="H188" t="s">
        <v>15879</v>
      </c>
      <c r="I188" s="16">
        <v>60</v>
      </c>
      <c r="J188" t="s">
        <v>15907</v>
      </c>
      <c r="L188" s="16">
        <v>11</v>
      </c>
      <c r="M188" t="s">
        <v>15770</v>
      </c>
      <c r="N188" t="s">
        <v>27</v>
      </c>
      <c r="O188" t="s">
        <v>15325</v>
      </c>
    </row>
    <row r="189" spans="1:15" x14ac:dyDescent="0.35">
      <c r="A189" t="s">
        <v>15336</v>
      </c>
      <c r="B189" t="s">
        <v>33</v>
      </c>
      <c r="C189" t="s">
        <v>1090</v>
      </c>
      <c r="D189" t="s">
        <v>27</v>
      </c>
      <c r="E189" t="s">
        <v>15327</v>
      </c>
      <c r="F189" t="s">
        <v>15367</v>
      </c>
      <c r="G189" t="s">
        <v>15320</v>
      </c>
      <c r="H189" t="s">
        <v>15879</v>
      </c>
      <c r="I189" s="16">
        <v>61</v>
      </c>
      <c r="J189" t="s">
        <v>15907</v>
      </c>
      <c r="L189" s="16">
        <v>20</v>
      </c>
      <c r="M189" t="s">
        <v>15762</v>
      </c>
      <c r="N189" t="s">
        <v>27</v>
      </c>
      <c r="O189" t="s">
        <v>15325</v>
      </c>
    </row>
    <row r="190" spans="1:15" x14ac:dyDescent="0.35">
      <c r="A190" t="s">
        <v>15336</v>
      </c>
      <c r="B190" t="s">
        <v>33</v>
      </c>
      <c r="C190" t="s">
        <v>1090</v>
      </c>
      <c r="D190" t="s">
        <v>27</v>
      </c>
      <c r="E190" t="s">
        <v>15327</v>
      </c>
      <c r="F190" t="s">
        <v>15367</v>
      </c>
      <c r="G190" t="s">
        <v>15320</v>
      </c>
      <c r="H190" t="s">
        <v>15879</v>
      </c>
      <c r="I190" s="16">
        <v>61</v>
      </c>
      <c r="J190" t="s">
        <v>15907</v>
      </c>
      <c r="L190" s="16">
        <v>21</v>
      </c>
      <c r="M190" t="s">
        <v>15598</v>
      </c>
      <c r="N190" t="s">
        <v>27</v>
      </c>
      <c r="O190" t="s">
        <v>15325</v>
      </c>
    </row>
    <row r="191" spans="1:15" x14ac:dyDescent="0.35">
      <c r="A191" t="s">
        <v>15336</v>
      </c>
      <c r="B191" t="s">
        <v>33</v>
      </c>
      <c r="C191" t="s">
        <v>1090</v>
      </c>
      <c r="D191" t="s">
        <v>27</v>
      </c>
      <c r="E191" t="s">
        <v>15327</v>
      </c>
      <c r="F191" t="s">
        <v>15367</v>
      </c>
      <c r="G191" t="s">
        <v>15320</v>
      </c>
      <c r="H191" t="s">
        <v>15879</v>
      </c>
      <c r="I191" s="16">
        <v>62</v>
      </c>
      <c r="J191" t="s">
        <v>15907</v>
      </c>
      <c r="L191" s="16">
        <v>17</v>
      </c>
      <c r="M191" t="s">
        <v>15727</v>
      </c>
      <c r="N191" t="s">
        <v>27</v>
      </c>
      <c r="O191" t="s">
        <v>15325</v>
      </c>
    </row>
    <row r="192" spans="1:15" x14ac:dyDescent="0.35">
      <c r="A192" t="s">
        <v>15336</v>
      </c>
      <c r="B192" t="s">
        <v>33</v>
      </c>
      <c r="C192" t="s">
        <v>1090</v>
      </c>
      <c r="D192" t="s">
        <v>27</v>
      </c>
      <c r="E192" t="s">
        <v>15327</v>
      </c>
      <c r="F192" t="s">
        <v>15367</v>
      </c>
      <c r="G192" t="s">
        <v>15320</v>
      </c>
      <c r="H192" t="s">
        <v>15879</v>
      </c>
      <c r="I192" s="16">
        <v>62</v>
      </c>
      <c r="J192" t="s">
        <v>15907</v>
      </c>
      <c r="L192" s="16">
        <v>23</v>
      </c>
      <c r="M192" t="s">
        <v>15774</v>
      </c>
      <c r="N192" t="s">
        <v>27</v>
      </c>
      <c r="O192" t="s">
        <v>15325</v>
      </c>
    </row>
    <row r="193" spans="1:15" x14ac:dyDescent="0.35">
      <c r="A193" t="s">
        <v>15336</v>
      </c>
      <c r="B193" t="s">
        <v>33</v>
      </c>
      <c r="C193" t="s">
        <v>1090</v>
      </c>
      <c r="D193" t="s">
        <v>27</v>
      </c>
      <c r="E193" t="s">
        <v>15327</v>
      </c>
      <c r="F193" t="s">
        <v>15367</v>
      </c>
      <c r="G193" t="s">
        <v>15320</v>
      </c>
      <c r="H193" t="s">
        <v>15879</v>
      </c>
      <c r="I193" s="16">
        <v>68</v>
      </c>
      <c r="J193" t="s">
        <v>15907</v>
      </c>
      <c r="L193" s="16">
        <v>18</v>
      </c>
      <c r="M193" t="s">
        <v>15788</v>
      </c>
      <c r="N193" t="s">
        <v>27</v>
      </c>
      <c r="O193" t="s">
        <v>15325</v>
      </c>
    </row>
    <row r="194" spans="1:15" x14ac:dyDescent="0.35">
      <c r="A194" t="s">
        <v>15318</v>
      </c>
      <c r="B194" t="s">
        <v>33</v>
      </c>
      <c r="C194" t="s">
        <v>1090</v>
      </c>
      <c r="D194" t="s">
        <v>27</v>
      </c>
      <c r="E194" t="s">
        <v>15327</v>
      </c>
      <c r="F194" t="s">
        <v>15367</v>
      </c>
      <c r="G194" t="s">
        <v>15320</v>
      </c>
      <c r="H194" t="s">
        <v>15879</v>
      </c>
      <c r="I194" s="16">
        <v>68</v>
      </c>
      <c r="J194" t="s">
        <v>15907</v>
      </c>
      <c r="L194" s="16">
        <v>22</v>
      </c>
      <c r="M194" t="s">
        <v>15380</v>
      </c>
      <c r="N194" t="s">
        <v>27</v>
      </c>
      <c r="O194" t="s">
        <v>15325</v>
      </c>
    </row>
    <row r="195" spans="1:15" x14ac:dyDescent="0.35">
      <c r="A195" t="s">
        <v>15318</v>
      </c>
      <c r="B195" t="s">
        <v>33</v>
      </c>
      <c r="C195" t="s">
        <v>1090</v>
      </c>
      <c r="D195" t="s">
        <v>27</v>
      </c>
      <c r="E195" t="s">
        <v>15327</v>
      </c>
      <c r="F195" t="s">
        <v>15367</v>
      </c>
      <c r="G195" t="s">
        <v>15320</v>
      </c>
      <c r="H195" t="s">
        <v>15879</v>
      </c>
      <c r="I195" s="16">
        <v>69</v>
      </c>
      <c r="J195" t="s">
        <v>15907</v>
      </c>
      <c r="L195" s="16">
        <v>19</v>
      </c>
      <c r="M195" t="s">
        <v>15934</v>
      </c>
      <c r="N195" t="s">
        <v>27</v>
      </c>
      <c r="O195" t="s">
        <v>15325</v>
      </c>
    </row>
    <row r="196" spans="1:15" x14ac:dyDescent="0.35">
      <c r="A196" t="s">
        <v>15318</v>
      </c>
      <c r="B196" t="s">
        <v>33</v>
      </c>
      <c r="C196" t="s">
        <v>671</v>
      </c>
      <c r="D196" t="s">
        <v>954</v>
      </c>
      <c r="E196" t="s">
        <v>15327</v>
      </c>
      <c r="F196" t="s">
        <v>15335</v>
      </c>
      <c r="G196" t="s">
        <v>15320</v>
      </c>
      <c r="H196" t="s">
        <v>15879</v>
      </c>
      <c r="I196" s="16">
        <v>41</v>
      </c>
      <c r="J196" t="s">
        <v>15907</v>
      </c>
      <c r="L196" s="16">
        <v>16</v>
      </c>
      <c r="M196" t="s">
        <v>15638</v>
      </c>
      <c r="N196" t="s">
        <v>671</v>
      </c>
      <c r="O196" t="s">
        <v>15329</v>
      </c>
    </row>
    <row r="197" spans="1:15" x14ac:dyDescent="0.35">
      <c r="A197" t="s">
        <v>15318</v>
      </c>
      <c r="B197" t="s">
        <v>33</v>
      </c>
      <c r="C197" t="s">
        <v>671</v>
      </c>
      <c r="D197" t="s">
        <v>954</v>
      </c>
      <c r="E197" t="s">
        <v>15327</v>
      </c>
      <c r="F197" t="s">
        <v>15335</v>
      </c>
      <c r="G197" t="s">
        <v>15320</v>
      </c>
      <c r="H197" t="s">
        <v>15879</v>
      </c>
      <c r="I197" s="16">
        <v>46</v>
      </c>
      <c r="J197" t="s">
        <v>15907</v>
      </c>
      <c r="L197" s="16">
        <v>18</v>
      </c>
      <c r="M197" t="s">
        <v>15344</v>
      </c>
      <c r="N197" t="s">
        <v>671</v>
      </c>
      <c r="O197" t="s">
        <v>15329</v>
      </c>
    </row>
    <row r="198" spans="1:15" x14ac:dyDescent="0.35">
      <c r="A198" t="s">
        <v>15318</v>
      </c>
      <c r="B198" t="s">
        <v>33</v>
      </c>
      <c r="C198" t="s">
        <v>671</v>
      </c>
      <c r="D198" t="s">
        <v>954</v>
      </c>
      <c r="E198" t="s">
        <v>15327</v>
      </c>
      <c r="F198" t="s">
        <v>15335</v>
      </c>
      <c r="G198" t="s">
        <v>15320</v>
      </c>
      <c r="H198" t="s">
        <v>15879</v>
      </c>
      <c r="I198" s="16">
        <v>46</v>
      </c>
      <c r="J198" t="s">
        <v>15907</v>
      </c>
      <c r="L198" s="16">
        <v>17</v>
      </c>
      <c r="M198" t="s">
        <v>15622</v>
      </c>
      <c r="N198" t="s">
        <v>671</v>
      </c>
      <c r="O198" t="s">
        <v>15329</v>
      </c>
    </row>
    <row r="199" spans="1:15" x14ac:dyDescent="0.35">
      <c r="A199" t="s">
        <v>15318</v>
      </c>
      <c r="B199" t="s">
        <v>33</v>
      </c>
      <c r="C199" t="s">
        <v>671</v>
      </c>
      <c r="D199" t="s">
        <v>954</v>
      </c>
      <c r="E199" t="s">
        <v>15327</v>
      </c>
      <c r="F199" t="s">
        <v>15335</v>
      </c>
      <c r="G199" t="s">
        <v>15320</v>
      </c>
      <c r="H199" t="s">
        <v>15879</v>
      </c>
      <c r="I199" s="16">
        <v>52</v>
      </c>
      <c r="J199" t="s">
        <v>15907</v>
      </c>
      <c r="L199" s="16">
        <v>21</v>
      </c>
      <c r="M199" t="s">
        <v>15695</v>
      </c>
      <c r="N199" t="s">
        <v>671</v>
      </c>
      <c r="O199" t="s">
        <v>15329</v>
      </c>
    </row>
    <row r="200" spans="1:15" x14ac:dyDescent="0.35">
      <c r="A200" t="s">
        <v>15318</v>
      </c>
      <c r="B200" t="s">
        <v>33</v>
      </c>
      <c r="C200" t="s">
        <v>671</v>
      </c>
      <c r="D200" t="s">
        <v>954</v>
      </c>
      <c r="E200" t="s">
        <v>15327</v>
      </c>
      <c r="F200" t="s">
        <v>15335</v>
      </c>
      <c r="G200" t="s">
        <v>15320</v>
      </c>
      <c r="H200" t="s">
        <v>15879</v>
      </c>
      <c r="I200" s="16">
        <v>52</v>
      </c>
      <c r="J200" t="s">
        <v>15907</v>
      </c>
      <c r="L200" s="16">
        <v>20</v>
      </c>
      <c r="M200" t="s">
        <v>15706</v>
      </c>
      <c r="N200" t="s">
        <v>671</v>
      </c>
      <c r="O200" t="s">
        <v>15329</v>
      </c>
    </row>
    <row r="201" spans="1:15" x14ac:dyDescent="0.35">
      <c r="A201" t="s">
        <v>15318</v>
      </c>
      <c r="B201" t="s">
        <v>33</v>
      </c>
      <c r="C201" t="s">
        <v>671</v>
      </c>
      <c r="D201" t="s">
        <v>954</v>
      </c>
      <c r="E201" t="s">
        <v>15327</v>
      </c>
      <c r="F201" t="s">
        <v>15335</v>
      </c>
      <c r="G201" t="s">
        <v>15320</v>
      </c>
      <c r="H201" t="s">
        <v>15879</v>
      </c>
      <c r="I201" s="16">
        <v>62</v>
      </c>
      <c r="J201" t="s">
        <v>15907</v>
      </c>
      <c r="L201" s="16">
        <v>22</v>
      </c>
      <c r="M201" t="s">
        <v>15416</v>
      </c>
      <c r="N201" t="s">
        <v>671</v>
      </c>
      <c r="O201" t="s">
        <v>15329</v>
      </c>
    </row>
    <row r="202" spans="1:15" x14ac:dyDescent="0.35">
      <c r="A202" t="s">
        <v>15318</v>
      </c>
      <c r="B202" t="s">
        <v>33</v>
      </c>
      <c r="C202" t="s">
        <v>671</v>
      </c>
      <c r="D202" t="s">
        <v>954</v>
      </c>
      <c r="E202" t="s">
        <v>15327</v>
      </c>
      <c r="F202" t="s">
        <v>15335</v>
      </c>
      <c r="G202" t="s">
        <v>15320</v>
      </c>
      <c r="H202" t="s">
        <v>15879</v>
      </c>
      <c r="I202" s="16">
        <v>66</v>
      </c>
      <c r="J202" t="s">
        <v>15907</v>
      </c>
      <c r="L202" s="16">
        <v>3</v>
      </c>
      <c r="M202" t="s">
        <v>15589</v>
      </c>
      <c r="N202" t="s">
        <v>671</v>
      </c>
      <c r="O202" t="s">
        <v>15329</v>
      </c>
    </row>
    <row r="203" spans="1:15" x14ac:dyDescent="0.35">
      <c r="A203" t="s">
        <v>15318</v>
      </c>
      <c r="B203" t="s">
        <v>33</v>
      </c>
      <c r="C203" t="s">
        <v>671</v>
      </c>
      <c r="D203" t="s">
        <v>954</v>
      </c>
      <c r="E203" t="s">
        <v>15327</v>
      </c>
      <c r="F203" t="s">
        <v>15335</v>
      </c>
      <c r="G203" t="s">
        <v>15320</v>
      </c>
      <c r="H203" t="s">
        <v>15879</v>
      </c>
      <c r="I203" s="16">
        <v>72</v>
      </c>
      <c r="J203" t="s">
        <v>15907</v>
      </c>
      <c r="L203" s="16">
        <v>23</v>
      </c>
      <c r="M203" t="s">
        <v>15551</v>
      </c>
      <c r="N203" t="s">
        <v>671</v>
      </c>
      <c r="O203" t="s">
        <v>15329</v>
      </c>
    </row>
    <row r="204" spans="1:15" x14ac:dyDescent="0.35">
      <c r="A204" t="s">
        <v>15318</v>
      </c>
      <c r="B204" t="s">
        <v>33</v>
      </c>
      <c r="C204" t="s">
        <v>671</v>
      </c>
      <c r="D204" t="s">
        <v>954</v>
      </c>
      <c r="E204" t="s">
        <v>15327</v>
      </c>
      <c r="F204" t="s">
        <v>15335</v>
      </c>
      <c r="G204" t="s">
        <v>15320</v>
      </c>
      <c r="H204" t="s">
        <v>15879</v>
      </c>
      <c r="I204" s="16">
        <v>73</v>
      </c>
      <c r="J204" t="s">
        <v>15907</v>
      </c>
      <c r="L204" s="16">
        <v>19</v>
      </c>
      <c r="M204" t="s">
        <v>15582</v>
      </c>
      <c r="N204" t="s">
        <v>671</v>
      </c>
      <c r="O204" t="s">
        <v>15329</v>
      </c>
    </row>
    <row r="205" spans="1:15" x14ac:dyDescent="0.35">
      <c r="A205" t="s">
        <v>15318</v>
      </c>
      <c r="B205" t="s">
        <v>33</v>
      </c>
      <c r="C205" t="s">
        <v>671</v>
      </c>
      <c r="D205" t="s">
        <v>954</v>
      </c>
      <c r="E205" t="s">
        <v>15327</v>
      </c>
      <c r="F205" t="s">
        <v>15335</v>
      </c>
      <c r="G205" t="s">
        <v>15320</v>
      </c>
      <c r="H205" t="s">
        <v>15879</v>
      </c>
      <c r="I205" s="16">
        <v>76</v>
      </c>
      <c r="J205" t="s">
        <v>15907</v>
      </c>
      <c r="L205" s="16">
        <v>11</v>
      </c>
      <c r="M205" t="s">
        <v>15605</v>
      </c>
      <c r="N205" t="s">
        <v>671</v>
      </c>
      <c r="O205" t="s">
        <v>15329</v>
      </c>
    </row>
    <row r="206" spans="1:15" x14ac:dyDescent="0.35">
      <c r="A206" t="s">
        <v>15318</v>
      </c>
      <c r="B206" t="s">
        <v>33</v>
      </c>
      <c r="C206" t="s">
        <v>671</v>
      </c>
      <c r="D206" t="s">
        <v>954</v>
      </c>
      <c r="E206" t="s">
        <v>15327</v>
      </c>
      <c r="F206" t="s">
        <v>15335</v>
      </c>
      <c r="G206" t="s">
        <v>15320</v>
      </c>
      <c r="H206" t="s">
        <v>15879</v>
      </c>
      <c r="I206" s="16">
        <v>50</v>
      </c>
      <c r="J206" t="s">
        <v>15907</v>
      </c>
      <c r="L206" s="16">
        <v>21</v>
      </c>
      <c r="M206" t="s">
        <v>15503</v>
      </c>
      <c r="N206" t="s">
        <v>954</v>
      </c>
      <c r="O206" t="s">
        <v>15325</v>
      </c>
    </row>
    <row r="207" spans="1:15" x14ac:dyDescent="0.35">
      <c r="A207" t="s">
        <v>15318</v>
      </c>
      <c r="B207" t="s">
        <v>33</v>
      </c>
      <c r="C207" t="s">
        <v>671</v>
      </c>
      <c r="D207" t="s">
        <v>954</v>
      </c>
      <c r="E207" t="s">
        <v>15327</v>
      </c>
      <c r="F207" t="s">
        <v>15335</v>
      </c>
      <c r="G207" t="s">
        <v>15320</v>
      </c>
      <c r="H207" t="s">
        <v>15879</v>
      </c>
      <c r="I207" s="16">
        <v>50</v>
      </c>
      <c r="J207" t="s">
        <v>15907</v>
      </c>
      <c r="L207" s="16">
        <v>16</v>
      </c>
      <c r="M207" t="s">
        <v>15580</v>
      </c>
      <c r="N207" t="s">
        <v>954</v>
      </c>
      <c r="O207" t="s">
        <v>15325</v>
      </c>
    </row>
    <row r="208" spans="1:15" x14ac:dyDescent="0.35">
      <c r="A208" t="s">
        <v>15318</v>
      </c>
      <c r="B208" t="s">
        <v>33</v>
      </c>
      <c r="C208" t="s">
        <v>671</v>
      </c>
      <c r="D208" t="s">
        <v>954</v>
      </c>
      <c r="E208" t="s">
        <v>15327</v>
      </c>
      <c r="F208" t="s">
        <v>15335</v>
      </c>
      <c r="G208" t="s">
        <v>15320</v>
      </c>
      <c r="H208" t="s">
        <v>15879</v>
      </c>
      <c r="I208" s="16">
        <v>50</v>
      </c>
      <c r="J208" t="s">
        <v>15907</v>
      </c>
      <c r="L208" s="16">
        <v>18</v>
      </c>
      <c r="M208" t="s">
        <v>15358</v>
      </c>
      <c r="N208" t="s">
        <v>954</v>
      </c>
      <c r="O208" t="s">
        <v>15325</v>
      </c>
    </row>
    <row r="209" spans="1:15" x14ac:dyDescent="0.35">
      <c r="A209" t="s">
        <v>15318</v>
      </c>
      <c r="B209" t="s">
        <v>33</v>
      </c>
      <c r="C209" t="s">
        <v>671</v>
      </c>
      <c r="D209" t="s">
        <v>954</v>
      </c>
      <c r="E209" t="s">
        <v>15327</v>
      </c>
      <c r="F209" t="s">
        <v>15335</v>
      </c>
      <c r="G209" t="s">
        <v>15320</v>
      </c>
      <c r="H209" t="s">
        <v>15879</v>
      </c>
      <c r="I209" s="16">
        <v>60</v>
      </c>
      <c r="J209" t="s">
        <v>15907</v>
      </c>
      <c r="L209" s="16">
        <v>22</v>
      </c>
      <c r="M209" t="s">
        <v>15755</v>
      </c>
      <c r="N209" t="s">
        <v>954</v>
      </c>
      <c r="O209" t="s">
        <v>15325</v>
      </c>
    </row>
    <row r="210" spans="1:15" x14ac:dyDescent="0.35">
      <c r="A210" t="s">
        <v>15318</v>
      </c>
      <c r="B210" t="s">
        <v>33</v>
      </c>
      <c r="C210" t="s">
        <v>671</v>
      </c>
      <c r="D210" t="s">
        <v>954</v>
      </c>
      <c r="E210" t="s">
        <v>15327</v>
      </c>
      <c r="F210" t="s">
        <v>15335</v>
      </c>
      <c r="G210" t="s">
        <v>15320</v>
      </c>
      <c r="H210" t="s">
        <v>15879</v>
      </c>
      <c r="I210" s="16">
        <v>65</v>
      </c>
      <c r="J210" t="s">
        <v>15907</v>
      </c>
      <c r="L210" s="16">
        <v>19</v>
      </c>
      <c r="M210" t="s">
        <v>15528</v>
      </c>
      <c r="N210" t="s">
        <v>954</v>
      </c>
      <c r="O210" t="s">
        <v>15325</v>
      </c>
    </row>
    <row r="211" spans="1:15" x14ac:dyDescent="0.35">
      <c r="A211" t="s">
        <v>15318</v>
      </c>
      <c r="B211" t="s">
        <v>33</v>
      </c>
      <c r="C211" t="s">
        <v>671</v>
      </c>
      <c r="D211" t="s">
        <v>954</v>
      </c>
      <c r="E211" t="s">
        <v>15327</v>
      </c>
      <c r="F211" t="s">
        <v>15335</v>
      </c>
      <c r="G211" t="s">
        <v>15320</v>
      </c>
      <c r="H211" t="s">
        <v>15879</v>
      </c>
      <c r="I211" s="16">
        <v>65</v>
      </c>
      <c r="J211" t="s">
        <v>15907</v>
      </c>
      <c r="L211" s="16">
        <v>20</v>
      </c>
      <c r="M211" t="s">
        <v>15389</v>
      </c>
      <c r="N211" t="s">
        <v>954</v>
      </c>
      <c r="O211" t="s">
        <v>15325</v>
      </c>
    </row>
    <row r="212" spans="1:15" x14ac:dyDescent="0.35">
      <c r="A212" t="s">
        <v>15318</v>
      </c>
      <c r="B212" t="s">
        <v>33</v>
      </c>
      <c r="C212" t="s">
        <v>671</v>
      </c>
      <c r="D212" t="s">
        <v>954</v>
      </c>
      <c r="E212" t="s">
        <v>15327</v>
      </c>
      <c r="F212" t="s">
        <v>15335</v>
      </c>
      <c r="G212" t="s">
        <v>15320</v>
      </c>
      <c r="H212" t="s">
        <v>15879</v>
      </c>
      <c r="I212" s="16">
        <v>70</v>
      </c>
      <c r="J212" t="s">
        <v>15907</v>
      </c>
      <c r="L212" s="16">
        <v>23</v>
      </c>
      <c r="M212" t="s">
        <v>15653</v>
      </c>
      <c r="N212" t="s">
        <v>954</v>
      </c>
      <c r="O212" t="s">
        <v>15325</v>
      </c>
    </row>
    <row r="213" spans="1:15" x14ac:dyDescent="0.35">
      <c r="A213" t="s">
        <v>15318</v>
      </c>
      <c r="B213" t="s">
        <v>33</v>
      </c>
      <c r="C213" t="s">
        <v>671</v>
      </c>
      <c r="D213" t="s">
        <v>954</v>
      </c>
      <c r="E213" t="s">
        <v>15327</v>
      </c>
      <c r="F213" t="s">
        <v>15335</v>
      </c>
      <c r="G213" t="s">
        <v>15320</v>
      </c>
      <c r="H213" t="s">
        <v>15879</v>
      </c>
      <c r="I213" s="16">
        <v>70</v>
      </c>
      <c r="J213" t="s">
        <v>15907</v>
      </c>
      <c r="L213" s="16">
        <v>17</v>
      </c>
      <c r="M213" t="s">
        <v>15544</v>
      </c>
      <c r="N213" t="s">
        <v>954</v>
      </c>
      <c r="O213" t="s">
        <v>15325</v>
      </c>
    </row>
    <row r="214" spans="1:15" x14ac:dyDescent="0.35">
      <c r="A214" t="s">
        <v>15318</v>
      </c>
      <c r="B214" t="s">
        <v>33</v>
      </c>
      <c r="C214" t="s">
        <v>1395</v>
      </c>
      <c r="D214" t="s">
        <v>809</v>
      </c>
      <c r="E214" t="s">
        <v>15327</v>
      </c>
      <c r="F214" t="s">
        <v>15328</v>
      </c>
      <c r="G214" t="s">
        <v>15320</v>
      </c>
      <c r="H214" t="s">
        <v>15879</v>
      </c>
      <c r="I214" s="16" t="s">
        <v>15412</v>
      </c>
      <c r="J214" t="s">
        <v>15907</v>
      </c>
      <c r="L214" s="16" t="s">
        <v>15476</v>
      </c>
      <c r="M214" t="s">
        <v>15618</v>
      </c>
      <c r="N214" t="s">
        <v>1395</v>
      </c>
      <c r="O214" t="s">
        <v>15329</v>
      </c>
    </row>
    <row r="215" spans="1:15" x14ac:dyDescent="0.35">
      <c r="A215" t="s">
        <v>15318</v>
      </c>
      <c r="B215" t="s">
        <v>33</v>
      </c>
      <c r="C215" t="s">
        <v>1395</v>
      </c>
      <c r="D215" t="s">
        <v>809</v>
      </c>
      <c r="E215" t="s">
        <v>15327</v>
      </c>
      <c r="F215" t="s">
        <v>15328</v>
      </c>
      <c r="G215" t="s">
        <v>15320</v>
      </c>
      <c r="H215" t="s">
        <v>15879</v>
      </c>
      <c r="I215" s="16" t="s">
        <v>15911</v>
      </c>
      <c r="J215" t="s">
        <v>15907</v>
      </c>
      <c r="L215" s="16" t="s">
        <v>15423</v>
      </c>
      <c r="M215" t="s">
        <v>15710</v>
      </c>
      <c r="N215" t="s">
        <v>1395</v>
      </c>
      <c r="O215" t="s">
        <v>15329</v>
      </c>
    </row>
    <row r="216" spans="1:15" x14ac:dyDescent="0.35">
      <c r="A216" t="s">
        <v>15318</v>
      </c>
      <c r="B216" t="s">
        <v>33</v>
      </c>
      <c r="C216" t="s">
        <v>1395</v>
      </c>
      <c r="D216" t="s">
        <v>809</v>
      </c>
      <c r="E216" t="s">
        <v>15327</v>
      </c>
      <c r="F216" t="s">
        <v>15328</v>
      </c>
      <c r="G216" t="s">
        <v>15320</v>
      </c>
      <c r="H216" t="s">
        <v>15879</v>
      </c>
      <c r="I216" s="16" t="s">
        <v>15911</v>
      </c>
      <c r="J216" t="s">
        <v>15907</v>
      </c>
      <c r="L216" s="16" t="s">
        <v>15347</v>
      </c>
      <c r="M216" t="s">
        <v>15766</v>
      </c>
      <c r="N216" t="s">
        <v>1395</v>
      </c>
      <c r="O216" t="s">
        <v>15329</v>
      </c>
    </row>
    <row r="217" spans="1:15" x14ac:dyDescent="0.35">
      <c r="A217" t="s">
        <v>15318</v>
      </c>
      <c r="B217" t="s">
        <v>33</v>
      </c>
      <c r="C217" t="s">
        <v>1395</v>
      </c>
      <c r="D217" t="s">
        <v>809</v>
      </c>
      <c r="E217" t="s">
        <v>15327</v>
      </c>
      <c r="F217" t="s">
        <v>15328</v>
      </c>
      <c r="G217" t="s">
        <v>15320</v>
      </c>
      <c r="H217" t="s">
        <v>15879</v>
      </c>
      <c r="I217" s="16" t="s">
        <v>15911</v>
      </c>
      <c r="J217" t="s">
        <v>15907</v>
      </c>
      <c r="L217" s="16" t="s">
        <v>15412</v>
      </c>
      <c r="M217" t="s">
        <v>15465</v>
      </c>
      <c r="N217" t="s">
        <v>1395</v>
      </c>
      <c r="O217" t="s">
        <v>15329</v>
      </c>
    </row>
    <row r="218" spans="1:15" x14ac:dyDescent="0.35">
      <c r="A218" t="s">
        <v>15318</v>
      </c>
      <c r="B218" t="s">
        <v>33</v>
      </c>
      <c r="C218" t="s">
        <v>1395</v>
      </c>
      <c r="D218" t="s">
        <v>809</v>
      </c>
      <c r="E218" t="s">
        <v>15327</v>
      </c>
      <c r="F218" t="s">
        <v>15328</v>
      </c>
      <c r="G218" t="s">
        <v>15320</v>
      </c>
      <c r="H218" t="s">
        <v>15879</v>
      </c>
      <c r="I218" s="16" t="s">
        <v>15911</v>
      </c>
      <c r="J218" t="s">
        <v>15907</v>
      </c>
      <c r="L218" s="16" t="s">
        <v>15342</v>
      </c>
      <c r="M218" t="s">
        <v>15772</v>
      </c>
      <c r="N218" t="s">
        <v>1395</v>
      </c>
      <c r="O218" t="s">
        <v>15329</v>
      </c>
    </row>
    <row r="219" spans="1:15" x14ac:dyDescent="0.35">
      <c r="A219" t="s">
        <v>15318</v>
      </c>
      <c r="B219" t="s">
        <v>33</v>
      </c>
      <c r="C219" t="s">
        <v>1395</v>
      </c>
      <c r="D219" t="s">
        <v>809</v>
      </c>
      <c r="E219" t="s">
        <v>15327</v>
      </c>
      <c r="F219" t="s">
        <v>15328</v>
      </c>
      <c r="G219" t="s">
        <v>15320</v>
      </c>
      <c r="H219" t="s">
        <v>15879</v>
      </c>
      <c r="I219" s="16" t="s">
        <v>15903</v>
      </c>
      <c r="J219" t="s">
        <v>15907</v>
      </c>
      <c r="L219" s="16" t="s">
        <v>15359</v>
      </c>
      <c r="M219" t="s">
        <v>15647</v>
      </c>
      <c r="N219" t="s">
        <v>1395</v>
      </c>
      <c r="O219" t="s">
        <v>15329</v>
      </c>
    </row>
    <row r="220" spans="1:15" x14ac:dyDescent="0.35">
      <c r="A220" t="s">
        <v>15318</v>
      </c>
      <c r="B220" t="s">
        <v>33</v>
      </c>
      <c r="C220" t="s">
        <v>1395</v>
      </c>
      <c r="D220" t="s">
        <v>809</v>
      </c>
      <c r="E220" t="s">
        <v>15327</v>
      </c>
      <c r="F220" t="s">
        <v>15328</v>
      </c>
      <c r="G220" t="s">
        <v>15320</v>
      </c>
      <c r="H220" t="s">
        <v>15879</v>
      </c>
      <c r="I220" s="16" t="s">
        <v>15909</v>
      </c>
      <c r="J220" t="s">
        <v>15907</v>
      </c>
      <c r="L220" s="16" t="s">
        <v>15351</v>
      </c>
      <c r="M220" t="s">
        <v>15556</v>
      </c>
      <c r="N220" t="s">
        <v>1395</v>
      </c>
      <c r="O220" t="s">
        <v>15329</v>
      </c>
    </row>
    <row r="221" spans="1:15" x14ac:dyDescent="0.35">
      <c r="A221" t="s">
        <v>15318</v>
      </c>
      <c r="B221" t="s">
        <v>33</v>
      </c>
      <c r="C221" t="s">
        <v>1395</v>
      </c>
      <c r="D221" t="s">
        <v>809</v>
      </c>
      <c r="E221" t="s">
        <v>15327</v>
      </c>
      <c r="F221" t="s">
        <v>15328</v>
      </c>
      <c r="G221" t="s">
        <v>15320</v>
      </c>
      <c r="H221" t="s">
        <v>15879</v>
      </c>
      <c r="I221" s="16" t="s">
        <v>15922</v>
      </c>
      <c r="J221" t="s">
        <v>15907</v>
      </c>
      <c r="L221" s="16" t="s">
        <v>15392</v>
      </c>
      <c r="M221" t="s">
        <v>15834</v>
      </c>
      <c r="N221" t="s">
        <v>1395</v>
      </c>
      <c r="O221" t="s">
        <v>15329</v>
      </c>
    </row>
    <row r="222" spans="1:15" x14ac:dyDescent="0.35">
      <c r="A222" t="s">
        <v>15318</v>
      </c>
      <c r="B222" t="s">
        <v>33</v>
      </c>
      <c r="C222" t="s">
        <v>1395</v>
      </c>
      <c r="D222" t="s">
        <v>809</v>
      </c>
      <c r="E222" t="s">
        <v>15327</v>
      </c>
      <c r="F222" t="s">
        <v>15328</v>
      </c>
      <c r="G222" t="s">
        <v>15320</v>
      </c>
      <c r="H222" t="s">
        <v>15879</v>
      </c>
      <c r="I222" s="16" t="s">
        <v>15920</v>
      </c>
      <c r="J222" t="s">
        <v>15907</v>
      </c>
      <c r="L222" s="16" t="s">
        <v>15347</v>
      </c>
      <c r="M222" t="s">
        <v>15769</v>
      </c>
      <c r="N222" t="s">
        <v>809</v>
      </c>
      <c r="O222" t="s">
        <v>15325</v>
      </c>
    </row>
    <row r="223" spans="1:15" x14ac:dyDescent="0.35">
      <c r="A223" t="s">
        <v>15318</v>
      </c>
      <c r="B223" t="s">
        <v>33</v>
      </c>
      <c r="C223" t="s">
        <v>1395</v>
      </c>
      <c r="D223" t="s">
        <v>809</v>
      </c>
      <c r="E223" t="s">
        <v>15327</v>
      </c>
      <c r="F223" t="s">
        <v>15328</v>
      </c>
      <c r="G223" t="s">
        <v>15320</v>
      </c>
      <c r="H223" t="s">
        <v>15879</v>
      </c>
      <c r="I223" s="16" t="s">
        <v>15920</v>
      </c>
      <c r="J223" t="s">
        <v>15907</v>
      </c>
      <c r="L223" s="16" t="s">
        <v>15342</v>
      </c>
      <c r="M223" t="s">
        <v>15626</v>
      </c>
      <c r="N223" t="s">
        <v>809</v>
      </c>
      <c r="O223" t="s">
        <v>15325</v>
      </c>
    </row>
    <row r="224" spans="1:15" x14ac:dyDescent="0.35">
      <c r="A224" t="s">
        <v>15318</v>
      </c>
      <c r="B224" t="s">
        <v>33</v>
      </c>
      <c r="C224" t="s">
        <v>1395</v>
      </c>
      <c r="D224" t="s">
        <v>809</v>
      </c>
      <c r="E224" t="s">
        <v>15327</v>
      </c>
      <c r="F224" t="s">
        <v>15328</v>
      </c>
      <c r="G224" t="s">
        <v>15320</v>
      </c>
      <c r="H224" t="s">
        <v>15879</v>
      </c>
      <c r="I224" s="16" t="s">
        <v>15911</v>
      </c>
      <c r="J224" t="s">
        <v>15907</v>
      </c>
      <c r="L224" s="16" t="s">
        <v>15351</v>
      </c>
      <c r="M224" t="s">
        <v>15509</v>
      </c>
      <c r="N224" t="s">
        <v>809</v>
      </c>
      <c r="O224" t="s">
        <v>15325</v>
      </c>
    </row>
    <row r="225" spans="1:15" x14ac:dyDescent="0.35">
      <c r="A225" t="s">
        <v>15318</v>
      </c>
      <c r="B225" t="s">
        <v>33</v>
      </c>
      <c r="C225" t="s">
        <v>1395</v>
      </c>
      <c r="D225" t="s">
        <v>809</v>
      </c>
      <c r="E225" t="s">
        <v>15327</v>
      </c>
      <c r="F225" t="s">
        <v>15328</v>
      </c>
      <c r="G225" t="s">
        <v>15320</v>
      </c>
      <c r="H225" t="s">
        <v>15879</v>
      </c>
      <c r="I225" s="16" t="s">
        <v>15911</v>
      </c>
      <c r="J225" t="s">
        <v>15907</v>
      </c>
      <c r="L225" s="16" t="s">
        <v>15476</v>
      </c>
      <c r="M225" t="s">
        <v>15842</v>
      </c>
      <c r="N225" t="s">
        <v>809</v>
      </c>
      <c r="O225" t="s">
        <v>15325</v>
      </c>
    </row>
    <row r="226" spans="1:15" x14ac:dyDescent="0.35">
      <c r="A226" t="s">
        <v>15318</v>
      </c>
      <c r="B226" t="s">
        <v>33</v>
      </c>
      <c r="C226" t="s">
        <v>1395</v>
      </c>
      <c r="D226" t="s">
        <v>809</v>
      </c>
      <c r="E226" t="s">
        <v>15327</v>
      </c>
      <c r="F226" t="s">
        <v>15328</v>
      </c>
      <c r="G226" t="s">
        <v>15320</v>
      </c>
      <c r="H226" t="s">
        <v>15879</v>
      </c>
      <c r="I226" s="16" t="s">
        <v>15911</v>
      </c>
      <c r="J226" t="s">
        <v>15907</v>
      </c>
      <c r="L226" s="16" t="s">
        <v>15423</v>
      </c>
      <c r="M226" t="s">
        <v>15538</v>
      </c>
      <c r="N226" t="s">
        <v>809</v>
      </c>
      <c r="O226" t="s">
        <v>15325</v>
      </c>
    </row>
    <row r="227" spans="1:15" x14ac:dyDescent="0.35">
      <c r="A227" t="s">
        <v>15318</v>
      </c>
      <c r="B227" t="s">
        <v>33</v>
      </c>
      <c r="C227" t="s">
        <v>1395</v>
      </c>
      <c r="D227" t="s">
        <v>809</v>
      </c>
      <c r="E227" t="s">
        <v>15327</v>
      </c>
      <c r="F227" t="s">
        <v>15328</v>
      </c>
      <c r="G227" t="s">
        <v>15320</v>
      </c>
      <c r="H227" t="s">
        <v>15879</v>
      </c>
      <c r="I227" s="16" t="s">
        <v>15918</v>
      </c>
      <c r="J227" t="s">
        <v>15907</v>
      </c>
      <c r="L227" s="16" t="s">
        <v>15412</v>
      </c>
      <c r="M227" t="s">
        <v>15597</v>
      </c>
      <c r="N227" t="s">
        <v>809</v>
      </c>
      <c r="O227" t="s">
        <v>15325</v>
      </c>
    </row>
    <row r="228" spans="1:15" x14ac:dyDescent="0.35">
      <c r="A228" t="s">
        <v>15318</v>
      </c>
      <c r="B228" t="s">
        <v>33</v>
      </c>
      <c r="C228" t="s">
        <v>1395</v>
      </c>
      <c r="D228" t="s">
        <v>809</v>
      </c>
      <c r="E228" t="s">
        <v>15327</v>
      </c>
      <c r="F228" t="s">
        <v>15328</v>
      </c>
      <c r="G228" t="s">
        <v>15320</v>
      </c>
      <c r="H228" t="s">
        <v>15879</v>
      </c>
      <c r="I228" s="16" t="s">
        <v>15885</v>
      </c>
      <c r="J228" t="s">
        <v>15907</v>
      </c>
      <c r="L228" s="16" t="s">
        <v>15392</v>
      </c>
      <c r="M228" t="s">
        <v>15810</v>
      </c>
      <c r="N228" t="s">
        <v>809</v>
      </c>
      <c r="O228" t="s">
        <v>15325</v>
      </c>
    </row>
    <row r="229" spans="1:15" x14ac:dyDescent="0.35">
      <c r="A229" t="s">
        <v>15318</v>
      </c>
      <c r="B229" t="s">
        <v>33</v>
      </c>
      <c r="C229" t="s">
        <v>1395</v>
      </c>
      <c r="D229" t="s">
        <v>809</v>
      </c>
      <c r="E229" t="s">
        <v>15327</v>
      </c>
      <c r="F229" t="s">
        <v>15328</v>
      </c>
      <c r="G229" t="s">
        <v>15320</v>
      </c>
      <c r="H229" t="s">
        <v>15879</v>
      </c>
      <c r="I229" s="16" t="s">
        <v>15892</v>
      </c>
      <c r="J229" t="s">
        <v>15907</v>
      </c>
      <c r="L229" s="16" t="s">
        <v>15359</v>
      </c>
      <c r="M229" t="s">
        <v>15516</v>
      </c>
      <c r="N229" t="s">
        <v>809</v>
      </c>
      <c r="O229" t="s">
        <v>15325</v>
      </c>
    </row>
    <row r="230" spans="1:15" x14ac:dyDescent="0.35">
      <c r="A230" t="s">
        <v>15318</v>
      </c>
      <c r="B230" t="s">
        <v>33</v>
      </c>
      <c r="C230" t="s">
        <v>557</v>
      </c>
      <c r="D230" t="s">
        <v>431</v>
      </c>
      <c r="E230" t="s">
        <v>15319</v>
      </c>
      <c r="F230" t="s">
        <v>427</v>
      </c>
      <c r="G230" t="s">
        <v>15320</v>
      </c>
      <c r="H230" t="s">
        <v>15875</v>
      </c>
      <c r="I230" s="16" t="s">
        <v>15935</v>
      </c>
      <c r="J230" t="s">
        <v>15936</v>
      </c>
      <c r="K230">
        <v>3</v>
      </c>
      <c r="L230" s="16" t="s">
        <v>15378</v>
      </c>
      <c r="M230" t="s">
        <v>15721</v>
      </c>
      <c r="N230" t="s">
        <v>431</v>
      </c>
      <c r="O230" t="s">
        <v>15325</v>
      </c>
    </row>
    <row r="231" spans="1:15" x14ac:dyDescent="0.35">
      <c r="A231" t="s">
        <v>15318</v>
      </c>
      <c r="B231" t="s">
        <v>33</v>
      </c>
      <c r="C231" t="s">
        <v>27</v>
      </c>
      <c r="D231" t="s">
        <v>238</v>
      </c>
      <c r="E231" t="s">
        <v>15319</v>
      </c>
      <c r="F231" t="s">
        <v>15377</v>
      </c>
      <c r="G231" t="s">
        <v>15320</v>
      </c>
      <c r="H231" t="s">
        <v>15879</v>
      </c>
      <c r="I231" s="16" t="s">
        <v>15916</v>
      </c>
      <c r="J231" t="s">
        <v>15936</v>
      </c>
      <c r="K231">
        <v>3</v>
      </c>
      <c r="L231" s="16" t="s">
        <v>15354</v>
      </c>
      <c r="M231" t="s">
        <v>15632</v>
      </c>
      <c r="N231" t="s">
        <v>27</v>
      </c>
      <c r="O231" t="s">
        <v>15329</v>
      </c>
    </row>
    <row r="232" spans="1:15" x14ac:dyDescent="0.35">
      <c r="A232" t="s">
        <v>15318</v>
      </c>
      <c r="B232" t="s">
        <v>33</v>
      </c>
      <c r="C232" t="s">
        <v>954</v>
      </c>
      <c r="D232" t="s">
        <v>1090</v>
      </c>
      <c r="E232" t="s">
        <v>15319</v>
      </c>
      <c r="F232" t="s">
        <v>950</v>
      </c>
      <c r="G232" t="s">
        <v>15320</v>
      </c>
      <c r="H232" t="s">
        <v>15875</v>
      </c>
      <c r="I232" s="16" t="s">
        <v>15927</v>
      </c>
      <c r="J232" t="s">
        <v>15936</v>
      </c>
      <c r="K232">
        <v>3</v>
      </c>
      <c r="L232" s="16" t="s">
        <v>15378</v>
      </c>
      <c r="M232" t="s">
        <v>15495</v>
      </c>
      <c r="N232" t="s">
        <v>954</v>
      </c>
      <c r="O232" t="s">
        <v>15329</v>
      </c>
    </row>
    <row r="233" spans="1:15" x14ac:dyDescent="0.35">
      <c r="A233" t="s">
        <v>15318</v>
      </c>
      <c r="B233" t="s">
        <v>33</v>
      </c>
      <c r="C233" t="s">
        <v>954</v>
      </c>
      <c r="D233" t="s">
        <v>1090</v>
      </c>
      <c r="E233" t="s">
        <v>15319</v>
      </c>
      <c r="F233" t="s">
        <v>950</v>
      </c>
      <c r="G233" t="s">
        <v>15320</v>
      </c>
      <c r="H233" t="s">
        <v>15875</v>
      </c>
      <c r="I233" s="16" t="s">
        <v>15937</v>
      </c>
      <c r="J233" t="s">
        <v>15936</v>
      </c>
      <c r="K233">
        <v>3</v>
      </c>
      <c r="L233" s="16" t="s">
        <v>15381</v>
      </c>
      <c r="M233" t="s">
        <v>15495</v>
      </c>
      <c r="N233" t="s">
        <v>954</v>
      </c>
      <c r="O233" t="s">
        <v>15329</v>
      </c>
    </row>
    <row r="234" spans="1:15" x14ac:dyDescent="0.35">
      <c r="A234" t="s">
        <v>15318</v>
      </c>
      <c r="B234" t="s">
        <v>33</v>
      </c>
      <c r="C234" t="s">
        <v>954</v>
      </c>
      <c r="D234" t="s">
        <v>1090</v>
      </c>
      <c r="E234" t="s">
        <v>15319</v>
      </c>
      <c r="F234" t="s">
        <v>950</v>
      </c>
      <c r="G234" t="s">
        <v>15320</v>
      </c>
      <c r="H234" t="s">
        <v>15875</v>
      </c>
      <c r="I234" s="16" t="s">
        <v>15404</v>
      </c>
      <c r="J234" t="s">
        <v>15936</v>
      </c>
      <c r="K234">
        <v>3</v>
      </c>
      <c r="L234" s="16" t="s">
        <v>15378</v>
      </c>
      <c r="M234" t="s">
        <v>15642</v>
      </c>
      <c r="N234" t="s">
        <v>1090</v>
      </c>
      <c r="O234" t="s">
        <v>15325</v>
      </c>
    </row>
    <row r="235" spans="1:15" x14ac:dyDescent="0.35">
      <c r="A235" t="s">
        <v>15318</v>
      </c>
      <c r="B235" t="s">
        <v>33</v>
      </c>
      <c r="C235" t="s">
        <v>954</v>
      </c>
      <c r="D235" t="s">
        <v>1090</v>
      </c>
      <c r="E235" t="s">
        <v>15319</v>
      </c>
      <c r="F235" t="s">
        <v>950</v>
      </c>
      <c r="G235" t="s">
        <v>15320</v>
      </c>
      <c r="H235" t="s">
        <v>15875</v>
      </c>
      <c r="I235" s="16" t="s">
        <v>15935</v>
      </c>
      <c r="J235" t="s">
        <v>15936</v>
      </c>
      <c r="K235">
        <v>3</v>
      </c>
      <c r="L235" s="16" t="s">
        <v>15337</v>
      </c>
      <c r="M235" t="s">
        <v>15642</v>
      </c>
      <c r="N235" t="s">
        <v>1090</v>
      </c>
      <c r="O235" t="s">
        <v>15325</v>
      </c>
    </row>
    <row r="236" spans="1:15" x14ac:dyDescent="0.35">
      <c r="A236" t="s">
        <v>15318</v>
      </c>
      <c r="B236" t="s">
        <v>33</v>
      </c>
      <c r="C236" t="s">
        <v>954</v>
      </c>
      <c r="D236" t="s">
        <v>1090</v>
      </c>
      <c r="E236" t="s">
        <v>15319</v>
      </c>
      <c r="F236" t="s">
        <v>950</v>
      </c>
      <c r="G236" t="s">
        <v>15320</v>
      </c>
      <c r="H236" t="s">
        <v>15879</v>
      </c>
      <c r="I236" s="16" t="s">
        <v>15938</v>
      </c>
      <c r="J236" t="s">
        <v>15936</v>
      </c>
      <c r="K236">
        <v>3</v>
      </c>
      <c r="L236" s="16" t="s">
        <v>15378</v>
      </c>
      <c r="M236" t="s">
        <v>15642</v>
      </c>
      <c r="N236" t="s">
        <v>1090</v>
      </c>
      <c r="O236" t="s">
        <v>15325</v>
      </c>
    </row>
    <row r="237" spans="1:15" x14ac:dyDescent="0.35">
      <c r="A237" t="s">
        <v>15318</v>
      </c>
      <c r="B237" t="s">
        <v>33</v>
      </c>
      <c r="C237" t="s">
        <v>954</v>
      </c>
      <c r="D237" t="s">
        <v>1090</v>
      </c>
      <c r="E237" t="s">
        <v>15319</v>
      </c>
      <c r="F237" t="s">
        <v>950</v>
      </c>
      <c r="G237" t="s">
        <v>15320</v>
      </c>
      <c r="H237" t="s">
        <v>15879</v>
      </c>
      <c r="I237" s="16" t="s">
        <v>15903</v>
      </c>
      <c r="J237" t="s">
        <v>15936</v>
      </c>
      <c r="K237">
        <v>3</v>
      </c>
      <c r="L237" s="16" t="s">
        <v>15378</v>
      </c>
      <c r="M237" t="s">
        <v>15642</v>
      </c>
      <c r="N237" t="s">
        <v>1090</v>
      </c>
      <c r="O237" t="s">
        <v>15325</v>
      </c>
    </row>
    <row r="238" spans="1:15" x14ac:dyDescent="0.35">
      <c r="A238" t="s">
        <v>15318</v>
      </c>
      <c r="B238" t="s">
        <v>33</v>
      </c>
      <c r="C238" t="s">
        <v>954</v>
      </c>
      <c r="D238" t="s">
        <v>1090</v>
      </c>
      <c r="E238" t="s">
        <v>15319</v>
      </c>
      <c r="F238" t="s">
        <v>950</v>
      </c>
      <c r="G238" t="s">
        <v>15320</v>
      </c>
      <c r="H238" t="s">
        <v>15879</v>
      </c>
      <c r="I238" s="16" t="s">
        <v>15918</v>
      </c>
      <c r="J238" t="s">
        <v>15936</v>
      </c>
      <c r="K238">
        <v>3</v>
      </c>
      <c r="L238" s="16" t="s">
        <v>15378</v>
      </c>
      <c r="M238" t="s">
        <v>15642</v>
      </c>
      <c r="N238" t="s">
        <v>1090</v>
      </c>
      <c r="O238" t="s">
        <v>15325</v>
      </c>
    </row>
    <row r="239" spans="1:15" x14ac:dyDescent="0.35">
      <c r="A239">
        <v>17648</v>
      </c>
      <c r="B239" t="s">
        <v>15277</v>
      </c>
      <c r="C239" t="s">
        <v>954</v>
      </c>
      <c r="D239" t="s">
        <v>1090</v>
      </c>
      <c r="E239" t="s">
        <v>15319</v>
      </c>
      <c r="F239" t="s">
        <v>950</v>
      </c>
      <c r="G239" t="s">
        <v>15320</v>
      </c>
      <c r="H239" t="s">
        <v>15879</v>
      </c>
      <c r="I239" s="16" t="s">
        <v>15909</v>
      </c>
      <c r="J239" t="s">
        <v>15936</v>
      </c>
      <c r="K239">
        <v>3</v>
      </c>
      <c r="L239" s="16" t="s">
        <v>15381</v>
      </c>
      <c r="M239" t="s">
        <v>15642</v>
      </c>
      <c r="N239" t="s">
        <v>1090</v>
      </c>
      <c r="O239" t="s">
        <v>15325</v>
      </c>
    </row>
    <row r="240" spans="1:15" x14ac:dyDescent="0.35">
      <c r="A240">
        <v>17648</v>
      </c>
      <c r="B240" t="s">
        <v>15277</v>
      </c>
      <c r="C240" t="s">
        <v>809</v>
      </c>
      <c r="D240" t="s">
        <v>671</v>
      </c>
      <c r="E240" t="s">
        <v>15319</v>
      </c>
      <c r="F240" t="s">
        <v>667</v>
      </c>
      <c r="G240" t="s">
        <v>15320</v>
      </c>
      <c r="H240" t="s">
        <v>15875</v>
      </c>
      <c r="I240" s="16" t="s">
        <v>15939</v>
      </c>
      <c r="J240" t="s">
        <v>15936</v>
      </c>
      <c r="K240">
        <v>3</v>
      </c>
      <c r="L240" s="16" t="s">
        <v>15420</v>
      </c>
      <c r="M240" t="s">
        <v>15391</v>
      </c>
      <c r="N240" t="s">
        <v>809</v>
      </c>
      <c r="O240" t="s">
        <v>15329</v>
      </c>
    </row>
    <row r="241" spans="1:15" x14ac:dyDescent="0.35">
      <c r="A241">
        <v>17648</v>
      </c>
      <c r="B241" t="s">
        <v>15277</v>
      </c>
      <c r="C241" t="s">
        <v>809</v>
      </c>
      <c r="D241" t="s">
        <v>671</v>
      </c>
      <c r="E241" t="s">
        <v>15319</v>
      </c>
      <c r="F241" t="s">
        <v>667</v>
      </c>
      <c r="G241" t="s">
        <v>15320</v>
      </c>
      <c r="H241" t="s">
        <v>15875</v>
      </c>
      <c r="I241" s="16" t="s">
        <v>15881</v>
      </c>
      <c r="J241" t="s">
        <v>15936</v>
      </c>
      <c r="K241">
        <v>3</v>
      </c>
      <c r="L241" s="16" t="s">
        <v>15476</v>
      </c>
      <c r="M241" t="s">
        <v>15391</v>
      </c>
      <c r="N241" t="s">
        <v>809</v>
      </c>
      <c r="O241" t="s">
        <v>15329</v>
      </c>
    </row>
    <row r="242" spans="1:15" x14ac:dyDescent="0.35">
      <c r="A242">
        <v>17648</v>
      </c>
      <c r="B242" t="s">
        <v>15277</v>
      </c>
      <c r="C242" t="s">
        <v>809</v>
      </c>
      <c r="D242" t="s">
        <v>671</v>
      </c>
      <c r="E242" t="s">
        <v>15319</v>
      </c>
      <c r="F242" t="s">
        <v>667</v>
      </c>
      <c r="G242" t="s">
        <v>15320</v>
      </c>
      <c r="H242" t="s">
        <v>15875</v>
      </c>
      <c r="I242" s="16" t="s">
        <v>15392</v>
      </c>
      <c r="J242" t="s">
        <v>15936</v>
      </c>
      <c r="K242">
        <v>3</v>
      </c>
      <c r="L242" s="16" t="s">
        <v>15451</v>
      </c>
      <c r="M242" t="s">
        <v>15723</v>
      </c>
      <c r="N242" t="s">
        <v>671</v>
      </c>
      <c r="O242" t="s">
        <v>15325</v>
      </c>
    </row>
    <row r="243" spans="1:15" x14ac:dyDescent="0.35">
      <c r="A243">
        <v>17648</v>
      </c>
      <c r="B243" t="s">
        <v>15277</v>
      </c>
      <c r="C243" t="s">
        <v>1257</v>
      </c>
      <c r="D243" t="s">
        <v>1395</v>
      </c>
      <c r="E243" t="s">
        <v>15319</v>
      </c>
      <c r="F243" t="s">
        <v>1253</v>
      </c>
      <c r="G243" t="s">
        <v>15320</v>
      </c>
      <c r="H243" t="s">
        <v>15875</v>
      </c>
      <c r="I243" s="16" t="s">
        <v>15891</v>
      </c>
      <c r="J243" t="s">
        <v>15936</v>
      </c>
      <c r="K243">
        <v>3</v>
      </c>
      <c r="L243" s="16" t="s">
        <v>2197</v>
      </c>
      <c r="M243" t="s">
        <v>15679</v>
      </c>
      <c r="N243" t="s">
        <v>1257</v>
      </c>
      <c r="O243" t="s">
        <v>15329</v>
      </c>
    </row>
    <row r="244" spans="1:15" x14ac:dyDescent="0.35">
      <c r="A244">
        <v>17648</v>
      </c>
      <c r="B244" t="s">
        <v>15277</v>
      </c>
      <c r="C244" t="s">
        <v>1257</v>
      </c>
      <c r="D244" t="s">
        <v>1395</v>
      </c>
      <c r="E244" t="s">
        <v>15319</v>
      </c>
      <c r="F244" t="s">
        <v>1253</v>
      </c>
      <c r="G244" t="s">
        <v>15320</v>
      </c>
      <c r="H244" t="s">
        <v>15879</v>
      </c>
      <c r="I244" s="16" t="s">
        <v>15889</v>
      </c>
      <c r="J244" t="s">
        <v>15936</v>
      </c>
      <c r="K244">
        <v>3</v>
      </c>
      <c r="L244" s="16" t="s">
        <v>15351</v>
      </c>
      <c r="M244" t="s">
        <v>15679</v>
      </c>
      <c r="N244" t="s">
        <v>1257</v>
      </c>
      <c r="O244" t="s">
        <v>15329</v>
      </c>
    </row>
    <row r="245" spans="1:15" x14ac:dyDescent="0.35">
      <c r="A245">
        <v>17648</v>
      </c>
      <c r="B245" t="s">
        <v>15277</v>
      </c>
      <c r="C245" t="s">
        <v>1257</v>
      </c>
      <c r="D245" t="s">
        <v>1395</v>
      </c>
      <c r="E245" t="s">
        <v>15319</v>
      </c>
      <c r="F245" t="s">
        <v>1253</v>
      </c>
      <c r="G245" t="s">
        <v>15320</v>
      </c>
      <c r="H245" t="s">
        <v>15879</v>
      </c>
      <c r="I245" s="16" t="s">
        <v>15887</v>
      </c>
      <c r="J245" t="s">
        <v>15936</v>
      </c>
      <c r="K245">
        <v>3</v>
      </c>
      <c r="L245" s="16" t="s">
        <v>15364</v>
      </c>
      <c r="M245" t="s">
        <v>15710</v>
      </c>
      <c r="N245" t="s">
        <v>1395</v>
      </c>
      <c r="O245" t="s">
        <v>15325</v>
      </c>
    </row>
    <row r="246" spans="1:15" x14ac:dyDescent="0.35">
      <c r="A246">
        <v>17648</v>
      </c>
      <c r="B246" t="s">
        <v>15277</v>
      </c>
      <c r="C246" t="s">
        <v>1257</v>
      </c>
      <c r="D246" t="s">
        <v>1395</v>
      </c>
      <c r="E246" t="s">
        <v>15319</v>
      </c>
      <c r="F246" t="s">
        <v>1253</v>
      </c>
      <c r="G246" t="s">
        <v>15320</v>
      </c>
      <c r="H246" t="s">
        <v>15879</v>
      </c>
      <c r="I246" s="16" t="s">
        <v>15412</v>
      </c>
      <c r="J246" t="s">
        <v>15936</v>
      </c>
      <c r="K246">
        <v>3</v>
      </c>
      <c r="L246" s="16" t="s">
        <v>15364</v>
      </c>
      <c r="M246" t="s">
        <v>15710</v>
      </c>
      <c r="N246" t="s">
        <v>1395</v>
      </c>
      <c r="O246" t="s">
        <v>15325</v>
      </c>
    </row>
    <row r="247" spans="1:15" x14ac:dyDescent="0.35">
      <c r="A247">
        <v>17648</v>
      </c>
      <c r="B247" t="s">
        <v>15277</v>
      </c>
      <c r="C247" t="s">
        <v>1257</v>
      </c>
      <c r="D247" t="s">
        <v>1395</v>
      </c>
      <c r="E247" t="s">
        <v>15319</v>
      </c>
      <c r="F247" t="s">
        <v>1253</v>
      </c>
      <c r="G247" t="s">
        <v>15320</v>
      </c>
      <c r="H247" t="s">
        <v>15879</v>
      </c>
      <c r="I247" s="16" t="s">
        <v>15940</v>
      </c>
      <c r="J247" t="s">
        <v>15936</v>
      </c>
      <c r="K247">
        <v>3</v>
      </c>
      <c r="L247" s="16" t="s">
        <v>15364</v>
      </c>
      <c r="M247" t="s">
        <v>15710</v>
      </c>
      <c r="N247" t="s">
        <v>1395</v>
      </c>
      <c r="O247" t="s">
        <v>15325</v>
      </c>
    </row>
    <row r="248" spans="1:15" x14ac:dyDescent="0.35">
      <c r="A248">
        <v>17648</v>
      </c>
      <c r="B248" t="s">
        <v>15277</v>
      </c>
      <c r="C248" t="s">
        <v>1257</v>
      </c>
      <c r="D248" t="s">
        <v>1395</v>
      </c>
      <c r="E248" t="s">
        <v>15319</v>
      </c>
      <c r="F248" t="s">
        <v>1253</v>
      </c>
      <c r="G248" t="s">
        <v>15320</v>
      </c>
      <c r="H248" t="s">
        <v>15879</v>
      </c>
      <c r="I248" s="16" t="s">
        <v>15937</v>
      </c>
      <c r="J248" t="s">
        <v>15936</v>
      </c>
      <c r="K248">
        <v>3</v>
      </c>
      <c r="L248" s="16" t="s">
        <v>15381</v>
      </c>
      <c r="M248" t="s">
        <v>15710</v>
      </c>
      <c r="N248" t="s">
        <v>1395</v>
      </c>
      <c r="O248" t="s">
        <v>15325</v>
      </c>
    </row>
    <row r="249" spans="1:15" x14ac:dyDescent="0.35">
      <c r="A249">
        <v>17648</v>
      </c>
      <c r="B249" t="s">
        <v>15277</v>
      </c>
      <c r="C249" t="s">
        <v>238</v>
      </c>
      <c r="D249" t="s">
        <v>557</v>
      </c>
      <c r="E249" t="s">
        <v>15327</v>
      </c>
      <c r="F249" t="s">
        <v>15384</v>
      </c>
      <c r="G249" t="s">
        <v>15320</v>
      </c>
      <c r="H249" t="s">
        <v>15875</v>
      </c>
      <c r="I249" s="16">
        <v>7</v>
      </c>
      <c r="J249" t="s">
        <v>15936</v>
      </c>
      <c r="K249">
        <v>3</v>
      </c>
      <c r="L249" s="16">
        <v>15</v>
      </c>
      <c r="M249" t="s">
        <v>15814</v>
      </c>
      <c r="N249" t="s">
        <v>557</v>
      </c>
      <c r="O249" t="s">
        <v>15325</v>
      </c>
    </row>
    <row r="250" spans="1:15" x14ac:dyDescent="0.35">
      <c r="A250">
        <v>17648</v>
      </c>
      <c r="B250" t="s">
        <v>15277</v>
      </c>
      <c r="C250" t="s">
        <v>1090</v>
      </c>
      <c r="D250" t="s">
        <v>27</v>
      </c>
      <c r="E250" t="s">
        <v>15327</v>
      </c>
      <c r="F250" t="s">
        <v>15367</v>
      </c>
      <c r="G250" t="s">
        <v>15320</v>
      </c>
      <c r="H250" t="s">
        <v>15875</v>
      </c>
      <c r="I250" s="16">
        <v>27</v>
      </c>
      <c r="J250" t="s">
        <v>15936</v>
      </c>
      <c r="K250">
        <v>3</v>
      </c>
      <c r="L250" s="16">
        <v>10</v>
      </c>
      <c r="M250" t="s">
        <v>15642</v>
      </c>
      <c r="N250" t="s">
        <v>1090</v>
      </c>
      <c r="O250" t="s">
        <v>15329</v>
      </c>
    </row>
    <row r="251" spans="1:15" x14ac:dyDescent="0.35">
      <c r="A251">
        <v>17648</v>
      </c>
      <c r="B251" t="s">
        <v>15277</v>
      </c>
      <c r="C251" t="s">
        <v>1090</v>
      </c>
      <c r="D251" t="s">
        <v>27</v>
      </c>
      <c r="E251" t="s">
        <v>15327</v>
      </c>
      <c r="F251" t="s">
        <v>15367</v>
      </c>
      <c r="G251" t="s">
        <v>15320</v>
      </c>
      <c r="H251" t="s">
        <v>15875</v>
      </c>
      <c r="I251" s="16">
        <v>32</v>
      </c>
      <c r="J251" t="s">
        <v>15936</v>
      </c>
      <c r="K251">
        <v>3</v>
      </c>
      <c r="L251" s="16">
        <v>10</v>
      </c>
      <c r="M251" t="s">
        <v>15642</v>
      </c>
      <c r="N251" t="s">
        <v>1090</v>
      </c>
      <c r="O251" t="s">
        <v>15329</v>
      </c>
    </row>
    <row r="252" spans="1:15" x14ac:dyDescent="0.35">
      <c r="A252">
        <v>17648</v>
      </c>
      <c r="B252" t="s">
        <v>15277</v>
      </c>
      <c r="C252" t="s">
        <v>1090</v>
      </c>
      <c r="D252" t="s">
        <v>27</v>
      </c>
      <c r="E252" t="s">
        <v>15327</v>
      </c>
      <c r="F252" t="s">
        <v>15367</v>
      </c>
      <c r="G252" t="s">
        <v>15320</v>
      </c>
      <c r="H252" t="s">
        <v>15875</v>
      </c>
      <c r="I252" s="16">
        <v>38</v>
      </c>
      <c r="J252" t="s">
        <v>15936</v>
      </c>
      <c r="K252">
        <v>3</v>
      </c>
      <c r="L252" s="16">
        <v>10</v>
      </c>
      <c r="M252" t="s">
        <v>15642</v>
      </c>
      <c r="N252" t="s">
        <v>1090</v>
      </c>
      <c r="O252" t="s">
        <v>15329</v>
      </c>
    </row>
    <row r="253" spans="1:15" x14ac:dyDescent="0.35">
      <c r="A253">
        <v>17648</v>
      </c>
      <c r="B253" t="s">
        <v>15277</v>
      </c>
      <c r="C253" t="s">
        <v>1090</v>
      </c>
      <c r="D253" t="s">
        <v>27</v>
      </c>
      <c r="E253" t="s">
        <v>15327</v>
      </c>
      <c r="F253" t="s">
        <v>15367</v>
      </c>
      <c r="G253" t="s">
        <v>15320</v>
      </c>
      <c r="H253" t="s">
        <v>15879</v>
      </c>
      <c r="I253" s="16">
        <v>49</v>
      </c>
      <c r="J253" t="s">
        <v>15936</v>
      </c>
      <c r="K253">
        <v>3</v>
      </c>
      <c r="L253" s="16">
        <v>10</v>
      </c>
      <c r="M253" t="s">
        <v>15642</v>
      </c>
      <c r="N253" t="s">
        <v>1090</v>
      </c>
      <c r="O253" t="s">
        <v>15329</v>
      </c>
    </row>
    <row r="254" spans="1:15" x14ac:dyDescent="0.35">
      <c r="A254">
        <v>17648</v>
      </c>
      <c r="B254" t="s">
        <v>15277</v>
      </c>
      <c r="C254" t="s">
        <v>1090</v>
      </c>
      <c r="D254" t="s">
        <v>27</v>
      </c>
      <c r="E254" t="s">
        <v>15327</v>
      </c>
      <c r="F254" t="s">
        <v>15367</v>
      </c>
      <c r="G254" t="s">
        <v>15320</v>
      </c>
      <c r="H254" t="s">
        <v>15879</v>
      </c>
      <c r="I254" s="16">
        <v>70</v>
      </c>
      <c r="J254" t="s">
        <v>15936</v>
      </c>
      <c r="K254">
        <v>3</v>
      </c>
      <c r="L254" s="16">
        <v>10</v>
      </c>
      <c r="M254" t="s">
        <v>15642</v>
      </c>
      <c r="N254" t="s">
        <v>1090</v>
      </c>
      <c r="O254" t="s">
        <v>15329</v>
      </c>
    </row>
    <row r="255" spans="1:15" x14ac:dyDescent="0.35">
      <c r="A255">
        <v>17648</v>
      </c>
      <c r="B255" t="s">
        <v>15277</v>
      </c>
      <c r="C255" t="s">
        <v>1090</v>
      </c>
      <c r="D255" t="s">
        <v>27</v>
      </c>
      <c r="E255" t="s">
        <v>15327</v>
      </c>
      <c r="F255" t="s">
        <v>15367</v>
      </c>
      <c r="G255" t="s">
        <v>15320</v>
      </c>
      <c r="H255" t="s">
        <v>15879</v>
      </c>
      <c r="I255" s="16">
        <v>79</v>
      </c>
      <c r="J255" t="s">
        <v>15936</v>
      </c>
      <c r="K255">
        <v>3</v>
      </c>
      <c r="L255" s="16">
        <v>10</v>
      </c>
      <c r="M255" t="s">
        <v>15642</v>
      </c>
      <c r="N255" t="s">
        <v>1090</v>
      </c>
      <c r="O255" t="s">
        <v>15329</v>
      </c>
    </row>
    <row r="256" spans="1:15" x14ac:dyDescent="0.35">
      <c r="A256">
        <v>17648</v>
      </c>
      <c r="B256" t="s">
        <v>15277</v>
      </c>
      <c r="C256" t="s">
        <v>1090</v>
      </c>
      <c r="D256" t="s">
        <v>27</v>
      </c>
      <c r="E256" t="s">
        <v>15327</v>
      </c>
      <c r="F256" t="s">
        <v>15367</v>
      </c>
      <c r="G256" t="s">
        <v>15320</v>
      </c>
      <c r="H256" t="s">
        <v>15875</v>
      </c>
      <c r="I256" s="16">
        <v>23</v>
      </c>
      <c r="J256" t="s">
        <v>15936</v>
      </c>
      <c r="K256">
        <v>3</v>
      </c>
      <c r="L256" s="16">
        <v>10</v>
      </c>
      <c r="M256" t="s">
        <v>15467</v>
      </c>
      <c r="N256" t="s">
        <v>27</v>
      </c>
      <c r="O256" t="s">
        <v>15325</v>
      </c>
    </row>
    <row r="257" spans="1:15" x14ac:dyDescent="0.35">
      <c r="A257">
        <v>17648</v>
      </c>
      <c r="B257" t="s">
        <v>15277</v>
      </c>
      <c r="C257" t="s">
        <v>1395</v>
      </c>
      <c r="D257" t="s">
        <v>809</v>
      </c>
      <c r="E257" t="s">
        <v>15327</v>
      </c>
      <c r="F257" t="s">
        <v>15328</v>
      </c>
      <c r="G257" t="s">
        <v>15320</v>
      </c>
      <c r="H257" t="s">
        <v>15875</v>
      </c>
      <c r="I257" s="16" t="s">
        <v>15364</v>
      </c>
      <c r="J257" t="s">
        <v>15936</v>
      </c>
      <c r="K257">
        <v>3</v>
      </c>
      <c r="L257" s="16" t="s">
        <v>15364</v>
      </c>
      <c r="M257" t="s">
        <v>15808</v>
      </c>
      <c r="N257" t="s">
        <v>809</v>
      </c>
      <c r="O257" t="s">
        <v>15325</v>
      </c>
    </row>
    <row r="258" spans="1:15" x14ac:dyDescent="0.35">
      <c r="A258">
        <v>17648</v>
      </c>
      <c r="B258" t="s">
        <v>15277</v>
      </c>
      <c r="C258" t="s">
        <v>1395</v>
      </c>
      <c r="D258" t="s">
        <v>809</v>
      </c>
      <c r="E258" t="s">
        <v>15327</v>
      </c>
      <c r="F258" t="s">
        <v>15328</v>
      </c>
      <c r="G258" t="s">
        <v>15320</v>
      </c>
      <c r="H258" t="s">
        <v>15879</v>
      </c>
      <c r="I258" s="16" t="s">
        <v>15911</v>
      </c>
      <c r="J258" t="s">
        <v>15936</v>
      </c>
      <c r="K258">
        <v>3</v>
      </c>
      <c r="L258" s="16" t="s">
        <v>15378</v>
      </c>
      <c r="M258" t="s">
        <v>15391</v>
      </c>
      <c r="N258" t="s">
        <v>809</v>
      </c>
      <c r="O258" t="s">
        <v>15325</v>
      </c>
    </row>
    <row r="259" spans="1:15" x14ac:dyDescent="0.35">
      <c r="A259">
        <v>17648</v>
      </c>
      <c r="B259" t="s">
        <v>15277</v>
      </c>
      <c r="C259" t="s">
        <v>557</v>
      </c>
      <c r="D259" t="s">
        <v>431</v>
      </c>
      <c r="E259" t="s">
        <v>15319</v>
      </c>
      <c r="F259" t="s">
        <v>427</v>
      </c>
      <c r="G259" t="s">
        <v>15320</v>
      </c>
      <c r="H259" t="s">
        <v>15879</v>
      </c>
      <c r="I259" s="16" t="s">
        <v>15906</v>
      </c>
      <c r="J259" t="s">
        <v>15941</v>
      </c>
      <c r="L259" s="16" t="s">
        <v>15337</v>
      </c>
      <c r="M259" t="s">
        <v>15540</v>
      </c>
      <c r="N259" t="s">
        <v>557</v>
      </c>
      <c r="O259" t="s">
        <v>15329</v>
      </c>
    </row>
    <row r="260" spans="1:15" x14ac:dyDescent="0.35">
      <c r="A260">
        <v>17648</v>
      </c>
      <c r="B260" t="s">
        <v>15277</v>
      </c>
      <c r="C260" t="s">
        <v>557</v>
      </c>
      <c r="D260" t="s">
        <v>431</v>
      </c>
      <c r="E260" t="s">
        <v>15319</v>
      </c>
      <c r="F260" t="s">
        <v>427</v>
      </c>
      <c r="G260" t="s">
        <v>15320</v>
      </c>
      <c r="H260" t="s">
        <v>15879</v>
      </c>
      <c r="I260" s="16" t="s">
        <v>15906</v>
      </c>
      <c r="J260" t="s">
        <v>15941</v>
      </c>
      <c r="L260" s="16" t="s">
        <v>15331</v>
      </c>
      <c r="M260" t="s">
        <v>15832</v>
      </c>
      <c r="N260" t="s">
        <v>557</v>
      </c>
      <c r="O260" t="s">
        <v>15329</v>
      </c>
    </row>
    <row r="261" spans="1:15" x14ac:dyDescent="0.35">
      <c r="A261">
        <v>17648</v>
      </c>
      <c r="B261" t="s">
        <v>15277</v>
      </c>
      <c r="C261" t="s">
        <v>557</v>
      </c>
      <c r="D261" t="s">
        <v>431</v>
      </c>
      <c r="E261" t="s">
        <v>15319</v>
      </c>
      <c r="F261" t="s">
        <v>427</v>
      </c>
      <c r="G261" t="s">
        <v>15320</v>
      </c>
      <c r="H261" t="s">
        <v>15879</v>
      </c>
      <c r="I261" s="16" t="s">
        <v>15906</v>
      </c>
      <c r="J261" t="s">
        <v>15941</v>
      </c>
      <c r="L261" s="16" t="s">
        <v>15399</v>
      </c>
      <c r="M261" t="s">
        <v>15493</v>
      </c>
      <c r="N261" t="s">
        <v>557</v>
      </c>
      <c r="O261" t="s">
        <v>15329</v>
      </c>
    </row>
    <row r="262" spans="1:15" x14ac:dyDescent="0.35">
      <c r="A262">
        <v>17648</v>
      </c>
      <c r="B262" t="s">
        <v>15277</v>
      </c>
      <c r="C262" t="s">
        <v>557</v>
      </c>
      <c r="D262" t="s">
        <v>431</v>
      </c>
      <c r="E262" t="s">
        <v>15319</v>
      </c>
      <c r="F262" t="s">
        <v>427</v>
      </c>
      <c r="G262" t="s">
        <v>15320</v>
      </c>
      <c r="H262" t="s">
        <v>15879</v>
      </c>
      <c r="I262" s="16" t="s">
        <v>15889</v>
      </c>
      <c r="J262" t="s">
        <v>15941</v>
      </c>
      <c r="L262" s="16" t="s">
        <v>15378</v>
      </c>
      <c r="M262" t="s">
        <v>15814</v>
      </c>
      <c r="N262" t="s">
        <v>557</v>
      </c>
      <c r="O262" t="s">
        <v>15329</v>
      </c>
    </row>
    <row r="263" spans="1:15" x14ac:dyDescent="0.35">
      <c r="A263">
        <v>17648</v>
      </c>
      <c r="B263" t="s">
        <v>15277</v>
      </c>
      <c r="C263" t="s">
        <v>557</v>
      </c>
      <c r="D263" t="s">
        <v>431</v>
      </c>
      <c r="E263" t="s">
        <v>15319</v>
      </c>
      <c r="F263" t="s">
        <v>427</v>
      </c>
      <c r="G263" t="s">
        <v>15320</v>
      </c>
      <c r="H263" t="s">
        <v>15879</v>
      </c>
      <c r="I263" s="16" t="s">
        <v>15889</v>
      </c>
      <c r="J263" t="s">
        <v>15941</v>
      </c>
      <c r="L263" s="16" t="s">
        <v>2151</v>
      </c>
      <c r="M263" t="s">
        <v>15778</v>
      </c>
      <c r="N263" t="s">
        <v>557</v>
      </c>
      <c r="O263" t="s">
        <v>15329</v>
      </c>
    </row>
    <row r="264" spans="1:15" x14ac:dyDescent="0.35">
      <c r="A264">
        <v>17648</v>
      </c>
      <c r="B264" t="s">
        <v>15277</v>
      </c>
      <c r="C264" t="s">
        <v>557</v>
      </c>
      <c r="D264" t="s">
        <v>431</v>
      </c>
      <c r="E264" t="s">
        <v>15319</v>
      </c>
      <c r="F264" t="s">
        <v>427</v>
      </c>
      <c r="G264" t="s">
        <v>15320</v>
      </c>
      <c r="H264" t="s">
        <v>15879</v>
      </c>
      <c r="I264" s="16" t="s">
        <v>15908</v>
      </c>
      <c r="J264" t="s">
        <v>15941</v>
      </c>
      <c r="L264" s="16" t="s">
        <v>15354</v>
      </c>
      <c r="M264" t="s">
        <v>15440</v>
      </c>
      <c r="N264" t="s">
        <v>557</v>
      </c>
      <c r="O264" t="s">
        <v>15329</v>
      </c>
    </row>
    <row r="265" spans="1:15" x14ac:dyDescent="0.35">
      <c r="A265">
        <v>17648</v>
      </c>
      <c r="B265" t="s">
        <v>15277</v>
      </c>
      <c r="C265" t="s">
        <v>557</v>
      </c>
      <c r="D265" t="s">
        <v>431</v>
      </c>
      <c r="E265" t="s">
        <v>15319</v>
      </c>
      <c r="F265" t="s">
        <v>427</v>
      </c>
      <c r="G265" t="s">
        <v>15320</v>
      </c>
      <c r="H265" t="s">
        <v>15879</v>
      </c>
      <c r="I265" s="16" t="s">
        <v>15909</v>
      </c>
      <c r="J265" t="s">
        <v>15941</v>
      </c>
      <c r="L265" s="16" t="s">
        <v>15364</v>
      </c>
      <c r="M265" t="s">
        <v>15739</v>
      </c>
      <c r="N265" t="s">
        <v>557</v>
      </c>
      <c r="O265" t="s">
        <v>15329</v>
      </c>
    </row>
    <row r="266" spans="1:15" x14ac:dyDescent="0.35">
      <c r="A266">
        <v>17648</v>
      </c>
      <c r="B266" t="s">
        <v>15277</v>
      </c>
      <c r="C266" t="s">
        <v>557</v>
      </c>
      <c r="D266" t="s">
        <v>431</v>
      </c>
      <c r="E266" t="s">
        <v>15319</v>
      </c>
      <c r="F266" t="s">
        <v>427</v>
      </c>
      <c r="G266" t="s">
        <v>15320</v>
      </c>
      <c r="H266" t="s">
        <v>15879</v>
      </c>
      <c r="I266" s="16" t="s">
        <v>15910</v>
      </c>
      <c r="J266" t="s">
        <v>15941</v>
      </c>
      <c r="L266" s="16" t="s">
        <v>15409</v>
      </c>
      <c r="M266" t="s">
        <v>15792</v>
      </c>
      <c r="N266" t="s">
        <v>557</v>
      </c>
      <c r="O266" t="s">
        <v>15329</v>
      </c>
    </row>
    <row r="267" spans="1:15" x14ac:dyDescent="0.35">
      <c r="A267">
        <v>17648</v>
      </c>
      <c r="B267" t="s">
        <v>15277</v>
      </c>
      <c r="C267" t="s">
        <v>557</v>
      </c>
      <c r="D267" t="s">
        <v>431</v>
      </c>
      <c r="E267" t="s">
        <v>15319</v>
      </c>
      <c r="F267" t="s">
        <v>427</v>
      </c>
      <c r="G267" t="s">
        <v>15320</v>
      </c>
      <c r="H267" t="s">
        <v>15879</v>
      </c>
      <c r="I267" s="16" t="s">
        <v>15911</v>
      </c>
      <c r="J267" t="s">
        <v>15941</v>
      </c>
      <c r="L267" s="16" t="s">
        <v>15409</v>
      </c>
      <c r="M267" t="s">
        <v>15830</v>
      </c>
      <c r="N267" t="s">
        <v>431</v>
      </c>
      <c r="O267" t="s">
        <v>15325</v>
      </c>
    </row>
    <row r="268" spans="1:15" x14ac:dyDescent="0.35">
      <c r="A268">
        <v>17648</v>
      </c>
      <c r="B268" t="s">
        <v>15277</v>
      </c>
      <c r="C268" t="s">
        <v>557</v>
      </c>
      <c r="D268" t="s">
        <v>431</v>
      </c>
      <c r="E268" t="s">
        <v>15319</v>
      </c>
      <c r="F268" t="s">
        <v>427</v>
      </c>
      <c r="G268" t="s">
        <v>15320</v>
      </c>
      <c r="H268" t="s">
        <v>15879</v>
      </c>
      <c r="I268" s="16" t="s">
        <v>15909</v>
      </c>
      <c r="J268" t="s">
        <v>15941</v>
      </c>
      <c r="L268" s="16" t="s">
        <v>15363</v>
      </c>
      <c r="M268" t="s">
        <v>15488</v>
      </c>
      <c r="N268" t="s">
        <v>431</v>
      </c>
      <c r="O268" t="s">
        <v>15325</v>
      </c>
    </row>
    <row r="269" spans="1:15" x14ac:dyDescent="0.35">
      <c r="A269">
        <v>17648</v>
      </c>
      <c r="B269" t="s">
        <v>15277</v>
      </c>
      <c r="C269" t="s">
        <v>557</v>
      </c>
      <c r="D269" t="s">
        <v>431</v>
      </c>
      <c r="E269" t="s">
        <v>15319</v>
      </c>
      <c r="F269" t="s">
        <v>427</v>
      </c>
      <c r="G269" t="s">
        <v>15320</v>
      </c>
      <c r="H269" t="s">
        <v>15879</v>
      </c>
      <c r="I269" s="16" t="s">
        <v>15909</v>
      </c>
      <c r="J269" t="s">
        <v>15941</v>
      </c>
      <c r="L269" s="16" t="s">
        <v>15378</v>
      </c>
      <c r="M269" t="s">
        <v>15721</v>
      </c>
      <c r="N269" t="s">
        <v>431</v>
      </c>
      <c r="O269" t="s">
        <v>15325</v>
      </c>
    </row>
    <row r="270" spans="1:15" x14ac:dyDescent="0.35">
      <c r="A270">
        <v>17648</v>
      </c>
      <c r="B270" t="s">
        <v>15277</v>
      </c>
      <c r="C270" t="s">
        <v>557</v>
      </c>
      <c r="D270" t="s">
        <v>431</v>
      </c>
      <c r="E270" t="s">
        <v>15319</v>
      </c>
      <c r="F270" t="s">
        <v>427</v>
      </c>
      <c r="G270" t="s">
        <v>15320</v>
      </c>
      <c r="H270" t="s">
        <v>15879</v>
      </c>
      <c r="I270" s="16" t="s">
        <v>15910</v>
      </c>
      <c r="J270" t="s">
        <v>15941</v>
      </c>
      <c r="L270" s="16" t="s">
        <v>15399</v>
      </c>
      <c r="M270" t="s">
        <v>15548</v>
      </c>
      <c r="N270" t="s">
        <v>431</v>
      </c>
      <c r="O270" t="s">
        <v>15325</v>
      </c>
    </row>
    <row r="271" spans="1:15" x14ac:dyDescent="0.35">
      <c r="A271">
        <v>17648</v>
      </c>
      <c r="B271" t="s">
        <v>15277</v>
      </c>
      <c r="C271" t="s">
        <v>557</v>
      </c>
      <c r="D271" t="s">
        <v>431</v>
      </c>
      <c r="E271" t="s">
        <v>15319</v>
      </c>
      <c r="F271" t="s">
        <v>427</v>
      </c>
      <c r="G271" t="s">
        <v>15320</v>
      </c>
      <c r="H271" t="s">
        <v>15879</v>
      </c>
      <c r="I271" s="16" t="s">
        <v>15912</v>
      </c>
      <c r="J271" t="s">
        <v>15941</v>
      </c>
      <c r="L271" s="16" t="s">
        <v>15337</v>
      </c>
      <c r="M271" t="s">
        <v>15438</v>
      </c>
      <c r="N271" t="s">
        <v>431</v>
      </c>
      <c r="O271" t="s">
        <v>15325</v>
      </c>
    </row>
    <row r="272" spans="1:15" x14ac:dyDescent="0.35">
      <c r="A272">
        <v>17648</v>
      </c>
      <c r="B272" t="s">
        <v>15277</v>
      </c>
      <c r="C272" t="s">
        <v>557</v>
      </c>
      <c r="D272" t="s">
        <v>431</v>
      </c>
      <c r="E272" t="s">
        <v>15319</v>
      </c>
      <c r="F272" t="s">
        <v>427</v>
      </c>
      <c r="G272" t="s">
        <v>15320</v>
      </c>
      <c r="H272" t="s">
        <v>15879</v>
      </c>
      <c r="I272" s="16" t="s">
        <v>15912</v>
      </c>
      <c r="J272" t="s">
        <v>15941</v>
      </c>
      <c r="L272" s="16" t="s">
        <v>15381</v>
      </c>
      <c r="M272" t="s">
        <v>15669</v>
      </c>
      <c r="N272" t="s">
        <v>431</v>
      </c>
      <c r="O272" t="s">
        <v>15325</v>
      </c>
    </row>
    <row r="273" spans="1:15" x14ac:dyDescent="0.35">
      <c r="A273">
        <v>17648</v>
      </c>
      <c r="B273" t="s">
        <v>15277</v>
      </c>
      <c r="C273" t="s">
        <v>557</v>
      </c>
      <c r="D273" t="s">
        <v>431</v>
      </c>
      <c r="E273" t="s">
        <v>15319</v>
      </c>
      <c r="F273" t="s">
        <v>427</v>
      </c>
      <c r="G273" t="s">
        <v>15320</v>
      </c>
      <c r="H273" t="s">
        <v>15879</v>
      </c>
      <c r="I273" s="16" t="s">
        <v>15912</v>
      </c>
      <c r="J273" t="s">
        <v>15941</v>
      </c>
      <c r="L273" s="16" t="s">
        <v>15451</v>
      </c>
      <c r="M273" t="s">
        <v>15469</v>
      </c>
      <c r="N273" t="s">
        <v>431</v>
      </c>
      <c r="O273" t="s">
        <v>15325</v>
      </c>
    </row>
    <row r="274" spans="1:15" x14ac:dyDescent="0.35">
      <c r="A274">
        <v>17648</v>
      </c>
      <c r="B274" t="s">
        <v>15277</v>
      </c>
      <c r="C274" t="s">
        <v>557</v>
      </c>
      <c r="D274" t="s">
        <v>431</v>
      </c>
      <c r="E274" t="s">
        <v>15319</v>
      </c>
      <c r="F274" t="s">
        <v>427</v>
      </c>
      <c r="G274" t="s">
        <v>15320</v>
      </c>
      <c r="H274" t="s">
        <v>15879</v>
      </c>
      <c r="I274" s="16" t="s">
        <v>15913</v>
      </c>
      <c r="J274" t="s">
        <v>15941</v>
      </c>
      <c r="L274" s="16" t="s">
        <v>15331</v>
      </c>
      <c r="M274" t="s">
        <v>15370</v>
      </c>
      <c r="N274" t="s">
        <v>431</v>
      </c>
      <c r="O274" t="s">
        <v>15325</v>
      </c>
    </row>
    <row r="275" spans="1:15" x14ac:dyDescent="0.35">
      <c r="A275">
        <v>17648</v>
      </c>
      <c r="B275" t="s">
        <v>15277</v>
      </c>
      <c r="C275" t="s">
        <v>27</v>
      </c>
      <c r="D275" t="s">
        <v>238</v>
      </c>
      <c r="E275" t="s">
        <v>15319</v>
      </c>
      <c r="F275" t="s">
        <v>15377</v>
      </c>
      <c r="G275" t="s">
        <v>15320</v>
      </c>
      <c r="H275" t="s">
        <v>15875</v>
      </c>
      <c r="I275" s="16" t="s">
        <v>15347</v>
      </c>
      <c r="J275" t="s">
        <v>15941</v>
      </c>
      <c r="L275" s="16" t="s">
        <v>15363</v>
      </c>
      <c r="M275" t="s">
        <v>15750</v>
      </c>
      <c r="N275" t="s">
        <v>27</v>
      </c>
      <c r="O275" t="s">
        <v>15329</v>
      </c>
    </row>
    <row r="276" spans="1:15" x14ac:dyDescent="0.35">
      <c r="A276">
        <v>17648</v>
      </c>
      <c r="B276" t="s">
        <v>15277</v>
      </c>
      <c r="C276" t="s">
        <v>27</v>
      </c>
      <c r="D276" t="s">
        <v>238</v>
      </c>
      <c r="E276" t="s">
        <v>15319</v>
      </c>
      <c r="F276" t="s">
        <v>15377</v>
      </c>
      <c r="G276" t="s">
        <v>15320</v>
      </c>
      <c r="H276" t="s">
        <v>15875</v>
      </c>
      <c r="I276" s="16" t="s">
        <v>15914</v>
      </c>
      <c r="J276" t="s">
        <v>15941</v>
      </c>
      <c r="L276" s="16" t="s">
        <v>15342</v>
      </c>
      <c r="M276" t="s">
        <v>15862</v>
      </c>
      <c r="N276" t="s">
        <v>27</v>
      </c>
      <c r="O276" t="s">
        <v>15329</v>
      </c>
    </row>
    <row r="277" spans="1:15" x14ac:dyDescent="0.35">
      <c r="A277">
        <v>17648</v>
      </c>
      <c r="B277" t="s">
        <v>15277</v>
      </c>
      <c r="C277" t="s">
        <v>27</v>
      </c>
      <c r="D277" t="s">
        <v>238</v>
      </c>
      <c r="E277" t="s">
        <v>15319</v>
      </c>
      <c r="F277" t="s">
        <v>15377</v>
      </c>
      <c r="G277" t="s">
        <v>15320</v>
      </c>
      <c r="H277" t="s">
        <v>15879</v>
      </c>
      <c r="I277" s="16" t="s">
        <v>15915</v>
      </c>
      <c r="J277" t="s">
        <v>15941</v>
      </c>
      <c r="L277" s="16" t="s">
        <v>15331</v>
      </c>
      <c r="M277" t="s">
        <v>15667</v>
      </c>
      <c r="N277" t="s">
        <v>27</v>
      </c>
      <c r="O277" t="s">
        <v>15329</v>
      </c>
    </row>
    <row r="278" spans="1:15" x14ac:dyDescent="0.35">
      <c r="A278">
        <v>17648</v>
      </c>
      <c r="B278" t="s">
        <v>15277</v>
      </c>
      <c r="C278" t="s">
        <v>27</v>
      </c>
      <c r="D278" t="s">
        <v>238</v>
      </c>
      <c r="E278" t="s">
        <v>15319</v>
      </c>
      <c r="F278" t="s">
        <v>15377</v>
      </c>
      <c r="G278" t="s">
        <v>15320</v>
      </c>
      <c r="H278" t="s">
        <v>15879</v>
      </c>
      <c r="I278" s="16" t="s">
        <v>15916</v>
      </c>
      <c r="J278" t="s">
        <v>15941</v>
      </c>
      <c r="L278" s="16" t="s">
        <v>15381</v>
      </c>
      <c r="M278" t="s">
        <v>15620</v>
      </c>
      <c r="N278" t="s">
        <v>27</v>
      </c>
      <c r="O278" t="s">
        <v>15329</v>
      </c>
    </row>
    <row r="279" spans="1:15" x14ac:dyDescent="0.35">
      <c r="A279">
        <v>17648</v>
      </c>
      <c r="B279" t="s">
        <v>15277</v>
      </c>
      <c r="C279" t="s">
        <v>27</v>
      </c>
      <c r="D279" t="s">
        <v>238</v>
      </c>
      <c r="E279" t="s">
        <v>15319</v>
      </c>
      <c r="F279" t="s">
        <v>15377</v>
      </c>
      <c r="G279" t="s">
        <v>15320</v>
      </c>
      <c r="H279" t="s">
        <v>15879</v>
      </c>
      <c r="I279" s="16" t="s">
        <v>15917</v>
      </c>
      <c r="J279" t="s">
        <v>15941</v>
      </c>
      <c r="L279" s="16" t="s">
        <v>15404</v>
      </c>
      <c r="M279" t="s">
        <v>15774</v>
      </c>
      <c r="N279" t="s">
        <v>27</v>
      </c>
      <c r="O279" t="s">
        <v>15329</v>
      </c>
    </row>
    <row r="280" spans="1:15" x14ac:dyDescent="0.35">
      <c r="A280">
        <v>17648</v>
      </c>
      <c r="B280" t="s">
        <v>15277</v>
      </c>
      <c r="C280" t="s">
        <v>27</v>
      </c>
      <c r="D280" t="s">
        <v>238</v>
      </c>
      <c r="E280" t="s">
        <v>15319</v>
      </c>
      <c r="F280" t="s">
        <v>15377</v>
      </c>
      <c r="G280" t="s">
        <v>15320</v>
      </c>
      <c r="H280" t="s">
        <v>15879</v>
      </c>
      <c r="I280" s="16" t="s">
        <v>15918</v>
      </c>
      <c r="J280" t="s">
        <v>15941</v>
      </c>
      <c r="L280" s="16" t="s">
        <v>15399</v>
      </c>
      <c r="M280" t="s">
        <v>15729</v>
      </c>
      <c r="N280" t="s">
        <v>27</v>
      </c>
      <c r="O280" t="s">
        <v>15329</v>
      </c>
    </row>
    <row r="281" spans="1:15" x14ac:dyDescent="0.35">
      <c r="A281">
        <v>17648</v>
      </c>
      <c r="B281" t="s">
        <v>15277</v>
      </c>
      <c r="C281" t="s">
        <v>27</v>
      </c>
      <c r="D281" t="s">
        <v>238</v>
      </c>
      <c r="E281" t="s">
        <v>15319</v>
      </c>
      <c r="F281" t="s">
        <v>15377</v>
      </c>
      <c r="G281" t="s">
        <v>15320</v>
      </c>
      <c r="H281" t="s">
        <v>15879</v>
      </c>
      <c r="I281" s="16" t="s">
        <v>15919</v>
      </c>
      <c r="J281" t="s">
        <v>15941</v>
      </c>
      <c r="L281" s="16" t="s">
        <v>15337</v>
      </c>
      <c r="M281" t="s">
        <v>15849</v>
      </c>
      <c r="N281" t="s">
        <v>27</v>
      </c>
      <c r="O281" t="s">
        <v>15329</v>
      </c>
    </row>
    <row r="282" spans="1:15" x14ac:dyDescent="0.35">
      <c r="A282">
        <v>17648</v>
      </c>
      <c r="B282" t="s">
        <v>15277</v>
      </c>
      <c r="C282" t="s">
        <v>27</v>
      </c>
      <c r="D282" t="s">
        <v>238</v>
      </c>
      <c r="E282" t="s">
        <v>15319</v>
      </c>
      <c r="F282" t="s">
        <v>15377</v>
      </c>
      <c r="G282" t="s">
        <v>15320</v>
      </c>
      <c r="H282" t="s">
        <v>15879</v>
      </c>
      <c r="I282" s="16" t="s">
        <v>15885</v>
      </c>
      <c r="J282" t="s">
        <v>15941</v>
      </c>
      <c r="L282" s="16" t="s">
        <v>15420</v>
      </c>
      <c r="M282" t="s">
        <v>15636</v>
      </c>
      <c r="N282" t="s">
        <v>27</v>
      </c>
      <c r="O282" t="s">
        <v>15329</v>
      </c>
    </row>
    <row r="283" spans="1:15" x14ac:dyDescent="0.35">
      <c r="A283">
        <v>17648</v>
      </c>
      <c r="B283" t="s">
        <v>15277</v>
      </c>
      <c r="C283" t="s">
        <v>27</v>
      </c>
      <c r="D283" t="s">
        <v>238</v>
      </c>
      <c r="E283" t="s">
        <v>15319</v>
      </c>
      <c r="F283" t="s">
        <v>15377</v>
      </c>
      <c r="G283" t="s">
        <v>15320</v>
      </c>
      <c r="H283" t="s">
        <v>15879</v>
      </c>
      <c r="I283" s="16" t="s">
        <v>15910</v>
      </c>
      <c r="J283" t="s">
        <v>15941</v>
      </c>
      <c r="L283" s="16" t="s">
        <v>2135</v>
      </c>
      <c r="M283" t="s">
        <v>15794</v>
      </c>
      <c r="N283" t="s">
        <v>27</v>
      </c>
      <c r="O283" t="s">
        <v>15329</v>
      </c>
    </row>
    <row r="284" spans="1:15" x14ac:dyDescent="0.35">
      <c r="A284">
        <v>17648</v>
      </c>
      <c r="B284" t="s">
        <v>15277</v>
      </c>
      <c r="C284" t="s">
        <v>27</v>
      </c>
      <c r="D284" t="s">
        <v>238</v>
      </c>
      <c r="E284" t="s">
        <v>15319</v>
      </c>
      <c r="F284" t="s">
        <v>15377</v>
      </c>
      <c r="G284" t="s">
        <v>15320</v>
      </c>
      <c r="H284" t="s">
        <v>15879</v>
      </c>
      <c r="I284" s="16" t="s">
        <v>15892</v>
      </c>
      <c r="J284" t="s">
        <v>15941</v>
      </c>
      <c r="L284" s="16" t="s">
        <v>15378</v>
      </c>
      <c r="M284" t="s">
        <v>15380</v>
      </c>
      <c r="N284" t="s">
        <v>27</v>
      </c>
      <c r="O284" t="s">
        <v>15329</v>
      </c>
    </row>
    <row r="285" spans="1:15" x14ac:dyDescent="0.35">
      <c r="A285">
        <v>17648</v>
      </c>
      <c r="B285" t="s">
        <v>15277</v>
      </c>
      <c r="C285" t="s">
        <v>27</v>
      </c>
      <c r="D285" t="s">
        <v>238</v>
      </c>
      <c r="E285" t="s">
        <v>15319</v>
      </c>
      <c r="F285" t="s">
        <v>15377</v>
      </c>
      <c r="G285" t="s">
        <v>15320</v>
      </c>
      <c r="H285" t="s">
        <v>15879</v>
      </c>
      <c r="I285" s="16" t="s">
        <v>15920</v>
      </c>
      <c r="J285" t="s">
        <v>15941</v>
      </c>
      <c r="L285" s="16" t="s">
        <v>15347</v>
      </c>
      <c r="M285" t="s">
        <v>15613</v>
      </c>
      <c r="N285" t="s">
        <v>238</v>
      </c>
      <c r="O285" t="s">
        <v>15325</v>
      </c>
    </row>
    <row r="286" spans="1:15" x14ac:dyDescent="0.35">
      <c r="A286">
        <v>17648</v>
      </c>
      <c r="B286" t="s">
        <v>15277</v>
      </c>
      <c r="C286" t="s">
        <v>27</v>
      </c>
      <c r="D286" t="s">
        <v>238</v>
      </c>
      <c r="E286" t="s">
        <v>15319</v>
      </c>
      <c r="F286" t="s">
        <v>15377</v>
      </c>
      <c r="G286" t="s">
        <v>15320</v>
      </c>
      <c r="H286" t="s">
        <v>15879</v>
      </c>
      <c r="I286" s="16" t="s">
        <v>15920</v>
      </c>
      <c r="J286" t="s">
        <v>15941</v>
      </c>
      <c r="L286" s="16" t="s">
        <v>15351</v>
      </c>
      <c r="M286" t="s">
        <v>15836</v>
      </c>
      <c r="N286" t="s">
        <v>238</v>
      </c>
      <c r="O286" t="s">
        <v>15325</v>
      </c>
    </row>
    <row r="287" spans="1:15" x14ac:dyDescent="0.35">
      <c r="A287">
        <v>17648</v>
      </c>
      <c r="B287" t="s">
        <v>15277</v>
      </c>
      <c r="C287" t="s">
        <v>27</v>
      </c>
      <c r="D287" t="s">
        <v>238</v>
      </c>
      <c r="E287" t="s">
        <v>15319</v>
      </c>
      <c r="F287" t="s">
        <v>15377</v>
      </c>
      <c r="G287" t="s">
        <v>15320</v>
      </c>
      <c r="H287" t="s">
        <v>15879</v>
      </c>
      <c r="I287" s="16" t="s">
        <v>15917</v>
      </c>
      <c r="J287" t="s">
        <v>15941</v>
      </c>
      <c r="L287" s="16" t="s">
        <v>15423</v>
      </c>
      <c r="M287" t="s">
        <v>15854</v>
      </c>
      <c r="N287" t="s">
        <v>238</v>
      </c>
      <c r="O287" t="s">
        <v>15325</v>
      </c>
    </row>
    <row r="288" spans="1:15" x14ac:dyDescent="0.35">
      <c r="A288">
        <v>17648</v>
      </c>
      <c r="B288" t="s">
        <v>15277</v>
      </c>
      <c r="C288" t="s">
        <v>27</v>
      </c>
      <c r="D288" t="s">
        <v>238</v>
      </c>
      <c r="E288" t="s">
        <v>15319</v>
      </c>
      <c r="F288" t="s">
        <v>15377</v>
      </c>
      <c r="G288" t="s">
        <v>15320</v>
      </c>
      <c r="H288" t="s">
        <v>15879</v>
      </c>
      <c r="I288" s="16" t="s">
        <v>15921</v>
      </c>
      <c r="J288" t="s">
        <v>15941</v>
      </c>
      <c r="L288" s="16" t="s">
        <v>15392</v>
      </c>
      <c r="M288" t="s">
        <v>15856</v>
      </c>
      <c r="N288" t="s">
        <v>238</v>
      </c>
      <c r="O288" t="s">
        <v>15325</v>
      </c>
    </row>
    <row r="289" spans="1:15" x14ac:dyDescent="0.35">
      <c r="A289">
        <v>17648</v>
      </c>
      <c r="B289" t="s">
        <v>15277</v>
      </c>
      <c r="C289" t="s">
        <v>27</v>
      </c>
      <c r="D289" t="s">
        <v>238</v>
      </c>
      <c r="E289" t="s">
        <v>15319</v>
      </c>
      <c r="F289" t="s">
        <v>15377</v>
      </c>
      <c r="G289" t="s">
        <v>15320</v>
      </c>
      <c r="H289" t="s">
        <v>15879</v>
      </c>
      <c r="I289" s="16" t="s">
        <v>15922</v>
      </c>
      <c r="J289" t="s">
        <v>15941</v>
      </c>
      <c r="L289" s="16" t="s">
        <v>15412</v>
      </c>
      <c r="M289" t="s">
        <v>15714</v>
      </c>
      <c r="N289" t="s">
        <v>238</v>
      </c>
      <c r="O289" t="s">
        <v>15325</v>
      </c>
    </row>
    <row r="290" spans="1:15" x14ac:dyDescent="0.35">
      <c r="A290">
        <v>17648</v>
      </c>
      <c r="B290" t="s">
        <v>15277</v>
      </c>
      <c r="C290" t="s">
        <v>27</v>
      </c>
      <c r="D290" t="s">
        <v>238</v>
      </c>
      <c r="E290" t="s">
        <v>15319</v>
      </c>
      <c r="F290" t="s">
        <v>15377</v>
      </c>
      <c r="G290" t="s">
        <v>15320</v>
      </c>
      <c r="H290" t="s">
        <v>15879</v>
      </c>
      <c r="I290" s="16" t="s">
        <v>15922</v>
      </c>
      <c r="J290" t="s">
        <v>15941</v>
      </c>
      <c r="L290" s="16" t="s">
        <v>15359</v>
      </c>
      <c r="M290" t="s">
        <v>15741</v>
      </c>
      <c r="N290" t="s">
        <v>238</v>
      </c>
      <c r="O290" t="s">
        <v>15325</v>
      </c>
    </row>
    <row r="291" spans="1:15" x14ac:dyDescent="0.35">
      <c r="A291">
        <v>17648</v>
      </c>
      <c r="B291" t="s">
        <v>15277</v>
      </c>
      <c r="C291" t="s">
        <v>27</v>
      </c>
      <c r="D291" t="s">
        <v>238</v>
      </c>
      <c r="E291" t="s">
        <v>15319</v>
      </c>
      <c r="F291" t="s">
        <v>15377</v>
      </c>
      <c r="G291" t="s">
        <v>15320</v>
      </c>
      <c r="H291" t="s">
        <v>15879</v>
      </c>
      <c r="I291" s="16" t="s">
        <v>15922</v>
      </c>
      <c r="J291" t="s">
        <v>15941</v>
      </c>
      <c r="L291" s="16" t="s">
        <v>15342</v>
      </c>
      <c r="M291" t="s">
        <v>15731</v>
      </c>
      <c r="N291" t="s">
        <v>238</v>
      </c>
      <c r="O291" t="s">
        <v>15325</v>
      </c>
    </row>
    <row r="292" spans="1:15" x14ac:dyDescent="0.35">
      <c r="A292">
        <v>17648</v>
      </c>
      <c r="B292" t="s">
        <v>15277</v>
      </c>
      <c r="C292" t="s">
        <v>27</v>
      </c>
      <c r="D292" t="s">
        <v>238</v>
      </c>
      <c r="E292" t="s">
        <v>15319</v>
      </c>
      <c r="F292" t="s">
        <v>15377</v>
      </c>
      <c r="G292" t="s">
        <v>15320</v>
      </c>
      <c r="H292" t="s">
        <v>15879</v>
      </c>
      <c r="I292" s="16" t="s">
        <v>15923</v>
      </c>
      <c r="J292" t="s">
        <v>15941</v>
      </c>
      <c r="L292" s="16" t="s">
        <v>15381</v>
      </c>
      <c r="M292" t="s">
        <v>15401</v>
      </c>
      <c r="N292" t="s">
        <v>238</v>
      </c>
      <c r="O292" t="s">
        <v>15325</v>
      </c>
    </row>
    <row r="293" spans="1:15" x14ac:dyDescent="0.35">
      <c r="A293">
        <v>17648</v>
      </c>
      <c r="B293" t="s">
        <v>15277</v>
      </c>
      <c r="C293" t="s">
        <v>954</v>
      </c>
      <c r="D293" t="s">
        <v>1090</v>
      </c>
      <c r="E293" t="s">
        <v>15319</v>
      </c>
      <c r="F293" t="s">
        <v>950</v>
      </c>
      <c r="G293" t="s">
        <v>15320</v>
      </c>
      <c r="H293" t="s">
        <v>15879</v>
      </c>
      <c r="I293" s="16" t="s">
        <v>15916</v>
      </c>
      <c r="J293" t="s">
        <v>15941</v>
      </c>
      <c r="L293" s="16" t="s">
        <v>15359</v>
      </c>
      <c r="M293" t="s">
        <v>15591</v>
      </c>
      <c r="N293" t="s">
        <v>954</v>
      </c>
      <c r="O293" t="s">
        <v>15329</v>
      </c>
    </row>
    <row r="294" spans="1:15" x14ac:dyDescent="0.35">
      <c r="A294">
        <v>17649</v>
      </c>
      <c r="B294" t="s">
        <v>15277</v>
      </c>
      <c r="C294" t="s">
        <v>954</v>
      </c>
      <c r="D294" t="s">
        <v>1090</v>
      </c>
      <c r="E294" t="s">
        <v>15319</v>
      </c>
      <c r="F294" t="s">
        <v>950</v>
      </c>
      <c r="G294" t="s">
        <v>15320</v>
      </c>
      <c r="H294" t="s">
        <v>15879</v>
      </c>
      <c r="I294" s="16" t="s">
        <v>15916</v>
      </c>
      <c r="J294" t="s">
        <v>15941</v>
      </c>
      <c r="L294" s="16" t="s">
        <v>15347</v>
      </c>
      <c r="M294" t="s">
        <v>15665</v>
      </c>
      <c r="N294" t="s">
        <v>954</v>
      </c>
      <c r="O294" t="s">
        <v>15329</v>
      </c>
    </row>
    <row r="295" spans="1:15" x14ac:dyDescent="0.35">
      <c r="A295">
        <v>17649</v>
      </c>
      <c r="B295" t="s">
        <v>15277</v>
      </c>
      <c r="C295" t="s">
        <v>954</v>
      </c>
      <c r="D295" t="s">
        <v>1090</v>
      </c>
      <c r="E295" t="s">
        <v>15319</v>
      </c>
      <c r="F295" t="s">
        <v>950</v>
      </c>
      <c r="G295" t="s">
        <v>15320</v>
      </c>
      <c r="H295" t="s">
        <v>15879</v>
      </c>
      <c r="I295" s="16" t="s">
        <v>15916</v>
      </c>
      <c r="J295" t="s">
        <v>15941</v>
      </c>
      <c r="L295" s="16" t="s">
        <v>15476</v>
      </c>
      <c r="M295" t="s">
        <v>15576</v>
      </c>
      <c r="N295" t="s">
        <v>954</v>
      </c>
      <c r="O295" t="s">
        <v>15329</v>
      </c>
    </row>
    <row r="296" spans="1:15" x14ac:dyDescent="0.35">
      <c r="A296">
        <v>17649</v>
      </c>
      <c r="B296" t="s">
        <v>15277</v>
      </c>
      <c r="C296" t="s">
        <v>954</v>
      </c>
      <c r="D296" t="s">
        <v>1090</v>
      </c>
      <c r="E296" t="s">
        <v>15319</v>
      </c>
      <c r="F296" t="s">
        <v>950</v>
      </c>
      <c r="G296" t="s">
        <v>15320</v>
      </c>
      <c r="H296" t="s">
        <v>15879</v>
      </c>
      <c r="I296" s="16" t="s">
        <v>15895</v>
      </c>
      <c r="J296" t="s">
        <v>15941</v>
      </c>
      <c r="L296" s="16" t="s">
        <v>15342</v>
      </c>
      <c r="M296" t="s">
        <v>15578</v>
      </c>
      <c r="N296" t="s">
        <v>954</v>
      </c>
      <c r="O296" t="s">
        <v>15329</v>
      </c>
    </row>
    <row r="297" spans="1:15" x14ac:dyDescent="0.35">
      <c r="A297">
        <v>17649</v>
      </c>
      <c r="B297" t="s">
        <v>15277</v>
      </c>
      <c r="C297" t="s">
        <v>954</v>
      </c>
      <c r="D297" t="s">
        <v>1090</v>
      </c>
      <c r="E297" t="s">
        <v>15319</v>
      </c>
      <c r="F297" t="s">
        <v>950</v>
      </c>
      <c r="G297" t="s">
        <v>15320</v>
      </c>
      <c r="H297" t="s">
        <v>15879</v>
      </c>
      <c r="I297" s="16" t="s">
        <v>15895</v>
      </c>
      <c r="J297" t="s">
        <v>15941</v>
      </c>
      <c r="L297" s="16" t="s">
        <v>15351</v>
      </c>
      <c r="M297" t="s">
        <v>15333</v>
      </c>
      <c r="N297" t="s">
        <v>954</v>
      </c>
      <c r="O297" t="s">
        <v>15329</v>
      </c>
    </row>
    <row r="298" spans="1:15" x14ac:dyDescent="0.35">
      <c r="A298">
        <v>17649</v>
      </c>
      <c r="B298" t="s">
        <v>15277</v>
      </c>
      <c r="C298" t="s">
        <v>954</v>
      </c>
      <c r="D298" t="s">
        <v>1090</v>
      </c>
      <c r="E298" t="s">
        <v>15319</v>
      </c>
      <c r="F298" t="s">
        <v>950</v>
      </c>
      <c r="G298" t="s">
        <v>15320</v>
      </c>
      <c r="H298" t="s">
        <v>15879</v>
      </c>
      <c r="I298" s="16" t="s">
        <v>15885</v>
      </c>
      <c r="J298" t="s">
        <v>15941</v>
      </c>
      <c r="L298" s="16" t="s">
        <v>15392</v>
      </c>
      <c r="M298" t="s">
        <v>15800</v>
      </c>
      <c r="N298" t="s">
        <v>954</v>
      </c>
      <c r="O298" t="s">
        <v>15329</v>
      </c>
    </row>
    <row r="299" spans="1:15" x14ac:dyDescent="0.35">
      <c r="A299">
        <v>17649</v>
      </c>
      <c r="B299" t="s">
        <v>15277</v>
      </c>
      <c r="C299" t="s">
        <v>954</v>
      </c>
      <c r="D299" t="s">
        <v>1090</v>
      </c>
      <c r="E299" t="s">
        <v>15319</v>
      </c>
      <c r="F299" t="s">
        <v>950</v>
      </c>
      <c r="G299" t="s">
        <v>15320</v>
      </c>
      <c r="H299" t="s">
        <v>15879</v>
      </c>
      <c r="I299" s="16" t="s">
        <v>15885</v>
      </c>
      <c r="J299" t="s">
        <v>15941</v>
      </c>
      <c r="L299" s="16" t="s">
        <v>15337</v>
      </c>
      <c r="M299" t="s">
        <v>15518</v>
      </c>
      <c r="N299" t="s">
        <v>954</v>
      </c>
      <c r="O299" t="s">
        <v>15329</v>
      </c>
    </row>
    <row r="300" spans="1:15" x14ac:dyDescent="0.35">
      <c r="A300">
        <v>17649</v>
      </c>
      <c r="B300" t="s">
        <v>15277</v>
      </c>
      <c r="C300" t="s">
        <v>954</v>
      </c>
      <c r="D300" t="s">
        <v>1090</v>
      </c>
      <c r="E300" t="s">
        <v>15319</v>
      </c>
      <c r="F300" t="s">
        <v>950</v>
      </c>
      <c r="G300" t="s">
        <v>15320</v>
      </c>
      <c r="H300" t="s">
        <v>15879</v>
      </c>
      <c r="I300" s="16" t="s">
        <v>15916</v>
      </c>
      <c r="J300" t="s">
        <v>15941</v>
      </c>
      <c r="L300" s="16" t="s">
        <v>15351</v>
      </c>
      <c r="M300" t="s">
        <v>15780</v>
      </c>
      <c r="N300" t="s">
        <v>1090</v>
      </c>
      <c r="O300" t="s">
        <v>15325</v>
      </c>
    </row>
    <row r="301" spans="1:15" x14ac:dyDescent="0.35">
      <c r="A301">
        <v>17649</v>
      </c>
      <c r="B301" t="s">
        <v>15277</v>
      </c>
      <c r="C301" t="s">
        <v>954</v>
      </c>
      <c r="D301" t="s">
        <v>1090</v>
      </c>
      <c r="E301" t="s">
        <v>15319</v>
      </c>
      <c r="F301" t="s">
        <v>950</v>
      </c>
      <c r="G301" t="s">
        <v>15320</v>
      </c>
      <c r="H301" t="s">
        <v>15879</v>
      </c>
      <c r="I301" s="16" t="s">
        <v>15889</v>
      </c>
      <c r="J301" t="s">
        <v>15941</v>
      </c>
      <c r="L301" s="16" t="s">
        <v>15347</v>
      </c>
      <c r="M301" t="s">
        <v>15685</v>
      </c>
      <c r="N301" t="s">
        <v>1090</v>
      </c>
      <c r="O301" t="s">
        <v>15325</v>
      </c>
    </row>
    <row r="302" spans="1:15" x14ac:dyDescent="0.35">
      <c r="A302">
        <v>17649</v>
      </c>
      <c r="B302" t="s">
        <v>15277</v>
      </c>
      <c r="C302" t="s">
        <v>954</v>
      </c>
      <c r="D302" t="s">
        <v>1090</v>
      </c>
      <c r="E302" t="s">
        <v>15319</v>
      </c>
      <c r="F302" t="s">
        <v>950</v>
      </c>
      <c r="G302" t="s">
        <v>15320</v>
      </c>
      <c r="H302" t="s">
        <v>15879</v>
      </c>
      <c r="I302" s="16" t="s">
        <v>15889</v>
      </c>
      <c r="J302" t="s">
        <v>15941</v>
      </c>
      <c r="L302" s="16" t="s">
        <v>15423</v>
      </c>
      <c r="M302" t="s">
        <v>15798</v>
      </c>
      <c r="N302" t="s">
        <v>1090</v>
      </c>
      <c r="O302" t="s">
        <v>15325</v>
      </c>
    </row>
    <row r="303" spans="1:15" x14ac:dyDescent="0.35">
      <c r="A303">
        <v>17649</v>
      </c>
      <c r="B303" t="s">
        <v>15277</v>
      </c>
      <c r="C303" t="s">
        <v>954</v>
      </c>
      <c r="D303" t="s">
        <v>1090</v>
      </c>
      <c r="E303" t="s">
        <v>15319</v>
      </c>
      <c r="F303" t="s">
        <v>950</v>
      </c>
      <c r="G303" t="s">
        <v>15320</v>
      </c>
      <c r="H303" t="s">
        <v>15879</v>
      </c>
      <c r="I303" s="16" t="s">
        <v>15897</v>
      </c>
      <c r="J303" t="s">
        <v>15941</v>
      </c>
      <c r="L303" s="16" t="s">
        <v>15392</v>
      </c>
      <c r="M303" t="s">
        <v>15366</v>
      </c>
      <c r="N303" t="s">
        <v>1090</v>
      </c>
      <c r="O303" t="s">
        <v>15325</v>
      </c>
    </row>
    <row r="304" spans="1:15" x14ac:dyDescent="0.35">
      <c r="A304">
        <v>17649</v>
      </c>
      <c r="B304" t="s">
        <v>15277</v>
      </c>
      <c r="C304" t="s">
        <v>954</v>
      </c>
      <c r="D304" t="s">
        <v>1090</v>
      </c>
      <c r="E304" t="s">
        <v>15319</v>
      </c>
      <c r="F304" t="s">
        <v>950</v>
      </c>
      <c r="G304" t="s">
        <v>15320</v>
      </c>
      <c r="H304" t="s">
        <v>15879</v>
      </c>
      <c r="I304" s="16" t="s">
        <v>15897</v>
      </c>
      <c r="J304" t="s">
        <v>15941</v>
      </c>
      <c r="L304" s="16" t="s">
        <v>15359</v>
      </c>
      <c r="M304" t="s">
        <v>15864</v>
      </c>
      <c r="N304" t="s">
        <v>1090</v>
      </c>
      <c r="O304" t="s">
        <v>15325</v>
      </c>
    </row>
    <row r="305" spans="1:15" x14ac:dyDescent="0.35">
      <c r="A305">
        <v>17649</v>
      </c>
      <c r="B305" t="s">
        <v>15277</v>
      </c>
      <c r="C305" t="s">
        <v>954</v>
      </c>
      <c r="D305" t="s">
        <v>1090</v>
      </c>
      <c r="E305" t="s">
        <v>15319</v>
      </c>
      <c r="F305" t="s">
        <v>950</v>
      </c>
      <c r="G305" t="s">
        <v>15320</v>
      </c>
      <c r="H305" t="s">
        <v>15879</v>
      </c>
      <c r="I305" s="16" t="s">
        <v>15885</v>
      </c>
      <c r="J305" t="s">
        <v>15941</v>
      </c>
      <c r="L305" s="16" t="s">
        <v>15412</v>
      </c>
      <c r="M305" t="s">
        <v>15737</v>
      </c>
      <c r="N305" t="s">
        <v>1090</v>
      </c>
      <c r="O305" t="s">
        <v>15325</v>
      </c>
    </row>
    <row r="306" spans="1:15" x14ac:dyDescent="0.35">
      <c r="A306">
        <v>17649</v>
      </c>
      <c r="B306" t="s">
        <v>15277</v>
      </c>
      <c r="C306" t="s">
        <v>954</v>
      </c>
      <c r="D306" t="s">
        <v>1090</v>
      </c>
      <c r="E306" t="s">
        <v>15319</v>
      </c>
      <c r="F306" t="s">
        <v>950</v>
      </c>
      <c r="G306" t="s">
        <v>15320</v>
      </c>
      <c r="H306" t="s">
        <v>15879</v>
      </c>
      <c r="I306" s="16" t="s">
        <v>15912</v>
      </c>
      <c r="J306" t="s">
        <v>15941</v>
      </c>
      <c r="L306" s="16" t="s">
        <v>15342</v>
      </c>
      <c r="M306" t="s">
        <v>15560</v>
      </c>
      <c r="N306" t="s">
        <v>1090</v>
      </c>
      <c r="O306" t="s">
        <v>15325</v>
      </c>
    </row>
    <row r="307" spans="1:15" x14ac:dyDescent="0.35">
      <c r="A307">
        <v>17649</v>
      </c>
      <c r="B307" t="s">
        <v>15277</v>
      </c>
      <c r="C307" t="s">
        <v>954</v>
      </c>
      <c r="D307" t="s">
        <v>1090</v>
      </c>
      <c r="E307" t="s">
        <v>15319</v>
      </c>
      <c r="F307" t="s">
        <v>950</v>
      </c>
      <c r="G307" t="s">
        <v>15320</v>
      </c>
      <c r="H307" t="s">
        <v>15879</v>
      </c>
      <c r="I307" s="16" t="s">
        <v>15912</v>
      </c>
      <c r="J307" t="s">
        <v>15941</v>
      </c>
      <c r="L307" s="16" t="s">
        <v>15399</v>
      </c>
      <c r="M307" t="s">
        <v>15388</v>
      </c>
      <c r="N307" t="s">
        <v>1090</v>
      </c>
      <c r="O307" t="s">
        <v>15325</v>
      </c>
    </row>
    <row r="308" spans="1:15" x14ac:dyDescent="0.35">
      <c r="A308">
        <v>17649</v>
      </c>
      <c r="B308" t="s">
        <v>15277</v>
      </c>
      <c r="C308" t="s">
        <v>954</v>
      </c>
      <c r="D308" t="s">
        <v>1090</v>
      </c>
      <c r="E308" t="s">
        <v>15319</v>
      </c>
      <c r="F308" t="s">
        <v>950</v>
      </c>
      <c r="G308" t="s">
        <v>15320</v>
      </c>
      <c r="H308" t="s">
        <v>15879</v>
      </c>
      <c r="I308" s="16" t="s">
        <v>15880</v>
      </c>
      <c r="J308" t="s">
        <v>15941</v>
      </c>
      <c r="L308" s="16" t="s">
        <v>15420</v>
      </c>
      <c r="M308" t="s">
        <v>15924</v>
      </c>
      <c r="N308" t="s">
        <v>1090</v>
      </c>
      <c r="O308" t="s">
        <v>15325</v>
      </c>
    </row>
    <row r="309" spans="1:15" x14ac:dyDescent="0.35">
      <c r="A309">
        <v>17649</v>
      </c>
      <c r="B309" t="s">
        <v>15277</v>
      </c>
      <c r="C309" t="s">
        <v>809</v>
      </c>
      <c r="D309" t="s">
        <v>671</v>
      </c>
      <c r="E309" t="s">
        <v>15319</v>
      </c>
      <c r="F309" t="s">
        <v>667</v>
      </c>
      <c r="G309" t="s">
        <v>15320</v>
      </c>
      <c r="H309" t="s">
        <v>15875</v>
      </c>
      <c r="I309" s="16" t="s">
        <v>15914</v>
      </c>
      <c r="J309" t="s">
        <v>15941</v>
      </c>
      <c r="L309" s="16" t="s">
        <v>15412</v>
      </c>
      <c r="M309" t="s">
        <v>15687</v>
      </c>
      <c r="N309" t="s">
        <v>809</v>
      </c>
      <c r="O309" t="s">
        <v>15329</v>
      </c>
    </row>
    <row r="310" spans="1:15" x14ac:dyDescent="0.35">
      <c r="A310">
        <v>17649</v>
      </c>
      <c r="B310" t="s">
        <v>15277</v>
      </c>
      <c r="C310" t="s">
        <v>809</v>
      </c>
      <c r="D310" t="s">
        <v>671</v>
      </c>
      <c r="E310" t="s">
        <v>15319</v>
      </c>
      <c r="F310" t="s">
        <v>667</v>
      </c>
      <c r="G310" t="s">
        <v>15320</v>
      </c>
      <c r="H310" t="s">
        <v>15879</v>
      </c>
      <c r="I310" s="16" t="s">
        <v>15906</v>
      </c>
      <c r="J310" t="s">
        <v>15941</v>
      </c>
      <c r="L310" s="16" t="s">
        <v>15351</v>
      </c>
      <c r="M310" t="s">
        <v>15769</v>
      </c>
      <c r="N310" t="s">
        <v>809</v>
      </c>
      <c r="O310" t="s">
        <v>15329</v>
      </c>
    </row>
    <row r="311" spans="1:15" x14ac:dyDescent="0.35">
      <c r="A311">
        <v>17649</v>
      </c>
      <c r="B311" t="s">
        <v>15277</v>
      </c>
      <c r="C311" t="s">
        <v>809</v>
      </c>
      <c r="D311" t="s">
        <v>671</v>
      </c>
      <c r="E311" t="s">
        <v>15319</v>
      </c>
      <c r="F311" t="s">
        <v>667</v>
      </c>
      <c r="G311" t="s">
        <v>15320</v>
      </c>
      <c r="H311" t="s">
        <v>15879</v>
      </c>
      <c r="I311" s="16" t="s">
        <v>15889</v>
      </c>
      <c r="J311" t="s">
        <v>15941</v>
      </c>
      <c r="L311" s="16" t="s">
        <v>15423</v>
      </c>
      <c r="M311" t="s">
        <v>15471</v>
      </c>
      <c r="N311" t="s">
        <v>809</v>
      </c>
      <c r="O311" t="s">
        <v>15329</v>
      </c>
    </row>
    <row r="312" spans="1:15" x14ac:dyDescent="0.35">
      <c r="A312">
        <v>17649</v>
      </c>
      <c r="B312" t="s">
        <v>15277</v>
      </c>
      <c r="C312" t="s">
        <v>809</v>
      </c>
      <c r="D312" t="s">
        <v>671</v>
      </c>
      <c r="E312" t="s">
        <v>15319</v>
      </c>
      <c r="F312" t="s">
        <v>667</v>
      </c>
      <c r="G312" t="s">
        <v>15320</v>
      </c>
      <c r="H312" t="s">
        <v>15879</v>
      </c>
      <c r="I312" s="16" t="s">
        <v>15917</v>
      </c>
      <c r="J312" t="s">
        <v>15941</v>
      </c>
      <c r="L312" s="16" t="s">
        <v>15342</v>
      </c>
      <c r="M312" t="s">
        <v>15538</v>
      </c>
      <c r="N312" t="s">
        <v>809</v>
      </c>
      <c r="O312" t="s">
        <v>15329</v>
      </c>
    </row>
    <row r="313" spans="1:15" x14ac:dyDescent="0.35">
      <c r="A313">
        <v>17649</v>
      </c>
      <c r="B313" t="s">
        <v>15277</v>
      </c>
      <c r="C313" t="s">
        <v>809</v>
      </c>
      <c r="D313" t="s">
        <v>671</v>
      </c>
      <c r="E313" t="s">
        <v>15319</v>
      </c>
      <c r="F313" t="s">
        <v>667</v>
      </c>
      <c r="G313" t="s">
        <v>15320</v>
      </c>
      <c r="H313" t="s">
        <v>15879</v>
      </c>
      <c r="I313" s="16" t="s">
        <v>15925</v>
      </c>
      <c r="J313" t="s">
        <v>15941</v>
      </c>
      <c r="L313" s="16" t="s">
        <v>15359</v>
      </c>
      <c r="M313" t="s">
        <v>15626</v>
      </c>
      <c r="N313" t="s">
        <v>809</v>
      </c>
      <c r="O313" t="s">
        <v>15329</v>
      </c>
    </row>
    <row r="314" spans="1:15" x14ac:dyDescent="0.35">
      <c r="A314">
        <v>17649</v>
      </c>
      <c r="B314" t="s">
        <v>15277</v>
      </c>
      <c r="C314" t="s">
        <v>809</v>
      </c>
      <c r="D314" t="s">
        <v>671</v>
      </c>
      <c r="E314" t="s">
        <v>15319</v>
      </c>
      <c r="F314" t="s">
        <v>667</v>
      </c>
      <c r="G314" t="s">
        <v>15320</v>
      </c>
      <c r="H314" t="s">
        <v>15879</v>
      </c>
      <c r="I314" s="16" t="s">
        <v>15885</v>
      </c>
      <c r="J314" t="s">
        <v>15941</v>
      </c>
      <c r="L314" s="16" t="s">
        <v>15347</v>
      </c>
      <c r="M314" t="s">
        <v>15744</v>
      </c>
      <c r="N314" t="s">
        <v>809</v>
      </c>
      <c r="O314" t="s">
        <v>15329</v>
      </c>
    </row>
    <row r="315" spans="1:15" x14ac:dyDescent="0.35">
      <c r="A315">
        <v>17649</v>
      </c>
      <c r="B315" t="s">
        <v>15277</v>
      </c>
      <c r="C315" t="s">
        <v>809</v>
      </c>
      <c r="D315" t="s">
        <v>671</v>
      </c>
      <c r="E315" t="s">
        <v>15319</v>
      </c>
      <c r="F315" t="s">
        <v>667</v>
      </c>
      <c r="G315" t="s">
        <v>15320</v>
      </c>
      <c r="H315" t="s">
        <v>15879</v>
      </c>
      <c r="I315" s="16" t="s">
        <v>15912</v>
      </c>
      <c r="J315" t="s">
        <v>15941</v>
      </c>
      <c r="L315" s="16" t="s">
        <v>15392</v>
      </c>
      <c r="M315" t="s">
        <v>15628</v>
      </c>
      <c r="N315" t="s">
        <v>809</v>
      </c>
      <c r="O315" t="s">
        <v>15329</v>
      </c>
    </row>
    <row r="316" spans="1:15" x14ac:dyDescent="0.35">
      <c r="A316">
        <v>17649</v>
      </c>
      <c r="B316" t="s">
        <v>15277</v>
      </c>
      <c r="C316" t="s">
        <v>809</v>
      </c>
      <c r="D316" t="s">
        <v>671</v>
      </c>
      <c r="E316" t="s">
        <v>15319</v>
      </c>
      <c r="F316" t="s">
        <v>667</v>
      </c>
      <c r="G316" t="s">
        <v>15320</v>
      </c>
      <c r="H316" t="s">
        <v>15879</v>
      </c>
      <c r="I316" s="16" t="s">
        <v>15926</v>
      </c>
      <c r="J316" t="s">
        <v>15941</v>
      </c>
      <c r="L316" s="16" t="s">
        <v>15451</v>
      </c>
      <c r="M316" t="s">
        <v>15453</v>
      </c>
      <c r="N316" t="s">
        <v>809</v>
      </c>
      <c r="O316" t="s">
        <v>15329</v>
      </c>
    </row>
    <row r="317" spans="1:15" x14ac:dyDescent="0.35">
      <c r="A317">
        <v>17649</v>
      </c>
      <c r="B317" t="s">
        <v>15277</v>
      </c>
      <c r="C317" t="s">
        <v>809</v>
      </c>
      <c r="D317" t="s">
        <v>671</v>
      </c>
      <c r="E317" t="s">
        <v>15319</v>
      </c>
      <c r="F317" t="s">
        <v>667</v>
      </c>
      <c r="G317" t="s">
        <v>15320</v>
      </c>
      <c r="H317" t="s">
        <v>15875</v>
      </c>
      <c r="I317" s="16" t="s">
        <v>15927</v>
      </c>
      <c r="J317" t="s">
        <v>15941</v>
      </c>
      <c r="L317" s="16" t="s">
        <v>15342</v>
      </c>
      <c r="M317" t="s">
        <v>15804</v>
      </c>
      <c r="N317" t="s">
        <v>671</v>
      </c>
      <c r="O317" t="s">
        <v>15325</v>
      </c>
    </row>
    <row r="318" spans="1:15" x14ac:dyDescent="0.35">
      <c r="A318">
        <v>17649</v>
      </c>
      <c r="B318" t="s">
        <v>15277</v>
      </c>
      <c r="C318" t="s">
        <v>809</v>
      </c>
      <c r="D318" t="s">
        <v>671</v>
      </c>
      <c r="E318" t="s">
        <v>15319</v>
      </c>
      <c r="F318" t="s">
        <v>667</v>
      </c>
      <c r="G318" t="s">
        <v>15320</v>
      </c>
      <c r="H318" t="s">
        <v>15879</v>
      </c>
      <c r="I318" s="16" t="s">
        <v>15928</v>
      </c>
      <c r="J318" t="s">
        <v>15941</v>
      </c>
      <c r="L318" s="16" t="s">
        <v>15476</v>
      </c>
      <c r="M318" t="s">
        <v>15339</v>
      </c>
      <c r="N318" t="s">
        <v>671</v>
      </c>
      <c r="O318" t="s">
        <v>15325</v>
      </c>
    </row>
    <row r="319" spans="1:15" x14ac:dyDescent="0.35">
      <c r="A319">
        <v>17649</v>
      </c>
      <c r="B319" t="s">
        <v>15277</v>
      </c>
      <c r="C319" t="s">
        <v>809</v>
      </c>
      <c r="D319" t="s">
        <v>671</v>
      </c>
      <c r="E319" t="s">
        <v>15319</v>
      </c>
      <c r="F319" t="s">
        <v>667</v>
      </c>
      <c r="G319" t="s">
        <v>15320</v>
      </c>
      <c r="H319" t="s">
        <v>15879</v>
      </c>
      <c r="I319" s="16" t="s">
        <v>15925</v>
      </c>
      <c r="J319" t="s">
        <v>15941</v>
      </c>
      <c r="L319" s="16" t="s">
        <v>15392</v>
      </c>
      <c r="M319" t="s">
        <v>15375</v>
      </c>
      <c r="N319" t="s">
        <v>671</v>
      </c>
      <c r="O319" t="s">
        <v>15325</v>
      </c>
    </row>
    <row r="320" spans="1:15" x14ac:dyDescent="0.35">
      <c r="A320">
        <v>17649</v>
      </c>
      <c r="B320" t="s">
        <v>15277</v>
      </c>
      <c r="C320" t="s">
        <v>809</v>
      </c>
      <c r="D320" t="s">
        <v>671</v>
      </c>
      <c r="E320" t="s">
        <v>15319</v>
      </c>
      <c r="F320" t="s">
        <v>667</v>
      </c>
      <c r="G320" t="s">
        <v>15320</v>
      </c>
      <c r="H320" t="s">
        <v>15879</v>
      </c>
      <c r="I320" s="16" t="s">
        <v>15925</v>
      </c>
      <c r="J320" t="s">
        <v>15941</v>
      </c>
      <c r="L320" s="16" t="s">
        <v>15423</v>
      </c>
      <c r="M320" t="s">
        <v>15411</v>
      </c>
      <c r="N320" t="s">
        <v>671</v>
      </c>
      <c r="O320" t="s">
        <v>15325</v>
      </c>
    </row>
    <row r="321" spans="1:15" x14ac:dyDescent="0.35">
      <c r="A321">
        <v>17649</v>
      </c>
      <c r="B321" t="s">
        <v>15277</v>
      </c>
      <c r="C321" t="s">
        <v>809</v>
      </c>
      <c r="D321" t="s">
        <v>671</v>
      </c>
      <c r="E321" t="s">
        <v>15319</v>
      </c>
      <c r="F321" t="s">
        <v>667</v>
      </c>
      <c r="G321" t="s">
        <v>15320</v>
      </c>
      <c r="H321" t="s">
        <v>15879</v>
      </c>
      <c r="I321" s="16" t="s">
        <v>15910</v>
      </c>
      <c r="J321" t="s">
        <v>15941</v>
      </c>
      <c r="L321" s="16" t="s">
        <v>15331</v>
      </c>
      <c r="M321" t="s">
        <v>15942</v>
      </c>
      <c r="N321" t="s">
        <v>671</v>
      </c>
      <c r="O321" t="s">
        <v>15325</v>
      </c>
    </row>
    <row r="322" spans="1:15" x14ac:dyDescent="0.35">
      <c r="A322">
        <v>17649</v>
      </c>
      <c r="B322" t="s">
        <v>15277</v>
      </c>
      <c r="C322" t="s">
        <v>1257</v>
      </c>
      <c r="D322" t="s">
        <v>1395</v>
      </c>
      <c r="E322" t="s">
        <v>15319</v>
      </c>
      <c r="F322" t="s">
        <v>1253</v>
      </c>
      <c r="G322" t="s">
        <v>15320</v>
      </c>
      <c r="H322" t="s">
        <v>15879</v>
      </c>
      <c r="I322" s="16" t="s">
        <v>15925</v>
      </c>
      <c r="J322" t="s">
        <v>15941</v>
      </c>
      <c r="L322" s="16" t="s">
        <v>15342</v>
      </c>
      <c r="M322" t="s">
        <v>15679</v>
      </c>
      <c r="N322" t="s">
        <v>1257</v>
      </c>
      <c r="O322" t="s">
        <v>15329</v>
      </c>
    </row>
    <row r="323" spans="1:15" x14ac:dyDescent="0.35">
      <c r="A323">
        <v>17649</v>
      </c>
      <c r="B323" t="s">
        <v>15277</v>
      </c>
      <c r="C323" t="s">
        <v>1257</v>
      </c>
      <c r="D323" t="s">
        <v>1395</v>
      </c>
      <c r="E323" t="s">
        <v>15319</v>
      </c>
      <c r="F323" t="s">
        <v>1253</v>
      </c>
      <c r="G323" t="s">
        <v>15320</v>
      </c>
      <c r="H323" t="s">
        <v>15879</v>
      </c>
      <c r="I323" s="16" t="s">
        <v>15909</v>
      </c>
      <c r="J323" t="s">
        <v>15941</v>
      </c>
      <c r="L323" s="16" t="s">
        <v>15412</v>
      </c>
      <c r="M323" t="s">
        <v>15616</v>
      </c>
      <c r="N323" t="s">
        <v>1257</v>
      </c>
      <c r="O323" t="s">
        <v>15329</v>
      </c>
    </row>
    <row r="324" spans="1:15" x14ac:dyDescent="0.35">
      <c r="A324">
        <v>17649</v>
      </c>
      <c r="B324" t="s">
        <v>15277</v>
      </c>
      <c r="C324" t="s">
        <v>1257</v>
      </c>
      <c r="D324" t="s">
        <v>1395</v>
      </c>
      <c r="E324" t="s">
        <v>15319</v>
      </c>
      <c r="F324" t="s">
        <v>1253</v>
      </c>
      <c r="G324" t="s">
        <v>15320</v>
      </c>
      <c r="H324" t="s">
        <v>15879</v>
      </c>
      <c r="I324" s="16" t="s">
        <v>15912</v>
      </c>
      <c r="J324" t="s">
        <v>15941</v>
      </c>
      <c r="L324" s="16" t="s">
        <v>15359</v>
      </c>
      <c r="M324" t="s">
        <v>15624</v>
      </c>
      <c r="N324" t="s">
        <v>1257</v>
      </c>
      <c r="O324" t="s">
        <v>15329</v>
      </c>
    </row>
    <row r="325" spans="1:15" x14ac:dyDescent="0.35">
      <c r="A325">
        <v>17649</v>
      </c>
      <c r="B325" t="s">
        <v>15277</v>
      </c>
      <c r="C325" t="s">
        <v>1257</v>
      </c>
      <c r="D325" t="s">
        <v>1395</v>
      </c>
      <c r="E325" t="s">
        <v>15319</v>
      </c>
      <c r="F325" t="s">
        <v>1253</v>
      </c>
      <c r="G325" t="s">
        <v>15320</v>
      </c>
      <c r="H325" t="s">
        <v>15879</v>
      </c>
      <c r="I325" s="16" t="s">
        <v>15904</v>
      </c>
      <c r="J325" t="s">
        <v>15941</v>
      </c>
      <c r="L325" s="16" t="s">
        <v>15364</v>
      </c>
      <c r="M325" t="s">
        <v>15693</v>
      </c>
      <c r="N325" t="s">
        <v>1257</v>
      </c>
      <c r="O325" t="s">
        <v>15329</v>
      </c>
    </row>
    <row r="326" spans="1:15" x14ac:dyDescent="0.35">
      <c r="A326">
        <v>17649</v>
      </c>
      <c r="B326" t="s">
        <v>15277</v>
      </c>
      <c r="C326" t="s">
        <v>1257</v>
      </c>
      <c r="D326" t="s">
        <v>1395</v>
      </c>
      <c r="E326" t="s">
        <v>15319</v>
      </c>
      <c r="F326" t="s">
        <v>1253</v>
      </c>
      <c r="G326" t="s">
        <v>15320</v>
      </c>
      <c r="H326" t="s">
        <v>15875</v>
      </c>
      <c r="I326" s="16" t="s">
        <v>15929</v>
      </c>
      <c r="J326" t="s">
        <v>15941</v>
      </c>
      <c r="L326" s="16" t="s">
        <v>15399</v>
      </c>
      <c r="M326" t="s">
        <v>15465</v>
      </c>
      <c r="N326" t="s">
        <v>1395</v>
      </c>
      <c r="O326" t="s">
        <v>15325</v>
      </c>
    </row>
    <row r="327" spans="1:15" x14ac:dyDescent="0.35">
      <c r="A327">
        <v>17649</v>
      </c>
      <c r="B327" t="s">
        <v>15277</v>
      </c>
      <c r="C327" t="s">
        <v>1257</v>
      </c>
      <c r="D327" t="s">
        <v>1395</v>
      </c>
      <c r="E327" t="s">
        <v>15319</v>
      </c>
      <c r="F327" t="s">
        <v>1253</v>
      </c>
      <c r="G327" t="s">
        <v>15320</v>
      </c>
      <c r="H327" t="s">
        <v>15875</v>
      </c>
      <c r="I327" s="16" t="s">
        <v>15930</v>
      </c>
      <c r="J327" t="s">
        <v>15941</v>
      </c>
      <c r="L327" s="16" t="s">
        <v>15412</v>
      </c>
      <c r="M327" t="s">
        <v>15725</v>
      </c>
      <c r="N327" t="s">
        <v>1395</v>
      </c>
      <c r="O327" t="s">
        <v>15325</v>
      </c>
    </row>
    <row r="328" spans="1:15" x14ac:dyDescent="0.35">
      <c r="A328">
        <v>17649</v>
      </c>
      <c r="B328" t="s">
        <v>15277</v>
      </c>
      <c r="C328" t="s">
        <v>1257</v>
      </c>
      <c r="D328" t="s">
        <v>1395</v>
      </c>
      <c r="E328" t="s">
        <v>15319</v>
      </c>
      <c r="F328" t="s">
        <v>1253</v>
      </c>
      <c r="G328" t="s">
        <v>15320</v>
      </c>
      <c r="H328" t="s">
        <v>15875</v>
      </c>
      <c r="I328" s="16" t="s">
        <v>15930</v>
      </c>
      <c r="J328" t="s">
        <v>15941</v>
      </c>
      <c r="L328" s="16" t="s">
        <v>15392</v>
      </c>
      <c r="M328" t="s">
        <v>15465</v>
      </c>
      <c r="N328" t="s">
        <v>1395</v>
      </c>
      <c r="O328" t="s">
        <v>15325</v>
      </c>
    </row>
    <row r="329" spans="1:15" x14ac:dyDescent="0.35">
      <c r="A329">
        <v>17649</v>
      </c>
      <c r="B329" t="s">
        <v>15277</v>
      </c>
      <c r="C329" t="s">
        <v>1257</v>
      </c>
      <c r="D329" t="s">
        <v>1395</v>
      </c>
      <c r="E329" t="s">
        <v>15319</v>
      </c>
      <c r="F329" t="s">
        <v>1253</v>
      </c>
      <c r="G329" t="s">
        <v>15320</v>
      </c>
      <c r="H329" t="s">
        <v>15879</v>
      </c>
      <c r="I329" s="16" t="s">
        <v>15916</v>
      </c>
      <c r="J329" t="s">
        <v>15941</v>
      </c>
      <c r="L329" s="16" t="s">
        <v>15347</v>
      </c>
      <c r="M329" t="s">
        <v>15398</v>
      </c>
      <c r="N329" t="s">
        <v>1395</v>
      </c>
      <c r="O329" t="s">
        <v>15325</v>
      </c>
    </row>
    <row r="330" spans="1:15" x14ac:dyDescent="0.35">
      <c r="A330">
        <v>17649</v>
      </c>
      <c r="B330" t="s">
        <v>15277</v>
      </c>
      <c r="C330" t="s">
        <v>1257</v>
      </c>
      <c r="D330" t="s">
        <v>1395</v>
      </c>
      <c r="E330" t="s">
        <v>15319</v>
      </c>
      <c r="F330" t="s">
        <v>1253</v>
      </c>
      <c r="G330" t="s">
        <v>15320</v>
      </c>
      <c r="H330" t="s">
        <v>15879</v>
      </c>
      <c r="I330" s="16" t="s">
        <v>15931</v>
      </c>
      <c r="J330" t="s">
        <v>15941</v>
      </c>
      <c r="L330" s="16" t="s">
        <v>15342</v>
      </c>
      <c r="M330" t="s">
        <v>15766</v>
      </c>
      <c r="N330" t="s">
        <v>1395</v>
      </c>
      <c r="O330" t="s">
        <v>15325</v>
      </c>
    </row>
    <row r="331" spans="1:15" x14ac:dyDescent="0.35">
      <c r="A331">
        <v>17649</v>
      </c>
      <c r="B331" t="s">
        <v>15277</v>
      </c>
      <c r="C331" t="s">
        <v>1257</v>
      </c>
      <c r="D331" t="s">
        <v>1395</v>
      </c>
      <c r="E331" t="s">
        <v>15319</v>
      </c>
      <c r="F331" t="s">
        <v>1253</v>
      </c>
      <c r="G331" t="s">
        <v>15320</v>
      </c>
      <c r="H331" t="s">
        <v>15879</v>
      </c>
      <c r="I331" s="16" t="s">
        <v>15931</v>
      </c>
      <c r="J331" t="s">
        <v>15941</v>
      </c>
      <c r="L331" s="16" t="s">
        <v>15476</v>
      </c>
      <c r="M331" t="s">
        <v>15473</v>
      </c>
      <c r="N331" t="s">
        <v>1395</v>
      </c>
      <c r="O331" t="s">
        <v>15325</v>
      </c>
    </row>
    <row r="332" spans="1:15" x14ac:dyDescent="0.35">
      <c r="A332">
        <v>17649</v>
      </c>
      <c r="B332" t="s">
        <v>15277</v>
      </c>
      <c r="C332" t="s">
        <v>1257</v>
      </c>
      <c r="D332" t="s">
        <v>1395</v>
      </c>
      <c r="E332" t="s">
        <v>15319</v>
      </c>
      <c r="F332" t="s">
        <v>1253</v>
      </c>
      <c r="G332" t="s">
        <v>15320</v>
      </c>
      <c r="H332" t="s">
        <v>15879</v>
      </c>
      <c r="I332" s="16" t="s">
        <v>15931</v>
      </c>
      <c r="J332" t="s">
        <v>15941</v>
      </c>
      <c r="L332" s="16" t="s">
        <v>15359</v>
      </c>
      <c r="M332" t="s">
        <v>15844</v>
      </c>
      <c r="N332" t="s">
        <v>1395</v>
      </c>
      <c r="O332" t="s">
        <v>15325</v>
      </c>
    </row>
    <row r="333" spans="1:15" x14ac:dyDescent="0.35">
      <c r="A333">
        <v>17649</v>
      </c>
      <c r="B333" t="s">
        <v>15277</v>
      </c>
      <c r="C333" t="s">
        <v>1257</v>
      </c>
      <c r="D333" t="s">
        <v>1395</v>
      </c>
      <c r="E333" t="s">
        <v>15319</v>
      </c>
      <c r="F333" t="s">
        <v>1253</v>
      </c>
      <c r="G333" t="s">
        <v>15320</v>
      </c>
      <c r="H333" t="s">
        <v>15879</v>
      </c>
      <c r="I333" s="16" t="s">
        <v>15911</v>
      </c>
      <c r="J333" t="s">
        <v>15941</v>
      </c>
      <c r="L333" s="16" t="s">
        <v>15423</v>
      </c>
      <c r="M333" t="s">
        <v>15784</v>
      </c>
      <c r="N333" t="s">
        <v>1395</v>
      </c>
      <c r="O333" t="s">
        <v>15325</v>
      </c>
    </row>
    <row r="334" spans="1:15" x14ac:dyDescent="0.35">
      <c r="A334">
        <v>17649</v>
      </c>
      <c r="B334" t="s">
        <v>15277</v>
      </c>
      <c r="C334" t="s">
        <v>1257</v>
      </c>
      <c r="D334" t="s">
        <v>1395</v>
      </c>
      <c r="E334" t="s">
        <v>15319</v>
      </c>
      <c r="F334" t="s">
        <v>1253</v>
      </c>
      <c r="G334" t="s">
        <v>15320</v>
      </c>
      <c r="H334" t="s">
        <v>15879</v>
      </c>
      <c r="I334" s="16" t="s">
        <v>15932</v>
      </c>
      <c r="J334" t="s">
        <v>15941</v>
      </c>
      <c r="L334" s="16" t="s">
        <v>15351</v>
      </c>
      <c r="M334" t="s">
        <v>15532</v>
      </c>
      <c r="N334" t="s">
        <v>1395</v>
      </c>
      <c r="O334" t="s">
        <v>15325</v>
      </c>
    </row>
    <row r="335" spans="1:15" x14ac:dyDescent="0.35">
      <c r="A335">
        <v>17649</v>
      </c>
      <c r="B335" t="s">
        <v>15277</v>
      </c>
      <c r="C335" t="s">
        <v>1257</v>
      </c>
      <c r="D335" t="s">
        <v>1395</v>
      </c>
      <c r="E335" t="s">
        <v>15319</v>
      </c>
      <c r="F335" t="s">
        <v>1253</v>
      </c>
      <c r="G335" t="s">
        <v>15320</v>
      </c>
      <c r="H335" t="s">
        <v>15879</v>
      </c>
      <c r="I335" s="16" t="s">
        <v>15933</v>
      </c>
      <c r="J335" t="s">
        <v>15941</v>
      </c>
      <c r="L335" s="16" t="s">
        <v>15399</v>
      </c>
      <c r="M335" t="s">
        <v>15697</v>
      </c>
      <c r="N335" t="s">
        <v>1395</v>
      </c>
      <c r="O335" t="s">
        <v>15325</v>
      </c>
    </row>
    <row r="336" spans="1:15" x14ac:dyDescent="0.35">
      <c r="A336">
        <v>17650</v>
      </c>
      <c r="B336" t="s">
        <v>15277</v>
      </c>
      <c r="C336" t="s">
        <v>431</v>
      </c>
      <c r="D336" t="s">
        <v>1257</v>
      </c>
      <c r="E336" t="s">
        <v>15327</v>
      </c>
      <c r="F336" t="s">
        <v>15355</v>
      </c>
      <c r="G336" t="s">
        <v>15320</v>
      </c>
      <c r="H336" t="s">
        <v>15875</v>
      </c>
      <c r="I336" s="16">
        <v>7</v>
      </c>
      <c r="J336" t="s">
        <v>15941</v>
      </c>
      <c r="L336" s="16">
        <v>14</v>
      </c>
      <c r="M336" t="s">
        <v>15488</v>
      </c>
      <c r="N336" t="s">
        <v>431</v>
      </c>
      <c r="O336" t="s">
        <v>15329</v>
      </c>
    </row>
    <row r="337" spans="1:15" x14ac:dyDescent="0.35">
      <c r="A337">
        <v>17650</v>
      </c>
      <c r="B337" t="s">
        <v>15277</v>
      </c>
      <c r="C337" t="s">
        <v>431</v>
      </c>
      <c r="D337" t="s">
        <v>1257</v>
      </c>
      <c r="E337" t="s">
        <v>15327</v>
      </c>
      <c r="F337" t="s">
        <v>15355</v>
      </c>
      <c r="G337" t="s">
        <v>15320</v>
      </c>
      <c r="H337" t="s">
        <v>15875</v>
      </c>
      <c r="I337" s="16">
        <v>16</v>
      </c>
      <c r="J337" t="s">
        <v>15941</v>
      </c>
      <c r="L337" s="16">
        <v>22</v>
      </c>
      <c r="M337" t="s">
        <v>15461</v>
      </c>
      <c r="N337" t="s">
        <v>431</v>
      </c>
      <c r="O337" t="s">
        <v>15329</v>
      </c>
    </row>
    <row r="338" spans="1:15" x14ac:dyDescent="0.35">
      <c r="A338">
        <v>17650</v>
      </c>
      <c r="B338" t="s">
        <v>15277</v>
      </c>
      <c r="C338" t="s">
        <v>431</v>
      </c>
      <c r="D338" t="s">
        <v>1257</v>
      </c>
      <c r="E338" t="s">
        <v>15327</v>
      </c>
      <c r="F338" t="s">
        <v>15355</v>
      </c>
      <c r="G338" t="s">
        <v>15320</v>
      </c>
      <c r="H338" t="s">
        <v>15875</v>
      </c>
      <c r="I338" s="16">
        <v>28</v>
      </c>
      <c r="J338" t="s">
        <v>15941</v>
      </c>
      <c r="L338" s="16">
        <v>3</v>
      </c>
      <c r="M338" t="s">
        <v>15370</v>
      </c>
      <c r="N338" t="s">
        <v>431</v>
      </c>
      <c r="O338" t="s">
        <v>15329</v>
      </c>
    </row>
    <row r="339" spans="1:15" x14ac:dyDescent="0.35">
      <c r="A339">
        <v>17650</v>
      </c>
      <c r="B339" t="s">
        <v>15277</v>
      </c>
      <c r="C339" t="s">
        <v>431</v>
      </c>
      <c r="D339" t="s">
        <v>1257</v>
      </c>
      <c r="E339" t="s">
        <v>15327</v>
      </c>
      <c r="F339" t="s">
        <v>15355</v>
      </c>
      <c r="G339" t="s">
        <v>15320</v>
      </c>
      <c r="H339" t="s">
        <v>15879</v>
      </c>
      <c r="I339" s="16">
        <v>42</v>
      </c>
      <c r="J339" t="s">
        <v>15941</v>
      </c>
      <c r="L339" s="16">
        <v>7</v>
      </c>
      <c r="M339" t="s">
        <v>15830</v>
      </c>
      <c r="N339" t="s">
        <v>431</v>
      </c>
      <c r="O339" t="s">
        <v>15329</v>
      </c>
    </row>
    <row r="340" spans="1:15" x14ac:dyDescent="0.35">
      <c r="A340">
        <v>17650</v>
      </c>
      <c r="B340" t="s">
        <v>15277</v>
      </c>
      <c r="C340" t="s">
        <v>431</v>
      </c>
      <c r="D340" t="s">
        <v>1257</v>
      </c>
      <c r="E340" t="s">
        <v>15327</v>
      </c>
      <c r="F340" t="s">
        <v>15355</v>
      </c>
      <c r="G340" t="s">
        <v>15320</v>
      </c>
      <c r="H340" t="s">
        <v>15879</v>
      </c>
      <c r="I340" s="16">
        <v>50</v>
      </c>
      <c r="J340" t="s">
        <v>15941</v>
      </c>
      <c r="L340" s="16">
        <v>13</v>
      </c>
      <c r="M340" t="s">
        <v>15486</v>
      </c>
      <c r="N340" t="s">
        <v>431</v>
      </c>
      <c r="O340" t="s">
        <v>15329</v>
      </c>
    </row>
    <row r="341" spans="1:15" x14ac:dyDescent="0.35">
      <c r="A341">
        <v>17650</v>
      </c>
      <c r="B341" t="s">
        <v>15277</v>
      </c>
      <c r="C341" t="s">
        <v>431</v>
      </c>
      <c r="D341" t="s">
        <v>1257</v>
      </c>
      <c r="E341" t="s">
        <v>15327</v>
      </c>
      <c r="F341" t="s">
        <v>15355</v>
      </c>
      <c r="G341" t="s">
        <v>15320</v>
      </c>
      <c r="H341" t="s">
        <v>15879</v>
      </c>
      <c r="I341" s="16">
        <v>62</v>
      </c>
      <c r="J341" t="s">
        <v>15941</v>
      </c>
      <c r="L341" s="16">
        <v>6</v>
      </c>
      <c r="M341" t="s">
        <v>15708</v>
      </c>
      <c r="N341" t="s">
        <v>431</v>
      </c>
      <c r="O341" t="s">
        <v>15329</v>
      </c>
    </row>
    <row r="342" spans="1:15" x14ac:dyDescent="0.35">
      <c r="A342">
        <v>17650</v>
      </c>
      <c r="B342" t="s">
        <v>15277</v>
      </c>
      <c r="C342" t="s">
        <v>431</v>
      </c>
      <c r="D342" t="s">
        <v>1257</v>
      </c>
      <c r="E342" t="s">
        <v>15327</v>
      </c>
      <c r="F342" t="s">
        <v>15355</v>
      </c>
      <c r="G342" t="s">
        <v>15320</v>
      </c>
      <c r="H342" t="s">
        <v>15879</v>
      </c>
      <c r="I342" s="16">
        <v>69</v>
      </c>
      <c r="J342" t="s">
        <v>15941</v>
      </c>
      <c r="L342" s="16">
        <v>12</v>
      </c>
      <c r="M342" t="s">
        <v>15721</v>
      </c>
      <c r="N342" t="s">
        <v>431</v>
      </c>
      <c r="O342" t="s">
        <v>15329</v>
      </c>
    </row>
    <row r="343" spans="1:15" x14ac:dyDescent="0.35">
      <c r="A343">
        <v>17650</v>
      </c>
      <c r="B343" t="s">
        <v>15277</v>
      </c>
      <c r="C343" t="s">
        <v>431</v>
      </c>
      <c r="D343" t="s">
        <v>1257</v>
      </c>
      <c r="E343" t="s">
        <v>15327</v>
      </c>
      <c r="F343" t="s">
        <v>15355</v>
      </c>
      <c r="G343" t="s">
        <v>15320</v>
      </c>
      <c r="H343" t="s">
        <v>15879</v>
      </c>
      <c r="I343" s="16">
        <v>69</v>
      </c>
      <c r="J343" t="s">
        <v>15941</v>
      </c>
      <c r="L343" s="16">
        <v>3</v>
      </c>
      <c r="M343" t="s">
        <v>15370</v>
      </c>
      <c r="N343" t="s">
        <v>431</v>
      </c>
      <c r="O343" t="s">
        <v>15329</v>
      </c>
    </row>
    <row r="344" spans="1:15" x14ac:dyDescent="0.35">
      <c r="A344">
        <v>17650</v>
      </c>
      <c r="B344" t="s">
        <v>15277</v>
      </c>
      <c r="C344" t="s">
        <v>431</v>
      </c>
      <c r="D344" t="s">
        <v>1257</v>
      </c>
      <c r="E344" t="s">
        <v>15327</v>
      </c>
      <c r="F344" t="s">
        <v>15355</v>
      </c>
      <c r="G344" t="s">
        <v>15320</v>
      </c>
      <c r="H344" t="s">
        <v>15879</v>
      </c>
      <c r="I344" s="16">
        <v>75</v>
      </c>
      <c r="J344" t="s">
        <v>15941</v>
      </c>
      <c r="L344" s="16">
        <v>2</v>
      </c>
      <c r="M344" t="s">
        <v>15438</v>
      </c>
      <c r="N344" t="s">
        <v>431</v>
      </c>
      <c r="O344" t="s">
        <v>15329</v>
      </c>
    </row>
    <row r="345" spans="1:15" x14ac:dyDescent="0.35">
      <c r="A345">
        <v>17650</v>
      </c>
      <c r="B345" t="s">
        <v>15277</v>
      </c>
      <c r="C345" t="s">
        <v>431</v>
      </c>
      <c r="D345" t="s">
        <v>1257</v>
      </c>
      <c r="E345" t="s">
        <v>15327</v>
      </c>
      <c r="F345" t="s">
        <v>15355</v>
      </c>
      <c r="G345" t="s">
        <v>15320</v>
      </c>
      <c r="H345" t="s">
        <v>15879</v>
      </c>
      <c r="I345" s="16">
        <v>0</v>
      </c>
      <c r="J345" t="s">
        <v>15941</v>
      </c>
      <c r="L345" s="16">
        <v>3</v>
      </c>
      <c r="M345" t="s">
        <v>15616</v>
      </c>
      <c r="N345" t="s">
        <v>1257</v>
      </c>
      <c r="O345" t="s">
        <v>15325</v>
      </c>
    </row>
    <row r="346" spans="1:15" x14ac:dyDescent="0.35">
      <c r="A346">
        <v>17650</v>
      </c>
      <c r="B346" t="s">
        <v>15277</v>
      </c>
      <c r="C346" t="s">
        <v>431</v>
      </c>
      <c r="D346" t="s">
        <v>1257</v>
      </c>
      <c r="E346" t="s">
        <v>15327</v>
      </c>
      <c r="F346" t="s">
        <v>15355</v>
      </c>
      <c r="G346" t="s">
        <v>15320</v>
      </c>
      <c r="H346" t="s">
        <v>15875</v>
      </c>
      <c r="I346" s="16">
        <v>6</v>
      </c>
      <c r="J346" t="s">
        <v>15941</v>
      </c>
      <c r="L346" s="16">
        <v>14</v>
      </c>
      <c r="M346" t="s">
        <v>15735</v>
      </c>
      <c r="N346" t="s">
        <v>1257</v>
      </c>
      <c r="O346" t="s">
        <v>15325</v>
      </c>
    </row>
    <row r="347" spans="1:15" x14ac:dyDescent="0.35">
      <c r="A347">
        <v>17650</v>
      </c>
      <c r="B347" t="s">
        <v>15277</v>
      </c>
      <c r="C347" t="s">
        <v>431</v>
      </c>
      <c r="D347" t="s">
        <v>1257</v>
      </c>
      <c r="E347" t="s">
        <v>15327</v>
      </c>
      <c r="F347" t="s">
        <v>15355</v>
      </c>
      <c r="G347" t="s">
        <v>15320</v>
      </c>
      <c r="H347" t="s">
        <v>15875</v>
      </c>
      <c r="I347" s="16">
        <v>17</v>
      </c>
      <c r="J347" t="s">
        <v>15941</v>
      </c>
      <c r="L347" s="16">
        <v>4</v>
      </c>
      <c r="M347" t="s">
        <v>15448</v>
      </c>
      <c r="N347" t="s">
        <v>1257</v>
      </c>
      <c r="O347" t="s">
        <v>15325</v>
      </c>
    </row>
    <row r="348" spans="1:15" x14ac:dyDescent="0.35">
      <c r="A348">
        <v>17650</v>
      </c>
      <c r="B348" t="s">
        <v>15277</v>
      </c>
      <c r="C348" t="s">
        <v>431</v>
      </c>
      <c r="D348" t="s">
        <v>1257</v>
      </c>
      <c r="E348" t="s">
        <v>15327</v>
      </c>
      <c r="F348" t="s">
        <v>15355</v>
      </c>
      <c r="G348" t="s">
        <v>15320</v>
      </c>
      <c r="H348" t="s">
        <v>15875</v>
      </c>
      <c r="I348" s="16">
        <v>18</v>
      </c>
      <c r="J348" t="s">
        <v>15941</v>
      </c>
      <c r="L348" s="16">
        <v>11</v>
      </c>
      <c r="M348" t="s">
        <v>15673</v>
      </c>
      <c r="N348" t="s">
        <v>1257</v>
      </c>
      <c r="O348" t="s">
        <v>15325</v>
      </c>
    </row>
    <row r="349" spans="1:15" x14ac:dyDescent="0.35">
      <c r="A349">
        <v>17650</v>
      </c>
      <c r="B349" t="s">
        <v>15277</v>
      </c>
      <c r="C349" t="s">
        <v>431</v>
      </c>
      <c r="D349" t="s">
        <v>1257</v>
      </c>
      <c r="E349" t="s">
        <v>15327</v>
      </c>
      <c r="F349" t="s">
        <v>15355</v>
      </c>
      <c r="G349" t="s">
        <v>15320</v>
      </c>
      <c r="H349" t="s">
        <v>15875</v>
      </c>
      <c r="I349" s="16">
        <v>20</v>
      </c>
      <c r="J349" t="s">
        <v>15941</v>
      </c>
      <c r="L349" s="16">
        <v>9</v>
      </c>
      <c r="M349" t="s">
        <v>15679</v>
      </c>
      <c r="N349" t="s">
        <v>1257</v>
      </c>
      <c r="O349" t="s">
        <v>15325</v>
      </c>
    </row>
    <row r="350" spans="1:15" x14ac:dyDescent="0.35">
      <c r="A350">
        <v>17650</v>
      </c>
      <c r="B350" t="s">
        <v>15277</v>
      </c>
      <c r="C350" t="s">
        <v>431</v>
      </c>
      <c r="D350" t="s">
        <v>1257</v>
      </c>
      <c r="E350" t="s">
        <v>15327</v>
      </c>
      <c r="F350" t="s">
        <v>15355</v>
      </c>
      <c r="G350" t="s">
        <v>15320</v>
      </c>
      <c r="H350" t="s">
        <v>15875</v>
      </c>
      <c r="I350" s="16">
        <v>25</v>
      </c>
      <c r="J350" t="s">
        <v>15941</v>
      </c>
      <c r="L350" s="16">
        <v>3</v>
      </c>
      <c r="M350" t="s">
        <v>15616</v>
      </c>
      <c r="N350" t="s">
        <v>1257</v>
      </c>
      <c r="O350" t="s">
        <v>15325</v>
      </c>
    </row>
    <row r="351" spans="1:15" x14ac:dyDescent="0.35">
      <c r="A351">
        <v>17650</v>
      </c>
      <c r="B351" t="s">
        <v>15277</v>
      </c>
      <c r="C351" t="s">
        <v>431</v>
      </c>
      <c r="D351" t="s">
        <v>1257</v>
      </c>
      <c r="E351" t="s">
        <v>15327</v>
      </c>
      <c r="F351" t="s">
        <v>15355</v>
      </c>
      <c r="G351" t="s">
        <v>15320</v>
      </c>
      <c r="H351" t="s">
        <v>15875</v>
      </c>
      <c r="I351" s="16">
        <v>28</v>
      </c>
      <c r="J351" t="s">
        <v>15941</v>
      </c>
      <c r="L351" s="16">
        <v>7</v>
      </c>
      <c r="M351" t="s">
        <v>15681</v>
      </c>
      <c r="N351" t="s">
        <v>1257</v>
      </c>
      <c r="O351" t="s">
        <v>15325</v>
      </c>
    </row>
    <row r="352" spans="1:15" x14ac:dyDescent="0.35">
      <c r="A352">
        <v>17650</v>
      </c>
      <c r="B352" t="s">
        <v>15277</v>
      </c>
      <c r="C352" t="s">
        <v>431</v>
      </c>
      <c r="D352" t="s">
        <v>1257</v>
      </c>
      <c r="E352" t="s">
        <v>15327</v>
      </c>
      <c r="F352" t="s">
        <v>15355</v>
      </c>
      <c r="G352" t="s">
        <v>15320</v>
      </c>
      <c r="H352" t="s">
        <v>15875</v>
      </c>
      <c r="I352" s="16">
        <v>28</v>
      </c>
      <c r="J352" t="s">
        <v>15941</v>
      </c>
      <c r="L352" s="16">
        <v>15</v>
      </c>
      <c r="M352" t="s">
        <v>15586</v>
      </c>
      <c r="N352" t="s">
        <v>1257</v>
      </c>
      <c r="O352" t="s">
        <v>15325</v>
      </c>
    </row>
    <row r="353" spans="1:15" x14ac:dyDescent="0.35">
      <c r="A353">
        <v>17650</v>
      </c>
      <c r="B353" t="s">
        <v>15277</v>
      </c>
      <c r="C353" t="s">
        <v>238</v>
      </c>
      <c r="D353" t="s">
        <v>557</v>
      </c>
      <c r="E353" t="s">
        <v>15327</v>
      </c>
      <c r="F353" t="s">
        <v>15384</v>
      </c>
      <c r="G353" t="s">
        <v>15320</v>
      </c>
      <c r="H353" t="s">
        <v>15875</v>
      </c>
      <c r="I353" s="16">
        <v>27</v>
      </c>
      <c r="J353" t="s">
        <v>15941</v>
      </c>
      <c r="L353" s="16">
        <v>13</v>
      </c>
      <c r="M353" t="s">
        <v>15546</v>
      </c>
      <c r="N353" t="s">
        <v>238</v>
      </c>
      <c r="O353" t="s">
        <v>15329</v>
      </c>
    </row>
    <row r="354" spans="1:15" x14ac:dyDescent="0.35">
      <c r="A354">
        <v>17650</v>
      </c>
      <c r="B354" t="s">
        <v>15277</v>
      </c>
      <c r="C354" t="s">
        <v>238</v>
      </c>
      <c r="D354" t="s">
        <v>557</v>
      </c>
      <c r="E354" t="s">
        <v>15327</v>
      </c>
      <c r="F354" t="s">
        <v>15384</v>
      </c>
      <c r="G354" t="s">
        <v>15320</v>
      </c>
      <c r="H354" t="s">
        <v>15875</v>
      </c>
      <c r="I354" s="16">
        <v>37</v>
      </c>
      <c r="J354" t="s">
        <v>15941</v>
      </c>
      <c r="L354" s="16">
        <v>10</v>
      </c>
      <c r="M354" t="s">
        <v>15436</v>
      </c>
      <c r="N354" t="s">
        <v>238</v>
      </c>
      <c r="O354" t="s">
        <v>15329</v>
      </c>
    </row>
    <row r="355" spans="1:15" x14ac:dyDescent="0.35">
      <c r="A355">
        <v>17650</v>
      </c>
      <c r="B355" t="s">
        <v>15277</v>
      </c>
      <c r="C355" t="s">
        <v>238</v>
      </c>
      <c r="D355" t="s">
        <v>557</v>
      </c>
      <c r="E355" t="s">
        <v>15327</v>
      </c>
      <c r="F355" t="s">
        <v>15384</v>
      </c>
      <c r="G355" t="s">
        <v>15320</v>
      </c>
      <c r="H355" t="s">
        <v>15879</v>
      </c>
      <c r="I355" s="16">
        <v>41</v>
      </c>
      <c r="J355" t="s">
        <v>15941</v>
      </c>
      <c r="L355" s="16">
        <v>2</v>
      </c>
      <c r="M355" t="s">
        <v>15572</v>
      </c>
      <c r="N355" t="s">
        <v>238</v>
      </c>
      <c r="O355" t="s">
        <v>15329</v>
      </c>
    </row>
    <row r="356" spans="1:15" x14ac:dyDescent="0.35">
      <c r="A356">
        <v>17650</v>
      </c>
      <c r="B356" t="s">
        <v>15277</v>
      </c>
      <c r="C356" t="s">
        <v>238</v>
      </c>
      <c r="D356" t="s">
        <v>557</v>
      </c>
      <c r="E356" t="s">
        <v>15327</v>
      </c>
      <c r="F356" t="s">
        <v>15384</v>
      </c>
      <c r="G356" t="s">
        <v>15320</v>
      </c>
      <c r="H356" t="s">
        <v>15879</v>
      </c>
      <c r="I356" s="16">
        <v>51</v>
      </c>
      <c r="J356" t="s">
        <v>15941</v>
      </c>
      <c r="L356" s="16">
        <v>6</v>
      </c>
      <c r="M356" t="s">
        <v>15714</v>
      </c>
      <c r="N356" t="s">
        <v>238</v>
      </c>
      <c r="O356" t="s">
        <v>15329</v>
      </c>
    </row>
    <row r="357" spans="1:15" x14ac:dyDescent="0.35">
      <c r="A357">
        <v>17650</v>
      </c>
      <c r="B357" t="s">
        <v>15277</v>
      </c>
      <c r="C357" t="s">
        <v>238</v>
      </c>
      <c r="D357" t="s">
        <v>557</v>
      </c>
      <c r="E357" t="s">
        <v>15327</v>
      </c>
      <c r="F357" t="s">
        <v>15384</v>
      </c>
      <c r="G357" t="s">
        <v>15320</v>
      </c>
      <c r="H357" t="s">
        <v>15879</v>
      </c>
      <c r="I357" s="16">
        <v>57</v>
      </c>
      <c r="J357" t="s">
        <v>15941</v>
      </c>
      <c r="L357" s="16">
        <v>12</v>
      </c>
      <c r="M357" t="s">
        <v>15742</v>
      </c>
      <c r="N357" t="s">
        <v>238</v>
      </c>
      <c r="O357" t="s">
        <v>15329</v>
      </c>
    </row>
    <row r="358" spans="1:15" x14ac:dyDescent="0.35">
      <c r="A358">
        <v>17650</v>
      </c>
      <c r="B358" t="s">
        <v>15277</v>
      </c>
      <c r="C358" t="s">
        <v>238</v>
      </c>
      <c r="D358" t="s">
        <v>557</v>
      </c>
      <c r="E358" t="s">
        <v>15327</v>
      </c>
      <c r="F358" t="s">
        <v>15384</v>
      </c>
      <c r="G358" t="s">
        <v>15320</v>
      </c>
      <c r="H358" t="s">
        <v>15879</v>
      </c>
      <c r="I358" s="16">
        <v>67</v>
      </c>
      <c r="J358" t="s">
        <v>15941</v>
      </c>
      <c r="L358" s="16">
        <v>3</v>
      </c>
      <c r="M358" t="s">
        <v>15836</v>
      </c>
      <c r="N358" t="s">
        <v>238</v>
      </c>
      <c r="O358" t="s">
        <v>15329</v>
      </c>
    </row>
    <row r="359" spans="1:15" x14ac:dyDescent="0.35">
      <c r="A359">
        <v>17650</v>
      </c>
      <c r="B359" t="s">
        <v>15277</v>
      </c>
      <c r="C359" t="s">
        <v>238</v>
      </c>
      <c r="D359" t="s">
        <v>557</v>
      </c>
      <c r="E359" t="s">
        <v>15327</v>
      </c>
      <c r="F359" t="s">
        <v>15384</v>
      </c>
      <c r="G359" t="s">
        <v>15320</v>
      </c>
      <c r="H359" t="s">
        <v>15875</v>
      </c>
      <c r="I359" s="16">
        <v>31</v>
      </c>
      <c r="J359" t="s">
        <v>15941</v>
      </c>
      <c r="L359" s="16">
        <v>10</v>
      </c>
      <c r="M359" t="s">
        <v>15745</v>
      </c>
      <c r="N359" t="s">
        <v>557</v>
      </c>
      <c r="O359" t="s">
        <v>15325</v>
      </c>
    </row>
    <row r="360" spans="1:15" x14ac:dyDescent="0.35">
      <c r="A360">
        <v>17650</v>
      </c>
      <c r="B360" t="s">
        <v>15277</v>
      </c>
      <c r="C360" t="s">
        <v>238</v>
      </c>
      <c r="D360" t="s">
        <v>557</v>
      </c>
      <c r="E360" t="s">
        <v>15327</v>
      </c>
      <c r="F360" t="s">
        <v>15384</v>
      </c>
      <c r="G360" t="s">
        <v>15320</v>
      </c>
      <c r="H360" t="s">
        <v>15875</v>
      </c>
      <c r="I360" s="16">
        <v>34</v>
      </c>
      <c r="J360" t="s">
        <v>15941</v>
      </c>
      <c r="L360" s="16">
        <v>22</v>
      </c>
      <c r="M360" t="s">
        <v>15644</v>
      </c>
      <c r="N360" t="s">
        <v>557</v>
      </c>
      <c r="O360" t="s">
        <v>15325</v>
      </c>
    </row>
    <row r="361" spans="1:15" x14ac:dyDescent="0.35">
      <c r="A361">
        <v>17650</v>
      </c>
      <c r="B361" t="s">
        <v>15277</v>
      </c>
      <c r="C361" t="s">
        <v>238</v>
      </c>
      <c r="D361" t="s">
        <v>557</v>
      </c>
      <c r="E361" t="s">
        <v>15327</v>
      </c>
      <c r="F361" t="s">
        <v>15384</v>
      </c>
      <c r="G361" t="s">
        <v>15320</v>
      </c>
      <c r="H361" t="s">
        <v>15879</v>
      </c>
      <c r="I361" s="16">
        <v>41</v>
      </c>
      <c r="J361" t="s">
        <v>15941</v>
      </c>
      <c r="L361" s="16">
        <v>11</v>
      </c>
      <c r="M361" t="s">
        <v>15663</v>
      </c>
      <c r="N361" t="s">
        <v>557</v>
      </c>
      <c r="O361" t="s">
        <v>15325</v>
      </c>
    </row>
    <row r="362" spans="1:15" x14ac:dyDescent="0.35">
      <c r="A362">
        <v>17650</v>
      </c>
      <c r="B362" t="s">
        <v>15277</v>
      </c>
      <c r="C362" t="s">
        <v>238</v>
      </c>
      <c r="D362" t="s">
        <v>557</v>
      </c>
      <c r="E362" t="s">
        <v>15327</v>
      </c>
      <c r="F362" t="s">
        <v>15384</v>
      </c>
      <c r="G362" t="s">
        <v>15320</v>
      </c>
      <c r="H362" t="s">
        <v>15879</v>
      </c>
      <c r="I362" s="16">
        <v>42</v>
      </c>
      <c r="J362" t="s">
        <v>15941</v>
      </c>
      <c r="L362" s="16">
        <v>2</v>
      </c>
      <c r="M362" t="s">
        <v>15818</v>
      </c>
      <c r="N362" t="s">
        <v>557</v>
      </c>
      <c r="O362" t="s">
        <v>15325</v>
      </c>
    </row>
    <row r="363" spans="1:15" x14ac:dyDescent="0.35">
      <c r="A363">
        <v>17650</v>
      </c>
      <c r="B363" t="s">
        <v>15277</v>
      </c>
      <c r="C363" t="s">
        <v>238</v>
      </c>
      <c r="D363" t="s">
        <v>557</v>
      </c>
      <c r="E363" t="s">
        <v>15327</v>
      </c>
      <c r="F363" t="s">
        <v>15384</v>
      </c>
      <c r="G363" t="s">
        <v>15320</v>
      </c>
      <c r="H363" t="s">
        <v>15879</v>
      </c>
      <c r="I363" s="16">
        <v>48</v>
      </c>
      <c r="J363" t="s">
        <v>15941</v>
      </c>
      <c r="L363" s="16">
        <v>1</v>
      </c>
      <c r="M363" t="s">
        <v>15493</v>
      </c>
      <c r="N363" t="s">
        <v>557</v>
      </c>
      <c r="O363" t="s">
        <v>15325</v>
      </c>
    </row>
    <row r="364" spans="1:15" x14ac:dyDescent="0.35">
      <c r="A364">
        <v>17650</v>
      </c>
      <c r="B364" t="s">
        <v>15277</v>
      </c>
      <c r="C364" t="s">
        <v>238</v>
      </c>
      <c r="D364" t="s">
        <v>557</v>
      </c>
      <c r="E364" t="s">
        <v>15327</v>
      </c>
      <c r="F364" t="s">
        <v>15384</v>
      </c>
      <c r="G364" t="s">
        <v>15320</v>
      </c>
      <c r="H364" t="s">
        <v>15879</v>
      </c>
      <c r="I364" s="16">
        <v>48</v>
      </c>
      <c r="J364" t="s">
        <v>15941</v>
      </c>
      <c r="L364" s="16">
        <v>3</v>
      </c>
      <c r="M364" t="s">
        <v>15832</v>
      </c>
      <c r="N364" t="s">
        <v>557</v>
      </c>
      <c r="O364" t="s">
        <v>15325</v>
      </c>
    </row>
    <row r="365" spans="1:15" x14ac:dyDescent="0.35">
      <c r="A365">
        <v>17650</v>
      </c>
      <c r="B365" t="s">
        <v>15277</v>
      </c>
      <c r="C365" t="s">
        <v>238</v>
      </c>
      <c r="D365" t="s">
        <v>557</v>
      </c>
      <c r="E365" t="s">
        <v>15327</v>
      </c>
      <c r="F365" t="s">
        <v>15384</v>
      </c>
      <c r="G365" t="s">
        <v>15320</v>
      </c>
      <c r="H365" t="s">
        <v>15879</v>
      </c>
      <c r="I365" s="16">
        <v>51</v>
      </c>
      <c r="J365" t="s">
        <v>15941</v>
      </c>
      <c r="L365" s="16">
        <v>10</v>
      </c>
      <c r="M365" t="s">
        <v>15745</v>
      </c>
      <c r="N365" t="s">
        <v>557</v>
      </c>
      <c r="O365" t="s">
        <v>15325</v>
      </c>
    </row>
    <row r="366" spans="1:15" x14ac:dyDescent="0.35">
      <c r="A366">
        <v>17650</v>
      </c>
      <c r="B366" t="s">
        <v>15277</v>
      </c>
      <c r="C366" t="s">
        <v>238</v>
      </c>
      <c r="D366" t="s">
        <v>557</v>
      </c>
      <c r="E366" t="s">
        <v>15327</v>
      </c>
      <c r="F366" t="s">
        <v>15384</v>
      </c>
      <c r="G366" t="s">
        <v>15320</v>
      </c>
      <c r="H366" t="s">
        <v>15879</v>
      </c>
      <c r="I366" s="16">
        <v>57</v>
      </c>
      <c r="J366" t="s">
        <v>15941</v>
      </c>
      <c r="L366" s="16">
        <v>7</v>
      </c>
      <c r="M366" t="s">
        <v>15507</v>
      </c>
      <c r="N366" t="s">
        <v>557</v>
      </c>
      <c r="O366" t="s">
        <v>15325</v>
      </c>
    </row>
    <row r="367" spans="1:15" x14ac:dyDescent="0.35">
      <c r="A367">
        <v>17650</v>
      </c>
      <c r="B367" t="s">
        <v>15277</v>
      </c>
      <c r="C367" t="s">
        <v>238</v>
      </c>
      <c r="D367" t="s">
        <v>557</v>
      </c>
      <c r="E367" t="s">
        <v>15327</v>
      </c>
      <c r="F367" t="s">
        <v>15384</v>
      </c>
      <c r="G367" t="s">
        <v>15320</v>
      </c>
      <c r="H367" t="s">
        <v>15879</v>
      </c>
      <c r="I367" s="16">
        <v>59</v>
      </c>
      <c r="J367" t="s">
        <v>15941</v>
      </c>
      <c r="L367" s="16">
        <v>9</v>
      </c>
      <c r="M367" t="s">
        <v>15440</v>
      </c>
      <c r="N367" t="s">
        <v>557</v>
      </c>
      <c r="O367" t="s">
        <v>15325</v>
      </c>
    </row>
    <row r="368" spans="1:15" x14ac:dyDescent="0.35">
      <c r="A368">
        <v>17650</v>
      </c>
      <c r="B368" t="s">
        <v>15277</v>
      </c>
      <c r="C368" t="s">
        <v>238</v>
      </c>
      <c r="D368" t="s">
        <v>557</v>
      </c>
      <c r="E368" t="s">
        <v>15327</v>
      </c>
      <c r="F368" t="s">
        <v>15384</v>
      </c>
      <c r="G368" t="s">
        <v>15320</v>
      </c>
      <c r="H368" t="s">
        <v>15879</v>
      </c>
      <c r="I368" s="16">
        <v>67</v>
      </c>
      <c r="J368" t="s">
        <v>15941</v>
      </c>
      <c r="L368" s="16">
        <v>5</v>
      </c>
      <c r="M368" t="s">
        <v>15427</v>
      </c>
      <c r="N368" t="s">
        <v>557</v>
      </c>
      <c r="O368" t="s">
        <v>15325</v>
      </c>
    </row>
    <row r="369" spans="1:15" x14ac:dyDescent="0.35">
      <c r="A369">
        <v>17650</v>
      </c>
      <c r="B369" t="s">
        <v>15277</v>
      </c>
      <c r="C369" t="s">
        <v>1090</v>
      </c>
      <c r="D369" t="s">
        <v>27</v>
      </c>
      <c r="E369" t="s">
        <v>15327</v>
      </c>
      <c r="F369" t="s">
        <v>15367</v>
      </c>
      <c r="G369" t="s">
        <v>15320</v>
      </c>
      <c r="H369" t="s">
        <v>15879</v>
      </c>
      <c r="I369" s="16">
        <v>45</v>
      </c>
      <c r="J369" t="s">
        <v>15941</v>
      </c>
      <c r="L369" s="16">
        <v>4</v>
      </c>
      <c r="M369" t="s">
        <v>15511</v>
      </c>
      <c r="N369" t="s">
        <v>1090</v>
      </c>
      <c r="O369" t="s">
        <v>15329</v>
      </c>
    </row>
    <row r="370" spans="1:15" x14ac:dyDescent="0.35">
      <c r="A370">
        <v>17650</v>
      </c>
      <c r="B370" t="s">
        <v>15277</v>
      </c>
      <c r="C370" t="s">
        <v>1090</v>
      </c>
      <c r="D370" t="s">
        <v>27</v>
      </c>
      <c r="E370" t="s">
        <v>15327</v>
      </c>
      <c r="F370" t="s">
        <v>15367</v>
      </c>
      <c r="G370" t="s">
        <v>15320</v>
      </c>
      <c r="H370" t="s">
        <v>15879</v>
      </c>
      <c r="I370" s="16">
        <v>62</v>
      </c>
      <c r="J370" t="s">
        <v>15941</v>
      </c>
      <c r="L370" s="16">
        <v>6</v>
      </c>
      <c r="M370" t="s">
        <v>15475</v>
      </c>
      <c r="N370" t="s">
        <v>1090</v>
      </c>
      <c r="O370" t="s">
        <v>15329</v>
      </c>
    </row>
    <row r="371" spans="1:15" x14ac:dyDescent="0.35">
      <c r="A371">
        <v>17650</v>
      </c>
      <c r="B371" t="s">
        <v>15277</v>
      </c>
      <c r="C371" t="s">
        <v>1090</v>
      </c>
      <c r="D371" t="s">
        <v>27</v>
      </c>
      <c r="E371" t="s">
        <v>15327</v>
      </c>
      <c r="F371" t="s">
        <v>15367</v>
      </c>
      <c r="G371" t="s">
        <v>15320</v>
      </c>
      <c r="H371" t="s">
        <v>15879</v>
      </c>
      <c r="I371" s="16">
        <v>62</v>
      </c>
      <c r="J371" t="s">
        <v>15941</v>
      </c>
      <c r="L371" s="16">
        <v>11</v>
      </c>
      <c r="M371" t="s">
        <v>15442</v>
      </c>
      <c r="N371" t="s">
        <v>1090</v>
      </c>
      <c r="O371" t="s">
        <v>15329</v>
      </c>
    </row>
    <row r="372" spans="1:15" x14ac:dyDescent="0.35">
      <c r="A372">
        <v>17650</v>
      </c>
      <c r="B372" t="s">
        <v>15277</v>
      </c>
      <c r="C372" t="s">
        <v>1090</v>
      </c>
      <c r="D372" t="s">
        <v>27</v>
      </c>
      <c r="E372" t="s">
        <v>15327</v>
      </c>
      <c r="F372" t="s">
        <v>15367</v>
      </c>
      <c r="G372" t="s">
        <v>15320</v>
      </c>
      <c r="H372" t="s">
        <v>15879</v>
      </c>
      <c r="I372" s="16">
        <v>70</v>
      </c>
      <c r="J372" t="s">
        <v>15941</v>
      </c>
      <c r="L372" s="16">
        <v>1</v>
      </c>
      <c r="M372" t="s">
        <v>15798</v>
      </c>
      <c r="N372" t="s">
        <v>1090</v>
      </c>
      <c r="O372" t="s">
        <v>15329</v>
      </c>
    </row>
    <row r="373" spans="1:15" x14ac:dyDescent="0.35">
      <c r="A373">
        <v>17650</v>
      </c>
      <c r="B373" t="s">
        <v>15277</v>
      </c>
      <c r="C373" t="s">
        <v>1090</v>
      </c>
      <c r="D373" t="s">
        <v>27</v>
      </c>
      <c r="E373" t="s">
        <v>15327</v>
      </c>
      <c r="F373" t="s">
        <v>15367</v>
      </c>
      <c r="G373" t="s">
        <v>15320</v>
      </c>
      <c r="H373" t="s">
        <v>15879</v>
      </c>
      <c r="I373" s="16">
        <v>70</v>
      </c>
      <c r="J373" t="s">
        <v>15941</v>
      </c>
      <c r="L373" s="16">
        <v>2</v>
      </c>
      <c r="M373" t="s">
        <v>15560</v>
      </c>
      <c r="N373" t="s">
        <v>1090</v>
      </c>
      <c r="O373" t="s">
        <v>15329</v>
      </c>
    </row>
    <row r="374" spans="1:15" x14ac:dyDescent="0.35">
      <c r="A374">
        <v>17650</v>
      </c>
      <c r="B374" t="s">
        <v>15277</v>
      </c>
      <c r="C374" t="s">
        <v>1090</v>
      </c>
      <c r="D374" t="s">
        <v>27</v>
      </c>
      <c r="E374" t="s">
        <v>15327</v>
      </c>
      <c r="F374" t="s">
        <v>15367</v>
      </c>
      <c r="G374" t="s">
        <v>15320</v>
      </c>
      <c r="H374" t="s">
        <v>15879</v>
      </c>
      <c r="I374" s="16">
        <v>70</v>
      </c>
      <c r="J374" t="s">
        <v>15941</v>
      </c>
      <c r="L374" s="16">
        <v>3</v>
      </c>
      <c r="M374" t="s">
        <v>15388</v>
      </c>
      <c r="N374" t="s">
        <v>1090</v>
      </c>
      <c r="O374" t="s">
        <v>15329</v>
      </c>
    </row>
    <row r="375" spans="1:15" x14ac:dyDescent="0.35">
      <c r="A375">
        <v>17650</v>
      </c>
      <c r="B375" t="s">
        <v>15277</v>
      </c>
      <c r="C375" t="s">
        <v>1090</v>
      </c>
      <c r="D375" t="s">
        <v>27</v>
      </c>
      <c r="E375" t="s">
        <v>15327</v>
      </c>
      <c r="F375" t="s">
        <v>15367</v>
      </c>
      <c r="G375" t="s">
        <v>15320</v>
      </c>
      <c r="H375" t="s">
        <v>15879</v>
      </c>
      <c r="I375" s="16">
        <v>70</v>
      </c>
      <c r="J375" t="s">
        <v>15941</v>
      </c>
      <c r="L375" s="16">
        <v>9</v>
      </c>
      <c r="M375" t="s">
        <v>15737</v>
      </c>
      <c r="N375" t="s">
        <v>1090</v>
      </c>
      <c r="O375" t="s">
        <v>15329</v>
      </c>
    </row>
    <row r="376" spans="1:15" x14ac:dyDescent="0.35">
      <c r="A376">
        <v>17650</v>
      </c>
      <c r="B376" t="s">
        <v>15277</v>
      </c>
      <c r="C376" t="s">
        <v>1090</v>
      </c>
      <c r="D376" t="s">
        <v>27</v>
      </c>
      <c r="E376" t="s">
        <v>15327</v>
      </c>
      <c r="F376" t="s">
        <v>15367</v>
      </c>
      <c r="G376" t="s">
        <v>15320</v>
      </c>
      <c r="H376" t="s">
        <v>15879</v>
      </c>
      <c r="I376" s="16">
        <v>80</v>
      </c>
      <c r="J376" t="s">
        <v>15941</v>
      </c>
      <c r="L376" s="16">
        <v>15</v>
      </c>
      <c r="M376" t="s">
        <v>15366</v>
      </c>
      <c r="N376" t="s">
        <v>1090</v>
      </c>
      <c r="O376" t="s">
        <v>15329</v>
      </c>
    </row>
    <row r="377" spans="1:15" x14ac:dyDescent="0.35">
      <c r="A377">
        <v>17650</v>
      </c>
      <c r="B377" t="s">
        <v>15277</v>
      </c>
      <c r="C377" t="s">
        <v>1090</v>
      </c>
      <c r="D377" t="s">
        <v>27</v>
      </c>
      <c r="E377" t="s">
        <v>15327</v>
      </c>
      <c r="F377" t="s">
        <v>15367</v>
      </c>
      <c r="G377" t="s">
        <v>15320</v>
      </c>
      <c r="H377" t="s">
        <v>15879</v>
      </c>
      <c r="I377" s="16">
        <v>50</v>
      </c>
      <c r="J377" t="s">
        <v>15941</v>
      </c>
      <c r="L377" s="16">
        <v>11</v>
      </c>
      <c r="M377" t="s">
        <v>15770</v>
      </c>
      <c r="N377" t="s">
        <v>27</v>
      </c>
      <c r="O377" t="s">
        <v>15325</v>
      </c>
    </row>
    <row r="378" spans="1:15" x14ac:dyDescent="0.35">
      <c r="A378">
        <v>17650</v>
      </c>
      <c r="B378" t="s">
        <v>15277</v>
      </c>
      <c r="C378" t="s">
        <v>1090</v>
      </c>
      <c r="D378" t="s">
        <v>27</v>
      </c>
      <c r="E378" t="s">
        <v>15327</v>
      </c>
      <c r="F378" t="s">
        <v>15367</v>
      </c>
      <c r="G378" t="s">
        <v>15320</v>
      </c>
      <c r="H378" t="s">
        <v>15879</v>
      </c>
      <c r="I378" s="16">
        <v>60</v>
      </c>
      <c r="J378" t="s">
        <v>15941</v>
      </c>
      <c r="L378" s="16">
        <v>3</v>
      </c>
      <c r="M378" t="s">
        <v>15667</v>
      </c>
      <c r="N378" t="s">
        <v>27</v>
      </c>
      <c r="O378" t="s">
        <v>15325</v>
      </c>
    </row>
    <row r="379" spans="1:15" x14ac:dyDescent="0.35">
      <c r="A379">
        <v>17650</v>
      </c>
      <c r="B379" t="s">
        <v>15277</v>
      </c>
      <c r="C379" t="s">
        <v>1090</v>
      </c>
      <c r="D379" t="s">
        <v>27</v>
      </c>
      <c r="E379" t="s">
        <v>15327</v>
      </c>
      <c r="F379" t="s">
        <v>15367</v>
      </c>
      <c r="G379" t="s">
        <v>15320</v>
      </c>
      <c r="H379" t="s">
        <v>15879</v>
      </c>
      <c r="I379" s="16">
        <v>60</v>
      </c>
      <c r="J379" t="s">
        <v>15941</v>
      </c>
      <c r="L379" s="16">
        <v>16</v>
      </c>
      <c r="M379" t="s">
        <v>15729</v>
      </c>
      <c r="N379" t="s">
        <v>27</v>
      </c>
      <c r="O379" t="s">
        <v>15325</v>
      </c>
    </row>
    <row r="380" spans="1:15" x14ac:dyDescent="0.35">
      <c r="A380">
        <v>17650</v>
      </c>
      <c r="B380" t="s">
        <v>15277</v>
      </c>
      <c r="C380" t="s">
        <v>1090</v>
      </c>
      <c r="D380" t="s">
        <v>27</v>
      </c>
      <c r="E380" t="s">
        <v>15327</v>
      </c>
      <c r="F380" t="s">
        <v>15367</v>
      </c>
      <c r="G380" t="s">
        <v>15320</v>
      </c>
      <c r="H380" t="s">
        <v>15879</v>
      </c>
      <c r="I380" s="16">
        <v>61</v>
      </c>
      <c r="J380" t="s">
        <v>15941</v>
      </c>
      <c r="L380" s="16">
        <v>6</v>
      </c>
      <c r="M380" t="s">
        <v>15794</v>
      </c>
      <c r="N380" t="s">
        <v>27</v>
      </c>
      <c r="O380" t="s">
        <v>15325</v>
      </c>
    </row>
    <row r="381" spans="1:15" x14ac:dyDescent="0.35">
      <c r="A381">
        <v>17650</v>
      </c>
      <c r="B381" t="s">
        <v>15277</v>
      </c>
      <c r="C381" t="s">
        <v>1090</v>
      </c>
      <c r="D381" t="s">
        <v>27</v>
      </c>
      <c r="E381" t="s">
        <v>15327</v>
      </c>
      <c r="F381" t="s">
        <v>15367</v>
      </c>
      <c r="G381" t="s">
        <v>15320</v>
      </c>
      <c r="H381" t="s">
        <v>15879</v>
      </c>
      <c r="I381" s="16">
        <v>61</v>
      </c>
      <c r="J381" t="s">
        <v>15941</v>
      </c>
      <c r="L381" s="16">
        <v>9</v>
      </c>
      <c r="M381" t="s">
        <v>15632</v>
      </c>
      <c r="N381" t="s">
        <v>27</v>
      </c>
      <c r="O381" t="s">
        <v>15325</v>
      </c>
    </row>
    <row r="382" spans="1:15" x14ac:dyDescent="0.35">
      <c r="A382">
        <v>17650</v>
      </c>
      <c r="B382" t="s">
        <v>15277</v>
      </c>
      <c r="C382" t="s">
        <v>1090</v>
      </c>
      <c r="D382" t="s">
        <v>27</v>
      </c>
      <c r="E382" t="s">
        <v>15327</v>
      </c>
      <c r="F382" t="s">
        <v>15367</v>
      </c>
      <c r="G382" t="s">
        <v>15320</v>
      </c>
      <c r="H382" t="s">
        <v>15879</v>
      </c>
      <c r="I382" s="16">
        <v>62</v>
      </c>
      <c r="J382" t="s">
        <v>15941</v>
      </c>
      <c r="L382" s="16">
        <v>2</v>
      </c>
      <c r="M382" t="s">
        <v>15849</v>
      </c>
      <c r="N382" t="s">
        <v>27</v>
      </c>
      <c r="O382" t="s">
        <v>15325</v>
      </c>
    </row>
    <row r="383" spans="1:15" x14ac:dyDescent="0.35">
      <c r="A383">
        <v>17650</v>
      </c>
      <c r="B383" t="s">
        <v>15277</v>
      </c>
      <c r="C383" t="s">
        <v>1090</v>
      </c>
      <c r="D383" t="s">
        <v>27</v>
      </c>
      <c r="E383" t="s">
        <v>15327</v>
      </c>
      <c r="F383" t="s">
        <v>15367</v>
      </c>
      <c r="G383" t="s">
        <v>15320</v>
      </c>
      <c r="H383" t="s">
        <v>15879</v>
      </c>
      <c r="I383" s="16">
        <v>62</v>
      </c>
      <c r="J383" t="s">
        <v>15941</v>
      </c>
      <c r="L383" s="16">
        <v>12</v>
      </c>
      <c r="M383" t="s">
        <v>15758</v>
      </c>
      <c r="N383" t="s">
        <v>27</v>
      </c>
      <c r="O383" t="s">
        <v>15325</v>
      </c>
    </row>
    <row r="384" spans="1:15" x14ac:dyDescent="0.35">
      <c r="A384">
        <v>17651</v>
      </c>
      <c r="B384" t="s">
        <v>15277</v>
      </c>
      <c r="C384" t="s">
        <v>1090</v>
      </c>
      <c r="D384" t="s">
        <v>27</v>
      </c>
      <c r="E384" t="s">
        <v>15327</v>
      </c>
      <c r="F384" t="s">
        <v>15367</v>
      </c>
      <c r="G384" t="s">
        <v>15320</v>
      </c>
      <c r="H384" t="s">
        <v>15879</v>
      </c>
      <c r="I384" s="16">
        <v>68</v>
      </c>
      <c r="J384" t="s">
        <v>15941</v>
      </c>
      <c r="L384" s="16">
        <v>1</v>
      </c>
      <c r="M384" t="s">
        <v>15862</v>
      </c>
      <c r="N384" t="s">
        <v>27</v>
      </c>
      <c r="O384" t="s">
        <v>15325</v>
      </c>
    </row>
    <row r="385" spans="1:15" x14ac:dyDescent="0.35">
      <c r="A385">
        <v>17651</v>
      </c>
      <c r="B385" t="s">
        <v>15277</v>
      </c>
      <c r="C385" t="s">
        <v>1090</v>
      </c>
      <c r="D385" t="s">
        <v>27</v>
      </c>
      <c r="E385" t="s">
        <v>15327</v>
      </c>
      <c r="F385" t="s">
        <v>15367</v>
      </c>
      <c r="G385" t="s">
        <v>15320</v>
      </c>
      <c r="H385" t="s">
        <v>15879</v>
      </c>
      <c r="I385" s="16">
        <v>68</v>
      </c>
      <c r="J385" t="s">
        <v>15941</v>
      </c>
      <c r="L385" s="16">
        <v>13</v>
      </c>
      <c r="M385" t="s">
        <v>15675</v>
      </c>
      <c r="N385" t="s">
        <v>27</v>
      </c>
      <c r="O385" t="s">
        <v>15325</v>
      </c>
    </row>
    <row r="386" spans="1:15" x14ac:dyDescent="0.35">
      <c r="A386">
        <v>17651</v>
      </c>
      <c r="B386" t="s">
        <v>15277</v>
      </c>
      <c r="C386" t="s">
        <v>1090</v>
      </c>
      <c r="D386" t="s">
        <v>27</v>
      </c>
      <c r="E386" t="s">
        <v>15327</v>
      </c>
      <c r="F386" t="s">
        <v>15367</v>
      </c>
      <c r="G386" t="s">
        <v>15320</v>
      </c>
      <c r="H386" t="s">
        <v>15879</v>
      </c>
      <c r="I386" s="16">
        <v>69</v>
      </c>
      <c r="J386" t="s">
        <v>15941</v>
      </c>
      <c r="L386" s="16">
        <v>4</v>
      </c>
      <c r="M386" t="s">
        <v>15584</v>
      </c>
      <c r="N386" t="s">
        <v>27</v>
      </c>
      <c r="O386" t="s">
        <v>15325</v>
      </c>
    </row>
    <row r="387" spans="1:15" x14ac:dyDescent="0.35">
      <c r="A387">
        <v>17651</v>
      </c>
      <c r="B387" t="s">
        <v>15277</v>
      </c>
      <c r="C387" t="s">
        <v>671</v>
      </c>
      <c r="D387" t="s">
        <v>954</v>
      </c>
      <c r="E387" t="s">
        <v>15327</v>
      </c>
      <c r="F387" t="s">
        <v>15335</v>
      </c>
      <c r="G387" t="s">
        <v>15320</v>
      </c>
      <c r="H387" t="s">
        <v>15879</v>
      </c>
      <c r="I387" s="16">
        <v>41</v>
      </c>
      <c r="J387" t="s">
        <v>15941</v>
      </c>
      <c r="L387" s="16">
        <v>3</v>
      </c>
      <c r="M387" t="s">
        <v>15589</v>
      </c>
      <c r="N387" t="s">
        <v>671</v>
      </c>
      <c r="O387" t="s">
        <v>15329</v>
      </c>
    </row>
    <row r="388" spans="1:15" x14ac:dyDescent="0.35">
      <c r="A388">
        <v>17651</v>
      </c>
      <c r="B388" t="s">
        <v>15277</v>
      </c>
      <c r="C388" t="s">
        <v>671</v>
      </c>
      <c r="D388" t="s">
        <v>954</v>
      </c>
      <c r="E388" t="s">
        <v>15327</v>
      </c>
      <c r="F388" t="s">
        <v>15335</v>
      </c>
      <c r="G388" t="s">
        <v>15320</v>
      </c>
      <c r="H388" t="s">
        <v>15879</v>
      </c>
      <c r="I388" s="16">
        <v>46</v>
      </c>
      <c r="J388" t="s">
        <v>15941</v>
      </c>
      <c r="L388" s="16">
        <v>2</v>
      </c>
      <c r="M388" t="s">
        <v>15339</v>
      </c>
      <c r="N388" t="s">
        <v>671</v>
      </c>
      <c r="O388" t="s">
        <v>15329</v>
      </c>
    </row>
    <row r="389" spans="1:15" x14ac:dyDescent="0.35">
      <c r="A389">
        <v>17651</v>
      </c>
      <c r="B389" t="s">
        <v>15277</v>
      </c>
      <c r="C389" t="s">
        <v>671</v>
      </c>
      <c r="D389" t="s">
        <v>954</v>
      </c>
      <c r="E389" t="s">
        <v>15327</v>
      </c>
      <c r="F389" t="s">
        <v>15335</v>
      </c>
      <c r="G389" t="s">
        <v>15320</v>
      </c>
      <c r="H389" t="s">
        <v>15879</v>
      </c>
      <c r="I389" s="16">
        <v>46</v>
      </c>
      <c r="J389" t="s">
        <v>15941</v>
      </c>
      <c r="L389" s="16">
        <v>1</v>
      </c>
      <c r="M389" t="s">
        <v>15804</v>
      </c>
      <c r="N389" t="s">
        <v>671</v>
      </c>
      <c r="O389" t="s">
        <v>15329</v>
      </c>
    </row>
    <row r="390" spans="1:15" x14ac:dyDescent="0.35">
      <c r="A390">
        <v>17651</v>
      </c>
      <c r="B390" t="s">
        <v>15277</v>
      </c>
      <c r="C390" t="s">
        <v>671</v>
      </c>
      <c r="D390" t="s">
        <v>954</v>
      </c>
      <c r="E390" t="s">
        <v>15327</v>
      </c>
      <c r="F390" t="s">
        <v>15335</v>
      </c>
      <c r="G390" t="s">
        <v>15320</v>
      </c>
      <c r="H390" t="s">
        <v>15879</v>
      </c>
      <c r="I390" s="16">
        <v>52</v>
      </c>
      <c r="J390" t="s">
        <v>15941</v>
      </c>
      <c r="L390" s="16">
        <v>9</v>
      </c>
      <c r="M390" t="s">
        <v>15386</v>
      </c>
      <c r="N390" t="s">
        <v>671</v>
      </c>
      <c r="O390" t="s">
        <v>15329</v>
      </c>
    </row>
    <row r="391" spans="1:15" x14ac:dyDescent="0.35">
      <c r="A391">
        <v>17651</v>
      </c>
      <c r="B391" t="s">
        <v>15277</v>
      </c>
      <c r="C391" t="s">
        <v>671</v>
      </c>
      <c r="D391" t="s">
        <v>954</v>
      </c>
      <c r="E391" t="s">
        <v>15327</v>
      </c>
      <c r="F391" t="s">
        <v>15335</v>
      </c>
      <c r="G391" t="s">
        <v>15320</v>
      </c>
      <c r="H391" t="s">
        <v>15879</v>
      </c>
      <c r="I391" s="16">
        <v>52</v>
      </c>
      <c r="J391" t="s">
        <v>15941</v>
      </c>
      <c r="L391" s="16">
        <v>7</v>
      </c>
      <c r="M391" t="s">
        <v>15411</v>
      </c>
      <c r="N391" t="s">
        <v>671</v>
      </c>
      <c r="O391" t="s">
        <v>15329</v>
      </c>
    </row>
    <row r="392" spans="1:15" x14ac:dyDescent="0.35">
      <c r="A392">
        <v>17651</v>
      </c>
      <c r="B392" t="s">
        <v>15277</v>
      </c>
      <c r="C392" t="s">
        <v>671</v>
      </c>
      <c r="D392" t="s">
        <v>954</v>
      </c>
      <c r="E392" t="s">
        <v>15327</v>
      </c>
      <c r="F392" t="s">
        <v>15335</v>
      </c>
      <c r="G392" t="s">
        <v>15320</v>
      </c>
      <c r="H392" t="s">
        <v>15879</v>
      </c>
      <c r="I392" s="16">
        <v>62</v>
      </c>
      <c r="J392" t="s">
        <v>15941</v>
      </c>
      <c r="L392" s="16">
        <v>6</v>
      </c>
      <c r="M392" t="s">
        <v>15403</v>
      </c>
      <c r="N392" t="s">
        <v>671</v>
      </c>
      <c r="O392" t="s">
        <v>15329</v>
      </c>
    </row>
    <row r="393" spans="1:15" x14ac:dyDescent="0.35">
      <c r="A393">
        <v>17651</v>
      </c>
      <c r="B393" t="s">
        <v>15277</v>
      </c>
      <c r="C393" t="s">
        <v>671</v>
      </c>
      <c r="D393" t="s">
        <v>954</v>
      </c>
      <c r="E393" t="s">
        <v>15327</v>
      </c>
      <c r="F393" t="s">
        <v>15335</v>
      </c>
      <c r="G393" t="s">
        <v>15320</v>
      </c>
      <c r="H393" t="s">
        <v>15879</v>
      </c>
      <c r="I393" s="16">
        <v>66</v>
      </c>
      <c r="J393" t="s">
        <v>15941</v>
      </c>
      <c r="L393" s="16">
        <v>11</v>
      </c>
      <c r="M393" t="s">
        <v>15605</v>
      </c>
      <c r="N393" t="s">
        <v>671</v>
      </c>
      <c r="O393" t="s">
        <v>15329</v>
      </c>
    </row>
    <row r="394" spans="1:15" x14ac:dyDescent="0.35">
      <c r="A394">
        <v>17651</v>
      </c>
      <c r="B394" t="s">
        <v>15277</v>
      </c>
      <c r="C394" t="s">
        <v>671</v>
      </c>
      <c r="D394" t="s">
        <v>954</v>
      </c>
      <c r="E394" t="s">
        <v>15327</v>
      </c>
      <c r="F394" t="s">
        <v>15335</v>
      </c>
      <c r="G394" t="s">
        <v>15320</v>
      </c>
      <c r="H394" t="s">
        <v>15879</v>
      </c>
      <c r="I394" s="16">
        <v>72</v>
      </c>
      <c r="J394" t="s">
        <v>15941</v>
      </c>
      <c r="L394" s="16">
        <v>15</v>
      </c>
      <c r="M394" t="s">
        <v>15646</v>
      </c>
      <c r="N394" t="s">
        <v>671</v>
      </c>
      <c r="O394" t="s">
        <v>15329</v>
      </c>
    </row>
    <row r="395" spans="1:15" x14ac:dyDescent="0.35">
      <c r="A395">
        <v>17651</v>
      </c>
      <c r="B395" t="s">
        <v>15277</v>
      </c>
      <c r="C395" t="s">
        <v>671</v>
      </c>
      <c r="D395" t="s">
        <v>954</v>
      </c>
      <c r="E395" t="s">
        <v>15327</v>
      </c>
      <c r="F395" t="s">
        <v>15335</v>
      </c>
      <c r="G395" t="s">
        <v>15320</v>
      </c>
      <c r="H395" t="s">
        <v>15879</v>
      </c>
      <c r="I395" s="16">
        <v>73</v>
      </c>
      <c r="J395" t="s">
        <v>15941</v>
      </c>
      <c r="L395" s="16">
        <v>13</v>
      </c>
      <c r="M395" t="s">
        <v>15458</v>
      </c>
      <c r="N395" t="s">
        <v>671</v>
      </c>
      <c r="O395" t="s">
        <v>15329</v>
      </c>
    </row>
    <row r="396" spans="1:15" x14ac:dyDescent="0.35">
      <c r="A396">
        <v>17651</v>
      </c>
      <c r="B396" t="s">
        <v>15277</v>
      </c>
      <c r="C396" t="s">
        <v>671</v>
      </c>
      <c r="D396" t="s">
        <v>954</v>
      </c>
      <c r="E396" t="s">
        <v>15327</v>
      </c>
      <c r="F396" t="s">
        <v>15335</v>
      </c>
      <c r="G396" t="s">
        <v>15320</v>
      </c>
      <c r="H396" t="s">
        <v>15879</v>
      </c>
      <c r="I396" s="16">
        <v>76</v>
      </c>
      <c r="J396" t="s">
        <v>15941</v>
      </c>
      <c r="L396" s="16">
        <v>3</v>
      </c>
      <c r="M396" t="s">
        <v>15589</v>
      </c>
      <c r="N396" t="s">
        <v>671</v>
      </c>
      <c r="O396" t="s">
        <v>15329</v>
      </c>
    </row>
    <row r="397" spans="1:15" x14ac:dyDescent="0.35">
      <c r="A397">
        <v>17651</v>
      </c>
      <c r="B397" t="s">
        <v>15277</v>
      </c>
      <c r="C397" t="s">
        <v>671</v>
      </c>
      <c r="D397" t="s">
        <v>954</v>
      </c>
      <c r="E397" t="s">
        <v>15327</v>
      </c>
      <c r="F397" t="s">
        <v>15335</v>
      </c>
      <c r="G397" t="s">
        <v>15320</v>
      </c>
      <c r="H397" t="s">
        <v>15879</v>
      </c>
      <c r="I397" s="16">
        <v>50</v>
      </c>
      <c r="J397" t="s">
        <v>15941</v>
      </c>
      <c r="L397" s="16">
        <v>14</v>
      </c>
      <c r="M397" t="s">
        <v>15396</v>
      </c>
      <c r="N397" t="s">
        <v>954</v>
      </c>
      <c r="O397" t="s">
        <v>15325</v>
      </c>
    </row>
    <row r="398" spans="1:15" x14ac:dyDescent="0.35">
      <c r="A398">
        <v>17651</v>
      </c>
      <c r="B398" t="s">
        <v>15277</v>
      </c>
      <c r="C398" t="s">
        <v>671</v>
      </c>
      <c r="D398" t="s">
        <v>954</v>
      </c>
      <c r="E398" t="s">
        <v>15327</v>
      </c>
      <c r="F398" t="s">
        <v>15335</v>
      </c>
      <c r="G398" t="s">
        <v>15320</v>
      </c>
      <c r="H398" t="s">
        <v>15879</v>
      </c>
      <c r="I398" s="16">
        <v>50</v>
      </c>
      <c r="J398" t="s">
        <v>15941</v>
      </c>
      <c r="L398" s="16">
        <v>1</v>
      </c>
      <c r="M398" t="s">
        <v>15576</v>
      </c>
      <c r="N398" t="s">
        <v>954</v>
      </c>
      <c r="O398" t="s">
        <v>15325</v>
      </c>
    </row>
    <row r="399" spans="1:15" x14ac:dyDescent="0.35">
      <c r="A399">
        <v>17651</v>
      </c>
      <c r="B399" t="s">
        <v>15277</v>
      </c>
      <c r="C399" t="s">
        <v>671</v>
      </c>
      <c r="D399" t="s">
        <v>954</v>
      </c>
      <c r="E399" t="s">
        <v>15327</v>
      </c>
      <c r="F399" t="s">
        <v>15335</v>
      </c>
      <c r="G399" t="s">
        <v>15320</v>
      </c>
      <c r="H399" t="s">
        <v>15879</v>
      </c>
      <c r="I399" s="16">
        <v>50</v>
      </c>
      <c r="J399" t="s">
        <v>15941</v>
      </c>
      <c r="L399" s="16">
        <v>3</v>
      </c>
      <c r="M399" t="s">
        <v>15333</v>
      </c>
      <c r="N399" t="s">
        <v>954</v>
      </c>
      <c r="O399" t="s">
        <v>15325</v>
      </c>
    </row>
    <row r="400" spans="1:15" x14ac:dyDescent="0.35">
      <c r="A400">
        <v>17651</v>
      </c>
      <c r="B400" t="s">
        <v>15277</v>
      </c>
      <c r="C400" t="s">
        <v>671</v>
      </c>
      <c r="D400" t="s">
        <v>954</v>
      </c>
      <c r="E400" t="s">
        <v>15327</v>
      </c>
      <c r="F400" t="s">
        <v>15335</v>
      </c>
      <c r="G400" t="s">
        <v>15320</v>
      </c>
      <c r="H400" t="s">
        <v>15879</v>
      </c>
      <c r="I400" s="16">
        <v>60</v>
      </c>
      <c r="J400" t="s">
        <v>15941</v>
      </c>
      <c r="L400" s="16">
        <v>9</v>
      </c>
      <c r="M400" t="s">
        <v>15515</v>
      </c>
      <c r="N400" t="s">
        <v>954</v>
      </c>
      <c r="O400" t="s">
        <v>15325</v>
      </c>
    </row>
    <row r="401" spans="1:15" x14ac:dyDescent="0.35">
      <c r="A401">
        <v>17651</v>
      </c>
      <c r="B401" t="s">
        <v>15277</v>
      </c>
      <c r="C401" t="s">
        <v>671</v>
      </c>
      <c r="D401" t="s">
        <v>954</v>
      </c>
      <c r="E401" t="s">
        <v>15327</v>
      </c>
      <c r="F401" t="s">
        <v>15335</v>
      </c>
      <c r="G401" t="s">
        <v>15320</v>
      </c>
      <c r="H401" t="s">
        <v>15879</v>
      </c>
      <c r="I401" s="16">
        <v>65</v>
      </c>
      <c r="J401" t="s">
        <v>15941</v>
      </c>
      <c r="L401" s="16">
        <v>4</v>
      </c>
      <c r="M401" t="s">
        <v>15534</v>
      </c>
      <c r="N401" t="s">
        <v>954</v>
      </c>
      <c r="O401" t="s">
        <v>15325</v>
      </c>
    </row>
    <row r="402" spans="1:15" x14ac:dyDescent="0.35">
      <c r="A402">
        <v>17651</v>
      </c>
      <c r="B402" t="s">
        <v>15277</v>
      </c>
      <c r="C402" t="s">
        <v>671</v>
      </c>
      <c r="D402" t="s">
        <v>954</v>
      </c>
      <c r="E402" t="s">
        <v>15327</v>
      </c>
      <c r="F402" t="s">
        <v>15335</v>
      </c>
      <c r="G402" t="s">
        <v>15320</v>
      </c>
      <c r="H402" t="s">
        <v>15879</v>
      </c>
      <c r="I402" s="16">
        <v>65</v>
      </c>
      <c r="J402" t="s">
        <v>15941</v>
      </c>
      <c r="L402" s="16">
        <v>7</v>
      </c>
      <c r="M402" t="s">
        <v>15578</v>
      </c>
      <c r="N402" t="s">
        <v>954</v>
      </c>
      <c r="O402" t="s">
        <v>15325</v>
      </c>
    </row>
    <row r="403" spans="1:15" x14ac:dyDescent="0.35">
      <c r="A403">
        <v>17651</v>
      </c>
      <c r="B403" t="s">
        <v>15277</v>
      </c>
      <c r="C403" t="s">
        <v>671</v>
      </c>
      <c r="D403" t="s">
        <v>954</v>
      </c>
      <c r="E403" t="s">
        <v>15327</v>
      </c>
      <c r="F403" t="s">
        <v>15335</v>
      </c>
      <c r="G403" t="s">
        <v>15320</v>
      </c>
      <c r="H403" t="s">
        <v>15879</v>
      </c>
      <c r="I403" s="16">
        <v>70</v>
      </c>
      <c r="J403" t="s">
        <v>15941</v>
      </c>
      <c r="L403" s="16">
        <v>11</v>
      </c>
      <c r="M403" t="s">
        <v>15459</v>
      </c>
      <c r="N403" t="s">
        <v>954</v>
      </c>
      <c r="O403" t="s">
        <v>15325</v>
      </c>
    </row>
    <row r="404" spans="1:15" x14ac:dyDescent="0.35">
      <c r="A404">
        <v>17651</v>
      </c>
      <c r="B404" t="s">
        <v>15277</v>
      </c>
      <c r="C404" t="s">
        <v>671</v>
      </c>
      <c r="D404" t="s">
        <v>954</v>
      </c>
      <c r="E404" t="s">
        <v>15327</v>
      </c>
      <c r="F404" t="s">
        <v>15335</v>
      </c>
      <c r="G404" t="s">
        <v>15320</v>
      </c>
      <c r="H404" t="s">
        <v>15879</v>
      </c>
      <c r="I404" s="16">
        <v>70</v>
      </c>
      <c r="J404" t="s">
        <v>15941</v>
      </c>
      <c r="L404" s="16">
        <v>2</v>
      </c>
      <c r="M404" t="s">
        <v>15591</v>
      </c>
      <c r="N404" t="s">
        <v>954</v>
      </c>
      <c r="O404" t="s">
        <v>15325</v>
      </c>
    </row>
    <row r="405" spans="1:15" x14ac:dyDescent="0.35">
      <c r="A405">
        <v>17651</v>
      </c>
      <c r="B405" t="s">
        <v>15277</v>
      </c>
      <c r="C405" t="s">
        <v>1395</v>
      </c>
      <c r="D405" t="s">
        <v>809</v>
      </c>
      <c r="E405" t="s">
        <v>15327</v>
      </c>
      <c r="F405" t="s">
        <v>15328</v>
      </c>
      <c r="G405" t="s">
        <v>15320</v>
      </c>
      <c r="H405" t="s">
        <v>15879</v>
      </c>
      <c r="I405" s="16" t="s">
        <v>15412</v>
      </c>
      <c r="J405" t="s">
        <v>15941</v>
      </c>
      <c r="L405" s="16" t="s">
        <v>2151</v>
      </c>
      <c r="M405" t="s">
        <v>15844</v>
      </c>
      <c r="N405" t="s">
        <v>1395</v>
      </c>
      <c r="O405" t="s">
        <v>15329</v>
      </c>
    </row>
    <row r="406" spans="1:15" x14ac:dyDescent="0.35">
      <c r="A406">
        <v>17651</v>
      </c>
      <c r="B406" t="s">
        <v>15277</v>
      </c>
      <c r="C406" t="s">
        <v>1395</v>
      </c>
      <c r="D406" t="s">
        <v>809</v>
      </c>
      <c r="E406" t="s">
        <v>15327</v>
      </c>
      <c r="F406" t="s">
        <v>15328</v>
      </c>
      <c r="G406" t="s">
        <v>15320</v>
      </c>
      <c r="H406" t="s">
        <v>15879</v>
      </c>
      <c r="I406" s="16" t="s">
        <v>15911</v>
      </c>
      <c r="J406" t="s">
        <v>15941</v>
      </c>
      <c r="L406" s="16" t="s">
        <v>15364</v>
      </c>
      <c r="M406" t="s">
        <v>15754</v>
      </c>
      <c r="N406" t="s">
        <v>1395</v>
      </c>
      <c r="O406" t="s">
        <v>15329</v>
      </c>
    </row>
    <row r="407" spans="1:15" x14ac:dyDescent="0.35">
      <c r="A407">
        <v>17651</v>
      </c>
      <c r="B407" t="s">
        <v>15277</v>
      </c>
      <c r="C407" t="s">
        <v>1395</v>
      </c>
      <c r="D407" t="s">
        <v>809</v>
      </c>
      <c r="E407" t="s">
        <v>15327</v>
      </c>
      <c r="F407" t="s">
        <v>15328</v>
      </c>
      <c r="G407" t="s">
        <v>15320</v>
      </c>
      <c r="H407" t="s">
        <v>15879</v>
      </c>
      <c r="I407" s="16" t="s">
        <v>15911</v>
      </c>
      <c r="J407" t="s">
        <v>15941</v>
      </c>
      <c r="L407" s="16" t="s">
        <v>15337</v>
      </c>
      <c r="M407" t="s">
        <v>15349</v>
      </c>
      <c r="N407" t="s">
        <v>1395</v>
      </c>
      <c r="O407" t="s">
        <v>15329</v>
      </c>
    </row>
    <row r="408" spans="1:15" x14ac:dyDescent="0.35">
      <c r="A408">
        <v>17651</v>
      </c>
      <c r="B408" t="s">
        <v>15277</v>
      </c>
      <c r="C408" t="s">
        <v>1395</v>
      </c>
      <c r="D408" t="s">
        <v>809</v>
      </c>
      <c r="E408" t="s">
        <v>15327</v>
      </c>
      <c r="F408" t="s">
        <v>15328</v>
      </c>
      <c r="G408" t="s">
        <v>15320</v>
      </c>
      <c r="H408" t="s">
        <v>15879</v>
      </c>
      <c r="I408" s="16" t="s">
        <v>15911</v>
      </c>
      <c r="J408" t="s">
        <v>15941</v>
      </c>
      <c r="L408" s="16" t="s">
        <v>15399</v>
      </c>
      <c r="M408" t="s">
        <v>15725</v>
      </c>
      <c r="N408" t="s">
        <v>1395</v>
      </c>
      <c r="O408" t="s">
        <v>15329</v>
      </c>
    </row>
    <row r="409" spans="1:15" x14ac:dyDescent="0.35">
      <c r="A409">
        <v>17651</v>
      </c>
      <c r="B409" t="s">
        <v>15277</v>
      </c>
      <c r="C409" t="s">
        <v>1395</v>
      </c>
      <c r="D409" t="s">
        <v>809</v>
      </c>
      <c r="E409" t="s">
        <v>15327</v>
      </c>
      <c r="F409" t="s">
        <v>15328</v>
      </c>
      <c r="G409" t="s">
        <v>15320</v>
      </c>
      <c r="H409" t="s">
        <v>15879</v>
      </c>
      <c r="I409" s="16" t="s">
        <v>15911</v>
      </c>
      <c r="J409" t="s">
        <v>15941</v>
      </c>
      <c r="L409" s="16" t="s">
        <v>15331</v>
      </c>
      <c r="M409" t="s">
        <v>15473</v>
      </c>
      <c r="N409" t="s">
        <v>1395</v>
      </c>
      <c r="O409" t="s">
        <v>15329</v>
      </c>
    </row>
    <row r="410" spans="1:15" x14ac:dyDescent="0.35">
      <c r="A410">
        <v>17651</v>
      </c>
      <c r="B410" t="s">
        <v>15277</v>
      </c>
      <c r="C410" t="s">
        <v>1395</v>
      </c>
      <c r="D410" t="s">
        <v>809</v>
      </c>
      <c r="E410" t="s">
        <v>15327</v>
      </c>
      <c r="F410" t="s">
        <v>15328</v>
      </c>
      <c r="G410" t="s">
        <v>15320</v>
      </c>
      <c r="H410" t="s">
        <v>15879</v>
      </c>
      <c r="I410" s="16" t="s">
        <v>15903</v>
      </c>
      <c r="J410" t="s">
        <v>15941</v>
      </c>
      <c r="L410" s="16" t="s">
        <v>15404</v>
      </c>
      <c r="M410" t="s">
        <v>15532</v>
      </c>
      <c r="N410" t="s">
        <v>1395</v>
      </c>
      <c r="O410" t="s">
        <v>15329</v>
      </c>
    </row>
    <row r="411" spans="1:15" x14ac:dyDescent="0.35">
      <c r="A411">
        <v>17651</v>
      </c>
      <c r="B411" t="s">
        <v>15277</v>
      </c>
      <c r="C411" t="s">
        <v>1395</v>
      </c>
      <c r="D411" t="s">
        <v>809</v>
      </c>
      <c r="E411" t="s">
        <v>15327</v>
      </c>
      <c r="F411" t="s">
        <v>15328</v>
      </c>
      <c r="G411" t="s">
        <v>15320</v>
      </c>
      <c r="H411" t="s">
        <v>15879</v>
      </c>
      <c r="I411" s="16" t="s">
        <v>15909</v>
      </c>
      <c r="J411" t="s">
        <v>15941</v>
      </c>
      <c r="L411" s="16" t="s">
        <v>15354</v>
      </c>
      <c r="M411" t="s">
        <v>15353</v>
      </c>
      <c r="N411" t="s">
        <v>1395</v>
      </c>
      <c r="O411" t="s">
        <v>15329</v>
      </c>
    </row>
    <row r="412" spans="1:15" x14ac:dyDescent="0.35">
      <c r="A412">
        <v>17651</v>
      </c>
      <c r="B412" t="s">
        <v>15277</v>
      </c>
      <c r="C412" t="s">
        <v>1395</v>
      </c>
      <c r="D412" t="s">
        <v>809</v>
      </c>
      <c r="E412" t="s">
        <v>15327</v>
      </c>
      <c r="F412" t="s">
        <v>15328</v>
      </c>
      <c r="G412" t="s">
        <v>15320</v>
      </c>
      <c r="H412" t="s">
        <v>15879</v>
      </c>
      <c r="I412" s="16" t="s">
        <v>15922</v>
      </c>
      <c r="J412" t="s">
        <v>15941</v>
      </c>
      <c r="L412" s="16" t="s">
        <v>2197</v>
      </c>
      <c r="M412" t="s">
        <v>15322</v>
      </c>
      <c r="N412" t="s">
        <v>1395</v>
      </c>
      <c r="O412" t="s">
        <v>15329</v>
      </c>
    </row>
    <row r="413" spans="1:15" x14ac:dyDescent="0.35">
      <c r="A413">
        <v>17651</v>
      </c>
      <c r="B413" t="s">
        <v>15277</v>
      </c>
      <c r="C413" t="s">
        <v>1395</v>
      </c>
      <c r="D413" t="s">
        <v>809</v>
      </c>
      <c r="E413" t="s">
        <v>15327</v>
      </c>
      <c r="F413" t="s">
        <v>15328</v>
      </c>
      <c r="G413" t="s">
        <v>15320</v>
      </c>
      <c r="H413" t="s">
        <v>15879</v>
      </c>
      <c r="I413" s="16" t="s">
        <v>15920</v>
      </c>
      <c r="J413" t="s">
        <v>15941</v>
      </c>
      <c r="L413" s="16" t="s">
        <v>15399</v>
      </c>
      <c r="M413" t="s">
        <v>15499</v>
      </c>
      <c r="N413" t="s">
        <v>809</v>
      </c>
      <c r="O413" t="s">
        <v>15325</v>
      </c>
    </row>
    <row r="414" spans="1:15" x14ac:dyDescent="0.35">
      <c r="A414">
        <v>17651</v>
      </c>
      <c r="B414" t="s">
        <v>15277</v>
      </c>
      <c r="C414" t="s">
        <v>1395</v>
      </c>
      <c r="D414" t="s">
        <v>809</v>
      </c>
      <c r="E414" t="s">
        <v>15327</v>
      </c>
      <c r="F414" t="s">
        <v>15328</v>
      </c>
      <c r="G414" t="s">
        <v>15320</v>
      </c>
      <c r="H414" t="s">
        <v>15879</v>
      </c>
      <c r="I414" s="16" t="s">
        <v>15920</v>
      </c>
      <c r="J414" t="s">
        <v>15941</v>
      </c>
      <c r="L414" s="16" t="s">
        <v>15331</v>
      </c>
      <c r="M414" t="s">
        <v>15520</v>
      </c>
      <c r="N414" t="s">
        <v>809</v>
      </c>
      <c r="O414" t="s">
        <v>15325</v>
      </c>
    </row>
    <row r="415" spans="1:15" x14ac:dyDescent="0.35">
      <c r="A415">
        <v>17651</v>
      </c>
      <c r="B415" t="s">
        <v>15277</v>
      </c>
      <c r="C415" t="s">
        <v>1395</v>
      </c>
      <c r="D415" t="s">
        <v>809</v>
      </c>
      <c r="E415" t="s">
        <v>15327</v>
      </c>
      <c r="F415" t="s">
        <v>15328</v>
      </c>
      <c r="G415" t="s">
        <v>15320</v>
      </c>
      <c r="H415" t="s">
        <v>15879</v>
      </c>
      <c r="I415" s="16" t="s">
        <v>15911</v>
      </c>
      <c r="J415" t="s">
        <v>15941</v>
      </c>
      <c r="L415" s="16" t="s">
        <v>15451</v>
      </c>
      <c r="M415" t="s">
        <v>15453</v>
      </c>
      <c r="N415" t="s">
        <v>809</v>
      </c>
      <c r="O415" t="s">
        <v>15325</v>
      </c>
    </row>
    <row r="416" spans="1:15" x14ac:dyDescent="0.35">
      <c r="A416">
        <v>17651</v>
      </c>
      <c r="B416" t="s">
        <v>15277</v>
      </c>
      <c r="C416" t="s">
        <v>1395</v>
      </c>
      <c r="D416" t="s">
        <v>809</v>
      </c>
      <c r="E416" t="s">
        <v>15327</v>
      </c>
      <c r="F416" t="s">
        <v>15328</v>
      </c>
      <c r="G416" t="s">
        <v>15320</v>
      </c>
      <c r="H416" t="s">
        <v>15879</v>
      </c>
      <c r="I416" s="16" t="s">
        <v>15911</v>
      </c>
      <c r="J416" t="s">
        <v>15941</v>
      </c>
      <c r="L416" s="16" t="s">
        <v>15409</v>
      </c>
      <c r="M416" t="s">
        <v>15699</v>
      </c>
      <c r="N416" t="s">
        <v>809</v>
      </c>
      <c r="O416" t="s">
        <v>15325</v>
      </c>
    </row>
    <row r="417" spans="1:15" x14ac:dyDescent="0.35">
      <c r="A417">
        <v>17651</v>
      </c>
      <c r="B417" t="s">
        <v>15277</v>
      </c>
      <c r="C417" t="s">
        <v>1395</v>
      </c>
      <c r="D417" t="s">
        <v>809</v>
      </c>
      <c r="E417" t="s">
        <v>15327</v>
      </c>
      <c r="F417" t="s">
        <v>15328</v>
      </c>
      <c r="G417" t="s">
        <v>15320</v>
      </c>
      <c r="H417" t="s">
        <v>15879</v>
      </c>
      <c r="I417" s="16" t="s">
        <v>15911</v>
      </c>
      <c r="J417" t="s">
        <v>15941</v>
      </c>
      <c r="L417" s="16" t="s">
        <v>15363</v>
      </c>
      <c r="M417" t="s">
        <v>15677</v>
      </c>
      <c r="N417" t="s">
        <v>809</v>
      </c>
      <c r="O417" t="s">
        <v>15325</v>
      </c>
    </row>
    <row r="418" spans="1:15" x14ac:dyDescent="0.35">
      <c r="A418">
        <v>17651</v>
      </c>
      <c r="B418" t="s">
        <v>15277</v>
      </c>
      <c r="C418" t="s">
        <v>1395</v>
      </c>
      <c r="D418" t="s">
        <v>809</v>
      </c>
      <c r="E418" t="s">
        <v>15327</v>
      </c>
      <c r="F418" t="s">
        <v>15328</v>
      </c>
      <c r="G418" t="s">
        <v>15320</v>
      </c>
      <c r="H418" t="s">
        <v>15879</v>
      </c>
      <c r="I418" s="16" t="s">
        <v>15918</v>
      </c>
      <c r="J418" t="s">
        <v>15941</v>
      </c>
      <c r="L418" s="16" t="s">
        <v>15337</v>
      </c>
      <c r="M418" t="s">
        <v>15628</v>
      </c>
      <c r="N418" t="s">
        <v>809</v>
      </c>
      <c r="O418" t="s">
        <v>15325</v>
      </c>
    </row>
    <row r="419" spans="1:15" x14ac:dyDescent="0.35">
      <c r="A419">
        <v>17651</v>
      </c>
      <c r="B419" t="s">
        <v>15277</v>
      </c>
      <c r="C419" t="s">
        <v>1395</v>
      </c>
      <c r="D419" t="s">
        <v>809</v>
      </c>
      <c r="E419" t="s">
        <v>15327</v>
      </c>
      <c r="F419" t="s">
        <v>15328</v>
      </c>
      <c r="G419" t="s">
        <v>15320</v>
      </c>
      <c r="H419" t="s">
        <v>15879</v>
      </c>
      <c r="I419" s="16" t="s">
        <v>15885</v>
      </c>
      <c r="J419" t="s">
        <v>15941</v>
      </c>
      <c r="L419" s="16" t="s">
        <v>2135</v>
      </c>
      <c r="M419" t="s">
        <v>15471</v>
      </c>
      <c r="N419" t="s">
        <v>809</v>
      </c>
      <c r="O419" t="s">
        <v>15325</v>
      </c>
    </row>
    <row r="420" spans="1:15" x14ac:dyDescent="0.35">
      <c r="A420">
        <v>17651</v>
      </c>
      <c r="B420" t="s">
        <v>15277</v>
      </c>
      <c r="C420" t="s">
        <v>1395</v>
      </c>
      <c r="D420" t="s">
        <v>809</v>
      </c>
      <c r="E420" t="s">
        <v>15327</v>
      </c>
      <c r="F420" t="s">
        <v>15328</v>
      </c>
      <c r="G420" t="s">
        <v>15320</v>
      </c>
      <c r="H420" t="s">
        <v>15879</v>
      </c>
      <c r="I420" s="16" t="s">
        <v>15892</v>
      </c>
      <c r="J420" t="s">
        <v>15941</v>
      </c>
      <c r="L420" s="16" t="s">
        <v>15420</v>
      </c>
      <c r="M420" t="s">
        <v>15816</v>
      </c>
      <c r="N420" t="s">
        <v>809</v>
      </c>
      <c r="O420" t="s">
        <v>15325</v>
      </c>
    </row>
    <row r="421" spans="1:15" x14ac:dyDescent="0.35">
      <c r="A421">
        <v>17651</v>
      </c>
      <c r="B421" t="s">
        <v>15277</v>
      </c>
      <c r="C421" t="s">
        <v>557</v>
      </c>
      <c r="D421" t="s">
        <v>431</v>
      </c>
      <c r="E421" t="s">
        <v>15319</v>
      </c>
      <c r="F421" t="s">
        <v>427</v>
      </c>
      <c r="G421" t="s">
        <v>15320</v>
      </c>
      <c r="H421" t="s">
        <v>15875</v>
      </c>
      <c r="I421" s="16" t="s">
        <v>15894</v>
      </c>
      <c r="J421" t="s">
        <v>15943</v>
      </c>
      <c r="K421">
        <v>5</v>
      </c>
      <c r="L421" s="16" t="s">
        <v>15364</v>
      </c>
      <c r="M421" t="s">
        <v>15739</v>
      </c>
      <c r="N421" t="s">
        <v>557</v>
      </c>
      <c r="O421" t="s">
        <v>15329</v>
      </c>
    </row>
    <row r="422" spans="1:15" x14ac:dyDescent="0.35">
      <c r="A422">
        <v>17651</v>
      </c>
      <c r="B422" t="s">
        <v>15277</v>
      </c>
      <c r="C422" t="s">
        <v>557</v>
      </c>
      <c r="D422" t="s">
        <v>431</v>
      </c>
      <c r="E422" t="s">
        <v>15319</v>
      </c>
      <c r="F422" t="s">
        <v>427</v>
      </c>
      <c r="G422" t="s">
        <v>15320</v>
      </c>
      <c r="H422" t="s">
        <v>15875</v>
      </c>
      <c r="I422" s="16" t="s">
        <v>15451</v>
      </c>
      <c r="J422" t="s">
        <v>15943</v>
      </c>
      <c r="K422">
        <v>5</v>
      </c>
      <c r="L422" s="16" t="s">
        <v>15420</v>
      </c>
      <c r="M422" t="s">
        <v>15663</v>
      </c>
      <c r="N422" t="s">
        <v>557</v>
      </c>
      <c r="O422" t="s">
        <v>15329</v>
      </c>
    </row>
    <row r="423" spans="1:15" x14ac:dyDescent="0.35">
      <c r="A423">
        <v>17651</v>
      </c>
      <c r="B423" t="s">
        <v>15277</v>
      </c>
      <c r="C423" t="s">
        <v>557</v>
      </c>
      <c r="D423" t="s">
        <v>431</v>
      </c>
      <c r="E423" t="s">
        <v>15319</v>
      </c>
      <c r="F423" t="s">
        <v>427</v>
      </c>
      <c r="G423" t="s">
        <v>15320</v>
      </c>
      <c r="H423" t="s">
        <v>15875</v>
      </c>
      <c r="I423" s="16" t="s">
        <v>15944</v>
      </c>
      <c r="J423" t="s">
        <v>15943</v>
      </c>
      <c r="K423">
        <v>5</v>
      </c>
      <c r="L423" s="16" t="s">
        <v>15354</v>
      </c>
      <c r="M423" t="s">
        <v>15440</v>
      </c>
      <c r="N423" t="s">
        <v>557</v>
      </c>
      <c r="O423" t="s">
        <v>15329</v>
      </c>
    </row>
    <row r="424" spans="1:15" x14ac:dyDescent="0.35">
      <c r="A424">
        <v>17651</v>
      </c>
      <c r="B424" t="s">
        <v>15277</v>
      </c>
      <c r="C424" t="s">
        <v>557</v>
      </c>
      <c r="D424" t="s">
        <v>431</v>
      </c>
      <c r="E424" t="s">
        <v>15319</v>
      </c>
      <c r="F424" t="s">
        <v>427</v>
      </c>
      <c r="G424" t="s">
        <v>15320</v>
      </c>
      <c r="H424" t="s">
        <v>15879</v>
      </c>
      <c r="I424" s="16" t="s">
        <v>15895</v>
      </c>
      <c r="J424" t="s">
        <v>15943</v>
      </c>
      <c r="K424">
        <v>5</v>
      </c>
      <c r="L424" s="16" t="s">
        <v>15354</v>
      </c>
      <c r="M424" t="s">
        <v>15440</v>
      </c>
      <c r="N424" t="s">
        <v>557</v>
      </c>
      <c r="O424" t="s">
        <v>15329</v>
      </c>
    </row>
    <row r="425" spans="1:15" x14ac:dyDescent="0.35">
      <c r="A425">
        <v>17651</v>
      </c>
      <c r="B425" t="s">
        <v>15277</v>
      </c>
      <c r="C425" t="s">
        <v>557</v>
      </c>
      <c r="D425" t="s">
        <v>431</v>
      </c>
      <c r="E425" t="s">
        <v>15319</v>
      </c>
      <c r="F425" t="s">
        <v>427</v>
      </c>
      <c r="G425" t="s">
        <v>15320</v>
      </c>
      <c r="H425" t="s">
        <v>15879</v>
      </c>
      <c r="I425" s="16" t="s">
        <v>15945</v>
      </c>
      <c r="J425" t="s">
        <v>15943</v>
      </c>
      <c r="K425">
        <v>5</v>
      </c>
      <c r="L425" s="16" t="s">
        <v>15412</v>
      </c>
      <c r="M425" t="s">
        <v>15818</v>
      </c>
      <c r="N425" t="s">
        <v>557</v>
      </c>
      <c r="O425" t="s">
        <v>15329</v>
      </c>
    </row>
    <row r="426" spans="1:15" x14ac:dyDescent="0.35">
      <c r="A426">
        <v>17651</v>
      </c>
      <c r="B426" t="s">
        <v>15277</v>
      </c>
      <c r="C426" t="s">
        <v>557</v>
      </c>
      <c r="D426" t="s">
        <v>431</v>
      </c>
      <c r="E426" t="s">
        <v>15319</v>
      </c>
      <c r="F426" t="s">
        <v>427</v>
      </c>
      <c r="G426" t="s">
        <v>15320</v>
      </c>
      <c r="H426" t="s">
        <v>15879</v>
      </c>
      <c r="I426" s="16" t="s">
        <v>15904</v>
      </c>
      <c r="J426" t="s">
        <v>15943</v>
      </c>
      <c r="K426">
        <v>5</v>
      </c>
      <c r="L426" s="16" t="s">
        <v>15381</v>
      </c>
      <c r="M426" t="s">
        <v>15946</v>
      </c>
      <c r="N426" t="s">
        <v>557</v>
      </c>
      <c r="O426" t="s">
        <v>15329</v>
      </c>
    </row>
    <row r="427" spans="1:15" x14ac:dyDescent="0.35">
      <c r="A427">
        <v>17651</v>
      </c>
      <c r="B427" t="s">
        <v>15277</v>
      </c>
      <c r="C427" t="s">
        <v>557</v>
      </c>
      <c r="D427" t="s">
        <v>431</v>
      </c>
      <c r="E427" t="s">
        <v>15319</v>
      </c>
      <c r="F427" t="s">
        <v>427</v>
      </c>
      <c r="G427" t="s">
        <v>15320</v>
      </c>
      <c r="H427" t="s">
        <v>15875</v>
      </c>
      <c r="I427" s="16" t="s">
        <v>15947</v>
      </c>
      <c r="J427" t="s">
        <v>15943</v>
      </c>
      <c r="K427">
        <v>5</v>
      </c>
      <c r="L427" s="16" t="s">
        <v>15363</v>
      </c>
      <c r="M427" t="s">
        <v>15488</v>
      </c>
      <c r="N427" t="s">
        <v>431</v>
      </c>
      <c r="O427" t="s">
        <v>15325</v>
      </c>
    </row>
    <row r="428" spans="1:15" x14ac:dyDescent="0.35">
      <c r="A428">
        <v>17651</v>
      </c>
      <c r="B428" t="s">
        <v>15277</v>
      </c>
      <c r="C428" t="s">
        <v>557</v>
      </c>
      <c r="D428" t="s">
        <v>431</v>
      </c>
      <c r="E428" t="s">
        <v>15319</v>
      </c>
      <c r="F428" t="s">
        <v>427</v>
      </c>
      <c r="G428" t="s">
        <v>15320</v>
      </c>
      <c r="H428" t="s">
        <v>15875</v>
      </c>
      <c r="I428" s="16" t="s">
        <v>15347</v>
      </c>
      <c r="J428" t="s">
        <v>15943</v>
      </c>
      <c r="K428">
        <v>5</v>
      </c>
      <c r="L428" s="16" t="s">
        <v>15364</v>
      </c>
      <c r="M428" t="s">
        <v>15691</v>
      </c>
      <c r="N428" t="s">
        <v>431</v>
      </c>
      <c r="O428" t="s">
        <v>15325</v>
      </c>
    </row>
    <row r="429" spans="1:15" x14ac:dyDescent="0.35">
      <c r="A429">
        <v>17651</v>
      </c>
      <c r="B429" t="s">
        <v>15277</v>
      </c>
      <c r="C429" t="s">
        <v>557</v>
      </c>
      <c r="D429" t="s">
        <v>431</v>
      </c>
      <c r="E429" t="s">
        <v>15319</v>
      </c>
      <c r="F429" t="s">
        <v>427</v>
      </c>
      <c r="G429" t="s">
        <v>15320</v>
      </c>
      <c r="H429" t="s">
        <v>15879</v>
      </c>
      <c r="I429" s="16" t="s">
        <v>15912</v>
      </c>
      <c r="J429" t="s">
        <v>15943</v>
      </c>
      <c r="K429">
        <v>5</v>
      </c>
      <c r="L429" s="16" t="s">
        <v>15476</v>
      </c>
      <c r="M429" t="s">
        <v>15733</v>
      </c>
      <c r="N429" t="s">
        <v>431</v>
      </c>
      <c r="O429" t="s">
        <v>15325</v>
      </c>
    </row>
    <row r="430" spans="1:15" x14ac:dyDescent="0.35">
      <c r="A430">
        <v>17651</v>
      </c>
      <c r="B430" t="s">
        <v>15277</v>
      </c>
      <c r="C430" t="s">
        <v>27</v>
      </c>
      <c r="D430" t="s">
        <v>238</v>
      </c>
      <c r="E430" t="s">
        <v>15319</v>
      </c>
      <c r="F430" t="s">
        <v>15377</v>
      </c>
      <c r="G430" t="s">
        <v>15320</v>
      </c>
      <c r="H430" t="s">
        <v>15875</v>
      </c>
      <c r="I430" s="16" t="s">
        <v>15893</v>
      </c>
      <c r="J430" t="s">
        <v>15943</v>
      </c>
      <c r="K430">
        <v>5</v>
      </c>
      <c r="L430" s="16" t="s">
        <v>15363</v>
      </c>
      <c r="M430" t="s">
        <v>15750</v>
      </c>
      <c r="N430" t="s">
        <v>27</v>
      </c>
      <c r="O430" t="s">
        <v>15329</v>
      </c>
    </row>
    <row r="431" spans="1:15" x14ac:dyDescent="0.35">
      <c r="A431">
        <v>17651</v>
      </c>
      <c r="B431" t="s">
        <v>15277</v>
      </c>
      <c r="C431" t="s">
        <v>27</v>
      </c>
      <c r="D431" t="s">
        <v>238</v>
      </c>
      <c r="E431" t="s">
        <v>15319</v>
      </c>
      <c r="F431" t="s">
        <v>15377</v>
      </c>
      <c r="G431" t="s">
        <v>15320</v>
      </c>
      <c r="H431" t="s">
        <v>15875</v>
      </c>
      <c r="I431" s="16" t="s">
        <v>15378</v>
      </c>
      <c r="J431" t="s">
        <v>15943</v>
      </c>
      <c r="K431">
        <v>5</v>
      </c>
      <c r="L431" s="16" t="s">
        <v>15451</v>
      </c>
      <c r="M431" t="s">
        <v>15758</v>
      </c>
      <c r="N431" t="s">
        <v>27</v>
      </c>
      <c r="O431" t="s">
        <v>15329</v>
      </c>
    </row>
    <row r="432" spans="1:15" x14ac:dyDescent="0.35">
      <c r="A432">
        <v>17651</v>
      </c>
      <c r="B432" t="s">
        <v>15277</v>
      </c>
      <c r="C432" t="s">
        <v>27</v>
      </c>
      <c r="D432" t="s">
        <v>238</v>
      </c>
      <c r="E432" t="s">
        <v>15319</v>
      </c>
      <c r="F432" t="s">
        <v>15377</v>
      </c>
      <c r="G432" t="s">
        <v>15320</v>
      </c>
      <c r="H432" t="s">
        <v>15875</v>
      </c>
      <c r="I432" s="16" t="s">
        <v>15359</v>
      </c>
      <c r="J432" t="s">
        <v>15943</v>
      </c>
      <c r="K432">
        <v>5</v>
      </c>
      <c r="L432" s="16" t="s">
        <v>15337</v>
      </c>
      <c r="M432" t="s">
        <v>15849</v>
      </c>
      <c r="N432" t="s">
        <v>27</v>
      </c>
      <c r="O432" t="s">
        <v>15329</v>
      </c>
    </row>
    <row r="433" spans="1:15" x14ac:dyDescent="0.35">
      <c r="A433">
        <v>17651</v>
      </c>
      <c r="B433" t="s">
        <v>15277</v>
      </c>
      <c r="C433" t="s">
        <v>27</v>
      </c>
      <c r="D433" t="s">
        <v>238</v>
      </c>
      <c r="E433" t="s">
        <v>15319</v>
      </c>
      <c r="F433" t="s">
        <v>15377</v>
      </c>
      <c r="G433" t="s">
        <v>15320</v>
      </c>
      <c r="H433" t="s">
        <v>15879</v>
      </c>
      <c r="I433" s="16" t="s">
        <v>15892</v>
      </c>
      <c r="J433" t="s">
        <v>15943</v>
      </c>
      <c r="K433">
        <v>5</v>
      </c>
      <c r="L433" s="16" t="s">
        <v>2197</v>
      </c>
      <c r="M433" t="s">
        <v>15948</v>
      </c>
      <c r="N433" t="s">
        <v>27</v>
      </c>
      <c r="O433" t="s">
        <v>15329</v>
      </c>
    </row>
    <row r="434" spans="1:15" x14ac:dyDescent="0.35">
      <c r="A434">
        <v>17651</v>
      </c>
      <c r="B434" t="s">
        <v>15277</v>
      </c>
      <c r="C434" t="s">
        <v>27</v>
      </c>
      <c r="D434" t="s">
        <v>238</v>
      </c>
      <c r="E434" t="s">
        <v>15319</v>
      </c>
      <c r="F434" t="s">
        <v>15377</v>
      </c>
      <c r="G434" t="s">
        <v>15320</v>
      </c>
      <c r="H434" t="s">
        <v>15875</v>
      </c>
      <c r="I434" s="16" t="s">
        <v>15894</v>
      </c>
      <c r="J434" t="s">
        <v>15943</v>
      </c>
      <c r="K434">
        <v>5</v>
      </c>
      <c r="L434" s="16" t="s">
        <v>15399</v>
      </c>
      <c r="M434" t="s">
        <v>15401</v>
      </c>
      <c r="N434" t="s">
        <v>238</v>
      </c>
      <c r="O434" t="s">
        <v>15325</v>
      </c>
    </row>
    <row r="435" spans="1:15" x14ac:dyDescent="0.35">
      <c r="A435">
        <v>17651</v>
      </c>
      <c r="B435" t="s">
        <v>15277</v>
      </c>
      <c r="C435" t="s">
        <v>27</v>
      </c>
      <c r="D435" t="s">
        <v>238</v>
      </c>
      <c r="E435" t="s">
        <v>15319</v>
      </c>
      <c r="F435" t="s">
        <v>15377</v>
      </c>
      <c r="G435" t="s">
        <v>15320</v>
      </c>
      <c r="H435" t="s">
        <v>15879</v>
      </c>
      <c r="I435" s="16" t="s">
        <v>15881</v>
      </c>
      <c r="J435" t="s">
        <v>15943</v>
      </c>
      <c r="K435">
        <v>5</v>
      </c>
      <c r="L435" s="16" t="s">
        <v>15476</v>
      </c>
      <c r="M435" t="s">
        <v>15383</v>
      </c>
      <c r="N435" t="s">
        <v>238</v>
      </c>
      <c r="O435" t="s">
        <v>15325</v>
      </c>
    </row>
    <row r="436" spans="1:15" x14ac:dyDescent="0.35">
      <c r="A436">
        <v>17651</v>
      </c>
      <c r="B436" t="s">
        <v>15277</v>
      </c>
      <c r="C436" t="s">
        <v>954</v>
      </c>
      <c r="D436" t="s">
        <v>1090</v>
      </c>
      <c r="E436" t="s">
        <v>15319</v>
      </c>
      <c r="F436" t="s">
        <v>950</v>
      </c>
      <c r="G436" t="s">
        <v>15320</v>
      </c>
      <c r="H436" t="s">
        <v>15875</v>
      </c>
      <c r="I436" s="16" t="s">
        <v>15342</v>
      </c>
      <c r="J436" t="s">
        <v>15943</v>
      </c>
      <c r="K436">
        <v>5</v>
      </c>
      <c r="L436" s="16" t="s">
        <v>15378</v>
      </c>
      <c r="M436" t="s">
        <v>15602</v>
      </c>
      <c r="N436" t="s">
        <v>954</v>
      </c>
      <c r="O436" t="s">
        <v>15329</v>
      </c>
    </row>
    <row r="437" spans="1:15" x14ac:dyDescent="0.35">
      <c r="A437">
        <v>17651</v>
      </c>
      <c r="B437" t="s">
        <v>15277</v>
      </c>
      <c r="C437" t="s">
        <v>954</v>
      </c>
      <c r="D437" t="s">
        <v>1090</v>
      </c>
      <c r="E437" t="s">
        <v>15319</v>
      </c>
      <c r="F437" t="s">
        <v>950</v>
      </c>
      <c r="G437" t="s">
        <v>15320</v>
      </c>
      <c r="H437" t="s">
        <v>15879</v>
      </c>
      <c r="I437" s="16" t="s">
        <v>15895</v>
      </c>
      <c r="J437" t="s">
        <v>15943</v>
      </c>
      <c r="K437">
        <v>5</v>
      </c>
      <c r="L437" s="16" t="s">
        <v>15378</v>
      </c>
      <c r="M437" t="s">
        <v>15602</v>
      </c>
      <c r="N437" t="s">
        <v>954</v>
      </c>
      <c r="O437" t="s">
        <v>15329</v>
      </c>
    </row>
    <row r="438" spans="1:15" x14ac:dyDescent="0.35">
      <c r="A438" t="s">
        <v>15326</v>
      </c>
      <c r="B438" t="s">
        <v>15277</v>
      </c>
      <c r="C438" t="s">
        <v>954</v>
      </c>
      <c r="D438" t="s">
        <v>1090</v>
      </c>
      <c r="E438" t="s">
        <v>15319</v>
      </c>
      <c r="F438" t="s">
        <v>950</v>
      </c>
      <c r="G438" t="s">
        <v>15320</v>
      </c>
      <c r="H438" t="s">
        <v>15875</v>
      </c>
      <c r="I438" s="16" t="s">
        <v>15891</v>
      </c>
      <c r="J438" t="s">
        <v>15943</v>
      </c>
      <c r="K438">
        <v>5</v>
      </c>
      <c r="L438" s="16" t="s">
        <v>15378</v>
      </c>
      <c r="M438" t="s">
        <v>15560</v>
      </c>
      <c r="N438" t="s">
        <v>1090</v>
      </c>
      <c r="O438" t="s">
        <v>15325</v>
      </c>
    </row>
    <row r="439" spans="1:15" x14ac:dyDescent="0.35">
      <c r="A439" t="s">
        <v>15326</v>
      </c>
      <c r="B439" t="s">
        <v>15277</v>
      </c>
      <c r="C439" t="s">
        <v>954</v>
      </c>
      <c r="D439" t="s">
        <v>1090</v>
      </c>
      <c r="E439" t="s">
        <v>15319</v>
      </c>
      <c r="F439" t="s">
        <v>950</v>
      </c>
      <c r="G439" t="s">
        <v>15320</v>
      </c>
      <c r="H439" t="s">
        <v>15875</v>
      </c>
      <c r="I439" s="16" t="s">
        <v>15896</v>
      </c>
      <c r="J439" t="s">
        <v>15943</v>
      </c>
      <c r="K439">
        <v>5</v>
      </c>
      <c r="L439" s="16" t="s">
        <v>15378</v>
      </c>
      <c r="M439" t="s">
        <v>15560</v>
      </c>
      <c r="N439" t="s">
        <v>1090</v>
      </c>
      <c r="O439" t="s">
        <v>15325</v>
      </c>
    </row>
    <row r="440" spans="1:15" x14ac:dyDescent="0.35">
      <c r="A440" t="s">
        <v>15326</v>
      </c>
      <c r="B440" t="s">
        <v>15277</v>
      </c>
      <c r="C440" t="s">
        <v>954</v>
      </c>
      <c r="D440" t="s">
        <v>1090</v>
      </c>
      <c r="E440" t="s">
        <v>15319</v>
      </c>
      <c r="F440" t="s">
        <v>950</v>
      </c>
      <c r="G440" t="s">
        <v>15320</v>
      </c>
      <c r="H440" t="s">
        <v>15879</v>
      </c>
      <c r="I440" s="16" t="s">
        <v>15897</v>
      </c>
      <c r="J440" t="s">
        <v>15943</v>
      </c>
      <c r="K440">
        <v>5</v>
      </c>
      <c r="L440" s="16" t="s">
        <v>15378</v>
      </c>
      <c r="M440" t="s">
        <v>15433</v>
      </c>
      <c r="N440" t="s">
        <v>1090</v>
      </c>
      <c r="O440" t="s">
        <v>15325</v>
      </c>
    </row>
    <row r="441" spans="1:15" x14ac:dyDescent="0.35">
      <c r="A441" t="s">
        <v>15326</v>
      </c>
      <c r="B441" t="s">
        <v>15277</v>
      </c>
      <c r="C441" t="s">
        <v>809</v>
      </c>
      <c r="D441" t="s">
        <v>671</v>
      </c>
      <c r="E441" t="s">
        <v>15319</v>
      </c>
      <c r="F441" t="s">
        <v>667</v>
      </c>
      <c r="G441" t="s">
        <v>15320</v>
      </c>
      <c r="H441" t="s">
        <v>15875</v>
      </c>
      <c r="I441" s="16" t="s">
        <v>15949</v>
      </c>
      <c r="J441" t="s">
        <v>15943</v>
      </c>
      <c r="K441">
        <v>5</v>
      </c>
      <c r="L441" s="16" t="s">
        <v>15378</v>
      </c>
      <c r="M441" t="s">
        <v>15816</v>
      </c>
      <c r="N441" t="s">
        <v>809</v>
      </c>
      <c r="O441" t="s">
        <v>15329</v>
      </c>
    </row>
    <row r="442" spans="1:15" x14ac:dyDescent="0.35">
      <c r="A442" t="s">
        <v>15326</v>
      </c>
      <c r="B442" t="s">
        <v>15277</v>
      </c>
      <c r="C442" t="s">
        <v>809</v>
      </c>
      <c r="D442" t="s">
        <v>671</v>
      </c>
      <c r="E442" t="s">
        <v>15319</v>
      </c>
      <c r="F442" t="s">
        <v>667</v>
      </c>
      <c r="G442" t="s">
        <v>15320</v>
      </c>
      <c r="H442" t="s">
        <v>15875</v>
      </c>
      <c r="I442" s="16" t="s">
        <v>15896</v>
      </c>
      <c r="J442" t="s">
        <v>15943</v>
      </c>
      <c r="K442">
        <v>5</v>
      </c>
      <c r="L442" s="16" t="s">
        <v>15378</v>
      </c>
      <c r="M442" t="s">
        <v>15950</v>
      </c>
      <c r="N442" t="s">
        <v>809</v>
      </c>
      <c r="O442" t="s">
        <v>15329</v>
      </c>
    </row>
    <row r="443" spans="1:15" x14ac:dyDescent="0.35">
      <c r="A443" t="s">
        <v>15326</v>
      </c>
      <c r="B443" t="s">
        <v>15277</v>
      </c>
      <c r="C443" t="s">
        <v>809</v>
      </c>
      <c r="D443" t="s">
        <v>671</v>
      </c>
      <c r="E443" t="s">
        <v>15319</v>
      </c>
      <c r="F443" t="s">
        <v>667</v>
      </c>
      <c r="G443" t="s">
        <v>15320</v>
      </c>
      <c r="H443" t="s">
        <v>15875</v>
      </c>
      <c r="I443" s="16" t="s">
        <v>15945</v>
      </c>
      <c r="J443" t="s">
        <v>15943</v>
      </c>
      <c r="K443">
        <v>5</v>
      </c>
      <c r="L443" s="16" t="s">
        <v>15378</v>
      </c>
      <c r="M443" t="s">
        <v>15816</v>
      </c>
      <c r="N443" t="s">
        <v>809</v>
      </c>
      <c r="O443" t="s">
        <v>15329</v>
      </c>
    </row>
    <row r="444" spans="1:15" x14ac:dyDescent="0.35">
      <c r="A444" t="s">
        <v>15326</v>
      </c>
      <c r="B444" t="s">
        <v>15277</v>
      </c>
      <c r="C444" t="s">
        <v>809</v>
      </c>
      <c r="D444" t="s">
        <v>671</v>
      </c>
      <c r="E444" t="s">
        <v>15319</v>
      </c>
      <c r="F444" t="s">
        <v>667</v>
      </c>
      <c r="G444" t="s">
        <v>15320</v>
      </c>
      <c r="H444" t="s">
        <v>15875</v>
      </c>
      <c r="I444" s="16" t="s">
        <v>15893</v>
      </c>
      <c r="J444" t="s">
        <v>15943</v>
      </c>
      <c r="K444">
        <v>5</v>
      </c>
      <c r="L444" s="16" t="s">
        <v>15378</v>
      </c>
      <c r="M444" t="s">
        <v>15942</v>
      </c>
      <c r="N444" t="s">
        <v>671</v>
      </c>
      <c r="O444" t="s">
        <v>15325</v>
      </c>
    </row>
    <row r="445" spans="1:15" x14ac:dyDescent="0.35">
      <c r="A445" t="s">
        <v>15326</v>
      </c>
      <c r="B445" t="s">
        <v>15277</v>
      </c>
      <c r="C445" t="s">
        <v>809</v>
      </c>
      <c r="D445" t="s">
        <v>671</v>
      </c>
      <c r="E445" t="s">
        <v>15319</v>
      </c>
      <c r="F445" t="s">
        <v>667</v>
      </c>
      <c r="G445" t="s">
        <v>15320</v>
      </c>
      <c r="H445" t="s">
        <v>15875</v>
      </c>
      <c r="I445" s="16" t="s">
        <v>15908</v>
      </c>
      <c r="J445" t="s">
        <v>15943</v>
      </c>
      <c r="K445">
        <v>5</v>
      </c>
      <c r="L445" s="16" t="s">
        <v>15347</v>
      </c>
      <c r="M445" t="s">
        <v>15942</v>
      </c>
      <c r="N445" t="s">
        <v>671</v>
      </c>
      <c r="O445" t="s">
        <v>15325</v>
      </c>
    </row>
    <row r="446" spans="1:15" x14ac:dyDescent="0.35">
      <c r="A446" t="s">
        <v>15326</v>
      </c>
      <c r="B446" t="s">
        <v>15277</v>
      </c>
      <c r="C446" t="s">
        <v>1257</v>
      </c>
      <c r="D446" t="s">
        <v>1395</v>
      </c>
      <c r="E446" t="s">
        <v>15319</v>
      </c>
      <c r="F446" t="s">
        <v>1253</v>
      </c>
      <c r="G446" t="s">
        <v>15320</v>
      </c>
      <c r="H446" t="s">
        <v>15875</v>
      </c>
      <c r="I446" s="16" t="s">
        <v>15951</v>
      </c>
      <c r="J446" t="s">
        <v>15943</v>
      </c>
      <c r="K446">
        <v>5</v>
      </c>
      <c r="L446" s="16" t="s">
        <v>15354</v>
      </c>
      <c r="M446" t="s">
        <v>15719</v>
      </c>
      <c r="N446" t="s">
        <v>1257</v>
      </c>
      <c r="O446" t="s">
        <v>15329</v>
      </c>
    </row>
    <row r="447" spans="1:15" x14ac:dyDescent="0.35">
      <c r="A447" t="s">
        <v>15326</v>
      </c>
      <c r="B447" t="s">
        <v>15277</v>
      </c>
      <c r="C447" t="s">
        <v>1257</v>
      </c>
      <c r="D447" t="s">
        <v>1395</v>
      </c>
      <c r="E447" t="s">
        <v>15319</v>
      </c>
      <c r="F447" t="s">
        <v>1253</v>
      </c>
      <c r="G447" t="s">
        <v>15320</v>
      </c>
      <c r="H447" t="s">
        <v>15875</v>
      </c>
      <c r="I447" s="16" t="s">
        <v>15899</v>
      </c>
      <c r="J447" t="s">
        <v>15943</v>
      </c>
      <c r="K447">
        <v>5</v>
      </c>
      <c r="L447" s="16" t="s">
        <v>15364</v>
      </c>
      <c r="M447" t="s">
        <v>15655</v>
      </c>
      <c r="N447" t="s">
        <v>1257</v>
      </c>
      <c r="O447" t="s">
        <v>15329</v>
      </c>
    </row>
    <row r="448" spans="1:15" x14ac:dyDescent="0.35">
      <c r="A448" t="s">
        <v>15326</v>
      </c>
      <c r="B448" t="s">
        <v>15277</v>
      </c>
      <c r="C448" t="s">
        <v>1257</v>
      </c>
      <c r="D448" t="s">
        <v>1395</v>
      </c>
      <c r="E448" t="s">
        <v>15319</v>
      </c>
      <c r="F448" t="s">
        <v>1253</v>
      </c>
      <c r="G448" t="s">
        <v>15320</v>
      </c>
      <c r="H448" t="s">
        <v>15879</v>
      </c>
      <c r="I448" s="16" t="s">
        <v>15931</v>
      </c>
      <c r="J448" t="s">
        <v>15943</v>
      </c>
      <c r="K448">
        <v>5</v>
      </c>
      <c r="L448" s="16" t="s">
        <v>15354</v>
      </c>
      <c r="M448" t="s">
        <v>15586</v>
      </c>
      <c r="N448" t="s">
        <v>1257</v>
      </c>
      <c r="O448" t="s">
        <v>15329</v>
      </c>
    </row>
    <row r="449" spans="1:15" x14ac:dyDescent="0.35">
      <c r="A449" t="s">
        <v>15326</v>
      </c>
      <c r="B449" t="s">
        <v>15277</v>
      </c>
      <c r="C449" t="s">
        <v>1257</v>
      </c>
      <c r="D449" t="s">
        <v>1395</v>
      </c>
      <c r="E449" t="s">
        <v>15319</v>
      </c>
      <c r="F449" t="s">
        <v>1253</v>
      </c>
      <c r="G449" t="s">
        <v>15320</v>
      </c>
      <c r="H449" t="s">
        <v>15879</v>
      </c>
      <c r="I449" s="16" t="s">
        <v>15892</v>
      </c>
      <c r="J449" t="s">
        <v>15943</v>
      </c>
      <c r="K449">
        <v>5</v>
      </c>
      <c r="L449" s="16" t="s">
        <v>15351</v>
      </c>
      <c r="M449" t="s">
        <v>15522</v>
      </c>
      <c r="N449" t="s">
        <v>1257</v>
      </c>
      <c r="O449" t="s">
        <v>15329</v>
      </c>
    </row>
    <row r="450" spans="1:15" x14ac:dyDescent="0.35">
      <c r="A450" t="s">
        <v>15326</v>
      </c>
      <c r="B450" t="s">
        <v>15277</v>
      </c>
      <c r="C450" t="s">
        <v>1257</v>
      </c>
      <c r="D450" t="s">
        <v>1395</v>
      </c>
      <c r="E450" t="s">
        <v>15319</v>
      </c>
      <c r="F450" t="s">
        <v>1253</v>
      </c>
      <c r="G450" t="s">
        <v>15320</v>
      </c>
      <c r="H450" t="s">
        <v>15879</v>
      </c>
      <c r="I450" s="16" t="s">
        <v>15915</v>
      </c>
      <c r="J450" t="s">
        <v>15943</v>
      </c>
      <c r="K450">
        <v>5</v>
      </c>
      <c r="L450" s="16" t="s">
        <v>15420</v>
      </c>
      <c r="M450" t="s">
        <v>15398</v>
      </c>
      <c r="N450" t="s">
        <v>1395</v>
      </c>
      <c r="O450" t="s">
        <v>15325</v>
      </c>
    </row>
    <row r="451" spans="1:15" x14ac:dyDescent="0.35">
      <c r="A451" t="s">
        <v>15326</v>
      </c>
      <c r="B451" t="s">
        <v>15277</v>
      </c>
      <c r="C451" t="s">
        <v>1257</v>
      </c>
      <c r="D451" t="s">
        <v>1395</v>
      </c>
      <c r="E451" t="s">
        <v>15319</v>
      </c>
      <c r="F451" t="s">
        <v>1253</v>
      </c>
      <c r="G451" t="s">
        <v>15320</v>
      </c>
      <c r="H451" t="s">
        <v>15879</v>
      </c>
      <c r="I451" s="16" t="s">
        <v>15904</v>
      </c>
      <c r="J451" t="s">
        <v>15943</v>
      </c>
      <c r="K451">
        <v>5</v>
      </c>
      <c r="L451" s="16" t="s">
        <v>15412</v>
      </c>
      <c r="M451" t="s">
        <v>15422</v>
      </c>
      <c r="N451" t="s">
        <v>1395</v>
      </c>
      <c r="O451" t="s">
        <v>15325</v>
      </c>
    </row>
    <row r="452" spans="1:15" x14ac:dyDescent="0.35">
      <c r="A452" t="s">
        <v>15326</v>
      </c>
      <c r="B452" t="s">
        <v>15277</v>
      </c>
      <c r="C452" t="s">
        <v>431</v>
      </c>
      <c r="D452" t="s">
        <v>1257</v>
      </c>
      <c r="E452" t="s">
        <v>15327</v>
      </c>
      <c r="F452" t="s">
        <v>15355</v>
      </c>
      <c r="G452" t="s">
        <v>15320</v>
      </c>
      <c r="H452" t="s">
        <v>15875</v>
      </c>
      <c r="I452" s="16">
        <v>5</v>
      </c>
      <c r="J452" t="s">
        <v>15943</v>
      </c>
      <c r="K452">
        <v>5</v>
      </c>
      <c r="L452" s="16">
        <v>8</v>
      </c>
      <c r="M452" t="s">
        <v>15669</v>
      </c>
      <c r="N452" t="s">
        <v>431</v>
      </c>
      <c r="O452" t="s">
        <v>15329</v>
      </c>
    </row>
    <row r="453" spans="1:15" x14ac:dyDescent="0.35">
      <c r="A453" t="s">
        <v>15326</v>
      </c>
      <c r="B453" t="s">
        <v>15277</v>
      </c>
      <c r="C453" t="s">
        <v>431</v>
      </c>
      <c r="D453" t="s">
        <v>1257</v>
      </c>
      <c r="E453" t="s">
        <v>15327</v>
      </c>
      <c r="F453" t="s">
        <v>15355</v>
      </c>
      <c r="G453" t="s">
        <v>15320</v>
      </c>
      <c r="H453" t="s">
        <v>15875</v>
      </c>
      <c r="I453" s="16">
        <v>38</v>
      </c>
      <c r="J453" t="s">
        <v>15943</v>
      </c>
      <c r="K453">
        <v>5</v>
      </c>
      <c r="L453" s="16">
        <v>12</v>
      </c>
      <c r="M453" t="s">
        <v>15721</v>
      </c>
      <c r="N453" t="s">
        <v>431</v>
      </c>
      <c r="O453" t="s">
        <v>15329</v>
      </c>
    </row>
    <row r="454" spans="1:15" x14ac:dyDescent="0.35">
      <c r="A454" t="s">
        <v>15326</v>
      </c>
      <c r="B454" t="s">
        <v>15277</v>
      </c>
      <c r="C454" t="s">
        <v>431</v>
      </c>
      <c r="D454" t="s">
        <v>1257</v>
      </c>
      <c r="E454" t="s">
        <v>15327</v>
      </c>
      <c r="F454" t="s">
        <v>15355</v>
      </c>
      <c r="G454" t="s">
        <v>15320</v>
      </c>
      <c r="H454" t="s">
        <v>15879</v>
      </c>
      <c r="I454" s="16">
        <v>48</v>
      </c>
      <c r="J454" t="s">
        <v>15943</v>
      </c>
      <c r="K454">
        <v>5</v>
      </c>
      <c r="L454" s="16">
        <v>15</v>
      </c>
      <c r="M454" t="s">
        <v>15691</v>
      </c>
      <c r="N454" t="s">
        <v>431</v>
      </c>
      <c r="O454" t="s">
        <v>15329</v>
      </c>
    </row>
    <row r="455" spans="1:15" x14ac:dyDescent="0.35">
      <c r="A455" t="s">
        <v>15326</v>
      </c>
      <c r="B455" t="s">
        <v>15277</v>
      </c>
      <c r="C455" t="s">
        <v>431</v>
      </c>
      <c r="D455" t="s">
        <v>1257</v>
      </c>
      <c r="E455" t="s">
        <v>15327</v>
      </c>
      <c r="F455" t="s">
        <v>15355</v>
      </c>
      <c r="G455" t="s">
        <v>15320</v>
      </c>
      <c r="H455" t="s">
        <v>15879</v>
      </c>
      <c r="I455" s="16">
        <v>58</v>
      </c>
      <c r="J455" t="s">
        <v>15943</v>
      </c>
      <c r="K455">
        <v>5</v>
      </c>
      <c r="L455" s="16">
        <v>11</v>
      </c>
      <c r="M455" t="s">
        <v>15760</v>
      </c>
      <c r="N455" t="s">
        <v>431</v>
      </c>
      <c r="O455" t="s">
        <v>15329</v>
      </c>
    </row>
    <row r="456" spans="1:15" x14ac:dyDescent="0.35">
      <c r="A456" t="s">
        <v>15326</v>
      </c>
      <c r="B456" t="s">
        <v>15277</v>
      </c>
      <c r="C456" t="s">
        <v>431</v>
      </c>
      <c r="D456" t="s">
        <v>1257</v>
      </c>
      <c r="E456" t="s">
        <v>15327</v>
      </c>
      <c r="F456" t="s">
        <v>15355</v>
      </c>
      <c r="G456" t="s">
        <v>15320</v>
      </c>
      <c r="H456" t="s">
        <v>15879</v>
      </c>
      <c r="I456" s="16">
        <v>65</v>
      </c>
      <c r="J456" t="s">
        <v>15943</v>
      </c>
      <c r="K456">
        <v>5</v>
      </c>
      <c r="L456" s="16">
        <v>9</v>
      </c>
      <c r="M456" t="s">
        <v>15852</v>
      </c>
      <c r="N456" t="s">
        <v>431</v>
      </c>
      <c r="O456" t="s">
        <v>15329</v>
      </c>
    </row>
    <row r="457" spans="1:15" x14ac:dyDescent="0.35">
      <c r="A457" t="s">
        <v>15326</v>
      </c>
      <c r="B457" t="s">
        <v>15277</v>
      </c>
      <c r="C457" t="s">
        <v>431</v>
      </c>
      <c r="D457" t="s">
        <v>1257</v>
      </c>
      <c r="E457" t="s">
        <v>15327</v>
      </c>
      <c r="F457" t="s">
        <v>15355</v>
      </c>
      <c r="G457" t="s">
        <v>15320</v>
      </c>
      <c r="H457" t="s">
        <v>15875</v>
      </c>
      <c r="I457" s="16">
        <v>17</v>
      </c>
      <c r="J457" t="s">
        <v>15943</v>
      </c>
      <c r="K457">
        <v>5</v>
      </c>
      <c r="L457" s="16">
        <v>2</v>
      </c>
      <c r="M457" t="s">
        <v>15655</v>
      </c>
      <c r="N457" t="s">
        <v>1257</v>
      </c>
      <c r="O457" t="s">
        <v>15325</v>
      </c>
    </row>
    <row r="458" spans="1:15" x14ac:dyDescent="0.35">
      <c r="A458" t="s">
        <v>15326</v>
      </c>
      <c r="B458" t="s">
        <v>15277</v>
      </c>
      <c r="C458" t="s">
        <v>431</v>
      </c>
      <c r="D458" t="s">
        <v>1257</v>
      </c>
      <c r="E458" t="s">
        <v>15327</v>
      </c>
      <c r="F458" t="s">
        <v>15355</v>
      </c>
      <c r="G458" t="s">
        <v>15320</v>
      </c>
      <c r="H458" t="s">
        <v>15875</v>
      </c>
      <c r="I458" s="16">
        <v>23</v>
      </c>
      <c r="J458" t="s">
        <v>15943</v>
      </c>
      <c r="K458">
        <v>5</v>
      </c>
      <c r="L458" s="16">
        <v>14</v>
      </c>
      <c r="M458" t="s">
        <v>15735</v>
      </c>
      <c r="N458" t="s">
        <v>1257</v>
      </c>
      <c r="O458" t="s">
        <v>15325</v>
      </c>
    </row>
    <row r="459" spans="1:15" x14ac:dyDescent="0.35">
      <c r="A459" t="s">
        <v>15326</v>
      </c>
      <c r="B459" t="s">
        <v>15277</v>
      </c>
      <c r="C459" t="s">
        <v>431</v>
      </c>
      <c r="D459" t="s">
        <v>1257</v>
      </c>
      <c r="E459" t="s">
        <v>15327</v>
      </c>
      <c r="F459" t="s">
        <v>15355</v>
      </c>
      <c r="G459" t="s">
        <v>15320</v>
      </c>
      <c r="H459" t="s">
        <v>15875</v>
      </c>
      <c r="I459" s="16">
        <v>28</v>
      </c>
      <c r="J459" t="s">
        <v>15943</v>
      </c>
      <c r="K459">
        <v>5</v>
      </c>
      <c r="L459" s="16">
        <v>8</v>
      </c>
      <c r="M459" t="s">
        <v>15450</v>
      </c>
      <c r="N459" t="s">
        <v>1257</v>
      </c>
      <c r="O459" t="s">
        <v>15325</v>
      </c>
    </row>
    <row r="460" spans="1:15" x14ac:dyDescent="0.35">
      <c r="A460" t="s">
        <v>15326</v>
      </c>
      <c r="B460" t="s">
        <v>15277</v>
      </c>
      <c r="C460" t="s">
        <v>431</v>
      </c>
      <c r="D460" t="s">
        <v>1257</v>
      </c>
      <c r="E460" t="s">
        <v>15327</v>
      </c>
      <c r="F460" t="s">
        <v>15355</v>
      </c>
      <c r="G460" t="s">
        <v>15320</v>
      </c>
      <c r="H460" t="s">
        <v>15875</v>
      </c>
      <c r="I460" s="16">
        <v>34</v>
      </c>
      <c r="J460" t="s">
        <v>15943</v>
      </c>
      <c r="K460">
        <v>5</v>
      </c>
      <c r="L460" s="16">
        <v>12</v>
      </c>
      <c r="M460" t="s">
        <v>15482</v>
      </c>
      <c r="N460" t="s">
        <v>1257</v>
      </c>
      <c r="O460" t="s">
        <v>15325</v>
      </c>
    </row>
    <row r="461" spans="1:15" x14ac:dyDescent="0.35">
      <c r="A461" t="s">
        <v>15326</v>
      </c>
      <c r="B461" t="s">
        <v>15277</v>
      </c>
      <c r="C461" t="s">
        <v>431</v>
      </c>
      <c r="D461" t="s">
        <v>1257</v>
      </c>
      <c r="E461" t="s">
        <v>15327</v>
      </c>
      <c r="F461" t="s">
        <v>15355</v>
      </c>
      <c r="G461" t="s">
        <v>15320</v>
      </c>
      <c r="H461" t="s">
        <v>15879</v>
      </c>
      <c r="I461" s="16">
        <v>75</v>
      </c>
      <c r="J461" t="s">
        <v>15943</v>
      </c>
      <c r="K461">
        <v>5</v>
      </c>
      <c r="L461" s="16">
        <v>5</v>
      </c>
      <c r="M461" t="s">
        <v>15446</v>
      </c>
      <c r="N461" t="s">
        <v>1257</v>
      </c>
      <c r="O461" t="s">
        <v>15325</v>
      </c>
    </row>
    <row r="462" spans="1:15" x14ac:dyDescent="0.35">
      <c r="A462" t="s">
        <v>15326</v>
      </c>
      <c r="B462" t="s">
        <v>15277</v>
      </c>
      <c r="C462" t="s">
        <v>238</v>
      </c>
      <c r="D462" t="s">
        <v>557</v>
      </c>
      <c r="E462" t="s">
        <v>15327</v>
      </c>
      <c r="F462" t="s">
        <v>15384</v>
      </c>
      <c r="G462" t="s">
        <v>15320</v>
      </c>
      <c r="H462" t="s">
        <v>15879</v>
      </c>
      <c r="I462" s="16">
        <v>53</v>
      </c>
      <c r="J462" t="s">
        <v>15943</v>
      </c>
      <c r="K462">
        <v>5</v>
      </c>
      <c r="L462" s="16">
        <v>20</v>
      </c>
      <c r="M462" t="s">
        <v>15564</v>
      </c>
      <c r="N462" t="s">
        <v>238</v>
      </c>
      <c r="O462" t="s">
        <v>15329</v>
      </c>
    </row>
    <row r="463" spans="1:15" x14ac:dyDescent="0.35">
      <c r="A463" t="s">
        <v>15326</v>
      </c>
      <c r="B463" t="s">
        <v>15277</v>
      </c>
      <c r="C463" t="s">
        <v>238</v>
      </c>
      <c r="D463" t="s">
        <v>557</v>
      </c>
      <c r="E463" t="s">
        <v>15327</v>
      </c>
      <c r="F463" t="s">
        <v>15384</v>
      </c>
      <c r="G463" t="s">
        <v>15320</v>
      </c>
      <c r="H463" t="s">
        <v>15879</v>
      </c>
      <c r="I463" s="16">
        <v>67</v>
      </c>
      <c r="J463" t="s">
        <v>15943</v>
      </c>
      <c r="K463">
        <v>5</v>
      </c>
      <c r="L463" s="16">
        <v>23</v>
      </c>
      <c r="M463" t="s">
        <v>15609</v>
      </c>
      <c r="N463" t="s">
        <v>238</v>
      </c>
      <c r="O463" t="s">
        <v>15329</v>
      </c>
    </row>
    <row r="464" spans="1:15" x14ac:dyDescent="0.35">
      <c r="A464" t="s">
        <v>15326</v>
      </c>
      <c r="B464" t="s">
        <v>15277</v>
      </c>
      <c r="C464" t="s">
        <v>238</v>
      </c>
      <c r="D464" t="s">
        <v>557</v>
      </c>
      <c r="E464" t="s">
        <v>15327</v>
      </c>
      <c r="F464" t="s">
        <v>15384</v>
      </c>
      <c r="G464" t="s">
        <v>15320</v>
      </c>
      <c r="H464" t="s">
        <v>15879</v>
      </c>
      <c r="I464" s="16">
        <v>48</v>
      </c>
      <c r="J464" t="s">
        <v>15943</v>
      </c>
      <c r="K464">
        <v>5</v>
      </c>
      <c r="L464" s="16">
        <v>9</v>
      </c>
      <c r="M464" t="s">
        <v>15440</v>
      </c>
      <c r="N464" t="s">
        <v>557</v>
      </c>
      <c r="O464" t="s">
        <v>15325</v>
      </c>
    </row>
    <row r="465" spans="1:15" x14ac:dyDescent="0.35">
      <c r="A465" t="s">
        <v>15326</v>
      </c>
      <c r="B465" t="s">
        <v>15277</v>
      </c>
      <c r="C465" t="s">
        <v>238</v>
      </c>
      <c r="D465" t="s">
        <v>557</v>
      </c>
      <c r="E465" t="s">
        <v>15327</v>
      </c>
      <c r="F465" t="s">
        <v>15384</v>
      </c>
      <c r="G465" t="s">
        <v>15320</v>
      </c>
      <c r="H465" t="s">
        <v>15879</v>
      </c>
      <c r="I465" s="16">
        <v>50</v>
      </c>
      <c r="J465" t="s">
        <v>15943</v>
      </c>
      <c r="K465">
        <v>5</v>
      </c>
      <c r="L465" s="16">
        <v>14</v>
      </c>
      <c r="M465" t="s">
        <v>15614</v>
      </c>
      <c r="N465" t="s">
        <v>557</v>
      </c>
      <c r="O465" t="s">
        <v>15325</v>
      </c>
    </row>
    <row r="466" spans="1:15" x14ac:dyDescent="0.35">
      <c r="A466" t="s">
        <v>15326</v>
      </c>
      <c r="B466" t="s">
        <v>15277</v>
      </c>
      <c r="C466" t="s">
        <v>238</v>
      </c>
      <c r="D466" t="s">
        <v>557</v>
      </c>
      <c r="E466" t="s">
        <v>15327</v>
      </c>
      <c r="F466" t="s">
        <v>15384</v>
      </c>
      <c r="G466" t="s">
        <v>15320</v>
      </c>
      <c r="H466" t="s">
        <v>15879</v>
      </c>
      <c r="I466" s="16">
        <v>65</v>
      </c>
      <c r="J466" t="s">
        <v>15943</v>
      </c>
      <c r="K466">
        <v>5</v>
      </c>
      <c r="L466" s="16">
        <v>15</v>
      </c>
      <c r="M466" t="s">
        <v>15814</v>
      </c>
      <c r="N466" t="s">
        <v>557</v>
      </c>
      <c r="O466" t="s">
        <v>15325</v>
      </c>
    </row>
    <row r="467" spans="1:15" x14ac:dyDescent="0.35">
      <c r="A467" t="s">
        <v>15326</v>
      </c>
      <c r="B467" t="s">
        <v>15277</v>
      </c>
      <c r="C467" t="s">
        <v>1090</v>
      </c>
      <c r="D467" t="s">
        <v>27</v>
      </c>
      <c r="E467" t="s">
        <v>15327</v>
      </c>
      <c r="F467" t="s">
        <v>15367</v>
      </c>
      <c r="G467" t="s">
        <v>15320</v>
      </c>
      <c r="H467" t="s">
        <v>15875</v>
      </c>
      <c r="I467" s="16">
        <v>12</v>
      </c>
      <c r="J467" t="s">
        <v>15943</v>
      </c>
      <c r="K467">
        <v>5</v>
      </c>
      <c r="L467" s="16">
        <v>13</v>
      </c>
      <c r="M467" t="s">
        <v>15675</v>
      </c>
      <c r="N467" t="s">
        <v>27</v>
      </c>
      <c r="O467" t="s">
        <v>15325</v>
      </c>
    </row>
    <row r="468" spans="1:15" x14ac:dyDescent="0.35">
      <c r="A468" t="s">
        <v>15326</v>
      </c>
      <c r="B468" t="s">
        <v>15277</v>
      </c>
      <c r="C468" t="s">
        <v>1090</v>
      </c>
      <c r="D468" t="s">
        <v>27</v>
      </c>
      <c r="E468" t="s">
        <v>15327</v>
      </c>
      <c r="F468" t="s">
        <v>15367</v>
      </c>
      <c r="G468" t="s">
        <v>15320</v>
      </c>
      <c r="H468" t="s">
        <v>15879</v>
      </c>
      <c r="I468" s="16">
        <v>75</v>
      </c>
      <c r="J468" t="s">
        <v>15943</v>
      </c>
      <c r="K468">
        <v>5</v>
      </c>
      <c r="L468" s="16">
        <v>14</v>
      </c>
      <c r="M468" t="s">
        <v>15750</v>
      </c>
      <c r="N468" t="s">
        <v>27</v>
      </c>
      <c r="O468" t="s">
        <v>15325</v>
      </c>
    </row>
    <row r="469" spans="1:15" x14ac:dyDescent="0.35">
      <c r="A469" t="s">
        <v>15326</v>
      </c>
      <c r="B469" t="s">
        <v>15277</v>
      </c>
      <c r="C469" t="s">
        <v>671</v>
      </c>
      <c r="D469" t="s">
        <v>954</v>
      </c>
      <c r="E469" t="s">
        <v>15327</v>
      </c>
      <c r="F469" t="s">
        <v>15335</v>
      </c>
      <c r="G469" t="s">
        <v>15320</v>
      </c>
      <c r="H469" t="s">
        <v>15875</v>
      </c>
      <c r="I469" s="16">
        <v>4</v>
      </c>
      <c r="J469" t="s">
        <v>15943</v>
      </c>
      <c r="K469">
        <v>5</v>
      </c>
      <c r="L469" s="16">
        <v>9</v>
      </c>
      <c r="M469" t="s">
        <v>15386</v>
      </c>
      <c r="N469" t="s">
        <v>671</v>
      </c>
      <c r="O469" t="s">
        <v>15329</v>
      </c>
    </row>
    <row r="470" spans="1:15" x14ac:dyDescent="0.35">
      <c r="A470" t="s">
        <v>15326</v>
      </c>
      <c r="B470" t="s">
        <v>15277</v>
      </c>
      <c r="C470" t="s">
        <v>671</v>
      </c>
      <c r="D470" t="s">
        <v>954</v>
      </c>
      <c r="E470" t="s">
        <v>15327</v>
      </c>
      <c r="F470" t="s">
        <v>15335</v>
      </c>
      <c r="G470" t="s">
        <v>15320</v>
      </c>
      <c r="H470" t="s">
        <v>15875</v>
      </c>
      <c r="I470" s="16">
        <v>19</v>
      </c>
      <c r="J470" t="s">
        <v>15943</v>
      </c>
      <c r="K470">
        <v>5</v>
      </c>
      <c r="L470" s="16">
        <v>15</v>
      </c>
      <c r="M470" t="s">
        <v>15646</v>
      </c>
      <c r="N470" t="s">
        <v>671</v>
      </c>
      <c r="O470" t="s">
        <v>15329</v>
      </c>
    </row>
    <row r="471" spans="1:15" x14ac:dyDescent="0.35">
      <c r="A471" t="s">
        <v>15326</v>
      </c>
      <c r="B471" t="s">
        <v>15277</v>
      </c>
      <c r="C471" t="s">
        <v>671</v>
      </c>
      <c r="D471" t="s">
        <v>954</v>
      </c>
      <c r="E471" t="s">
        <v>15327</v>
      </c>
      <c r="F471" t="s">
        <v>15335</v>
      </c>
      <c r="G471" t="s">
        <v>15320</v>
      </c>
      <c r="H471" t="s">
        <v>15875</v>
      </c>
      <c r="I471" s="16">
        <v>25</v>
      </c>
      <c r="J471" t="s">
        <v>15943</v>
      </c>
      <c r="K471">
        <v>5</v>
      </c>
      <c r="L471" s="16">
        <v>14</v>
      </c>
      <c r="M471" t="s">
        <v>15702</v>
      </c>
      <c r="N471" t="s">
        <v>671</v>
      </c>
      <c r="O471" t="s">
        <v>15329</v>
      </c>
    </row>
    <row r="472" spans="1:15" x14ac:dyDescent="0.35">
      <c r="A472" t="s">
        <v>15326</v>
      </c>
      <c r="B472" t="s">
        <v>15277</v>
      </c>
      <c r="C472" t="s">
        <v>671</v>
      </c>
      <c r="D472" t="s">
        <v>954</v>
      </c>
      <c r="E472" t="s">
        <v>15327</v>
      </c>
      <c r="F472" t="s">
        <v>15335</v>
      </c>
      <c r="G472" t="s">
        <v>15320</v>
      </c>
      <c r="H472" t="s">
        <v>15875</v>
      </c>
      <c r="I472" s="16">
        <v>32</v>
      </c>
      <c r="J472" t="s">
        <v>15943</v>
      </c>
      <c r="K472">
        <v>5</v>
      </c>
      <c r="L472" s="16">
        <v>2</v>
      </c>
      <c r="M472" t="s">
        <v>15339</v>
      </c>
      <c r="N472" t="s">
        <v>671</v>
      </c>
      <c r="O472" t="s">
        <v>15329</v>
      </c>
    </row>
    <row r="473" spans="1:15" x14ac:dyDescent="0.35">
      <c r="A473" t="s">
        <v>15326</v>
      </c>
      <c r="B473" t="s">
        <v>15277</v>
      </c>
      <c r="C473" t="s">
        <v>671</v>
      </c>
      <c r="D473" t="s">
        <v>954</v>
      </c>
      <c r="E473" t="s">
        <v>15327</v>
      </c>
      <c r="F473" t="s">
        <v>15335</v>
      </c>
      <c r="G473" t="s">
        <v>15320</v>
      </c>
      <c r="H473" t="s">
        <v>15879</v>
      </c>
      <c r="I473" s="16">
        <v>58</v>
      </c>
      <c r="J473" t="s">
        <v>15943</v>
      </c>
      <c r="K473">
        <v>5</v>
      </c>
      <c r="L473" s="16">
        <v>18</v>
      </c>
      <c r="M473" t="s">
        <v>15344</v>
      </c>
      <c r="N473" t="s">
        <v>671</v>
      </c>
      <c r="O473" t="s">
        <v>15329</v>
      </c>
    </row>
    <row r="474" spans="1:15" x14ac:dyDescent="0.35">
      <c r="A474" t="s">
        <v>15326</v>
      </c>
      <c r="B474" t="s">
        <v>15277</v>
      </c>
      <c r="C474" t="s">
        <v>671</v>
      </c>
      <c r="D474" t="s">
        <v>954</v>
      </c>
      <c r="E474" t="s">
        <v>15327</v>
      </c>
      <c r="F474" t="s">
        <v>15335</v>
      </c>
      <c r="G474" t="s">
        <v>15320</v>
      </c>
      <c r="H474" t="s">
        <v>15879</v>
      </c>
      <c r="I474" s="16">
        <v>67</v>
      </c>
      <c r="J474" t="s">
        <v>15943</v>
      </c>
      <c r="K474">
        <v>5</v>
      </c>
      <c r="L474" s="16">
        <v>3</v>
      </c>
      <c r="M474" t="s">
        <v>15589</v>
      </c>
      <c r="N474" t="s">
        <v>671</v>
      </c>
      <c r="O474" t="s">
        <v>15329</v>
      </c>
    </row>
    <row r="475" spans="1:15" x14ac:dyDescent="0.35">
      <c r="A475" t="s">
        <v>15326</v>
      </c>
      <c r="B475" t="s">
        <v>15277</v>
      </c>
      <c r="C475" t="s">
        <v>671</v>
      </c>
      <c r="D475" t="s">
        <v>954</v>
      </c>
      <c r="E475" t="s">
        <v>15327</v>
      </c>
      <c r="F475" t="s">
        <v>15335</v>
      </c>
      <c r="G475" t="s">
        <v>15320</v>
      </c>
      <c r="H475" t="s">
        <v>15879</v>
      </c>
      <c r="I475" s="16">
        <v>80</v>
      </c>
      <c r="J475" t="s">
        <v>15943</v>
      </c>
      <c r="K475">
        <v>5</v>
      </c>
      <c r="L475" s="16">
        <v>8</v>
      </c>
      <c r="M475" t="s">
        <v>15562</v>
      </c>
      <c r="N475" t="s">
        <v>671</v>
      </c>
      <c r="O475" t="s">
        <v>15329</v>
      </c>
    </row>
    <row r="476" spans="1:15" x14ac:dyDescent="0.35">
      <c r="A476" t="s">
        <v>15326</v>
      </c>
      <c r="B476" t="s">
        <v>15277</v>
      </c>
      <c r="C476" t="s">
        <v>671</v>
      </c>
      <c r="D476" t="s">
        <v>954</v>
      </c>
      <c r="E476" t="s">
        <v>15327</v>
      </c>
      <c r="F476" t="s">
        <v>15335</v>
      </c>
      <c r="G476" t="s">
        <v>15320</v>
      </c>
      <c r="H476" t="s">
        <v>15875</v>
      </c>
      <c r="I476" s="16">
        <v>10</v>
      </c>
      <c r="J476" t="s">
        <v>15943</v>
      </c>
      <c r="K476">
        <v>5</v>
      </c>
      <c r="L476" s="16">
        <v>6</v>
      </c>
      <c r="M476" t="s">
        <v>15518</v>
      </c>
      <c r="N476" t="s">
        <v>954</v>
      </c>
      <c r="O476" t="s">
        <v>15325</v>
      </c>
    </row>
    <row r="477" spans="1:15" x14ac:dyDescent="0.35">
      <c r="A477" t="s">
        <v>15326</v>
      </c>
      <c r="B477" t="s">
        <v>15277</v>
      </c>
      <c r="C477" t="s">
        <v>671</v>
      </c>
      <c r="D477" t="s">
        <v>954</v>
      </c>
      <c r="E477" t="s">
        <v>15327</v>
      </c>
      <c r="F477" t="s">
        <v>15335</v>
      </c>
      <c r="G477" t="s">
        <v>15320</v>
      </c>
      <c r="H477" t="s">
        <v>15879</v>
      </c>
      <c r="I477" s="16">
        <v>45</v>
      </c>
      <c r="J477" t="s">
        <v>15943</v>
      </c>
      <c r="K477">
        <v>5</v>
      </c>
      <c r="L477" s="16">
        <v>6</v>
      </c>
      <c r="M477" t="s">
        <v>15518</v>
      </c>
      <c r="N477" t="s">
        <v>954</v>
      </c>
      <c r="O477" t="s">
        <v>15325</v>
      </c>
    </row>
    <row r="478" spans="1:15" x14ac:dyDescent="0.35">
      <c r="A478" t="s">
        <v>15326</v>
      </c>
      <c r="B478" t="s">
        <v>15277</v>
      </c>
      <c r="C478" t="s">
        <v>671</v>
      </c>
      <c r="D478" t="s">
        <v>954</v>
      </c>
      <c r="E478" t="s">
        <v>15327</v>
      </c>
      <c r="F478" t="s">
        <v>15335</v>
      </c>
      <c r="G478" t="s">
        <v>15320</v>
      </c>
      <c r="H478" t="s">
        <v>15879</v>
      </c>
      <c r="I478" s="16">
        <v>54</v>
      </c>
      <c r="J478" t="s">
        <v>15943</v>
      </c>
      <c r="K478">
        <v>5</v>
      </c>
      <c r="L478" s="16">
        <v>4</v>
      </c>
      <c r="M478" t="s">
        <v>15534</v>
      </c>
      <c r="N478" t="s">
        <v>954</v>
      </c>
      <c r="O478" t="s">
        <v>15325</v>
      </c>
    </row>
    <row r="479" spans="1:15" x14ac:dyDescent="0.35">
      <c r="A479" t="s">
        <v>15326</v>
      </c>
      <c r="B479" t="s">
        <v>15277</v>
      </c>
      <c r="C479" t="s">
        <v>671</v>
      </c>
      <c r="D479" t="s">
        <v>954</v>
      </c>
      <c r="E479" t="s">
        <v>15327</v>
      </c>
      <c r="F479" t="s">
        <v>15335</v>
      </c>
      <c r="G479" t="s">
        <v>15320</v>
      </c>
      <c r="H479" t="s">
        <v>15879</v>
      </c>
      <c r="I479" s="16">
        <v>63</v>
      </c>
      <c r="J479" t="s">
        <v>15943</v>
      </c>
      <c r="K479">
        <v>5</v>
      </c>
      <c r="L479" s="16">
        <v>13</v>
      </c>
      <c r="M479" t="s">
        <v>15717</v>
      </c>
      <c r="N479" t="s">
        <v>954</v>
      </c>
      <c r="O479" t="s">
        <v>15325</v>
      </c>
    </row>
    <row r="480" spans="1:15" x14ac:dyDescent="0.35">
      <c r="A480" t="s">
        <v>15326</v>
      </c>
      <c r="B480" t="s">
        <v>15277</v>
      </c>
      <c r="C480" t="s">
        <v>1395</v>
      </c>
      <c r="D480" t="s">
        <v>809</v>
      </c>
      <c r="E480" t="s">
        <v>15327</v>
      </c>
      <c r="F480" t="s">
        <v>15328</v>
      </c>
      <c r="G480" t="s">
        <v>15320</v>
      </c>
      <c r="H480" t="s">
        <v>15875</v>
      </c>
      <c r="I480" s="16" t="s">
        <v>15947</v>
      </c>
      <c r="J480" t="s">
        <v>15943</v>
      </c>
      <c r="K480">
        <v>5</v>
      </c>
      <c r="L480" s="16" t="s">
        <v>15420</v>
      </c>
      <c r="M480" t="s">
        <v>15422</v>
      </c>
      <c r="N480" t="s">
        <v>1395</v>
      </c>
      <c r="O480" t="s">
        <v>15329</v>
      </c>
    </row>
    <row r="481" spans="1:15" x14ac:dyDescent="0.35">
      <c r="A481" t="s">
        <v>15326</v>
      </c>
      <c r="B481" t="s">
        <v>15277</v>
      </c>
      <c r="C481" t="s">
        <v>1395</v>
      </c>
      <c r="D481" t="s">
        <v>809</v>
      </c>
      <c r="E481" t="s">
        <v>15327</v>
      </c>
      <c r="F481" t="s">
        <v>15328</v>
      </c>
      <c r="G481" t="s">
        <v>15320</v>
      </c>
      <c r="H481" t="s">
        <v>15875</v>
      </c>
      <c r="I481" s="16" t="s">
        <v>15351</v>
      </c>
      <c r="J481" t="s">
        <v>15943</v>
      </c>
      <c r="K481">
        <v>5</v>
      </c>
      <c r="L481" s="16" t="s">
        <v>15381</v>
      </c>
      <c r="M481" t="s">
        <v>15398</v>
      </c>
      <c r="N481" t="s">
        <v>1395</v>
      </c>
      <c r="O481" t="s">
        <v>15329</v>
      </c>
    </row>
    <row r="482" spans="1:15" x14ac:dyDescent="0.35">
      <c r="A482" t="s">
        <v>15326</v>
      </c>
      <c r="B482" t="s">
        <v>15277</v>
      </c>
      <c r="C482" t="s">
        <v>1395</v>
      </c>
      <c r="D482" t="s">
        <v>809</v>
      </c>
      <c r="E482" t="s">
        <v>15327</v>
      </c>
      <c r="F482" t="s">
        <v>15328</v>
      </c>
      <c r="G482" t="s">
        <v>15320</v>
      </c>
      <c r="H482" t="s">
        <v>15875</v>
      </c>
      <c r="I482" s="16" t="s">
        <v>15902</v>
      </c>
      <c r="J482" t="s">
        <v>15943</v>
      </c>
      <c r="K482">
        <v>5</v>
      </c>
      <c r="L482" s="16" t="s">
        <v>15476</v>
      </c>
      <c r="M482" t="s">
        <v>15618</v>
      </c>
      <c r="N482" t="s">
        <v>1395</v>
      </c>
      <c r="O482" t="s">
        <v>15329</v>
      </c>
    </row>
    <row r="483" spans="1:15" x14ac:dyDescent="0.35">
      <c r="A483" t="s">
        <v>15326</v>
      </c>
      <c r="B483" t="s">
        <v>15277</v>
      </c>
      <c r="C483" t="s">
        <v>1395</v>
      </c>
      <c r="D483" t="s">
        <v>809</v>
      </c>
      <c r="E483" t="s">
        <v>15327</v>
      </c>
      <c r="F483" t="s">
        <v>15328</v>
      </c>
      <c r="G483" t="s">
        <v>15320</v>
      </c>
      <c r="H483" t="s">
        <v>15879</v>
      </c>
      <c r="I483" s="16" t="s">
        <v>15906</v>
      </c>
      <c r="J483" t="s">
        <v>15943</v>
      </c>
      <c r="K483">
        <v>5</v>
      </c>
      <c r="L483" s="16" t="s">
        <v>15331</v>
      </c>
      <c r="M483" t="s">
        <v>15473</v>
      </c>
      <c r="N483" t="s">
        <v>1395</v>
      </c>
      <c r="O483" t="s">
        <v>15329</v>
      </c>
    </row>
    <row r="484" spans="1:15" x14ac:dyDescent="0.35">
      <c r="A484" t="s">
        <v>15326</v>
      </c>
      <c r="B484" t="s">
        <v>15277</v>
      </c>
      <c r="C484" t="s">
        <v>1395</v>
      </c>
      <c r="D484" t="s">
        <v>809</v>
      </c>
      <c r="E484" t="s">
        <v>15327</v>
      </c>
      <c r="F484" t="s">
        <v>15328</v>
      </c>
      <c r="G484" t="s">
        <v>15320</v>
      </c>
      <c r="H484" t="s">
        <v>15879</v>
      </c>
      <c r="I484" s="16" t="s">
        <v>15932</v>
      </c>
      <c r="J484" t="s">
        <v>15943</v>
      </c>
      <c r="K484">
        <v>5</v>
      </c>
      <c r="L484" s="16" t="s">
        <v>15354</v>
      </c>
      <c r="M484" t="s">
        <v>15353</v>
      </c>
      <c r="N484" t="s">
        <v>1395</v>
      </c>
      <c r="O484" t="s">
        <v>15329</v>
      </c>
    </row>
    <row r="485" spans="1:15" x14ac:dyDescent="0.35">
      <c r="A485" t="s">
        <v>15326</v>
      </c>
      <c r="B485" t="s">
        <v>15277</v>
      </c>
      <c r="C485" t="s">
        <v>1395</v>
      </c>
      <c r="D485" t="s">
        <v>809</v>
      </c>
      <c r="E485" t="s">
        <v>15327</v>
      </c>
      <c r="F485" t="s">
        <v>15328</v>
      </c>
      <c r="G485" t="s">
        <v>15320</v>
      </c>
      <c r="H485" t="s">
        <v>15879</v>
      </c>
      <c r="I485" s="16" t="s">
        <v>15921</v>
      </c>
      <c r="J485" t="s">
        <v>15943</v>
      </c>
      <c r="K485">
        <v>5</v>
      </c>
      <c r="L485" s="16" t="s">
        <v>15363</v>
      </c>
      <c r="M485" t="s">
        <v>15361</v>
      </c>
      <c r="N485" t="s">
        <v>1395</v>
      </c>
      <c r="O485" t="s">
        <v>15329</v>
      </c>
    </row>
    <row r="486" spans="1:15" x14ac:dyDescent="0.35">
      <c r="A486" t="s">
        <v>15326</v>
      </c>
      <c r="B486" t="s">
        <v>15277</v>
      </c>
      <c r="C486" t="s">
        <v>1395</v>
      </c>
      <c r="D486" t="s">
        <v>809</v>
      </c>
      <c r="E486" t="s">
        <v>15327</v>
      </c>
      <c r="F486" t="s">
        <v>15328</v>
      </c>
      <c r="G486" t="s">
        <v>15320</v>
      </c>
      <c r="H486" t="s">
        <v>15879</v>
      </c>
      <c r="I486" s="16" t="s">
        <v>15913</v>
      </c>
      <c r="J486" t="s">
        <v>15943</v>
      </c>
      <c r="K486">
        <v>5</v>
      </c>
      <c r="L486" s="16" t="s">
        <v>15423</v>
      </c>
      <c r="M486" t="s">
        <v>15710</v>
      </c>
      <c r="N486" t="s">
        <v>1395</v>
      </c>
      <c r="O486" t="s">
        <v>15329</v>
      </c>
    </row>
    <row r="487" spans="1:15" x14ac:dyDescent="0.35">
      <c r="A487" t="s">
        <v>15326</v>
      </c>
      <c r="B487" t="s">
        <v>15277</v>
      </c>
      <c r="C487" t="s">
        <v>1395</v>
      </c>
      <c r="D487" t="s">
        <v>809</v>
      </c>
      <c r="E487" t="s">
        <v>15327</v>
      </c>
      <c r="F487" t="s">
        <v>15328</v>
      </c>
      <c r="G487" t="s">
        <v>15320</v>
      </c>
      <c r="H487" t="s">
        <v>15875</v>
      </c>
      <c r="I487" s="16" t="s">
        <v>15893</v>
      </c>
      <c r="J487" t="s">
        <v>15943</v>
      </c>
      <c r="K487">
        <v>5</v>
      </c>
      <c r="L487" s="16" t="s">
        <v>15363</v>
      </c>
      <c r="M487" t="s">
        <v>15677</v>
      </c>
      <c r="N487" t="s">
        <v>809</v>
      </c>
      <c r="O487" t="s">
        <v>15325</v>
      </c>
    </row>
    <row r="488" spans="1:15" x14ac:dyDescent="0.35">
      <c r="A488" t="s">
        <v>15326</v>
      </c>
      <c r="B488" t="s">
        <v>15277</v>
      </c>
      <c r="C488" t="s">
        <v>1395</v>
      </c>
      <c r="D488" t="s">
        <v>809</v>
      </c>
      <c r="E488" t="s">
        <v>15327</v>
      </c>
      <c r="F488" t="s">
        <v>15328</v>
      </c>
      <c r="G488" t="s">
        <v>15320</v>
      </c>
      <c r="H488" t="s">
        <v>15879</v>
      </c>
      <c r="I488" s="16" t="s">
        <v>15926</v>
      </c>
      <c r="J488" t="s">
        <v>15943</v>
      </c>
      <c r="K488">
        <v>5</v>
      </c>
      <c r="L488" s="16" t="s">
        <v>15423</v>
      </c>
      <c r="M488" t="s">
        <v>15538</v>
      </c>
      <c r="N488" t="s">
        <v>809</v>
      </c>
      <c r="O488" t="s">
        <v>15325</v>
      </c>
    </row>
    <row r="489" spans="1:15" x14ac:dyDescent="0.35">
      <c r="A489" t="s">
        <v>15326</v>
      </c>
      <c r="B489" t="s">
        <v>15277</v>
      </c>
      <c r="C489" t="s">
        <v>27</v>
      </c>
      <c r="D489" t="s">
        <v>238</v>
      </c>
      <c r="E489" t="s">
        <v>15319</v>
      </c>
      <c r="F489" t="s">
        <v>15377</v>
      </c>
      <c r="G489" t="s">
        <v>15320</v>
      </c>
      <c r="H489" t="s">
        <v>15875</v>
      </c>
      <c r="I489" s="16" t="s">
        <v>15412</v>
      </c>
      <c r="J489" t="s">
        <v>15952</v>
      </c>
      <c r="K489">
        <v>5</v>
      </c>
      <c r="L489" s="16" t="s">
        <v>15381</v>
      </c>
      <c r="M489" t="s">
        <v>15953</v>
      </c>
      <c r="N489" t="s">
        <v>238</v>
      </c>
      <c r="O489" t="s">
        <v>15325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POSESION</vt:lpstr>
      <vt:lpstr>CONVERSIONES</vt:lpstr>
      <vt:lpstr>GOALS</vt:lpstr>
      <vt:lpstr>SCRUMS</vt:lpstr>
      <vt:lpstr>TRIES</vt:lpstr>
      <vt:lpstr>LINE</vt:lpstr>
      <vt:lpstr>SALIDAS</vt:lpstr>
      <vt:lpstr>PENALES_FK</vt:lpstr>
      <vt:lpstr>BREAKLINE</vt:lpstr>
      <vt:lpstr>PELOTA_PERDIDA</vt:lpstr>
      <vt:lpstr>OUT</vt:lpstr>
      <vt:lpstr>SECUENCIA</vt:lpstr>
      <vt:lpstr>RUCKS_GANADOS</vt:lpstr>
      <vt:lpstr>RUCKS_PERDIDO</vt:lpstr>
      <vt:lpstr>KICKS</vt:lpstr>
      <vt:lpstr>CANCHA</vt:lpstr>
      <vt:lpstr>TRIES_DESDE</vt:lpstr>
      <vt:lpstr>GOAL_ERRADOS</vt:lpstr>
      <vt:lpstr>KILLER_INSTINT</vt:lpstr>
      <vt:lpstr>MAULS</vt:lpstr>
      <vt:lpstr>KICKS_MALO</vt:lpstr>
      <vt:lpstr>TARJETAS</vt:lpstr>
      <vt:lpstr>PENALES_CONCEDIDOS</vt:lpstr>
      <vt:lpstr>SUSTITUCIONES</vt:lpstr>
      <vt:lpstr>HIGLIGTHS</vt:lpstr>
      <vt:lpstr>TACKLES</vt:lpstr>
      <vt:lpstr>ZONA_ATT</vt:lpstr>
      <vt:lpstr>ZONA_DFF</vt:lpstr>
      <vt:lpstr>LANZAMIENTOS</vt:lpstr>
      <vt:lpstr>DROPS</vt:lpstr>
      <vt:lpstr>PASE</vt:lpstr>
      <vt:lpstr>CARRIES</vt:lpstr>
      <vt:lpstr>MEDICO</vt:lpstr>
      <vt:lpstr>FIXTURE</vt:lpstr>
      <vt:lpstr>BDUAR_EQUIPOS</vt:lpstr>
      <vt:lpstr>BDUAR_INCIDENCIAS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2026-06-22T12:41:59Z</dcterms:created>
  <dcterms:modified xsi:type="dcterms:W3CDTF">2026-10-06T13:51:00Z</dcterms:modified>
</cp:coreProperties>
</file>